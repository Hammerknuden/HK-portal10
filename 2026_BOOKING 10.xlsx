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7" documentId="8_{CBF31231-0F4D-4AAA-8243-F4B7D6A71111}" xr6:coauthVersionLast="47" xr6:coauthVersionMax="47" xr10:uidLastSave="{F8261B56-C7D3-4820-B79F-F25FE0D68A17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0" i="3" l="1"/>
  <c r="Y200" i="3"/>
  <c r="AC14" i="5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G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00" i="10" l="1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AX98" i="3" l="1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2" i="3" l="1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W200" i="3" s="1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<sst xmlns="http://schemas.openxmlformats.org/spreadsheetml/2006/main" count="1180" uniqueCount="401">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</sst>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21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7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11" fillId="0" borderId="0" xfId="0" applyFont="1"/>
    <xf numFmtId="44" fontId="0" fillId="0" borderId="0" xfId="0" applyNumberFormat="1"/>
    <xf numFmtId="44" fontId="2" fillId="0" borderId="0" xfId="0" applyNumberFormat="1" applyFont="1"/>
    <xf numFmtId="0" fontId="14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7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470</c:v>
                </c:pt>
                <c:pt idx="14">
                  <c:v>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149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629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149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629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470</c:v>
                </c:pt>
                <c:pt idx="14">
                  <c:v>470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4" bestFit="1" customWidth="1"/>
    <col min="4" max="4" width="10.88671875" style="24" bestFit="1" customWidth="1"/>
    <col min="5" max="5" width="13.5546875" style="24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">
      <c r="C12" s="120"/>
      <c r="D12" s="120"/>
      <c r="E12" s="120"/>
    </row>
    <row r="84" spans="1:19" x14ac:dyDescent="0.3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4"/>
  <sheetViews>
    <sheetView workbookViewId="0">
      <pane ySplit="1" topLeftCell="A77" activePane="bottomLeft" state="frozen"/>
      <selection pane="bottomLeft" activeCell="I84" sqref="I84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4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158" bestFit="1" customWidth="1"/>
    <col min="15" max="15" width="16.109375" style="2" customWidth="1"/>
    <col min="16" max="16" width="8.5546875" style="2"/>
    <col min="17" max="17" width="8.5546875" style="2" customWidth="1"/>
    <col min="18" max="18" width="12.77734375" style="13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1" ht="20.100000000000001" customHeight="1" x14ac:dyDescent="0.3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2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1" x14ac:dyDescent="0.3">
      <c r="A2" s="146">
        <v>1</v>
      </c>
      <c r="B2" s="111" t="s">
        <v>168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5" t="s">
        <v>169</v>
      </c>
      <c r="N2" s="183"/>
      <c r="O2" s="133" t="s">
        <v>170</v>
      </c>
      <c r="P2" s="133"/>
      <c r="Q2" s="133" t="s">
        <v>21</v>
      </c>
      <c r="R2" s="165">
        <v>7267.5</v>
      </c>
      <c r="S2" s="159" t="s">
        <v>20</v>
      </c>
      <c r="T2" t="s">
        <v>171</v>
      </c>
    </row>
    <row r="3" spans="1:21" x14ac:dyDescent="0.3">
      <c r="A3" s="147">
        <v>2</v>
      </c>
      <c r="B3" s="113" t="s">
        <v>172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272</v>
      </c>
      <c r="H3" s="113"/>
      <c r="I3" s="134"/>
      <c r="J3" s="113"/>
      <c r="K3" s="113"/>
      <c r="L3" s="113"/>
      <c r="M3" s="156"/>
      <c r="N3" s="184"/>
      <c r="O3" s="134"/>
      <c r="P3" s="134"/>
      <c r="Q3" s="134"/>
      <c r="R3" s="165"/>
      <c r="S3" s="160"/>
    </row>
    <row r="4" spans="1:21" x14ac:dyDescent="0.3">
      <c r="A4" s="146">
        <v>3</v>
      </c>
      <c r="B4" s="111" t="s">
        <v>172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5" t="s">
        <v>173</v>
      </c>
      <c r="N4" s="183"/>
      <c r="O4" s="133" t="s">
        <v>174</v>
      </c>
      <c r="P4" s="133"/>
      <c r="Q4" s="133" t="s">
        <v>21</v>
      </c>
      <c r="R4" s="165">
        <v>2070</v>
      </c>
      <c r="S4" s="159" t="s">
        <v>20</v>
      </c>
      <c r="T4" s="131"/>
    </row>
    <row r="5" spans="1:21" x14ac:dyDescent="0.3">
      <c r="A5" s="147">
        <v>4</v>
      </c>
      <c r="B5" s="113" t="s">
        <v>175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6" t="s">
        <v>177</v>
      </c>
      <c r="N5" s="185">
        <v>4530267986</v>
      </c>
      <c r="O5" s="134" t="s">
        <v>178</v>
      </c>
      <c r="P5" s="134"/>
      <c r="Q5" s="134" t="s">
        <v>21</v>
      </c>
      <c r="R5" s="165">
        <v>9180</v>
      </c>
      <c r="S5" s="160" t="s">
        <v>21</v>
      </c>
      <c r="T5" t="s">
        <v>176</v>
      </c>
    </row>
    <row r="6" spans="1:21" x14ac:dyDescent="0.3">
      <c r="A6" s="146">
        <v>5</v>
      </c>
      <c r="B6" s="111" t="s">
        <v>179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5" t="s">
        <v>180</v>
      </c>
      <c r="N6" s="183"/>
      <c r="O6" s="133"/>
      <c r="P6" s="133"/>
      <c r="Q6" s="133" t="s">
        <v>21</v>
      </c>
      <c r="R6" s="165">
        <v>5175</v>
      </c>
      <c r="S6" s="159" t="s">
        <v>20</v>
      </c>
    </row>
    <row r="7" spans="1:21" x14ac:dyDescent="0.3">
      <c r="A7" s="146">
        <v>6</v>
      </c>
      <c r="B7" s="126" t="s">
        <v>181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182</v>
      </c>
      <c r="Q7" s="2" t="s">
        <v>21</v>
      </c>
      <c r="R7" s="132">
        <v>4140</v>
      </c>
      <c r="S7" s="2" t="s">
        <v>38</v>
      </c>
      <c r="T7" t="s">
        <v>183</v>
      </c>
    </row>
    <row r="8" spans="1:21" x14ac:dyDescent="0.3">
      <c r="A8" s="147">
        <v>7</v>
      </c>
      <c r="B8" s="126" t="s">
        <v>184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185</v>
      </c>
      <c r="N8" s="185">
        <v>4522701312</v>
      </c>
      <c r="O8" s="2" t="s">
        <v>186</v>
      </c>
      <c r="Q8" s="2" t="s">
        <v>20</v>
      </c>
      <c r="R8" s="165">
        <v>6772.5</v>
      </c>
      <c r="S8" s="2" t="s">
        <v>21</v>
      </c>
    </row>
    <row r="9" spans="1:21" x14ac:dyDescent="0.3">
      <c r="A9" s="146">
        <v>8</v>
      </c>
      <c r="B9" s="126" t="s">
        <v>187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188</v>
      </c>
      <c r="N9" s="185">
        <v>4917643882286</v>
      </c>
      <c r="O9" s="2" t="s">
        <v>189</v>
      </c>
      <c r="Q9" s="2" t="s">
        <v>21</v>
      </c>
      <c r="R9" s="132">
        <v>4275</v>
      </c>
      <c r="S9" s="2" t="s">
        <v>21</v>
      </c>
      <c r="T9" s="126" t="s">
        <v>190</v>
      </c>
    </row>
    <row r="10" spans="1:21" x14ac:dyDescent="0.3">
      <c r="A10" s="146">
        <v>9</v>
      </c>
      <c r="B10" s="126" t="s">
        <v>191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192</v>
      </c>
      <c r="O10" s="2" t="s">
        <v>193</v>
      </c>
      <c r="Q10" s="2" t="s">
        <v>21</v>
      </c>
      <c r="R10" s="165">
        <v>7245</v>
      </c>
      <c r="S10" s="2" t="s">
        <v>21</v>
      </c>
    </row>
    <row r="11" spans="1:21" x14ac:dyDescent="0.3">
      <c r="A11" s="147">
        <v>10</v>
      </c>
      <c r="B11" s="126" t="s">
        <v>194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195</v>
      </c>
      <c r="N11" s="158">
        <v>4561557600</v>
      </c>
      <c r="Q11" s="2" t="s">
        <v>21</v>
      </c>
      <c r="R11" s="132">
        <v>3442</v>
      </c>
      <c r="S11" s="2" t="s">
        <v>21</v>
      </c>
      <c r="T11" t="s">
        <v>196</v>
      </c>
    </row>
    <row r="12" spans="1:21" x14ac:dyDescent="0.3">
      <c r="A12" s="146">
        <v>11</v>
      </c>
      <c r="B12" s="126" t="s">
        <v>197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199</v>
      </c>
      <c r="Q12" s="2" t="s">
        <v>21</v>
      </c>
      <c r="R12" s="132">
        <v>5737.5</v>
      </c>
      <c r="S12" s="2" t="s">
        <v>20</v>
      </c>
      <c r="T12" t="s">
        <v>198</v>
      </c>
    </row>
    <row r="13" spans="1:21" x14ac:dyDescent="0.3">
      <c r="A13" s="146">
        <v>12</v>
      </c>
      <c r="B13" s="126" t="s">
        <v>200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201</v>
      </c>
      <c r="N13" s="186">
        <v>4540552384</v>
      </c>
      <c r="O13" s="2" t="s">
        <v>202</v>
      </c>
      <c r="Q13" s="2" t="s">
        <v>21</v>
      </c>
      <c r="R13" s="132">
        <v>4140</v>
      </c>
      <c r="S13" s="2" t="s">
        <v>21</v>
      </c>
      <c r="T13" t="s">
        <v>203</v>
      </c>
    </row>
    <row r="14" spans="1:21" x14ac:dyDescent="0.3">
      <c r="A14" s="147">
        <v>13</v>
      </c>
      <c r="B14" s="126" t="s">
        <v>204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205</v>
      </c>
      <c r="N14" s="186">
        <v>4525582842</v>
      </c>
      <c r="O14" s="2" t="s">
        <v>207</v>
      </c>
      <c r="Q14" s="2" t="s">
        <v>21</v>
      </c>
      <c r="R14" s="132">
        <v>8032.5</v>
      </c>
      <c r="S14" s="2" t="s">
        <v>38</v>
      </c>
      <c r="T14" t="s">
        <v>206</v>
      </c>
    </row>
    <row r="15" spans="1:21" x14ac:dyDescent="0.3">
      <c r="A15" s="146">
        <v>14</v>
      </c>
      <c r="B15" s="126" t="s">
        <v>208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7" t="s">
        <v>211</v>
      </c>
      <c r="N15" s="186">
        <v>4591191885</v>
      </c>
      <c r="O15" s="2" t="s">
        <v>209</v>
      </c>
      <c r="Q15" s="2" t="s">
        <v>21</v>
      </c>
      <c r="R15" s="132">
        <v>9180</v>
      </c>
      <c r="S15" s="2" t="s">
        <v>38</v>
      </c>
      <c r="T15" s="126" t="s">
        <v>210</v>
      </c>
    </row>
    <row r="16" spans="1:21" x14ac:dyDescent="0.3">
      <c r="A16" s="146">
        <v>15</v>
      </c>
      <c r="B16" s="126" t="s">
        <v>212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213</v>
      </c>
      <c r="N16" s="158">
        <v>4531534745</v>
      </c>
      <c r="O16" s="2" t="s">
        <v>214</v>
      </c>
      <c r="Q16" s="2" t="s">
        <v>21</v>
      </c>
      <c r="R16" s="132">
        <v>8925</v>
      </c>
      <c r="S16" s="2" t="s">
        <v>38</v>
      </c>
      <c r="T16" t="s">
        <v>215</v>
      </c>
      <c r="U16" s="191">
        <f>R16*0.5</f>
        <v>4462.5</v>
      </c>
    </row>
    <row r="17" spans="1:21" x14ac:dyDescent="0.3">
      <c r="A17" s="147">
        <v>16</v>
      </c>
      <c r="B17" s="126" t="s">
        <v>226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227</v>
      </c>
      <c r="N17" s="186">
        <v>4530604703</v>
      </c>
      <c r="Q17" s="2" t="s">
        <v>21</v>
      </c>
      <c r="R17" s="132">
        <v>17850</v>
      </c>
      <c r="S17" s="2" t="s">
        <v>38</v>
      </c>
      <c r="T17" t="s">
        <v>228</v>
      </c>
      <c r="U17" s="192">
        <f t="shared" ref="U17:U19" si="0">R17*0.5</f>
        <v>8925</v>
      </c>
    </row>
    <row r="18" spans="1:21" x14ac:dyDescent="0.3">
      <c r="A18" s="146">
        <v>17</v>
      </c>
      <c r="B18" s="126" t="s">
        <v>220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223</v>
      </c>
      <c r="N18" s="186">
        <v>4524669843</v>
      </c>
      <c r="O18" s="2" t="s">
        <v>224</v>
      </c>
      <c r="Q18" s="2" t="s">
        <v>21</v>
      </c>
      <c r="R18" s="132">
        <v>8925</v>
      </c>
      <c r="S18" s="2" t="s">
        <v>38</v>
      </c>
      <c r="T18" t="s">
        <v>225</v>
      </c>
      <c r="U18" s="192">
        <f t="shared" si="0"/>
        <v>4462.5</v>
      </c>
    </row>
    <row r="19" spans="1:21" x14ac:dyDescent="0.3">
      <c r="A19" s="146">
        <v>18</v>
      </c>
      <c r="B19" s="126" t="s">
        <v>218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7" t="s">
        <v>219</v>
      </c>
      <c r="N19" s="186">
        <v>4531909358</v>
      </c>
      <c r="O19" s="2" t="s">
        <v>222</v>
      </c>
      <c r="Q19" s="2" t="s">
        <v>21</v>
      </c>
      <c r="R19" s="132">
        <v>6375</v>
      </c>
      <c r="S19" s="2" t="s">
        <v>38</v>
      </c>
      <c r="T19" t="s">
        <v>221</v>
      </c>
      <c r="U19" s="192">
        <f t="shared" si="0"/>
        <v>3187.5</v>
      </c>
    </row>
    <row r="20" spans="1:21" x14ac:dyDescent="0.3">
      <c r="A20" s="147">
        <v>19</v>
      </c>
      <c r="B20" t="s">
        <v>216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217</v>
      </c>
      <c r="N20" s="186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206</v>
      </c>
    </row>
    <row r="21" spans="1:21" x14ac:dyDescent="0.3">
      <c r="A21" s="146">
        <v>20</v>
      </c>
      <c r="B21" s="126" t="s">
        <v>246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247</v>
      </c>
      <c r="Q21" s="2" t="s">
        <v>21</v>
      </c>
      <c r="R21" s="165">
        <v>12420</v>
      </c>
      <c r="S21" s="2" t="s">
        <v>38</v>
      </c>
      <c r="T21" t="s">
        <v>248</v>
      </c>
    </row>
    <row r="22" spans="1:21" x14ac:dyDescent="0.3">
      <c r="A22" s="146">
        <v>21</v>
      </c>
      <c r="B22" s="126" t="s">
        <v>269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244</v>
      </c>
      <c r="N22" s="186">
        <v>46705125490</v>
      </c>
      <c r="O22" s="2" t="s">
        <v>243</v>
      </c>
      <c r="Q22" s="2" t="s">
        <v>21</v>
      </c>
      <c r="R22" s="165">
        <v>5175</v>
      </c>
      <c r="S22" s="2" t="s">
        <v>38</v>
      </c>
      <c r="T22" t="s">
        <v>245</v>
      </c>
    </row>
    <row r="23" spans="1:21" x14ac:dyDescent="0.3">
      <c r="A23" s="147">
        <v>22</v>
      </c>
      <c r="B23" t="s">
        <v>241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242</v>
      </c>
    </row>
    <row r="24" spans="1:21" x14ac:dyDescent="0.3">
      <c r="A24" s="146">
        <v>23</v>
      </c>
      <c r="B24" t="s">
        <v>240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259</v>
      </c>
      <c r="I24" s="2" t="s">
        <v>162</v>
      </c>
      <c r="K24" s="128">
        <v>1</v>
      </c>
      <c r="L24" s="128">
        <v>2</v>
      </c>
      <c r="Q24" s="2" t="s">
        <v>21</v>
      </c>
      <c r="R24" s="165">
        <v>3825</v>
      </c>
      <c r="S24" s="2" t="s">
        <v>20</v>
      </c>
    </row>
    <row r="25" spans="1:21" x14ac:dyDescent="0.3">
      <c r="A25" s="146">
        <v>24</v>
      </c>
      <c r="B25" t="s">
        <v>239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5">
        <v>3825</v>
      </c>
      <c r="S25" s="2" t="s">
        <v>20</v>
      </c>
    </row>
    <row r="26" spans="1:21" x14ac:dyDescent="0.3">
      <c r="A26" s="147">
        <v>25</v>
      </c>
      <c r="B26" t="s">
        <v>238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1" x14ac:dyDescent="0.3">
      <c r="A27" s="146">
        <v>26</v>
      </c>
      <c r="B27" t="s">
        <v>237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7"/>
      <c r="Q27" s="2" t="s">
        <v>21</v>
      </c>
      <c r="R27" s="132">
        <v>3450</v>
      </c>
      <c r="S27" s="2" t="s">
        <v>20</v>
      </c>
      <c r="T27" t="s">
        <v>326</v>
      </c>
    </row>
    <row r="28" spans="1:21" x14ac:dyDescent="0.3">
      <c r="A28" s="146">
        <v>27</v>
      </c>
      <c r="B28" t="s">
        <v>235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236</v>
      </c>
      <c r="N28" s="186">
        <v>4561283743</v>
      </c>
      <c r="Q28" s="2" t="s">
        <v>21</v>
      </c>
      <c r="R28" s="132">
        <v>6210</v>
      </c>
      <c r="S28" s="2" t="s">
        <v>21</v>
      </c>
      <c r="T28" t="s">
        <v>268</v>
      </c>
    </row>
    <row r="29" spans="1:21" x14ac:dyDescent="0.3">
      <c r="A29" s="147">
        <v>28</v>
      </c>
      <c r="B29" t="s">
        <v>234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1" x14ac:dyDescent="0.3">
      <c r="A30" s="146">
        <v>29</v>
      </c>
      <c r="B30" t="s">
        <v>251</v>
      </c>
      <c r="C30" s="24">
        <v>46177</v>
      </c>
      <c r="D30" s="24">
        <v>46179</v>
      </c>
      <c r="E30" s="24">
        <v>46023</v>
      </c>
      <c r="F30" t="s">
        <v>58</v>
      </c>
      <c r="G30" t="s">
        <v>272</v>
      </c>
      <c r="K30" s="128"/>
      <c r="L30" s="128"/>
      <c r="M30" s="123"/>
    </row>
    <row r="31" spans="1:21" x14ac:dyDescent="0.3">
      <c r="A31" s="146">
        <v>30</v>
      </c>
      <c r="B31" t="s">
        <v>249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6">
        <v>4526241192</v>
      </c>
      <c r="Q31" s="2" t="s">
        <v>21</v>
      </c>
      <c r="R31" s="132">
        <v>5100</v>
      </c>
      <c r="S31" s="2" t="s">
        <v>21</v>
      </c>
      <c r="T31" t="s">
        <v>250</v>
      </c>
    </row>
    <row r="32" spans="1:21" x14ac:dyDescent="0.3">
      <c r="A32" s="147">
        <v>31</v>
      </c>
      <c r="B32" t="s">
        <v>252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253</v>
      </c>
      <c r="N32" s="158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254</v>
      </c>
    </row>
    <row r="33" spans="1:20" x14ac:dyDescent="0.3">
      <c r="A33" s="146">
        <v>32</v>
      </c>
      <c r="B33" t="s">
        <v>267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">
      <c r="A34" s="146">
        <v>33</v>
      </c>
      <c r="B34" t="s">
        <v>266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">
      <c r="A35" s="147">
        <v>34</v>
      </c>
      <c r="B35" t="s">
        <v>265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">
      <c r="A36" s="146">
        <v>35</v>
      </c>
      <c r="B36" t="s">
        <v>261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6" t="s">
        <v>262</v>
      </c>
      <c r="N36" s="186">
        <v>46733448215</v>
      </c>
      <c r="O36" s="2" t="s">
        <v>263</v>
      </c>
      <c r="Q36" s="2" t="s">
        <v>21</v>
      </c>
      <c r="R36" s="132">
        <v>4140</v>
      </c>
      <c r="S36" s="2" t="s">
        <v>38</v>
      </c>
      <c r="T36" t="s">
        <v>264</v>
      </c>
    </row>
    <row r="37" spans="1:20" x14ac:dyDescent="0.3">
      <c r="A37" s="146">
        <v>36</v>
      </c>
      <c r="B37" t="s">
        <v>260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">
      <c r="A38" s="147">
        <v>37</v>
      </c>
      <c r="B38" t="s">
        <v>258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259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">
      <c r="A39" s="146">
        <v>38</v>
      </c>
      <c r="B39" t="s">
        <v>257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">
      <c r="A40" s="2">
        <v>39</v>
      </c>
      <c r="B40" t="s">
        <v>256</v>
      </c>
      <c r="C40" s="24">
        <v>46216</v>
      </c>
      <c r="D40" s="24">
        <v>46220</v>
      </c>
      <c r="E40" s="24">
        <v>46032</v>
      </c>
      <c r="G40" t="s">
        <v>272</v>
      </c>
    </row>
    <row r="41" spans="1:20" x14ac:dyDescent="0.3">
      <c r="A41" s="2">
        <v>40</v>
      </c>
      <c r="B41" t="s">
        <v>255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">
      <c r="A42" s="2">
        <v>41</v>
      </c>
      <c r="B42" t="s">
        <v>271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">
      <c r="A43" s="2">
        <v>42</v>
      </c>
      <c r="B43" t="s">
        <v>270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">
      <c r="A44" s="2">
        <v>43</v>
      </c>
      <c r="B44" t="s">
        <v>288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259</v>
      </c>
      <c r="I44" s="2" t="s">
        <v>291</v>
      </c>
      <c r="K44">
        <v>1</v>
      </c>
      <c r="L44">
        <v>2</v>
      </c>
      <c r="M44" s="123" t="s">
        <v>290</v>
      </c>
      <c r="N44" s="158">
        <v>4526140610</v>
      </c>
      <c r="Q44" s="2" t="s">
        <v>21</v>
      </c>
      <c r="R44" s="132">
        <v>4500</v>
      </c>
      <c r="S44" s="2" t="s">
        <v>20</v>
      </c>
      <c r="T44" t="s">
        <v>289</v>
      </c>
    </row>
    <row r="45" spans="1:20" x14ac:dyDescent="0.3">
      <c r="A45" s="2">
        <v>44</v>
      </c>
      <c r="B45" t="s">
        <v>287</v>
      </c>
      <c r="C45" s="24">
        <v>46222</v>
      </c>
      <c r="D45" s="24">
        <v>46227</v>
      </c>
      <c r="E45" s="24">
        <v>46037</v>
      </c>
      <c r="F45" t="s">
        <v>294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">
      <c r="A46" s="2">
        <v>45</v>
      </c>
      <c r="B46" t="s">
        <v>286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">
      <c r="A47" s="2">
        <v>46</v>
      </c>
      <c r="B47" t="s">
        <v>283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285</v>
      </c>
      <c r="T47" t="s">
        <v>284</v>
      </c>
    </row>
    <row r="48" spans="1:20" x14ac:dyDescent="0.3">
      <c r="A48" s="2">
        <v>47</v>
      </c>
      <c r="B48" t="s">
        <v>218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219</v>
      </c>
      <c r="N48" s="186">
        <v>4531909358</v>
      </c>
      <c r="O48" s="188" t="s">
        <v>281</v>
      </c>
      <c r="Q48" s="2" t="s">
        <v>21</v>
      </c>
      <c r="S48" s="2" t="s">
        <v>21</v>
      </c>
      <c r="T48" t="s">
        <v>282</v>
      </c>
    </row>
    <row r="49" spans="1:20" x14ac:dyDescent="0.3">
      <c r="A49" s="2">
        <v>48</v>
      </c>
      <c r="B49" t="s">
        <v>280</v>
      </c>
      <c r="C49" s="24">
        <v>46156</v>
      </c>
      <c r="D49" s="24">
        <v>46159</v>
      </c>
      <c r="E49" s="24">
        <v>46040</v>
      </c>
      <c r="F49" t="s">
        <v>53</v>
      </c>
      <c r="G49" t="s">
        <v>272</v>
      </c>
      <c r="M49" s="123"/>
    </row>
    <row r="50" spans="1:20" x14ac:dyDescent="0.3">
      <c r="A50" s="2">
        <v>49</v>
      </c>
      <c r="B50" t="s">
        <v>279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">
      <c r="A51" s="2">
        <v>50</v>
      </c>
      <c r="B51" t="s">
        <v>278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">
      <c r="A52" s="2">
        <v>51</v>
      </c>
      <c r="B52" t="s">
        <v>275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6" t="s">
        <v>277</v>
      </c>
      <c r="N52" s="186">
        <v>4540474386</v>
      </c>
      <c r="O52" s="188" t="s">
        <v>276</v>
      </c>
      <c r="Q52" s="2" t="s">
        <v>21</v>
      </c>
      <c r="R52" s="194">
        <v>5737.5</v>
      </c>
      <c r="S52" s="2" t="s">
        <v>21</v>
      </c>
      <c r="T52">
        <v>2024</v>
      </c>
    </row>
    <row r="53" spans="1:20" x14ac:dyDescent="0.3">
      <c r="A53" s="2">
        <v>52</v>
      </c>
      <c r="B53" t="s">
        <v>293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">
      <c r="A54" s="2">
        <v>53</v>
      </c>
      <c r="B54" t="s">
        <v>292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">
      <c r="A55" s="2">
        <v>54</v>
      </c>
      <c r="B55" t="s">
        <v>308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5">
        <v>5700</v>
      </c>
    </row>
    <row r="56" spans="1:20" x14ac:dyDescent="0.3">
      <c r="A56" s="2">
        <v>55</v>
      </c>
      <c r="B56" t="s">
        <v>307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">
      <c r="A57" s="2">
        <v>56</v>
      </c>
      <c r="B57" t="s">
        <v>304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317</v>
      </c>
      <c r="I57" s="2" t="s">
        <v>305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306</v>
      </c>
    </row>
    <row r="58" spans="1:20" x14ac:dyDescent="0.3">
      <c r="A58" s="2">
        <v>57</v>
      </c>
      <c r="B58" t="s">
        <v>301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6">
        <v>466700686</v>
      </c>
      <c r="O58" s="2" t="s">
        <v>302</v>
      </c>
      <c r="Q58" s="2" t="s">
        <v>20</v>
      </c>
      <c r="R58" s="165">
        <v>6450</v>
      </c>
      <c r="S58" s="2" t="s">
        <v>38</v>
      </c>
      <c r="T58" t="s">
        <v>303</v>
      </c>
    </row>
    <row r="59" spans="1:20" x14ac:dyDescent="0.3">
      <c r="A59" s="2">
        <v>58</v>
      </c>
      <c r="B59" t="s">
        <v>299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5">
        <v>4590</v>
      </c>
      <c r="S59" s="2" t="s">
        <v>38</v>
      </c>
      <c r="T59" t="s">
        <v>300</v>
      </c>
    </row>
    <row r="60" spans="1:20" x14ac:dyDescent="0.3">
      <c r="A60" s="2">
        <v>59</v>
      </c>
      <c r="B60" t="s">
        <v>309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310</v>
      </c>
      <c r="I60" s="2" t="s">
        <v>162</v>
      </c>
      <c r="K60">
        <v>1</v>
      </c>
      <c r="L60">
        <v>2</v>
      </c>
      <c r="M60" s="123"/>
      <c r="N60" s="158">
        <v>4542401010</v>
      </c>
      <c r="Q60" s="2" t="s">
        <v>21</v>
      </c>
      <c r="R60" s="165">
        <v>5100</v>
      </c>
      <c r="S60" s="2" t="s">
        <v>20</v>
      </c>
    </row>
    <row r="61" spans="1:20" x14ac:dyDescent="0.3">
      <c r="A61" s="2">
        <v>60</v>
      </c>
      <c r="B61" t="s">
        <v>316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5">
        <v>3800</v>
      </c>
      <c r="S61" s="2" t="s">
        <v>20</v>
      </c>
    </row>
    <row r="62" spans="1:20" x14ac:dyDescent="0.3">
      <c r="A62" s="2">
        <v>61</v>
      </c>
      <c r="B62" t="s">
        <v>314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315</v>
      </c>
      <c r="I62" s="2" t="s">
        <v>305</v>
      </c>
      <c r="K62">
        <v>1</v>
      </c>
      <c r="L62">
        <v>2</v>
      </c>
      <c r="M62" s="123"/>
      <c r="Q62" s="2" t="s">
        <v>20</v>
      </c>
      <c r="R62" s="165">
        <v>2975</v>
      </c>
      <c r="S62" s="2" t="s">
        <v>20</v>
      </c>
    </row>
    <row r="63" spans="1:20" x14ac:dyDescent="0.3">
      <c r="A63" s="2">
        <v>62</v>
      </c>
      <c r="B63" t="s">
        <v>313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305</v>
      </c>
      <c r="J63">
        <v>10</v>
      </c>
      <c r="K63">
        <v>1</v>
      </c>
      <c r="L63">
        <v>2</v>
      </c>
      <c r="Q63" s="2" t="s">
        <v>21</v>
      </c>
      <c r="R63" s="165">
        <f>8925+3442.5</f>
        <v>12367.5</v>
      </c>
      <c r="S63" s="2" t="s">
        <v>20</v>
      </c>
      <c r="T63" t="s">
        <v>325</v>
      </c>
    </row>
    <row r="64" spans="1:20" x14ac:dyDescent="0.3">
      <c r="A64" s="2">
        <v>63</v>
      </c>
      <c r="B64" t="s">
        <v>311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312</v>
      </c>
      <c r="Q64" s="2" t="s">
        <v>20</v>
      </c>
      <c r="R64" s="165">
        <v>1805</v>
      </c>
      <c r="S64" s="2" t="s">
        <v>20</v>
      </c>
    </row>
    <row r="65" spans="1:20" x14ac:dyDescent="0.3">
      <c r="A65" s="2">
        <v>64</v>
      </c>
      <c r="B65" t="s">
        <v>318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">
      <c r="A66" s="2">
        <v>65</v>
      </c>
      <c r="B66" t="s">
        <v>322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305</v>
      </c>
      <c r="K66">
        <v>1</v>
      </c>
      <c r="L66">
        <v>2</v>
      </c>
      <c r="Q66" s="2" t="s">
        <v>20</v>
      </c>
      <c r="R66" s="165">
        <v>2850</v>
      </c>
      <c r="S66" s="2" t="s">
        <v>20</v>
      </c>
    </row>
    <row r="67" spans="1:20" x14ac:dyDescent="0.3">
      <c r="A67" s="2">
        <v>66</v>
      </c>
      <c r="B67" t="s">
        <v>320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321</v>
      </c>
      <c r="N67" s="157">
        <v>4521261488</v>
      </c>
      <c r="O67" s="2" t="s">
        <v>186</v>
      </c>
      <c r="Q67" s="2" t="s">
        <v>21</v>
      </c>
      <c r="R67" s="165">
        <v>9180</v>
      </c>
      <c r="S67" s="2" t="s">
        <v>38</v>
      </c>
      <c r="T67">
        <v>2021.24</v>
      </c>
    </row>
    <row r="68" spans="1:20" x14ac:dyDescent="0.3">
      <c r="A68" s="2">
        <v>67</v>
      </c>
      <c r="B68" t="s">
        <v>319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5">
        <v>5750</v>
      </c>
      <c r="S68" s="2" t="s">
        <v>20</v>
      </c>
    </row>
    <row r="69" spans="1:20" x14ac:dyDescent="0.3">
      <c r="A69" s="2">
        <v>68</v>
      </c>
      <c r="B69" t="s">
        <v>324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5">
        <v>1700</v>
      </c>
      <c r="S69" s="2" t="s">
        <v>20</v>
      </c>
    </row>
    <row r="70" spans="1:20" x14ac:dyDescent="0.3">
      <c r="A70" s="2">
        <v>69</v>
      </c>
      <c r="B70" t="s">
        <v>323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5">
        <v>3225</v>
      </c>
      <c r="S70" s="2" t="s">
        <v>20</v>
      </c>
    </row>
    <row r="71" spans="1:20" x14ac:dyDescent="0.3">
      <c r="A71" s="2">
        <v>70</v>
      </c>
      <c r="B71" t="s">
        <v>331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332</v>
      </c>
      <c r="N71" s="157">
        <v>4561793423</v>
      </c>
      <c r="Q71" s="2" t="s">
        <v>21</v>
      </c>
      <c r="R71" s="165">
        <v>5175</v>
      </c>
      <c r="S71" s="2" t="s">
        <v>21</v>
      </c>
      <c r="T71" t="s">
        <v>333</v>
      </c>
    </row>
    <row r="72" spans="1:20" x14ac:dyDescent="0.3">
      <c r="A72" s="2">
        <v>71</v>
      </c>
      <c r="B72" t="s">
        <v>334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">
      <c r="A73" s="2">
        <v>72</v>
      </c>
      <c r="B73" t="s">
        <v>328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259</v>
      </c>
      <c r="K73">
        <v>1</v>
      </c>
      <c r="L73">
        <v>2</v>
      </c>
      <c r="M73" s="166" t="s">
        <v>329</v>
      </c>
      <c r="N73" s="157">
        <v>4527139833</v>
      </c>
      <c r="Q73" s="2" t="s">
        <v>21</v>
      </c>
      <c r="R73" s="165">
        <v>8050</v>
      </c>
      <c r="S73" s="2" t="s">
        <v>21</v>
      </c>
      <c r="T73" t="s">
        <v>330</v>
      </c>
    </row>
    <row r="74" spans="1:20" x14ac:dyDescent="0.3">
      <c r="A74" s="2">
        <v>73</v>
      </c>
      <c r="B74" t="s">
        <v>327</v>
      </c>
      <c r="C74" s="24">
        <v>46143</v>
      </c>
      <c r="D74" s="24">
        <v>46145</v>
      </c>
      <c r="E74" s="24">
        <v>46061</v>
      </c>
      <c r="F74" t="s">
        <v>53</v>
      </c>
      <c r="G74" t="s">
        <v>272</v>
      </c>
    </row>
    <row r="75" spans="1:20" x14ac:dyDescent="0.3">
      <c r="A75" s="2">
        <v>74</v>
      </c>
      <c r="B75" t="s">
        <v>337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338</v>
      </c>
      <c r="Q75" s="2" t="s">
        <v>21</v>
      </c>
      <c r="R75" s="165">
        <v>8460</v>
      </c>
      <c r="S75" s="2" t="s">
        <v>21</v>
      </c>
      <c r="T75" t="s">
        <v>339</v>
      </c>
    </row>
    <row r="76" spans="1:20" x14ac:dyDescent="0.3">
      <c r="A76" s="2">
        <v>75</v>
      </c>
      <c r="B76" t="s">
        <v>336</v>
      </c>
      <c r="C76" s="24">
        <v>46276</v>
      </c>
      <c r="D76" s="24">
        <v>46279</v>
      </c>
      <c r="E76" s="24">
        <v>46067</v>
      </c>
      <c r="F76" t="s">
        <v>53</v>
      </c>
      <c r="G76" t="s">
        <v>272</v>
      </c>
      <c r="R76" s="165"/>
    </row>
    <row r="77" spans="1:20" x14ac:dyDescent="0.3">
      <c r="A77" s="2">
        <v>76</v>
      </c>
      <c r="B77" t="s">
        <v>335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5">
        <v>5100</v>
      </c>
      <c r="S77" s="2" t="s">
        <v>20</v>
      </c>
    </row>
    <row r="78" spans="1:20" x14ac:dyDescent="0.3">
      <c r="A78" s="2">
        <v>77</v>
      </c>
      <c r="B78" t="s">
        <v>340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6" t="s">
        <v>341</v>
      </c>
      <c r="N78" s="157">
        <v>4525240507</v>
      </c>
      <c r="Q78" s="2" t="s">
        <v>21</v>
      </c>
      <c r="R78" s="194">
        <v>8032.5</v>
      </c>
      <c r="S78" s="2" t="s">
        <v>21</v>
      </c>
      <c r="T78" t="s">
        <v>342</v>
      </c>
    </row>
    <row r="79" spans="1:20" x14ac:dyDescent="0.3">
      <c r="A79" s="2">
        <v>78</v>
      </c>
      <c r="B79" t="s">
        <v>350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2">
        <v>9200</v>
      </c>
      <c r="S79" s="2" t="s">
        <v>20</v>
      </c>
    </row>
    <row r="80" spans="1:20" x14ac:dyDescent="0.3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3" t="s">
        <v>348</v>
      </c>
      <c r="N80" s="157">
        <v>4520646004</v>
      </c>
      <c r="Q80" s="2" t="s">
        <v>21</v>
      </c>
      <c r="R80" s="165">
        <v>5175</v>
      </c>
      <c r="S80" s="2" t="s">
        <v>38</v>
      </c>
      <c r="T80" t="s">
        <v>349</v>
      </c>
    </row>
    <row r="81" spans="1:20" x14ac:dyDescent="0.3">
      <c r="A81" s="2">
        <v>80</v>
      </c>
      <c r="B81" t="s">
        <v>345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346</v>
      </c>
      <c r="N81" s="157">
        <v>4520143818</v>
      </c>
      <c r="Q81" s="2" t="s">
        <v>21</v>
      </c>
      <c r="R81" s="132">
        <v>10350</v>
      </c>
      <c r="S81" s="2" t="s">
        <v>21</v>
      </c>
      <c r="T81" t="s">
        <v>347</v>
      </c>
    </row>
    <row r="82" spans="1:20" x14ac:dyDescent="0.3">
      <c r="A82" s="2">
        <v>81</v>
      </c>
      <c r="B82" t="s">
        <v>351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2">
        <v>3825</v>
      </c>
      <c r="S82" s="2" t="s">
        <v>20</v>
      </c>
    </row>
    <row r="83" spans="1:20" x14ac:dyDescent="0.3">
      <c r="A83" s="2">
        <v>82</v>
      </c>
      <c r="B83" s="190" t="s">
        <v>352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65">
        <v>2300</v>
      </c>
      <c r="S83" s="2" t="s">
        <v>20</v>
      </c>
    </row>
    <row r="84" spans="1:20" x14ac:dyDescent="0.3">
      <c r="A84" s="2">
        <v>83</v>
      </c>
      <c r="B84" s="193" t="s">
        <v>353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32">
        <v>4600</v>
      </c>
      <c r="S84" s="2" t="s">
        <v>20</v>
      </c>
    </row>
    <row r="85" spans="1:20" x14ac:dyDescent="0.3">
      <c r="A85" s="2">
        <v>84</v>
      </c>
      <c r="B85" s="190" t="s">
        <v>365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66" t="s">
        <v>366</v>
      </c>
      <c r="N85" s="157">
        <v>4526251564</v>
      </c>
      <c r="O85" s="2" t="s">
        <v>367</v>
      </c>
      <c r="Q85" s="2" t="s">
        <v>20</v>
      </c>
      <c r="R85" s="165">
        <v>3870</v>
      </c>
    </row>
    <row r="86" spans="1:20" x14ac:dyDescent="0.3">
      <c r="A86" s="2">
        <v>85</v>
      </c>
      <c r="B86" t="s">
        <v>364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32">
        <v>1700</v>
      </c>
      <c r="S86" s="2" t="s">
        <v>20</v>
      </c>
    </row>
    <row r="87" spans="1:20" x14ac:dyDescent="0.3">
      <c r="A87" s="2">
        <v>86</v>
      </c>
      <c r="B87" t="s">
        <v>361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23" t="s">
        <v>362</v>
      </c>
      <c r="O87" s="2" t="s">
        <v>363</v>
      </c>
      <c r="Q87" s="2" t="s">
        <v>21</v>
      </c>
      <c r="R87" s="132">
        <v>7245</v>
      </c>
      <c r="S87" s="2" t="s">
        <v>21</v>
      </c>
      <c r="T87">
        <v>20.22</v>
      </c>
    </row>
    <row r="88" spans="1:20" x14ac:dyDescent="0.3">
      <c r="A88" s="2">
        <v>87</v>
      </c>
      <c r="B88" t="s">
        <v>368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32">
        <v>2975</v>
      </c>
      <c r="S88" s="2" t="s">
        <v>20</v>
      </c>
    </row>
    <row r="89" spans="1:20" x14ac:dyDescent="0.3">
      <c r="A89" s="2">
        <v>88</v>
      </c>
      <c r="B89" t="s">
        <v>375</v>
      </c>
      <c r="C89" s="24">
        <v>46188</v>
      </c>
      <c r="D89" s="24">
        <v>46191</v>
      </c>
      <c r="E89" s="24">
        <v>46089</v>
      </c>
      <c r="F89" t="s">
        <v>31</v>
      </c>
      <c r="G89" t="s">
        <v>272</v>
      </c>
    </row>
    <row r="90" spans="1:20" x14ac:dyDescent="0.3">
      <c r="A90" s="2">
        <v>89</v>
      </c>
      <c r="B90" t="s">
        <v>371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165</v>
      </c>
      <c r="J90">
        <v>5</v>
      </c>
      <c r="K90">
        <v>2</v>
      </c>
      <c r="L90">
        <v>3</v>
      </c>
      <c r="M90" s="123" t="s">
        <v>372</v>
      </c>
      <c r="N90">
        <v>4540528447</v>
      </c>
      <c r="O90"/>
      <c r="P90" s="2" t="s">
        <v>374</v>
      </c>
      <c r="Q90" s="2" t="s">
        <v>21</v>
      </c>
      <c r="R90" s="132">
        <f>2185+1805</f>
        <v>3990</v>
      </c>
      <c r="S90" s="2" t="s">
        <v>20</v>
      </c>
      <c r="T90" t="s">
        <v>373</v>
      </c>
    </row>
    <row r="91" spans="1:20" x14ac:dyDescent="0.3">
      <c r="A91" s="2">
        <v>90</v>
      </c>
      <c r="B91" t="s">
        <v>369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370</v>
      </c>
      <c r="I91" t="s">
        <v>162</v>
      </c>
      <c r="J91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32">
        <v>2850</v>
      </c>
      <c r="S91" s="2" t="s">
        <v>20</v>
      </c>
    </row>
    <row r="92" spans="1:20" x14ac:dyDescent="0.3">
      <c r="A92" s="2">
        <v>91</v>
      </c>
      <c r="B92" t="s">
        <v>376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>
        <v>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205">
        <v>2185</v>
      </c>
      <c r="S92" s="2" t="s">
        <v>20</v>
      </c>
    </row>
    <row r="93" spans="1:20" x14ac:dyDescent="0.3">
      <c r="A93" s="2">
        <v>92</v>
      </c>
      <c r="B93" t="s">
        <v>377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378</v>
      </c>
      <c r="I93" t="s">
        <v>165</v>
      </c>
      <c r="J93">
        <v>10</v>
      </c>
      <c r="K93">
        <v>1</v>
      </c>
      <c r="L93">
        <v>2</v>
      </c>
      <c r="M93" s="123" t="s">
        <v>379</v>
      </c>
      <c r="N93"/>
      <c r="O93" t="s">
        <v>380</v>
      </c>
      <c r="P93" s="2" t="s">
        <v>20</v>
      </c>
      <c r="Q93" s="2" t="s">
        <v>20</v>
      </c>
      <c r="R93" s="205">
        <v>4837.5</v>
      </c>
      <c r="S93" s="2" t="s">
        <v>38</v>
      </c>
      <c r="T93" t="s">
        <v>381</v>
      </c>
    </row>
    <row r="94" spans="1:20" x14ac:dyDescent="0.3">
      <c r="A94" s="2">
        <v>93</v>
      </c>
      <c r="B94" t="s">
        <v>382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383</v>
      </c>
      <c r="I94" t="s">
        <v>165</v>
      </c>
      <c r="J9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205">
        <v>2850</v>
      </c>
      <c r="S94" s="2" t="s">
        <v>20</v>
      </c>
    </row>
    <row r="95" spans="1:20" x14ac:dyDescent="0.3">
      <c r="A95" s="2">
        <v>94</v>
      </c>
      <c r="B95" t="s">
        <v>384</v>
      </c>
      <c r="C95" s="206">
        <v>46234</v>
      </c>
      <c r="D95" s="206">
        <v>46237</v>
      </c>
      <c r="E95" s="206">
        <v>46098</v>
      </c>
      <c r="F95" t="s">
        <v>31</v>
      </c>
      <c r="G95" t="s">
        <v>35</v>
      </c>
      <c r="H95"/>
      <c r="I95"/>
      <c r="J95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32">
        <v>2925</v>
      </c>
      <c r="S95" t="s">
        <v>20</v>
      </c>
    </row>
    <row r="96" spans="1:20" x14ac:dyDescent="0.3">
      <c r="A96" s="2">
        <v>95</v>
      </c>
      <c r="B96" t="s">
        <v>385</v>
      </c>
      <c r="C96" s="206">
        <v>46156</v>
      </c>
      <c r="D96" s="206">
        <v>46159</v>
      </c>
      <c r="E96" s="206">
        <v>46098</v>
      </c>
      <c r="F96" t="s">
        <v>54</v>
      </c>
      <c r="G96" t="s">
        <v>35</v>
      </c>
      <c r="H96"/>
      <c r="I96"/>
      <c r="J9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32">
        <v>3450</v>
      </c>
      <c r="S96" t="s">
        <v>20</v>
      </c>
    </row>
    <row r="97" spans="1:20" x14ac:dyDescent="0.3">
      <c r="A97" s="2">
        <v>96</v>
      </c>
      <c r="B97" t="s">
        <v>386</v>
      </c>
      <c r="C97" s="206">
        <v>46159</v>
      </c>
      <c r="D97" s="206">
        <v>46163</v>
      </c>
      <c r="E97" s="206">
        <v>46099</v>
      </c>
      <c r="F97" t="s">
        <v>31</v>
      </c>
      <c r="G97" t="s">
        <v>35</v>
      </c>
      <c r="H97" t="s">
        <v>387</v>
      </c>
      <c r="I97" t="s">
        <v>162</v>
      </c>
      <c r="J97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t="s">
        <v>20</v>
      </c>
    </row>
    <row r="98" spans="1:20" x14ac:dyDescent="0.3">
      <c r="A98" s="2">
        <v>97</v>
      </c>
      <c r="B98" t="s">
        <v>388</v>
      </c>
      <c r="C98" s="120">
        <v>46156</v>
      </c>
      <c r="D98" s="120">
        <v>46159</v>
      </c>
      <c r="E98" s="120">
        <v>46102</v>
      </c>
      <c r="F98" t="s">
        <v>53</v>
      </c>
      <c r="G98" t="s">
        <v>35</v>
      </c>
      <c r="H98"/>
      <c r="I98"/>
      <c r="J98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32">
        <v>2850</v>
      </c>
      <c r="S98" t="s">
        <v>20</v>
      </c>
    </row>
    <row r="99" spans="1:20" x14ac:dyDescent="0.3">
      <c r="A99" s="2">
        <v>98</v>
      </c>
      <c r="B99" t="s">
        <v>389</v>
      </c>
      <c r="C99" s="206">
        <v>46207</v>
      </c>
      <c r="D99" s="206">
        <v>46210</v>
      </c>
      <c r="E99" s="206">
        <v>46103</v>
      </c>
      <c r="F99" t="s">
        <v>53</v>
      </c>
      <c r="G99" t="s">
        <v>35</v>
      </c>
      <c r="H99"/>
      <c r="I99"/>
      <c r="J99">
        <v>0</v>
      </c>
      <c r="K99">
        <v>1</v>
      </c>
      <c r="L99">
        <v>2</v>
      </c>
      <c r="N99"/>
      <c r="O99"/>
      <c r="P99" s="2" t="s">
        <v>20</v>
      </c>
      <c r="Q99" s="2" t="s">
        <v>20</v>
      </c>
      <c r="R99" s="132">
        <v>3225</v>
      </c>
      <c r="S99" t="s">
        <v>20</v>
      </c>
    </row>
    <row r="100" spans="1:20" x14ac:dyDescent="0.3">
      <c r="A100" s="2">
        <v>99</v>
      </c>
      <c r="B100" t="s">
        <v>390</v>
      </c>
      <c r="C100" s="206">
        <v>46171</v>
      </c>
      <c r="D100" s="206">
        <v>46173</v>
      </c>
      <c r="E100" s="206">
        <v>46104</v>
      </c>
      <c r="F100" t="s">
        <v>53</v>
      </c>
      <c r="G100" t="s">
        <v>6</v>
      </c>
      <c r="H100"/>
      <c r="I100"/>
      <c r="J100">
        <v>10</v>
      </c>
      <c r="K100">
        <v>1</v>
      </c>
      <c r="L100">
        <v>2</v>
      </c>
      <c r="M100" s="123" t="s">
        <v>391</v>
      </c>
      <c r="N100" t="s">
        <v>392</v>
      </c>
      <c r="O100" t="s">
        <v>393</v>
      </c>
      <c r="P100" s="2" t="s">
        <v>20</v>
      </c>
      <c r="Q100" s="2" t="s">
        <v>21</v>
      </c>
      <c r="R100" s="132">
        <v>2070</v>
      </c>
      <c r="S100" t="s">
        <v>21</v>
      </c>
      <c r="T100" t="s">
        <v>394</v>
      </c>
    </row>
    <row r="101" spans="1:20" x14ac:dyDescent="0.3">
      <c r="A101" s="2">
        <v>100</v>
      </c>
      <c r="B101" t="s">
        <v>395</v>
      </c>
      <c r="C101" s="206">
        <v>46279</v>
      </c>
      <c r="D101" s="206">
        <v>46281</v>
      </c>
      <c r="E101" s="206">
        <v>46104</v>
      </c>
      <c r="F101" t="s">
        <v>53</v>
      </c>
      <c r="G101" t="s">
        <v>35</v>
      </c>
      <c r="H101"/>
      <c r="I101"/>
      <c r="J101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32">
        <v>1900</v>
      </c>
      <c r="S101" t="s">
        <v>20</v>
      </c>
    </row>
    <row r="102" spans="1:20" x14ac:dyDescent="0.3">
      <c r="A102" s="2">
        <v>101</v>
      </c>
      <c r="B102" t="s">
        <v>396</v>
      </c>
      <c r="C102" s="206">
        <v>46279</v>
      </c>
      <c r="D102" s="206">
        <v>46281</v>
      </c>
      <c r="E102" s="206">
        <v>46104</v>
      </c>
      <c r="F102" t="s">
        <v>53</v>
      </c>
      <c r="G102" t="s">
        <v>35</v>
      </c>
      <c r="H102"/>
      <c r="I102" t="s">
        <v>397</v>
      </c>
      <c r="J102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32">
        <v>1700</v>
      </c>
      <c r="S102" t="s">
        <v>20</v>
      </c>
    </row>
    <row r="103" spans="1:20" x14ac:dyDescent="0.3">
      <c r="A103" s="2">
        <v>102</v>
      </c>
      <c r="B103" t="s">
        <v>398</v>
      </c>
      <c r="C103" s="206">
        <v>46172</v>
      </c>
      <c r="D103" s="206">
        <v>46174</v>
      </c>
      <c r="E103" s="206">
        <v>46106</v>
      </c>
      <c r="F103" t="s">
        <v>53</v>
      </c>
      <c r="G103" t="s">
        <v>35</v>
      </c>
      <c r="H103"/>
      <c r="I103"/>
      <c r="J103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32">
        <v>1900</v>
      </c>
      <c r="S103" t="s">
        <v>20</v>
      </c>
    </row>
    <row r="104" spans="1:20" x14ac:dyDescent="0.3">
      <c r="A104" s="2">
        <v>103</v>
      </c>
      <c r="B104" t="s">
        <v>399</v>
      </c>
      <c r="C104" s="206">
        <v>46278</v>
      </c>
      <c r="D104" s="206">
        <v>46284</v>
      </c>
      <c r="E104" s="206">
        <v>46107</v>
      </c>
      <c r="F104" t="s">
        <v>53</v>
      </c>
      <c r="G104" t="s">
        <v>6</v>
      </c>
      <c r="H104"/>
      <c r="I104" t="s">
        <v>397</v>
      </c>
      <c r="J104">
        <v>10</v>
      </c>
      <c r="K104">
        <v>1</v>
      </c>
      <c r="L104">
        <v>2</v>
      </c>
      <c r="M104" s="123" t="s">
        <v>400</v>
      </c>
      <c r="N104"/>
      <c r="O104"/>
      <c r="P104" s="2" t="s">
        <v>20</v>
      </c>
      <c r="Q104" s="2" t="s">
        <v>21</v>
      </c>
      <c r="R104" s="132">
        <v>6210</v>
      </c>
      <c r="S104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4" x14ac:dyDescent="0.3"/>
  <cols>
    <col min="1" max="1" width="6.5546875" bestFit="1" customWidth="1"/>
    <col min="2" max="2" width="8.5546875" style="24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294</v>
      </c>
      <c r="BU1" s="2" t="str">
        <f>BT1</f>
        <v>CZ</v>
      </c>
      <c r="BV1" s="181" t="s">
        <v>297</v>
      </c>
      <c r="BW1" s="181" t="s">
        <v>297</v>
      </c>
      <c r="BX1" s="141" t="s">
        <v>298</v>
      </c>
      <c r="BY1" s="141" t="s">
        <v>298</v>
      </c>
    </row>
    <row r="2" spans="1:77" x14ac:dyDescent="0.3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Database!A99</f>
        <v>98</v>
      </c>
      <c r="B99" s="24">
        <f>Database!E99</f>
        <v>46103</v>
      </c>
      <c r="C99">
        <f>IF(Database!G99="cansl",0,Database!K99)</f>
        <v>1</v>
      </c>
      <c r="D99">
        <f>Database!D99-Database!C99</f>
        <v>3</v>
      </c>
      <c r="F99">
        <f>Database!L99</f>
        <v>2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4">
        <f t="shared" si="63"/>
        <v>2</v>
      </c>
      <c r="BC99" s="34">
        <f t="shared" si="64"/>
        <v>6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4">
        <f t="shared" ref="BB196:BY196" si="167">SUM(BB2:BB195)</f>
        <v>149</v>
      </c>
      <c r="BC196" s="34">
        <f t="shared" si="167"/>
        <v>629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156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440</v>
      </c>
      <c r="W198">
        <f t="shared" si="168"/>
        <v>456</v>
      </c>
      <c r="X198">
        <f t="shared" si="168"/>
        <v>470</v>
      </c>
      <c r="Y198">
        <f t="shared" si="168"/>
        <v>470</v>
      </c>
      <c r="Z198">
        <f t="shared" si="168"/>
        <v>470</v>
      </c>
      <c r="AA198">
        <f t="shared" si="168"/>
        <v>470</v>
      </c>
      <c r="AB198">
        <f t="shared" si="168"/>
        <v>470</v>
      </c>
      <c r="AC198">
        <f t="shared" si="168"/>
        <v>470</v>
      </c>
      <c r="AD198">
        <f t="shared" si="168"/>
        <v>470</v>
      </c>
      <c r="AE198">
        <f t="shared" si="168"/>
        <v>470</v>
      </c>
      <c r="AF198">
        <f t="shared" si="168"/>
        <v>470</v>
      </c>
      <c r="AG198">
        <f t="shared" si="168"/>
        <v>470</v>
      </c>
      <c r="AH198">
        <f t="shared" si="168"/>
        <v>470</v>
      </c>
      <c r="AI198">
        <f t="shared" si="168"/>
        <v>470</v>
      </c>
      <c r="AJ198">
        <f t="shared" si="168"/>
        <v>470</v>
      </c>
      <c r="AK198">
        <f t="shared" si="168"/>
        <v>470</v>
      </c>
      <c r="AL198">
        <f t="shared" si="168"/>
        <v>470</v>
      </c>
      <c r="AM198">
        <f t="shared" si="168"/>
        <v>470</v>
      </c>
      <c r="AN198">
        <f t="shared" si="168"/>
        <v>470</v>
      </c>
      <c r="AO198">
        <f t="shared" si="168"/>
        <v>470</v>
      </c>
      <c r="AP198">
        <f t="shared" si="168"/>
        <v>470</v>
      </c>
      <c r="AQ198">
        <f t="shared" si="168"/>
        <v>470</v>
      </c>
      <c r="AR198">
        <f t="shared" si="168"/>
        <v>470</v>
      </c>
      <c r="AS198">
        <f t="shared" si="168"/>
        <v>470</v>
      </c>
      <c r="AT198">
        <f t="shared" si="168"/>
        <v>470</v>
      </c>
      <c r="AU198">
        <f t="shared" si="168"/>
        <v>470</v>
      </c>
      <c r="AV198">
        <f t="shared" si="168"/>
        <v>470</v>
      </c>
      <c r="AW198">
        <f t="shared" si="168"/>
        <v>470</v>
      </c>
      <c r="AX198">
        <f t="shared" si="168"/>
        <v>470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440</v>
      </c>
      <c r="W200">
        <f t="shared" si="169"/>
        <v>456</v>
      </c>
      <c r="X200">
        <f t="shared" si="169"/>
        <v>470</v>
      </c>
      <c r="Y200">
        <f t="shared" si="169"/>
        <v>470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149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629</v>
      </c>
      <c r="BE203" s="40">
        <f>BE196</f>
        <v>67</v>
      </c>
      <c r="BF203" s="40">
        <f>BG196</f>
        <v>0</v>
      </c>
      <c r="BG203" s="40">
        <f>BI196</f>
        <v>156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4" x14ac:dyDescent="0.3"/>
  <sheetData>
    <row r="28" spans="1:13" ht="15" customHeight="1" thickBot="1" x14ac:dyDescent="0.35">
      <c r="A28" t="s">
        <v>160</v>
      </c>
      <c r="H28" t="s">
        <v>109</v>
      </c>
      <c r="J28" s="2"/>
    </row>
    <row r="29" spans="1:13" ht="15" thickBot="1" x14ac:dyDescent="0.35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2" t="s">
        <v>294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35">
      <c r="A30" s="33" t="s">
        <v>112</v>
      </c>
      <c r="B30" s="34">
        <f>'book stat'!BD202</f>
        <v>149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73">
        <f>'book stat'!BJ202</f>
        <v>0</v>
      </c>
      <c r="I30" s="174">
        <f>'book stat'!BK202</f>
        <v>0</v>
      </c>
      <c r="J30" s="174">
        <f>'book stat'!BL202</f>
        <v>3</v>
      </c>
      <c r="K30" s="175">
        <f>'book stat'!BM202</f>
        <v>2</v>
      </c>
      <c r="L30" s="176">
        <f>'book stat'!BN202</f>
        <v>0</v>
      </c>
      <c r="M30" s="177">
        <f>'book stat'!BO202</f>
        <v>0</v>
      </c>
    </row>
    <row r="31" spans="1:13" ht="15" customHeight="1" thickBot="1" x14ac:dyDescent="0.35">
      <c r="A31" s="39" t="s">
        <v>113</v>
      </c>
      <c r="B31" s="34">
        <f>'book stat'!BD203</f>
        <v>629</v>
      </c>
      <c r="C31" s="34">
        <f>'book stat'!BE203</f>
        <v>67</v>
      </c>
      <c r="D31" s="34">
        <f>'book stat'!BF203</f>
        <v>0</v>
      </c>
      <c r="E31" s="34">
        <f>'book stat'!BG203</f>
        <v>156</v>
      </c>
      <c r="F31" s="34">
        <f>'book stat'!BH203</f>
        <v>0</v>
      </c>
      <c r="G31" s="35">
        <f>'book stat'!BI203</f>
        <v>29</v>
      </c>
      <c r="H31" s="178">
        <f>'book stat'!BJ203</f>
        <v>0</v>
      </c>
      <c r="I31" s="179">
        <f>'book stat'!BK203</f>
        <v>0</v>
      </c>
      <c r="J31" s="179">
        <f>'book stat'!BL203</f>
        <v>19</v>
      </c>
      <c r="K31" s="180">
        <f>'book stat'!BM203</f>
        <v>10</v>
      </c>
      <c r="L31" s="176">
        <f>'book stat'!BN203</f>
        <v>0</v>
      </c>
      <c r="M31" s="177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57" activePane="bottomLeft" state="frozen"/>
      <selection pane="bottomLeft" activeCell="AA1" sqref="AA1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1" customWidth="1"/>
    <col min="28" max="29" width="4.5546875" style="2" customWidth="1"/>
    <col min="30" max="30" width="8" style="17" customWidth="1"/>
  </cols>
  <sheetData>
    <row r="1" spans="1:30" s="6" customFormat="1" ht="30" customHeight="1" thickBot="1" x14ac:dyDescent="0.35">
      <c r="A1" s="58" t="s">
        <v>114</v>
      </c>
      <c r="B1" s="15" t="s">
        <v>115</v>
      </c>
      <c r="C1" s="16" t="s">
        <v>116</v>
      </c>
      <c r="D1" s="207">
        <v>1</v>
      </c>
      <c r="E1" s="208"/>
      <c r="F1" s="66" t="s">
        <v>117</v>
      </c>
      <c r="G1" s="67" t="s">
        <v>8</v>
      </c>
      <c r="H1" s="209">
        <v>2</v>
      </c>
      <c r="I1" s="208"/>
      <c r="J1" s="66" t="s">
        <v>117</v>
      </c>
      <c r="K1" s="68" t="s">
        <v>8</v>
      </c>
      <c r="L1" s="209">
        <v>3</v>
      </c>
      <c r="M1" s="208"/>
      <c r="N1" s="66" t="s">
        <v>117</v>
      </c>
      <c r="O1" s="69" t="s">
        <v>8</v>
      </c>
      <c r="P1" s="207">
        <v>4</v>
      </c>
      <c r="Q1" s="208"/>
      <c r="R1" s="66" t="s">
        <v>117</v>
      </c>
      <c r="S1" s="68" t="s">
        <v>8</v>
      </c>
      <c r="T1" s="210">
        <v>5</v>
      </c>
      <c r="U1" s="211"/>
      <c r="V1" s="66" t="s">
        <v>117</v>
      </c>
      <c r="W1" s="68" t="s">
        <v>8</v>
      </c>
      <c r="X1" s="207">
        <v>6</v>
      </c>
      <c r="Y1" s="208"/>
      <c r="Z1" s="70" t="s">
        <v>118</v>
      </c>
      <c r="AA1" s="139">
        <f>SUM(AA2:AA171)</f>
        <v>472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">
      <c r="A6" s="6" t="s">
        <v>167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5</v>
      </c>
      <c r="AA7" s="140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5</v>
      </c>
      <c r="AA8" s="140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343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344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162</v>
      </c>
      <c r="L12" s="14"/>
      <c r="M12" s="149">
        <v>80</v>
      </c>
      <c r="N12" s="20"/>
      <c r="O12" s="20" t="s">
        <v>162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">
      <c r="A13" s="6"/>
      <c r="B13" s="6" t="s">
        <v>126</v>
      </c>
      <c r="C13" s="7">
        <v>46150</v>
      </c>
      <c r="D13" s="121"/>
      <c r="E13" s="121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">
      <c r="A14" s="6"/>
      <c r="B14" s="6" t="s">
        <v>127</v>
      </c>
      <c r="C14" s="7">
        <v>46151</v>
      </c>
      <c r="D14" s="121"/>
      <c r="E14" s="203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">
      <c r="A15" s="6"/>
      <c r="B15" s="6" t="s">
        <v>128</v>
      </c>
      <c r="C15" s="7">
        <v>46152</v>
      </c>
      <c r="D15" s="121"/>
      <c r="E15" s="121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295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">
      <c r="A19" s="6" t="s">
        <v>229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24"/>
      <c r="K19" s="19"/>
      <c r="L19" s="14"/>
      <c r="M19" s="8">
        <v>95</v>
      </c>
      <c r="N19" s="20"/>
      <c r="O19" s="20"/>
      <c r="P19" s="8"/>
      <c r="Q19" s="202">
        <v>97</v>
      </c>
      <c r="R19" s="124"/>
      <c r="S19" s="124"/>
      <c r="T19" s="8"/>
      <c r="U19" s="8">
        <v>90</v>
      </c>
      <c r="V19" s="20"/>
      <c r="W19" s="20" t="s">
        <v>162</v>
      </c>
      <c r="X19" s="22"/>
      <c r="Y19" s="22"/>
      <c r="Z19" s="145">
        <f t="shared" si="2"/>
        <v>0</v>
      </c>
      <c r="AA19" s="140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24"/>
      <c r="K20" s="19" t="s">
        <v>165</v>
      </c>
      <c r="L20" s="14">
        <v>95</v>
      </c>
      <c r="M20" s="8">
        <v>95</v>
      </c>
      <c r="N20" s="20">
        <v>2</v>
      </c>
      <c r="O20" s="20" t="s">
        <v>295</v>
      </c>
      <c r="P20" s="202">
        <v>97</v>
      </c>
      <c r="Q20" s="202">
        <v>97</v>
      </c>
      <c r="R20" s="124"/>
      <c r="S20" s="124"/>
      <c r="T20" s="8">
        <v>90</v>
      </c>
      <c r="U20" s="8">
        <v>90</v>
      </c>
      <c r="V20" s="20"/>
      <c r="W20" s="20" t="s">
        <v>295</v>
      </c>
      <c r="X20" s="22"/>
      <c r="Y20" s="22"/>
      <c r="Z20" s="145">
        <f t="shared" si="2"/>
        <v>2</v>
      </c>
      <c r="AA20" s="140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">
      <c r="A21" s="6"/>
      <c r="B21" s="6" t="s">
        <v>127</v>
      </c>
      <c r="C21" s="7">
        <v>46158</v>
      </c>
      <c r="D21" s="10">
        <v>53</v>
      </c>
      <c r="E21" s="149">
        <v>8</v>
      </c>
      <c r="F21" s="20"/>
      <c r="G21" s="19"/>
      <c r="H21" s="8">
        <v>91</v>
      </c>
      <c r="I21" s="8">
        <v>91</v>
      </c>
      <c r="J21" s="124">
        <v>2</v>
      </c>
      <c r="K21" s="19" t="s">
        <v>295</v>
      </c>
      <c r="L21" s="14">
        <v>95</v>
      </c>
      <c r="M21" s="8">
        <v>95</v>
      </c>
      <c r="N21" s="20">
        <v>2</v>
      </c>
      <c r="O21" s="20"/>
      <c r="P21" s="202">
        <v>97</v>
      </c>
      <c r="Q21" s="202">
        <v>97</v>
      </c>
      <c r="R21" s="124"/>
      <c r="S21" s="124"/>
      <c r="T21" s="8">
        <v>90</v>
      </c>
      <c r="U21" s="8">
        <v>90</v>
      </c>
      <c r="V21" s="20"/>
      <c r="W21" s="20"/>
      <c r="X21" s="22"/>
      <c r="Y21" s="22"/>
      <c r="Z21" s="145">
        <f t="shared" si="2"/>
        <v>4</v>
      </c>
      <c r="AA21" s="140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>
        <v>91</v>
      </c>
      <c r="I22" s="8"/>
      <c r="J22" s="124">
        <v>2</v>
      </c>
      <c r="K22" s="19"/>
      <c r="L22" s="14">
        <v>95</v>
      </c>
      <c r="M22" s="8"/>
      <c r="N22" s="20">
        <v>2</v>
      </c>
      <c r="O22" s="20"/>
      <c r="P22" s="202">
        <v>97</v>
      </c>
      <c r="Q22" s="8">
        <v>96</v>
      </c>
      <c r="R22" s="124"/>
      <c r="S22" s="124"/>
      <c r="T22" s="8">
        <v>90</v>
      </c>
      <c r="U22" s="149">
        <v>9</v>
      </c>
      <c r="V22" s="20"/>
      <c r="W22" s="20"/>
      <c r="X22" s="22"/>
      <c r="Y22" s="22"/>
      <c r="Z22" s="145">
        <f t="shared" si="2"/>
        <v>6</v>
      </c>
      <c r="AA22" s="140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>
        <v>96</v>
      </c>
      <c r="Q23" s="8">
        <v>96</v>
      </c>
      <c r="R23" s="124">
        <v>2</v>
      </c>
      <c r="S23" s="124" t="s">
        <v>163</v>
      </c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6</v>
      </c>
      <c r="AA23" s="140">
        <f t="shared" si="3"/>
        <v>3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>
        <v>96</v>
      </c>
      <c r="Q24" s="8">
        <v>96</v>
      </c>
      <c r="R24" s="124">
        <v>2</v>
      </c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6</v>
      </c>
      <c r="AA24" s="140">
        <f t="shared" si="3"/>
        <v>3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>
        <v>96</v>
      </c>
      <c r="Q25" s="8">
        <v>96</v>
      </c>
      <c r="R25" s="124">
        <v>2</v>
      </c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6</v>
      </c>
      <c r="AA25" s="140">
        <f t="shared" si="3"/>
        <v>3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>
        <v>96</v>
      </c>
      <c r="Q26" s="148">
        <v>20</v>
      </c>
      <c r="R26" s="124">
        <v>2</v>
      </c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6</v>
      </c>
      <c r="AA26" s="140">
        <f t="shared" si="3"/>
        <v>4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1">
        <v>20</v>
      </c>
      <c r="I27" s="148">
        <v>20</v>
      </c>
      <c r="J27" s="20">
        <v>2</v>
      </c>
      <c r="K27" s="19"/>
      <c r="L27" s="161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1">
        <v>20</v>
      </c>
      <c r="I28" s="148">
        <v>20</v>
      </c>
      <c r="J28" s="20">
        <v>2</v>
      </c>
      <c r="K28" s="19"/>
      <c r="L28" s="161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">
      <c r="A29" s="6" t="s">
        <v>230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1">
        <v>20</v>
      </c>
      <c r="I29" s="148">
        <v>20</v>
      </c>
      <c r="J29" s="20">
        <v>2</v>
      </c>
      <c r="K29" s="19"/>
      <c r="L29" s="161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">
      <c r="A30" s="6" t="s">
        <v>231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1">
        <v>20</v>
      </c>
      <c r="I30" s="8"/>
      <c r="J30" s="20">
        <v>2</v>
      </c>
      <c r="K30" s="19"/>
      <c r="L30" s="161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149">
        <v>99</v>
      </c>
      <c r="V34" s="20"/>
      <c r="W34" s="19" t="s">
        <v>162</v>
      </c>
      <c r="X34" s="22"/>
      <c r="Y34" s="22"/>
      <c r="Z34" s="145">
        <f t="shared" si="2"/>
        <v>2</v>
      </c>
      <c r="AA34" s="140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>
        <v>102</v>
      </c>
      <c r="R35" s="121"/>
      <c r="S35" s="121"/>
      <c r="T35" s="149">
        <v>99</v>
      </c>
      <c r="U35" s="154">
        <v>99</v>
      </c>
      <c r="V35" s="20">
        <v>2</v>
      </c>
      <c r="W35" s="19"/>
      <c r="X35" s="22"/>
      <c r="Y35" s="22"/>
      <c r="Z35" s="145">
        <f t="shared" si="2"/>
        <v>4</v>
      </c>
      <c r="AA35" s="140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">
      <c r="A36" s="6"/>
      <c r="B36" s="6" t="s">
        <v>128</v>
      </c>
      <c r="C36" s="7">
        <v>46173</v>
      </c>
      <c r="D36" s="8"/>
      <c r="E36" s="8"/>
      <c r="F36" s="124"/>
      <c r="G36" s="143"/>
      <c r="H36" s="122"/>
      <c r="I36" s="163">
        <v>79</v>
      </c>
      <c r="J36" s="20"/>
      <c r="K36" s="19" t="s">
        <v>165</v>
      </c>
      <c r="L36" s="149">
        <v>5</v>
      </c>
      <c r="M36" s="149">
        <v>5</v>
      </c>
      <c r="N36" s="124">
        <v>2</v>
      </c>
      <c r="O36" s="124"/>
      <c r="P36" s="121">
        <v>102</v>
      </c>
      <c r="Q36" s="121">
        <v>102</v>
      </c>
      <c r="R36" s="121"/>
      <c r="S36" s="121"/>
      <c r="T36" s="149">
        <v>99</v>
      </c>
      <c r="U36" s="8"/>
      <c r="V36" s="20">
        <v>2</v>
      </c>
      <c r="W36" s="19"/>
      <c r="X36" s="22"/>
      <c r="Y36" s="22"/>
      <c r="Z36" s="145">
        <f t="shared" si="2"/>
        <v>4</v>
      </c>
      <c r="AA36" s="140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63">
        <v>79</v>
      </c>
      <c r="I37" s="163">
        <v>79</v>
      </c>
      <c r="J37" s="20">
        <v>2</v>
      </c>
      <c r="K37" s="19"/>
      <c r="L37" s="149">
        <v>5</v>
      </c>
      <c r="M37" s="8"/>
      <c r="N37" s="20"/>
      <c r="O37" s="20"/>
      <c r="P37" s="121">
        <v>102</v>
      </c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">
      <c r="A38" s="6"/>
      <c r="B38" s="6" t="s">
        <v>123</v>
      </c>
      <c r="C38" s="7">
        <v>46175</v>
      </c>
      <c r="D38" s="10"/>
      <c r="E38" s="8"/>
      <c r="F38" s="124"/>
      <c r="G38" s="143"/>
      <c r="H38" s="163">
        <v>79</v>
      </c>
      <c r="I38" s="163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">
      <c r="A39" s="6"/>
      <c r="B39" s="6" t="s">
        <v>124</v>
      </c>
      <c r="C39" s="7">
        <v>46176</v>
      </c>
      <c r="D39" s="10"/>
      <c r="E39" s="8"/>
      <c r="F39" s="124"/>
      <c r="G39" s="143"/>
      <c r="H39" s="163">
        <v>79</v>
      </c>
      <c r="I39" s="163">
        <v>79</v>
      </c>
      <c r="J39" s="20">
        <v>2</v>
      </c>
      <c r="K39" s="19"/>
      <c r="L39" s="8"/>
      <c r="M39" s="163">
        <v>27</v>
      </c>
      <c r="N39" s="20"/>
      <c r="O39" s="20" t="s">
        <v>165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">
      <c r="A40" s="6"/>
      <c r="B40" s="6" t="s">
        <v>125</v>
      </c>
      <c r="C40" s="7">
        <v>46177</v>
      </c>
      <c r="D40" s="10"/>
      <c r="E40" s="8"/>
      <c r="F40" s="124"/>
      <c r="G40" s="143"/>
      <c r="H40" s="163">
        <v>79</v>
      </c>
      <c r="I40" s="163">
        <v>79</v>
      </c>
      <c r="J40" s="20">
        <v>2</v>
      </c>
      <c r="K40" s="19"/>
      <c r="L40" s="162">
        <v>27</v>
      </c>
      <c r="M40" s="163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63">
        <v>79</v>
      </c>
      <c r="I41" s="149">
        <v>6</v>
      </c>
      <c r="J41" s="20">
        <v>2</v>
      </c>
      <c r="K41" s="19"/>
      <c r="L41" s="163">
        <v>27</v>
      </c>
      <c r="M41" s="163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3">
        <v>27</v>
      </c>
      <c r="M42" s="163">
        <v>27</v>
      </c>
      <c r="N42" s="20">
        <v>2</v>
      </c>
      <c r="O42" s="20" t="s">
        <v>162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3">
        <v>27</v>
      </c>
      <c r="M43" s="163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3">
        <v>27</v>
      </c>
      <c r="M44" s="163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3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>
        <v>83</v>
      </c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>
        <v>83</v>
      </c>
      <c r="M51" s="8">
        <v>83</v>
      </c>
      <c r="N51" s="20">
        <v>2</v>
      </c>
      <c r="O51" s="20"/>
      <c r="P51" s="153">
        <v>15</v>
      </c>
      <c r="Q51" s="189">
        <v>70</v>
      </c>
      <c r="R51" s="124"/>
      <c r="S51" s="124"/>
      <c r="T51" s="149">
        <v>17</v>
      </c>
      <c r="U51" s="149">
        <v>86</v>
      </c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>
        <v>2</v>
      </c>
      <c r="K52" s="19" t="s">
        <v>163</v>
      </c>
      <c r="L52" s="8">
        <v>83</v>
      </c>
      <c r="M52" s="8">
        <v>83</v>
      </c>
      <c r="N52" s="20">
        <v>2</v>
      </c>
      <c r="O52" s="20"/>
      <c r="P52" s="189">
        <v>70</v>
      </c>
      <c r="Q52" s="189">
        <v>70</v>
      </c>
      <c r="R52" s="124">
        <v>2</v>
      </c>
      <c r="S52" s="124"/>
      <c r="T52" s="149">
        <v>86</v>
      </c>
      <c r="U52" s="149">
        <v>86</v>
      </c>
      <c r="V52" s="20">
        <v>2</v>
      </c>
      <c r="W52" s="20" t="s">
        <v>163</v>
      </c>
      <c r="X52" s="22"/>
      <c r="Y52" s="22"/>
      <c r="Z52" s="145">
        <f t="shared" si="2"/>
        <v>8</v>
      </c>
      <c r="AA52" s="140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">
      <c r="A53" s="6"/>
      <c r="B53" s="6" t="s">
        <v>124</v>
      </c>
      <c r="C53" s="7">
        <v>46190</v>
      </c>
      <c r="D53" s="8"/>
      <c r="E53" s="149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9">
        <v>70</v>
      </c>
      <c r="Q53" s="149">
        <v>70</v>
      </c>
      <c r="R53" s="124">
        <v>2</v>
      </c>
      <c r="S53" s="124"/>
      <c r="T53" s="149">
        <v>86</v>
      </c>
      <c r="U53" s="149">
        <v>86</v>
      </c>
      <c r="V53" s="20">
        <v>2</v>
      </c>
      <c r="W53" s="20" t="s">
        <v>274</v>
      </c>
      <c r="X53" s="22"/>
      <c r="Y53" s="22"/>
      <c r="Z53" s="145">
        <f t="shared" si="2"/>
        <v>8</v>
      </c>
      <c r="AA53" s="140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">
      <c r="A54" s="6"/>
      <c r="B54" s="6" t="s">
        <v>125</v>
      </c>
      <c r="C54" s="7">
        <v>46191</v>
      </c>
      <c r="D54" s="149">
        <v>31</v>
      </c>
      <c r="E54" s="149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9">
        <v>70</v>
      </c>
      <c r="Q54" s="149">
        <v>70</v>
      </c>
      <c r="R54" s="124">
        <v>2</v>
      </c>
      <c r="S54" s="124"/>
      <c r="T54" s="149">
        <v>86</v>
      </c>
      <c r="U54" s="149">
        <v>86</v>
      </c>
      <c r="V54" s="20">
        <v>2</v>
      </c>
      <c r="W54" s="20"/>
      <c r="X54" s="22"/>
      <c r="Y54" s="22"/>
      <c r="Z54" s="145">
        <f t="shared" si="2"/>
        <v>9</v>
      </c>
      <c r="AA54" s="140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">
      <c r="A55" s="6"/>
      <c r="B55" s="6" t="s">
        <v>126</v>
      </c>
      <c r="C55" s="7">
        <v>46192</v>
      </c>
      <c r="D55" s="149">
        <v>31</v>
      </c>
      <c r="E55" s="149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86</v>
      </c>
      <c r="U55" s="149">
        <v>86</v>
      </c>
      <c r="V55" s="20">
        <v>2</v>
      </c>
      <c r="W55" s="20"/>
      <c r="X55" s="22"/>
      <c r="Y55" s="22"/>
      <c r="Z55" s="145">
        <f t="shared" si="2"/>
        <v>7</v>
      </c>
      <c r="AA55" s="140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">
      <c r="A56" s="6"/>
      <c r="B56" s="6" t="s">
        <v>127</v>
      </c>
      <c r="C56" s="7">
        <v>46193</v>
      </c>
      <c r="D56" s="149">
        <v>31</v>
      </c>
      <c r="E56" s="149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86</v>
      </c>
      <c r="U56" s="149">
        <v>86</v>
      </c>
      <c r="V56" s="20">
        <v>2</v>
      </c>
      <c r="W56" s="20"/>
      <c r="X56" s="22"/>
      <c r="Y56" s="22"/>
      <c r="Z56" s="145">
        <f t="shared" si="2"/>
        <v>7</v>
      </c>
      <c r="AA56" s="140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">
      <c r="A57" s="6"/>
      <c r="B57" s="6" t="s">
        <v>128</v>
      </c>
      <c r="C57" s="7">
        <v>46194</v>
      </c>
      <c r="D57" s="149">
        <v>31</v>
      </c>
      <c r="E57" s="149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86</v>
      </c>
      <c r="U57" s="149">
        <v>86</v>
      </c>
      <c r="V57" s="20">
        <v>2</v>
      </c>
      <c r="W57" s="20"/>
      <c r="X57" s="22"/>
      <c r="Y57" s="22"/>
      <c r="Z57" s="145">
        <f t="shared" si="2"/>
        <v>5</v>
      </c>
      <c r="AA57" s="140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49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64">
        <v>37</v>
      </c>
      <c r="R58" s="124"/>
      <c r="S58" s="124"/>
      <c r="T58" s="149">
        <v>86</v>
      </c>
      <c r="U58" s="121"/>
      <c r="V58" s="20">
        <v>2</v>
      </c>
      <c r="W58" s="20"/>
      <c r="X58" s="22"/>
      <c r="Y58" s="22"/>
      <c r="Z58" s="145">
        <f t="shared" si="2"/>
        <v>3</v>
      </c>
      <c r="AA58" s="140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4">
        <v>37</v>
      </c>
      <c r="Q59" s="164">
        <v>37</v>
      </c>
      <c r="R59" s="124">
        <v>2</v>
      </c>
      <c r="S59" s="124"/>
      <c r="T59" s="121"/>
      <c r="U59" s="121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4">
        <v>37</v>
      </c>
      <c r="Q60" s="164">
        <v>37</v>
      </c>
      <c r="R60" s="124">
        <v>2</v>
      </c>
      <c r="S60" s="124"/>
      <c r="T60" s="121"/>
      <c r="U60" s="121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4">
        <v>37</v>
      </c>
      <c r="Q61" s="8">
        <v>64</v>
      </c>
      <c r="R61" s="124">
        <v>2</v>
      </c>
      <c r="S61" s="20" t="s">
        <v>165</v>
      </c>
      <c r="T61" s="121"/>
      <c r="U61" s="121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">
      <c r="A62" s="6"/>
      <c r="B62" s="6" t="s">
        <v>126</v>
      </c>
      <c r="C62" s="7">
        <v>46199</v>
      </c>
      <c r="D62" s="8"/>
      <c r="E62" s="8">
        <v>87</v>
      </c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232</v>
      </c>
      <c r="P62" s="8">
        <v>64</v>
      </c>
      <c r="Q62" s="8">
        <v>64</v>
      </c>
      <c r="R62" s="20"/>
      <c r="S62" s="20" t="s">
        <v>295</v>
      </c>
      <c r="T62" s="121"/>
      <c r="U62" s="121"/>
      <c r="V62" s="20"/>
      <c r="W62" s="20"/>
      <c r="X62" s="22"/>
      <c r="Y62" s="22"/>
      <c r="Z62" s="145">
        <f t="shared" si="2"/>
        <v>2</v>
      </c>
      <c r="AA62" s="140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">
      <c r="A63" s="6"/>
      <c r="B63" s="6" t="s">
        <v>127</v>
      </c>
      <c r="C63" s="7">
        <v>46200</v>
      </c>
      <c r="D63" s="8">
        <v>87</v>
      </c>
      <c r="E63" s="8">
        <v>87</v>
      </c>
      <c r="F63" s="124"/>
      <c r="G63" s="143" t="s">
        <v>163</v>
      </c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21"/>
      <c r="U63" s="163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">
      <c r="A64" s="6"/>
      <c r="B64" s="6" t="s">
        <v>128</v>
      </c>
      <c r="C64" s="7">
        <v>46201</v>
      </c>
      <c r="D64" s="8">
        <v>87</v>
      </c>
      <c r="E64" s="8">
        <v>87</v>
      </c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21"/>
      <c r="R64" s="20"/>
      <c r="S64" s="20"/>
      <c r="T64" s="163">
        <v>77</v>
      </c>
      <c r="U64" s="163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8">
        <v>87</v>
      </c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21"/>
      <c r="Q65" s="164">
        <v>76</v>
      </c>
      <c r="R65" s="20"/>
      <c r="S65" s="20" t="s">
        <v>165</v>
      </c>
      <c r="T65" s="163">
        <v>77</v>
      </c>
      <c r="U65" s="163">
        <v>77</v>
      </c>
      <c r="V65" s="20">
        <v>2</v>
      </c>
      <c r="W65" s="20"/>
      <c r="X65" s="22"/>
      <c r="Y65" s="22"/>
      <c r="Z65" s="145">
        <f t="shared" si="2"/>
        <v>6</v>
      </c>
      <c r="AA65" s="140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4">
        <v>76</v>
      </c>
      <c r="Q66" s="164">
        <v>76</v>
      </c>
      <c r="R66" s="124">
        <v>2</v>
      </c>
      <c r="S66" s="124"/>
      <c r="T66" s="163">
        <v>77</v>
      </c>
      <c r="U66" s="163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164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64">
        <v>76</v>
      </c>
      <c r="Q67" s="164">
        <v>76</v>
      </c>
      <c r="R67" s="124">
        <v>2</v>
      </c>
      <c r="S67" s="124"/>
      <c r="T67" s="163">
        <v>77</v>
      </c>
      <c r="U67" s="163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204">
        <v>104</v>
      </c>
      <c r="I68" s="164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64">
        <v>76</v>
      </c>
      <c r="Q68" s="174">
        <v>76</v>
      </c>
      <c r="R68" s="124">
        <v>2</v>
      </c>
      <c r="S68" s="143"/>
      <c r="T68" s="163">
        <v>77</v>
      </c>
      <c r="U68" s="163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233</v>
      </c>
      <c r="H69" s="204">
        <v>104</v>
      </c>
      <c r="I69" s="164">
        <v>104</v>
      </c>
      <c r="J69" s="20"/>
      <c r="K69" s="19"/>
      <c r="L69" s="8">
        <v>34</v>
      </c>
      <c r="M69" s="8">
        <v>34</v>
      </c>
      <c r="N69" s="20">
        <v>2</v>
      </c>
      <c r="O69" s="198"/>
      <c r="P69" s="199">
        <v>76</v>
      </c>
      <c r="Q69" s="152">
        <v>14</v>
      </c>
      <c r="R69" s="124">
        <v>2</v>
      </c>
      <c r="S69" s="143"/>
      <c r="T69" s="163">
        <v>77</v>
      </c>
      <c r="U69" s="163">
        <v>77</v>
      </c>
      <c r="V69" s="20">
        <v>2</v>
      </c>
      <c r="W69" s="20"/>
      <c r="X69" s="136"/>
      <c r="Y69" s="136"/>
      <c r="Z69" s="145">
        <f t="shared" si="6"/>
        <v>8</v>
      </c>
      <c r="AA69" s="140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164">
        <v>104</v>
      </c>
      <c r="I70" s="8">
        <v>98</v>
      </c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3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>
        <v>98</v>
      </c>
      <c r="I71" s="8">
        <v>98</v>
      </c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>
        <v>98</v>
      </c>
      <c r="I72" s="8">
        <v>98</v>
      </c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>
        <v>98</v>
      </c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149">
        <v>84</v>
      </c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149">
        <v>84</v>
      </c>
      <c r="M76" s="149">
        <v>84</v>
      </c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149">
        <v>84</v>
      </c>
      <c r="M77" s="149">
        <v>84</v>
      </c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149">
        <v>84</v>
      </c>
      <c r="M78" s="149">
        <v>84</v>
      </c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149">
        <v>84</v>
      </c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232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296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296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1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0">
        <v>57</v>
      </c>
      <c r="Q96" s="171">
        <v>57</v>
      </c>
      <c r="R96" s="124"/>
      <c r="S96" s="124" t="s">
        <v>295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124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0">
        <v>57</v>
      </c>
      <c r="Q97" s="171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">
      <c r="A98" s="6"/>
      <c r="B98" s="6" t="s">
        <v>127</v>
      </c>
      <c r="C98" s="7">
        <v>46235</v>
      </c>
      <c r="D98" s="124">
        <v>94</v>
      </c>
      <c r="E98" s="124">
        <v>94</v>
      </c>
      <c r="F98" s="20"/>
      <c r="G98" s="19" t="s">
        <v>163</v>
      </c>
      <c r="H98" s="14"/>
      <c r="I98" s="8"/>
      <c r="J98" s="20"/>
      <c r="K98" s="19"/>
      <c r="L98" s="8"/>
      <c r="M98" s="8"/>
      <c r="N98" s="20"/>
      <c r="O98" s="20"/>
      <c r="P98" s="170">
        <v>57</v>
      </c>
      <c r="Q98" s="171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">
      <c r="A99" s="6"/>
      <c r="B99" s="6" t="s">
        <v>128</v>
      </c>
      <c r="C99" s="7">
        <v>46236</v>
      </c>
      <c r="D99" s="124">
        <v>94</v>
      </c>
      <c r="E99" s="124">
        <v>94</v>
      </c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0">
        <v>57</v>
      </c>
      <c r="Q99" s="171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201">
        <v>94</v>
      </c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0">
        <v>57</v>
      </c>
      <c r="Q100" s="171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0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4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">
      <c r="A104" s="6"/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21">
        <v>32</v>
      </c>
      <c r="I104" s="121">
        <v>32</v>
      </c>
      <c r="J104" s="121">
        <v>2</v>
      </c>
      <c r="K104" s="197" t="s">
        <v>163</v>
      </c>
      <c r="L104" s="164">
        <v>33</v>
      </c>
      <c r="M104" s="164">
        <v>33</v>
      </c>
      <c r="N104" s="121">
        <v>1</v>
      </c>
      <c r="O104" s="121" t="s">
        <v>163</v>
      </c>
      <c r="P104" s="121">
        <v>45</v>
      </c>
      <c r="Q104" s="121">
        <v>45</v>
      </c>
      <c r="R104" s="121">
        <v>2</v>
      </c>
      <c r="S104" s="121"/>
      <c r="T104" s="121">
        <v>50</v>
      </c>
      <c r="U104" s="163">
        <v>92</v>
      </c>
      <c r="V104" s="121">
        <v>2</v>
      </c>
      <c r="W104" s="121" t="s">
        <v>32</v>
      </c>
      <c r="X104" s="22"/>
      <c r="Y104" s="22"/>
      <c r="Z104" s="145">
        <f t="shared" si="6"/>
        <v>7</v>
      </c>
      <c r="AA104" s="140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">
      <c r="A105" s="6"/>
      <c r="B105" s="6" t="s">
        <v>127</v>
      </c>
      <c r="C105" s="7">
        <v>46242</v>
      </c>
      <c r="D105" s="148">
        <v>11</v>
      </c>
      <c r="E105" s="8"/>
      <c r="F105" s="20"/>
      <c r="G105" s="19"/>
      <c r="H105" s="121">
        <v>32</v>
      </c>
      <c r="I105" s="121">
        <v>32</v>
      </c>
      <c r="J105" s="121">
        <v>2</v>
      </c>
      <c r="K105" s="197"/>
      <c r="L105" s="164">
        <v>33</v>
      </c>
      <c r="M105" s="164">
        <v>33</v>
      </c>
      <c r="N105" s="121">
        <v>1</v>
      </c>
      <c r="O105" s="121"/>
      <c r="P105" s="121">
        <v>45</v>
      </c>
      <c r="Q105" s="121">
        <v>45</v>
      </c>
      <c r="R105" s="121">
        <v>2</v>
      </c>
      <c r="S105" s="121"/>
      <c r="T105" s="163">
        <v>92</v>
      </c>
      <c r="U105" s="163">
        <v>92</v>
      </c>
      <c r="V105" s="121"/>
      <c r="W105" s="121" t="s">
        <v>274</v>
      </c>
      <c r="X105" s="22"/>
      <c r="Y105" s="22"/>
      <c r="Z105" s="145">
        <f t="shared" si="6"/>
        <v>5</v>
      </c>
      <c r="AA105" s="140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4">
        <v>33</v>
      </c>
      <c r="M106" s="164">
        <v>33</v>
      </c>
      <c r="N106" s="121">
        <v>1</v>
      </c>
      <c r="O106" s="121"/>
      <c r="P106" s="121">
        <v>45</v>
      </c>
      <c r="Q106" s="121"/>
      <c r="R106" s="121">
        <v>2</v>
      </c>
      <c r="S106" s="121"/>
      <c r="T106" s="163">
        <v>92</v>
      </c>
      <c r="U106" s="163">
        <v>92</v>
      </c>
      <c r="V106" s="121"/>
      <c r="W106" s="121"/>
      <c r="X106" s="22"/>
      <c r="Y106" s="22"/>
      <c r="Z106" s="145">
        <f t="shared" si="6"/>
        <v>5</v>
      </c>
      <c r="AA106" s="140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162</v>
      </c>
      <c r="H107" s="8">
        <v>32</v>
      </c>
      <c r="I107" s="8">
        <v>32</v>
      </c>
      <c r="J107" s="20">
        <v>2</v>
      </c>
      <c r="K107" s="19"/>
      <c r="L107" s="164">
        <v>33</v>
      </c>
      <c r="M107" s="164">
        <v>33</v>
      </c>
      <c r="N107" s="20">
        <v>1</v>
      </c>
      <c r="O107" s="20"/>
      <c r="P107" s="8"/>
      <c r="Q107" s="8"/>
      <c r="R107" s="124"/>
      <c r="S107" s="124"/>
      <c r="T107" s="163">
        <v>92</v>
      </c>
      <c r="U107" s="163">
        <v>92</v>
      </c>
      <c r="V107" s="20"/>
      <c r="W107" s="20"/>
      <c r="X107" s="22"/>
      <c r="Y107" s="22"/>
      <c r="Z107" s="145">
        <f t="shared" si="6"/>
        <v>3</v>
      </c>
      <c r="AA107" s="140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4">
        <v>33</v>
      </c>
      <c r="M108" s="164">
        <v>33</v>
      </c>
      <c r="N108" s="2">
        <v>1</v>
      </c>
      <c r="O108" s="20"/>
      <c r="P108" s="8"/>
      <c r="Q108" s="8"/>
      <c r="R108" s="124"/>
      <c r="S108" s="124"/>
      <c r="T108" s="163">
        <v>92</v>
      </c>
      <c r="U108" s="163">
        <v>92</v>
      </c>
      <c r="V108" s="20"/>
      <c r="W108" s="20"/>
      <c r="X108" s="22"/>
      <c r="Y108" s="22"/>
      <c r="Z108" s="145">
        <f>F108+J108+N109+R108+V108</f>
        <v>5</v>
      </c>
      <c r="AA108" s="140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4">
        <v>33</v>
      </c>
      <c r="M109" s="164">
        <v>33</v>
      </c>
      <c r="N109" s="20">
        <v>1</v>
      </c>
      <c r="O109" s="20"/>
      <c r="P109" s="8"/>
      <c r="Q109" s="149">
        <v>4</v>
      </c>
      <c r="R109" s="124"/>
      <c r="S109" s="124"/>
      <c r="T109" s="163">
        <v>92</v>
      </c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4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4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3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4">
        <v>46</v>
      </c>
      <c r="I114" s="164">
        <v>46</v>
      </c>
      <c r="J114" s="20"/>
      <c r="K114" s="19"/>
      <c r="L114" s="14"/>
      <c r="M114" s="8">
        <v>52</v>
      </c>
      <c r="N114" s="20"/>
      <c r="O114" s="20"/>
      <c r="P114" s="167">
        <v>51</v>
      </c>
      <c r="Q114" s="163">
        <v>51</v>
      </c>
      <c r="R114" s="124">
        <v>2</v>
      </c>
      <c r="S114" s="124" t="s">
        <v>273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4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7">
        <v>51</v>
      </c>
      <c r="Q115" s="163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274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7">
        <v>51</v>
      </c>
      <c r="Q116" s="163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8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7">
        <v>51</v>
      </c>
      <c r="Q117" s="163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68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9">
        <v>54</v>
      </c>
      <c r="I118" s="168">
        <v>54</v>
      </c>
      <c r="J118" s="20">
        <v>2</v>
      </c>
      <c r="K118" s="19"/>
      <c r="L118" s="14">
        <v>52</v>
      </c>
      <c r="M118" s="168">
        <v>54</v>
      </c>
      <c r="N118" s="20">
        <v>2</v>
      </c>
      <c r="O118" s="20"/>
      <c r="P118" s="167">
        <v>51</v>
      </c>
      <c r="Q118" s="8">
        <v>93</v>
      </c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68">
        <v>54</v>
      </c>
      <c r="Y118" s="22"/>
      <c r="Z118" s="145">
        <f t="shared" si="6"/>
        <v>10</v>
      </c>
      <c r="AA118" s="140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9">
        <v>54</v>
      </c>
      <c r="I119" s="168">
        <v>54</v>
      </c>
      <c r="J119" s="20">
        <v>2</v>
      </c>
      <c r="K119" s="19"/>
      <c r="L119" s="168">
        <v>54</v>
      </c>
      <c r="M119" s="168">
        <v>54</v>
      </c>
      <c r="N119" s="20">
        <v>2</v>
      </c>
      <c r="O119" s="20"/>
      <c r="P119" s="8">
        <v>93</v>
      </c>
      <c r="Q119" s="8">
        <v>93</v>
      </c>
      <c r="R119" s="124"/>
      <c r="S119" s="124" t="s">
        <v>232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9">
        <v>54</v>
      </c>
      <c r="I120" s="8"/>
      <c r="J120" s="20">
        <v>2</v>
      </c>
      <c r="K120" s="19"/>
      <c r="L120" s="168">
        <v>54</v>
      </c>
      <c r="M120" s="8"/>
      <c r="N120" s="20">
        <v>2</v>
      </c>
      <c r="O120" s="20"/>
      <c r="P120" s="8">
        <v>93</v>
      </c>
      <c r="Q120" s="8">
        <v>93</v>
      </c>
      <c r="R120" s="124"/>
      <c r="S120" s="124"/>
      <c r="T120" s="8">
        <v>25</v>
      </c>
      <c r="U120" s="8">
        <v>25</v>
      </c>
      <c r="V120" s="124"/>
      <c r="W120" s="124" t="s">
        <v>57</v>
      </c>
      <c r="X120" s="22"/>
      <c r="Y120" s="22"/>
      <c r="Z120" s="145">
        <f t="shared" si="6"/>
        <v>4</v>
      </c>
      <c r="AA120" s="140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124"/>
      <c r="K123" s="124"/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/>
      <c r="I124" s="8"/>
      <c r="J124" s="124"/>
      <c r="K124" s="124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163</v>
      </c>
      <c r="T124" s="8">
        <v>25</v>
      </c>
      <c r="U124" s="149">
        <v>35</v>
      </c>
      <c r="V124" s="124"/>
      <c r="W124" s="124"/>
      <c r="X124" s="22"/>
      <c r="Y124" s="22"/>
      <c r="Z124" s="145">
        <f t="shared" si="6"/>
        <v>5</v>
      </c>
      <c r="AA124" s="140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/>
      <c r="I125" s="8"/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233</v>
      </c>
      <c r="X125" s="22"/>
      <c r="Y125" s="22"/>
      <c r="Z125" s="145">
        <f t="shared" si="6"/>
        <v>7</v>
      </c>
      <c r="AA125" s="140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/>
      <c r="I126" s="8"/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/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232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">
      <c r="A139" s="6"/>
      <c r="B139" s="6" t="s">
        <v>126</v>
      </c>
      <c r="C139" s="7">
        <v>46276</v>
      </c>
      <c r="D139" s="10"/>
      <c r="E139" s="148">
        <v>89</v>
      </c>
      <c r="F139" s="20"/>
      <c r="G139" s="19"/>
      <c r="H139" s="10"/>
      <c r="I139" s="148">
        <v>89</v>
      </c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">
      <c r="A140" s="6"/>
      <c r="B140" s="6" t="s">
        <v>127</v>
      </c>
      <c r="C140" s="7">
        <v>46277</v>
      </c>
      <c r="D140" s="200">
        <v>89</v>
      </c>
      <c r="E140" s="148">
        <v>89</v>
      </c>
      <c r="F140" s="20">
        <v>1</v>
      </c>
      <c r="G140" s="19"/>
      <c r="H140" s="200">
        <v>89</v>
      </c>
      <c r="I140" s="148">
        <v>89</v>
      </c>
      <c r="J140" s="20">
        <v>2</v>
      </c>
      <c r="K140" s="19"/>
      <c r="L140" s="8"/>
      <c r="M140" s="163">
        <v>103</v>
      </c>
      <c r="N140" s="20"/>
      <c r="O140" s="20" t="s">
        <v>165</v>
      </c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5</v>
      </c>
      <c r="AA140" s="140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">
      <c r="A141" s="6"/>
      <c r="B141" s="6" t="s">
        <v>128</v>
      </c>
      <c r="C141" s="7">
        <v>46278</v>
      </c>
      <c r="D141" s="200">
        <v>89</v>
      </c>
      <c r="E141" s="8"/>
      <c r="F141" s="20">
        <v>1</v>
      </c>
      <c r="G141" s="19"/>
      <c r="H141" s="200">
        <v>89</v>
      </c>
      <c r="I141" s="8"/>
      <c r="J141" s="20">
        <v>2</v>
      </c>
      <c r="K141" s="19"/>
      <c r="L141" s="163">
        <v>103</v>
      </c>
      <c r="M141" s="163">
        <v>103</v>
      </c>
      <c r="N141" s="20">
        <v>2</v>
      </c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7</v>
      </c>
      <c r="AA141" s="140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63">
        <v>103</v>
      </c>
      <c r="M142" s="163">
        <v>103</v>
      </c>
      <c r="N142" s="20">
        <v>2</v>
      </c>
      <c r="O142" s="20"/>
      <c r="P142" s="8"/>
      <c r="Q142" s="8">
        <v>101</v>
      </c>
      <c r="R142" s="124"/>
      <c r="S142" s="124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4</v>
      </c>
      <c r="AA142" s="140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63">
        <v>103</v>
      </c>
      <c r="M143" s="163">
        <v>103</v>
      </c>
      <c r="N143" s="20">
        <v>2</v>
      </c>
      <c r="O143" s="20"/>
      <c r="P143" s="8">
        <v>101</v>
      </c>
      <c r="Q143" s="8">
        <v>101</v>
      </c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4</v>
      </c>
      <c r="AA143" s="140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9">
        <v>47</v>
      </c>
      <c r="J144" s="20"/>
      <c r="K144" s="19" t="s">
        <v>165</v>
      </c>
      <c r="L144" s="163">
        <v>103</v>
      </c>
      <c r="M144" s="163">
        <v>103</v>
      </c>
      <c r="N144" s="20">
        <v>2</v>
      </c>
      <c r="O144" s="20"/>
      <c r="P144" s="8">
        <v>101</v>
      </c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4</v>
      </c>
      <c r="AA144" s="140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149">
        <v>47</v>
      </c>
      <c r="I145" s="149">
        <v>47</v>
      </c>
      <c r="J145" s="20">
        <v>2</v>
      </c>
      <c r="K145" s="19"/>
      <c r="L145" s="163">
        <v>103</v>
      </c>
      <c r="M145" s="163">
        <v>103</v>
      </c>
      <c r="N145" s="20">
        <v>2</v>
      </c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4</v>
      </c>
      <c r="AA145" s="140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9">
        <v>47</v>
      </c>
      <c r="I146" s="149">
        <v>47</v>
      </c>
      <c r="J146" s="20">
        <v>2</v>
      </c>
      <c r="K146" s="19"/>
      <c r="L146" s="163">
        <v>103</v>
      </c>
      <c r="M146" s="163">
        <v>103</v>
      </c>
      <c r="N146" s="20">
        <v>2</v>
      </c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4</v>
      </c>
      <c r="AA146" s="140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9">
        <v>47</v>
      </c>
      <c r="I147" s="149">
        <v>47</v>
      </c>
      <c r="J147" s="20">
        <v>2</v>
      </c>
      <c r="K147" s="19"/>
      <c r="L147" s="163">
        <v>103</v>
      </c>
      <c r="M147" s="8"/>
      <c r="N147" s="20">
        <v>2</v>
      </c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6</v>
      </c>
      <c r="AA147" s="140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9">
        <v>47</v>
      </c>
      <c r="I148" s="149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9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">
      <c r="A162" s="6" t="s">
        <v>166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35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35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35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35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35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35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N109:N115 N58:N107 D2:H8 I2:I9 I11:I57 D14 H9:H10 H12:H15 D16:H52 J2:N57 H53:H57 H58:M58 D53:G58 O2:Y33 D59:M115 F9:G15 D9:E13 D15:E15 O37:Y171 O34:S36 T35 V34:Y36 T34:U34 T36:U36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4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4" customFormat="1" ht="19.350000000000001" customHeight="1" thickBot="1" x14ac:dyDescent="0.4">
      <c r="A1" s="54" t="s">
        <v>131</v>
      </c>
      <c r="B1" s="55" t="s">
        <v>116</v>
      </c>
      <c r="C1" s="73" t="s">
        <v>132</v>
      </c>
      <c r="D1" s="74">
        <f ca="1">TODAY()</f>
        <v>46107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35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35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35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35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35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35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35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35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35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35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35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35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35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35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35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35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35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35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4" x14ac:dyDescent="0.3"/>
  <cols>
    <col min="1" max="1" width="7.44140625" bestFit="1" customWidth="1"/>
    <col min="2" max="2" width="8.109375" style="24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8" customWidth="1"/>
    <col min="9" max="10" width="6.5546875" customWidth="1"/>
    <col min="11" max="13" width="6.5546875" style="78" customWidth="1"/>
    <col min="14" max="14" width="6.5546875" customWidth="1"/>
    <col min="15" max="17" width="6.5546875" style="78" customWidth="1"/>
    <col min="18" max="18" width="6.5546875" style="77" customWidth="1"/>
    <col min="19" max="21" width="6.5546875" style="78" customWidth="1"/>
    <col min="22" max="22" width="6.5546875" customWidth="1"/>
    <col min="23" max="25" width="6.5546875" style="78" customWidth="1"/>
  </cols>
  <sheetData>
    <row r="1" spans="1:26" ht="20.100000000000001" customHeight="1" thickBot="1" x14ac:dyDescent="0.35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46107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35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35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35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35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35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>
        <f>IF(AND(D6="Y",booking!D6&lt;&gt;booking!E6,booking!E6&gt;0),booking!E6,"-")</f>
        <v>85</v>
      </c>
      <c r="F6" s="84">
        <f>IFERROR(VLOOKUP(E6,Database!$A$2:$L$175,8,FALSE),"-")</f>
        <v>0</v>
      </c>
      <c r="G6" s="84" t="str">
        <f>IFERROR(VLOOKUP(E6,Database!$A$2:$L$175,6,FALSE),"-")</f>
        <v>DK</v>
      </c>
      <c r="H6" s="100">
        <f>IFERROR(VLOOKUP(E6,Database!$A$2:$L$175,9,FALSE),"-")</f>
        <v>0</v>
      </c>
      <c r="I6" s="119"/>
      <c r="J6" s="103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35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35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35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35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35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35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35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35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e">
        <f>IF(AND(D14="Y",booking!#REF!&lt;&gt;booking!D14,booking!D14&gt;0),booking!D14,"-")</f>
        <v>#REF!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35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35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35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35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>
        <f>IF(AND(D18="Y",booking!D18&lt;&gt;booking!E18,booking!E18&gt;0),booking!E18,"-")</f>
        <v>53</v>
      </c>
      <c r="F18" s="84">
        <f>IFERROR(VLOOKUP(E18,Database!$A$2:$L$175,8,FALSE),"-")</f>
        <v>0</v>
      </c>
      <c r="G18" s="84" t="str">
        <f>IFERROR(VLOOKUP(E18,Database!$A$2:$L$175,6,FALSE),"-")</f>
        <v>DK</v>
      </c>
      <c r="H18" s="100">
        <f>IFERROR(VLOOKUP(E18,Database!$A$2:$L$175,9,FALSE),"-")</f>
        <v>0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 t="str">
        <f>IF(AND(D18="Y",booking!P18&lt;&gt;booking!Q18,booking!Q18&gt;0),booking!Q18,"-")</f>
        <v>-</v>
      </c>
      <c r="S18" s="84" t="str">
        <f>IFERROR(VLOOKUP(R18,Database!$A$2:$L$175,8,FALSE),"-")</f>
        <v>-</v>
      </c>
      <c r="T18" s="84" t="str">
        <f>IFERROR(VLOOKUP(R18,Database!$A$2:$L$175,6,FALSE),"-")</f>
        <v>-</v>
      </c>
      <c r="U18" s="88" t="str">
        <f>IFERROR(VLOOKUP(R18,Database!$A$2:$L$175,9,FALSE),"-")</f>
        <v>-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35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>
        <f>IF(AND(D19="Y",booking!L19&lt;&gt;booking!M19,booking!M19&gt;0),booking!M19,"-")</f>
        <v>95</v>
      </c>
      <c r="O19" s="84">
        <f>IFERROR(VLOOKUP(N19,Database!$A$2:$L$175,8,FALSE),"-")</f>
        <v>0</v>
      </c>
      <c r="P19" s="84" t="str">
        <f>IFERROR(VLOOKUP(N19,Database!$A$2:$L$175,6,FALSE),"-")</f>
        <v>S</v>
      </c>
      <c r="Q19" s="88">
        <f>IFERROR(VLOOKUP(N19,Database!$A$2:$L$175,9,FALSE),"-")</f>
        <v>0</v>
      </c>
      <c r="R19" s="104">
        <f>IF(AND(D19="Y",booking!P19&lt;&gt;booking!Q19,booking!Q19&gt;0),booking!Q19,"-")</f>
        <v>97</v>
      </c>
      <c r="S19" s="84">
        <f>IFERROR(VLOOKUP(R19,Database!$A$2:$L$175,8,FALSE),"-")</f>
        <v>0</v>
      </c>
      <c r="T19" s="84" t="str">
        <f>IFERROR(VLOOKUP(R19,Database!$A$2:$L$175,6,FALSE),"-")</f>
        <v>DK</v>
      </c>
      <c r="U19" s="88">
        <f>IFERROR(VLOOKUP(R19,Database!$A$2:$L$175,9,FALSE),"-")</f>
        <v>0</v>
      </c>
      <c r="V19" s="103">
        <f>IF(AND(D19="Y",booking!T19&lt;&gt;booking!U19,booking!U19&gt;0),booking!U19,"-")</f>
        <v>90</v>
      </c>
      <c r="W19" s="85" t="str">
        <f>IFERROR(VLOOKUP(V19,Database!$A$2:$L$175,8,FALSE),"-")</f>
        <v>1630</v>
      </c>
      <c r="X19" s="85" t="str">
        <f>IFERROR(VLOOKUP(V19,Database!$A$2:$L$175,6,FALSE),"-")</f>
        <v>S</v>
      </c>
      <c r="Y19" s="87" t="str">
        <f>IFERROR(VLOOKUP(V19,Database!$A$2:$L$175,9,FALSE),"-")</f>
        <v>dobb</v>
      </c>
    </row>
    <row r="20" spans="1:25" ht="15" customHeight="1" thickBot="1" x14ac:dyDescent="0.35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Y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>
        <f>IF(AND(D20="Y",booking!H20&lt;&gt;booking!I20,booking!I20&gt;0),booking!I20,"-")</f>
        <v>91</v>
      </c>
      <c r="K20" s="84">
        <f>IFERROR(VLOOKUP(J20,Database!$A$2:$L$175,8,FALSE),"-")</f>
        <v>0</v>
      </c>
      <c r="L20" s="84" t="str">
        <f>IFERROR(VLOOKUP(J20,Database!$A$2:$L$175,6,FALSE),"-")</f>
        <v>DK</v>
      </c>
      <c r="M20" s="100">
        <f>IFERROR(VLOOKUP(J20,Database!$A$2:$L$175,9,FALSE),"-")</f>
        <v>0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35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35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>
        <f>IF(AND(D22="Y",booking!P22&lt;&gt;booking!Q22,booking!Q22&gt;0),booking!Q22,"-")</f>
        <v>96</v>
      </c>
      <c r="S22" s="84" t="str">
        <f>IFERROR(VLOOKUP(R22,Database!$A$2:$L$175,8,FALSE),"-")</f>
        <v>1700</v>
      </c>
      <c r="T22" s="84" t="str">
        <f>IFERROR(VLOOKUP(R22,Database!$A$2:$L$175,6,FALSE),"-")</f>
        <v>D</v>
      </c>
      <c r="U22" s="88" t="str">
        <f>IFERROR(VLOOKUP(R22,Database!$A$2:$L$175,9,FALSE),"-")</f>
        <v>dobb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35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35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35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35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35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35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35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35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35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35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35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35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Y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>
        <f>IF(AND(D34="Y",booking!T34&lt;&gt;booking!U34,booking!U34&gt;0),booking!U34,"-")</f>
        <v>99</v>
      </c>
      <c r="W34" s="85">
        <f>IFERROR(VLOOKUP(V34,Database!$A$2:$L$175,8,FALSE),"-")</f>
        <v>0</v>
      </c>
      <c r="X34" s="85" t="str">
        <f>IFERROR(VLOOKUP(V34,Database!$A$2:$L$175,6,FALSE),"-")</f>
        <v>DK</v>
      </c>
      <c r="Y34" s="87">
        <f>IFERROR(VLOOKUP(V34,Database!$A$2:$L$175,9,FALSE),"-")</f>
        <v>0</v>
      </c>
    </row>
    <row r="35" spans="1:25" ht="15" customHeight="1" thickBot="1" x14ac:dyDescent="0.35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102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35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35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35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35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35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35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35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35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35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35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35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35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35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35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35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Y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>
        <f>IF(AND(D50="Y",booking!L50&lt;&gt;booking!M50,booking!M50&gt;0),booking!M50,"-")</f>
        <v>83</v>
      </c>
      <c r="O50" s="84">
        <f>IFERROR(VLOOKUP(N50,Database!$A$2:$L$175,8,FALSE),"-")</f>
        <v>0</v>
      </c>
      <c r="P50" s="84" t="str">
        <f>IFERROR(VLOOKUP(N50,Database!$A$2:$L$175,6,FALSE),"-")</f>
        <v>DK</v>
      </c>
      <c r="Q50" s="88">
        <f>IFERROR(VLOOKUP(N50,Database!$A$2:$L$175,9,FALSE),"-")</f>
        <v>0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35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>
        <f>IF(AND(D51="Y",booking!T51&lt;&gt;booking!U51,booking!U51&gt;0),booking!U51,"-")</f>
        <v>86</v>
      </c>
      <c r="W51" s="85">
        <f>IFERROR(VLOOKUP(V51,Database!$A$2:$L$175,8,FALSE),"-")</f>
        <v>0</v>
      </c>
      <c r="X51" s="85" t="str">
        <f>IFERROR(VLOOKUP(V51,Database!$A$2:$L$175,6,FALSE),"-")</f>
        <v>D</v>
      </c>
      <c r="Y51" s="87">
        <f>IFERROR(VLOOKUP(V51,Database!$A$2:$L$175,9,FALSE),"-")</f>
        <v>0</v>
      </c>
    </row>
    <row r="52" spans="1:25" ht="15" customHeight="1" thickBot="1" x14ac:dyDescent="0.35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35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>
        <f>IF(AND(D53="Y",booking!D53&lt;&gt;booking!E53,booking!E53&gt;0),booking!E53,"-")</f>
        <v>31</v>
      </c>
      <c r="F53" s="84">
        <f>IFERROR(VLOOKUP(E53,Database!$A$2:$L$175,8,FALSE),"-")</f>
        <v>0</v>
      </c>
      <c r="G53" s="84" t="str">
        <f>IFERROR(VLOOKUP(E53,Database!$A$2:$L$175,6,FALSE),"-")</f>
        <v>DK</v>
      </c>
      <c r="H53" s="100">
        <f>IFERROR(VLOOKUP(E53,Database!$A$2:$L$175,9,FALSE),"-")</f>
        <v>0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 t="str">
        <f>IF(AND(D53="Y",booking!T53&lt;&gt;booking!U53,booking!U53&gt;0),booking!U53,"-")</f>
        <v>-</v>
      </c>
      <c r="W53" s="85" t="str">
        <f>IFERROR(VLOOKUP(V53,Database!$A$2:$L$175,8,FALSE),"-")</f>
        <v>-</v>
      </c>
      <c r="X53" s="85" t="str">
        <f>IFERROR(VLOOKUP(V53,Database!$A$2:$L$175,6,FALSE),"-")</f>
        <v>-</v>
      </c>
      <c r="Y53" s="87" t="str">
        <f>IFERROR(VLOOKUP(V53,Database!$A$2:$L$175,9,FALSE),"-")</f>
        <v>-</v>
      </c>
    </row>
    <row r="54" spans="1:25" ht="15" customHeight="1" thickBot="1" x14ac:dyDescent="0.35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35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35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35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35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35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35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35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35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>
        <f>IF(AND(D62="Y",booking!D62&lt;&gt;booking!E62,booking!E62&gt;0),booking!E62,"-")</f>
        <v>87</v>
      </c>
      <c r="F62" s="84">
        <f>IFERROR(VLOOKUP(E62,Database!$A$2:$L$175,8,FALSE),"-")</f>
        <v>0</v>
      </c>
      <c r="G62" s="84" t="str">
        <f>IFERROR(VLOOKUP(E62,Database!$A$2:$L$175,6,FALSE),"-")</f>
        <v>D</v>
      </c>
      <c r="H62" s="100">
        <f>IFERROR(VLOOKUP(E62,Database!$A$2:$L$175,9,FALSE),"-")</f>
        <v>0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35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35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35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Y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>
        <f>IF(AND(D65="Y",booking!P65&lt;&gt;booking!Q65,booking!Q65&gt;0),booking!Q65,"-")</f>
        <v>76</v>
      </c>
      <c r="S65" s="84">
        <f>IFERROR(VLOOKUP(R65,Database!$A$2:$L$175,8,FALSE),"-")</f>
        <v>0</v>
      </c>
      <c r="T65" s="84" t="str">
        <f>IFERROR(VLOOKUP(R65,Database!$A$2:$L$175,6,FALSE),"-")</f>
        <v>DK</v>
      </c>
      <c r="U65" s="88" t="str">
        <f>IFERROR(VLOOKUP(R65,Database!$A$2:$L$175,9,FALSE),"-")</f>
        <v>sing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35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35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Y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>
        <f>IF(AND(D67="Y",booking!H67&lt;&gt;booking!I67,booking!I67&gt;0),booking!I67,"-")</f>
        <v>104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35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35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35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>
        <f>IF(AND(D70="Y",booking!H70&lt;&gt;booking!I70,booking!I70&gt;0),booking!I70,"-")</f>
        <v>98</v>
      </c>
      <c r="K70" s="84">
        <f>IFERROR(VLOOKUP(J70,Database!$A$2:$L$175,8,FALSE),"-")</f>
        <v>0</v>
      </c>
      <c r="L70" s="84" t="str">
        <f>IFERROR(VLOOKUP(J70,Database!$A$2:$L$175,6,FALSE),"-")</f>
        <v>DK</v>
      </c>
      <c r="M70" s="100">
        <f>IFERROR(VLOOKUP(J70,Database!$A$2:$L$175,9,FALSE),"-")</f>
        <v>0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35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35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35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35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35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>
        <f>IF(AND(D75="Y",booking!L75&lt;&gt;booking!M75,booking!M75&gt;0),booking!M75,"-")</f>
        <v>84</v>
      </c>
      <c r="O75" s="84">
        <f>IFERROR(VLOOKUP(N75,Database!$A$2:$L$175,8,FALSE),"-")</f>
        <v>0</v>
      </c>
      <c r="P75" s="84" t="str">
        <f>IFERROR(VLOOKUP(N75,Database!$A$2:$L$175,6,FALSE),"-")</f>
        <v>DK</v>
      </c>
      <c r="Q75" s="88">
        <f>IFERROR(VLOOKUP(N75,Database!$A$2:$L$175,9,FALSE),"-")</f>
        <v>0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35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35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35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35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35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35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35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35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35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35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35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35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35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35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35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35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35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35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35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35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35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35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Y</v>
      </c>
      <c r="E97" s="102">
        <f>IF(AND(D97="Y",booking!D97&lt;&gt;booking!E97,booking!E97&gt;0),booking!E97,"-")</f>
        <v>94</v>
      </c>
      <c r="F97" s="84">
        <f>IFERROR(VLOOKUP(E97,Database!$A$2:$L$175,8,FALSE),"-")</f>
        <v>0</v>
      </c>
      <c r="G97" s="84" t="str">
        <f>IFERROR(VLOOKUP(E97,Database!$A$2:$L$175,6,FALSE),"-")</f>
        <v>D</v>
      </c>
      <c r="H97" s="100">
        <f>IFERROR(VLOOKUP(E97,Database!$A$2:$L$175,9,FALSE),"-")</f>
        <v>0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35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35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35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35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35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35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35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Y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>
        <f>IF(AND(D104="Y",booking!T104&lt;&gt;booking!U104,booking!U104&gt;0),booking!U104,"-")</f>
        <v>92</v>
      </c>
      <c r="W104" s="85" t="str">
        <f>IFERROR(VLOOKUP(V104,Database!$A$2:$L$175,8,FALSE),"-")</f>
        <v>1400</v>
      </c>
      <c r="X104" s="85" t="str">
        <f>IFERROR(VLOOKUP(V104,Database!$A$2:$L$175,6,FALSE),"-")</f>
        <v>DK</v>
      </c>
      <c r="Y104" s="87" t="str">
        <f>IFERROR(VLOOKUP(V104,Database!$A$2:$L$175,9,FALSE),"-")</f>
        <v>sing</v>
      </c>
    </row>
    <row r="105" spans="1:25" ht="15" customHeight="1" thickBot="1" x14ac:dyDescent="0.35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35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35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35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35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35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35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35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35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35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35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35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35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35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>
        <f>IF(AND(D118="Y",booking!P118&lt;&gt;booking!Q118,booking!Q118&gt;0),booking!Q118,"-")</f>
        <v>93</v>
      </c>
      <c r="S118" s="84" t="str">
        <f>IFERROR(VLOOKUP(R118,Database!$A$2:$L$175,8,FALSE),"-")</f>
        <v>1530</v>
      </c>
      <c r="T118" s="84" t="str">
        <f>IFERROR(VLOOKUP(R118,Database!$A$2:$L$175,6,FALSE),"-")</f>
        <v>D</v>
      </c>
      <c r="U118" s="88" t="str">
        <f>IFERROR(VLOOKUP(R118,Database!$A$2:$L$175,9,FALSE),"-")</f>
        <v>sing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35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35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35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35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35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35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35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35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35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35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35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35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35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35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35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35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35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35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35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35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35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Y</v>
      </c>
      <c r="E139" s="102">
        <f>IF(AND(D139="Y",booking!D139&lt;&gt;booking!E139,booking!E139&gt;0),booking!E139,"-")</f>
        <v>89</v>
      </c>
      <c r="F139" s="84">
        <f>IFERROR(VLOOKUP(E139,Database!$A$2:$L$175,8,FALSE),"-")</f>
        <v>0</v>
      </c>
      <c r="G139" s="84" t="str">
        <f>IFERROR(VLOOKUP(E139,Database!$A$2:$L$175,6,FALSE),"-")</f>
        <v>DK</v>
      </c>
      <c r="H139" s="100" t="str">
        <f>IFERROR(VLOOKUP(E139,Database!$A$2:$L$175,9,FALSE),"-")</f>
        <v>sing</v>
      </c>
      <c r="I139" s="119"/>
      <c r="J139" s="103">
        <f>IF(AND(D139="Y",booking!H139&lt;&gt;booking!I139,booking!I139&gt;0),booking!I139,"-")</f>
        <v>89</v>
      </c>
      <c r="K139" s="84">
        <f>IFERROR(VLOOKUP(J139,Database!$A$2:$L$175,8,FALSE),"-")</f>
        <v>0</v>
      </c>
      <c r="L139" s="84" t="str">
        <f>IFERROR(VLOOKUP(J139,Database!$A$2:$L$175,6,FALSE),"-")</f>
        <v>DK</v>
      </c>
      <c r="M139" s="100" t="str">
        <f>IFERROR(VLOOKUP(J139,Database!$A$2:$L$175,9,FALSE),"-")</f>
        <v>sing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35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Y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>
        <f>IF(AND(D140="Y",booking!L140&lt;&gt;booking!M140,booking!M140&gt;0),booking!M140,"-")</f>
        <v>103</v>
      </c>
      <c r="O140" s="84">
        <f>IFERROR(VLOOKUP(N140,Database!$A$2:$L$175,8,FALSE),"-")</f>
        <v>0</v>
      </c>
      <c r="P140" s="84" t="str">
        <f>IFERROR(VLOOKUP(N140,Database!$A$2:$L$175,6,FALSE),"-")</f>
        <v>DK</v>
      </c>
      <c r="Q140" s="88" t="str">
        <f>IFERROR(VLOOKUP(N140,Database!$A$2:$L$175,9,FALSE),"-")</f>
        <v>Enk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35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35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Y</v>
      </c>
      <c r="E142" s="102">
        <f>IF(AND(D142="Y",booking!D142&lt;&gt;booking!E142,booking!E142&gt;0),booking!E142,"-")</f>
        <v>100</v>
      </c>
      <c r="F142" s="84">
        <f>IFERROR(VLOOKUP(E142,Database!$A$2:$L$175,8,FALSE),"-")</f>
        <v>0</v>
      </c>
      <c r="G142" s="84" t="str">
        <f>IFERROR(VLOOKUP(E142,Database!$A$2:$L$175,6,FALSE),"-")</f>
        <v>DK</v>
      </c>
      <c r="H142" s="100">
        <f>IFERROR(VLOOKUP(E142,Database!$A$2:$L$175,9,FALSE),"-")</f>
        <v>0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>
        <f>IF(AND(D142="Y",booking!P142&lt;&gt;booking!Q142,booking!Q142&gt;0),booking!Q142,"-")</f>
        <v>101</v>
      </c>
      <c r="S142" s="84">
        <f>IFERROR(VLOOKUP(R142,Database!$A$2:$L$175,8,FALSE),"-")</f>
        <v>0</v>
      </c>
      <c r="T142" s="84" t="str">
        <f>IFERROR(VLOOKUP(R142,Database!$A$2:$L$175,6,FALSE),"-")</f>
        <v>DK</v>
      </c>
      <c r="U142" s="88" t="str">
        <f>IFERROR(VLOOKUP(R142,Database!$A$2:$L$175,9,FALSE),"-")</f>
        <v>Enk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35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35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35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35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35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35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35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35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35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35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35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35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35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35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35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35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35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35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35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35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35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35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35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35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35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35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35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35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35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">
      <c r="A99">
        <f>Database!A99</f>
        <v>98</v>
      </c>
      <c r="B99" s="2" t="str">
        <f>Database!Q99</f>
        <v>N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2</v>
      </c>
    </row>
    <row r="100" spans="1:5" x14ac:dyDescent="0.3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143</v>
      </c>
      <c r="B1" t="s">
        <v>6</v>
      </c>
      <c r="C1" s="5" t="s">
        <v>354</v>
      </c>
      <c r="D1" s="5" t="s">
        <v>41</v>
      </c>
      <c r="E1" t="s">
        <v>355</v>
      </c>
      <c r="F1" t="s">
        <v>356</v>
      </c>
      <c r="G1" t="s">
        <v>357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360</v>
      </c>
      <c r="M2" t="s">
        <v>359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358</v>
      </c>
      <c r="L3">
        <f>SUM(I2:I200)</f>
        <v>235</v>
      </c>
      <c r="M3">
        <f>SUM(J2:J200)</f>
        <v>235</v>
      </c>
    </row>
    <row r="4" spans="1:13" x14ac:dyDescent="0.3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Database!A16</f>
        <v>15</v>
      </c>
      <c r="B16" s="195" t="str">
        <f>Database!G16</f>
        <v>FM</v>
      </c>
      <c r="C16" s="196">
        <f>Database!C16</f>
        <v>46181</v>
      </c>
      <c r="D16" s="196">
        <f>Database!D16</f>
        <v>46188</v>
      </c>
      <c r="E16" s="195">
        <f t="shared" si="0"/>
        <v>7</v>
      </c>
      <c r="F16" s="195">
        <f>Database!K16</f>
        <v>1</v>
      </c>
      <c r="G16" s="195">
        <f t="shared" si="1"/>
        <v>7</v>
      </c>
      <c r="H16" s="195"/>
      <c r="I16" s="195">
        <f>G16</f>
        <v>7</v>
      </c>
      <c r="J16" s="195">
        <f t="shared" si="3"/>
        <v>0</v>
      </c>
    </row>
    <row r="17" spans="1:10" x14ac:dyDescent="0.3">
      <c r="A17">
        <f>Database!A17</f>
        <v>16</v>
      </c>
      <c r="B17" s="195" t="str">
        <f>Database!G17</f>
        <v>FM</v>
      </c>
      <c r="C17" s="196">
        <f>Database!C17</f>
        <v>46182</v>
      </c>
      <c r="D17" s="196">
        <f>Database!D17</f>
        <v>46188</v>
      </c>
      <c r="E17" s="195">
        <f t="shared" si="0"/>
        <v>6</v>
      </c>
      <c r="F17" s="195">
        <f>Database!K17</f>
        <v>2</v>
      </c>
      <c r="G17" s="195">
        <f t="shared" si="1"/>
        <v>12</v>
      </c>
      <c r="H17" s="195"/>
      <c r="I17" s="195">
        <f>G17</f>
        <v>12</v>
      </c>
      <c r="J17" s="195">
        <f t="shared" si="3"/>
        <v>0</v>
      </c>
    </row>
    <row r="18" spans="1:10" x14ac:dyDescent="0.3">
      <c r="A18">
        <f>Database!A18</f>
        <v>17</v>
      </c>
      <c r="B18" s="195" t="str">
        <f>Database!G18</f>
        <v>FM</v>
      </c>
      <c r="C18" s="196">
        <f>Database!C18</f>
        <v>46181</v>
      </c>
      <c r="D18" s="196">
        <f>Database!D18</f>
        <v>46188</v>
      </c>
      <c r="E18" s="195">
        <f t="shared" si="0"/>
        <v>7</v>
      </c>
      <c r="F18" s="195">
        <f>Database!K18</f>
        <v>1</v>
      </c>
      <c r="G18" s="195">
        <f t="shared" si="1"/>
        <v>7</v>
      </c>
      <c r="H18" s="195"/>
      <c r="I18" s="195">
        <f>G18</f>
        <v>7</v>
      </c>
      <c r="J18" s="195">
        <f t="shared" si="3"/>
        <v>0</v>
      </c>
    </row>
    <row r="19" spans="1:10" x14ac:dyDescent="0.3">
      <c r="A19">
        <f>Database!A19</f>
        <v>18</v>
      </c>
      <c r="B19" s="195" t="str">
        <f>Database!G19</f>
        <v>FM</v>
      </c>
      <c r="C19" s="196">
        <f>Database!C19</f>
        <v>46182</v>
      </c>
      <c r="D19" s="196">
        <f>Database!D19</f>
        <v>46187</v>
      </c>
      <c r="E19" s="195">
        <f t="shared" si="0"/>
        <v>5</v>
      </c>
      <c r="F19" s="195">
        <f>Database!K19</f>
        <v>1</v>
      </c>
      <c r="G19" s="195">
        <f t="shared" si="1"/>
        <v>5</v>
      </c>
      <c r="H19" s="195"/>
      <c r="I19" s="195">
        <f>G19</f>
        <v>5</v>
      </c>
      <c r="J19" s="195">
        <f t="shared" si="3"/>
        <v>0</v>
      </c>
    </row>
    <row r="20" spans="1:10" x14ac:dyDescent="0.3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Database!A99</f>
        <v>98</v>
      </c>
      <c r="B99" t="str">
        <f>Database!G99</f>
        <v>bc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1</v>
      </c>
      <c r="G99">
        <f t="shared" si="5"/>
        <v>3</v>
      </c>
      <c r="I99">
        <f t="shared" si="6"/>
        <v>0</v>
      </c>
      <c r="J99">
        <f t="shared" si="7"/>
        <v>3</v>
      </c>
    </row>
    <row r="100" spans="1:10" x14ac:dyDescent="0.3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">
      <c r="A105">
        <f>Database!A105</f>
        <v>0</v>
      </c>
      <c r="B105">
        <f>Database!G105</f>
        <v>0</v>
      </c>
      <c r="C105" s="5">
        <f>Database!C105</f>
        <v>0</v>
      </c>
      <c r="D105" s="5">
        <f>Database!D105</f>
        <v>0</v>
      </c>
      <c r="E105">
        <f t="shared" si="4"/>
        <v>0</v>
      </c>
      <c r="F105">
        <f>Database!K105</f>
        <v>0</v>
      </c>
      <c r="G105">
        <f t="shared" si="5"/>
        <v>0</v>
      </c>
      <c r="I105">
        <f t="shared" si="6"/>
        <v>0</v>
      </c>
      <c r="J105">
        <f t="shared" si="7"/>
        <v>0</v>
      </c>
    </row>
    <row r="106" spans="1:10" x14ac:dyDescent="0.3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4" x14ac:dyDescent="0.3"/>
  <cols>
    <col min="1" max="1" width="10.109375" bestFit="1" customWidth="1"/>
    <col min="2" max="2" width="3.5546875" style="17" customWidth="1"/>
    <col min="3" max="13" width="3.5546875" style="2" customWidth="1"/>
  </cols>
  <sheetData>
    <row r="1" spans="1:13" ht="15" customHeight="1" thickBot="1" x14ac:dyDescent="0.35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oc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">
      <c r="A7" s="5">
        <f>booking!C7</f>
        <v>46144</v>
      </c>
      <c r="B7" s="137" t="str">
        <f>IF(booking!D7&gt;0,"oc","va")</f>
        <v>oc</v>
      </c>
      <c r="C7" s="138" t="str">
        <f>IF(booking!E7&gt;0,"oc","va")</f>
        <v>oc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">
      <c r="A8" s="5">
        <f>booking!C8</f>
        <v>46145</v>
      </c>
      <c r="B8" s="137" t="str">
        <f>IF(booking!D8&gt;0,"oc","va")</f>
        <v>oc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">
      <c r="A14" s="5">
        <f>booking!C14</f>
        <v>46151</v>
      </c>
      <c r="B14" s="137" t="e">
        <f>IF(booking!#REF!&gt;0,"oc","va")</f>
        <v>#REF!</v>
      </c>
      <c r="C14" s="138" t="str">
        <f>IF(booking!D14&gt;0,"oc","va")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oc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va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">
      <c r="A19" s="5">
        <f>booking!C19</f>
        <v>46156</v>
      </c>
      <c r="B19" s="137" t="str">
        <f>IF(booking!D19&gt;0,"oc","va")</f>
        <v>oc</v>
      </c>
      <c r="C19" s="138" t="str">
        <f>IF(booking!E19&gt;0,"oc","va")</f>
        <v>oc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oc</v>
      </c>
      <c r="H19" s="137" t="str">
        <f>IF(booking!P19&gt;0,"oc","va")</f>
        <v>va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">
      <c r="A20" s="5">
        <f>booking!C20</f>
        <v>46157</v>
      </c>
      <c r="B20" s="137" t="str">
        <f>IF(booking!D20&gt;0,"oc","va")</f>
        <v>oc</v>
      </c>
      <c r="C20" s="138" t="str">
        <f>IF(booking!E20&gt;0,"oc","va")</f>
        <v>oc</v>
      </c>
      <c r="D20" s="137" t="str">
        <f>IF(booking!H20&gt;0,"oc","va")</f>
        <v>va</v>
      </c>
      <c r="E20" s="138" t="str">
        <f>IF(booking!I20&gt;0,"oc","va")</f>
        <v>oc</v>
      </c>
      <c r="F20" s="137" t="str">
        <f>IF(booking!L20&gt;0,"oc","va")</f>
        <v>oc</v>
      </c>
      <c r="G20" s="138" t="str">
        <f>IF(booking!M20&gt;0,"oc","va")</f>
        <v>oc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">
      <c r="A21" s="5">
        <f>booking!C21</f>
        <v>46158</v>
      </c>
      <c r="B21" s="137" t="str">
        <f>IF(booking!D21&gt;0,"oc","va")</f>
        <v>oc</v>
      </c>
      <c r="C21" s="138" t="str">
        <f>IF(booking!E21&gt;0,"oc","va")</f>
        <v>oc</v>
      </c>
      <c r="D21" s="137" t="str">
        <f>IF(booking!H21&gt;0,"oc","va")</f>
        <v>oc</v>
      </c>
      <c r="E21" s="138" t="str">
        <f>IF(booking!I21&gt;0,"oc","va")</f>
        <v>oc</v>
      </c>
      <c r="F21" s="137" t="str">
        <f>IF(booking!L21&gt;0,"oc","va")</f>
        <v>oc</v>
      </c>
      <c r="G21" s="138" t="str">
        <f>IF(booking!M21&gt;0,"oc","va")</f>
        <v>oc</v>
      </c>
      <c r="H21" s="137" t="str">
        <f>IF(booking!P21&gt;0,"oc","va")</f>
        <v>oc</v>
      </c>
      <c r="I21" s="138" t="str">
        <f>IF(booking!Q21&gt;0,"oc","va")</f>
        <v>oc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oc</v>
      </c>
      <c r="E22" s="138" t="str">
        <f>IF(booking!I22&gt;0,"oc","va")</f>
        <v>va</v>
      </c>
      <c r="F22" s="137" t="str">
        <f>IF(booking!L22&gt;0,"oc","va")</f>
        <v>oc</v>
      </c>
      <c r="G22" s="138" t="str">
        <f>IF(booking!M22&gt;0,"oc","va")</f>
        <v>va</v>
      </c>
      <c r="H22" s="137" t="str">
        <f>IF(booking!P22&gt;0,"oc","va")</f>
        <v>oc</v>
      </c>
      <c r="I22" s="138" t="str">
        <f>IF(booking!Q22&gt;0,"oc","va")</f>
        <v>oc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oc</v>
      </c>
      <c r="I23" s="138" t="str">
        <f>IF(booking!Q23&gt;0,"oc","va")</f>
        <v>oc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oc</v>
      </c>
      <c r="I24" s="138" t="str">
        <f>IF(booking!Q24&gt;0,"oc","va")</f>
        <v>oc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oc</v>
      </c>
      <c r="I25" s="138" t="str">
        <f>IF(booking!Q25&gt;0,"oc","va")</f>
        <v>oc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oc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oc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oc</v>
      </c>
      <c r="K35" s="138" t="str">
        <f>IF(booking!U35&gt;0,"oc","va")</f>
        <v>oc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oc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oc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oc</v>
      </c>
      <c r="G51" s="138" t="str">
        <f>IF(booking!M51&gt;0,"oc","va")</f>
        <v>oc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oc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oc</v>
      </c>
      <c r="G52" s="138" t="str">
        <f>IF(booking!M52&gt;0,"oc","va")</f>
        <v>oc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oc</v>
      </c>
      <c r="K52" s="138" t="str">
        <f>IF(booking!U52&gt;0,"oc","va")</f>
        <v>oc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oc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oc</v>
      </c>
      <c r="G53" s="138" t="str">
        <f>IF(booking!M53&gt;0,"oc","va")</f>
        <v>oc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oc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">
      <c r="A54" s="5">
        <f>booking!C54</f>
        <v>46191</v>
      </c>
      <c r="B54" s="137" t="str">
        <f>IF(booking!D54&gt;0,"oc","va")</f>
        <v>oc</v>
      </c>
      <c r="C54" s="138" t="str">
        <f>IF(booking!E54&gt;0,"oc","va")</f>
        <v>oc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oc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">
      <c r="A55" s="5">
        <f>booking!C55</f>
        <v>46192</v>
      </c>
      <c r="B55" s="137" t="str">
        <f>IF(booking!D55&gt;0,"oc","va")</f>
        <v>oc</v>
      </c>
      <c r="C55" s="138" t="str">
        <f>IF(booking!E55&gt;0,"oc","va")</f>
        <v>oc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">
      <c r="A56" s="5">
        <f>booking!C56</f>
        <v>46193</v>
      </c>
      <c r="B56" s="137" t="str">
        <f>IF(booking!D56&gt;0,"oc","va")</f>
        <v>oc</v>
      </c>
      <c r="C56" s="138" t="str">
        <f>IF(booking!E56&gt;0,"oc","va")</f>
        <v>oc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">
      <c r="A57" s="5">
        <f>booking!C57</f>
        <v>46194</v>
      </c>
      <c r="B57" s="137" t="str">
        <f>IF(booking!D57&gt;0,"oc","va")</f>
        <v>oc</v>
      </c>
      <c r="C57" s="138" t="str">
        <f>IF(booking!E57&gt;0,"oc","va")</f>
        <v>oc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">
      <c r="A58" s="5">
        <f>booking!C58</f>
        <v>46195</v>
      </c>
      <c r="B58" s="137" t="str">
        <f>IF(booking!D58&gt;0,"oc","va")</f>
        <v>oc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oc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">
      <c r="A63" s="5">
        <f>booking!C63</f>
        <v>46200</v>
      </c>
      <c r="B63" s="137" t="str">
        <f>IF(booking!D63&gt;0,"oc","va")</f>
        <v>oc</v>
      </c>
      <c r="C63" s="138" t="str">
        <f>IF(booking!E63&gt;0,"oc","va")</f>
        <v>oc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">
      <c r="A64" s="5">
        <f>booking!C64</f>
        <v>46201</v>
      </c>
      <c r="B64" s="137" t="str">
        <f>IF(booking!D64&gt;0,"oc","va")</f>
        <v>oc</v>
      </c>
      <c r="C64" s="138" t="str">
        <f>IF(booking!E64&gt;0,"oc","va")</f>
        <v>oc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">
      <c r="A65" s="5">
        <f>booking!C65</f>
        <v>46202</v>
      </c>
      <c r="B65" s="137" t="str">
        <f>IF(booking!D65&gt;0,"oc","va")</f>
        <v>oc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oc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oc</v>
      </c>
      <c r="E68" s="138" t="str">
        <f>IF(booking!I68&gt;0,"oc","va")</f>
        <v>oc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oc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oc</v>
      </c>
      <c r="E69" s="138" t="str">
        <f>IF(booking!I69&gt;0,"oc","va")</f>
        <v>oc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oc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oc</v>
      </c>
      <c r="E70" s="138" t="str">
        <f>IF(booking!I70&gt;0,"oc","va")</f>
        <v>oc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oc</v>
      </c>
      <c r="E71" s="138" t="str">
        <f>IF(booking!I71&gt;0,"oc","va")</f>
        <v>oc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oc</v>
      </c>
      <c r="E72" s="138" t="str">
        <f>IF(booking!I72&gt;0,"oc","va")</f>
        <v>oc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oc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oc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oc</v>
      </c>
      <c r="G76" s="138" t="str">
        <f>IF(booking!M76&gt;0,"oc","va")</f>
        <v>oc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oc</v>
      </c>
      <c r="G77" s="138" t="str">
        <f>IF(booking!M77&gt;0,"oc","va")</f>
        <v>oc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oc</v>
      </c>
      <c r="G78" s="138" t="str">
        <f>IF(booking!M78&gt;0,"oc","va")</f>
        <v>oc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oc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oc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">
      <c r="A98" s="5">
        <f>booking!C98</f>
        <v>46235</v>
      </c>
      <c r="B98" s="137" t="str">
        <f>IF(booking!D98&gt;0,"oc","va")</f>
        <v>oc</v>
      </c>
      <c r="C98" s="138" t="str">
        <f>IF(booking!E98&gt;0,"oc","va")</f>
        <v>oc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">
      <c r="A99" s="5">
        <f>booking!C99</f>
        <v>46236</v>
      </c>
      <c r="B99" s="137" t="str">
        <f>IF(booking!D99&gt;0,"oc","va")</f>
        <v>oc</v>
      </c>
      <c r="C99" s="138" t="str">
        <f>IF(booking!E99&gt;0,"oc","va")</f>
        <v>oc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">
      <c r="A100" s="5">
        <f>booking!C100</f>
        <v>46237</v>
      </c>
      <c r="B100" s="137" t="str">
        <f>IF(booking!D100&gt;0,"oc","va")</f>
        <v>oc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oc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oc</v>
      </c>
      <c r="K105" s="138" t="str">
        <f>IF(booking!U105&gt;0,"oc","va")</f>
        <v>oc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oc</v>
      </c>
      <c r="K106" s="138" t="str">
        <f>IF(booking!U106&gt;0,"oc","va")</f>
        <v>oc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oc</v>
      </c>
      <c r="K107" s="138" t="str">
        <f>IF(booking!U107&gt;0,"oc","va")</f>
        <v>oc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oc</v>
      </c>
      <c r="K108" s="138" t="str">
        <f>IF(booking!U108&gt;0,"oc","va")</f>
        <v>oc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oc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oc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oc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oc</v>
      </c>
      <c r="D139" s="137" t="str">
        <f>IF(booking!H139&gt;0,"oc","va")</f>
        <v>va</v>
      </c>
      <c r="E139" s="138" t="str">
        <f>IF(booking!I139&gt;0,"oc","va")</f>
        <v>oc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">
      <c r="A140" s="5">
        <f>booking!C140</f>
        <v>46277</v>
      </c>
      <c r="B140" s="137" t="str">
        <f>IF(booking!D140&gt;0,"oc","va")</f>
        <v>oc</v>
      </c>
      <c r="C140" s="138" t="str">
        <f>IF(booking!E140&gt;0,"oc","va")</f>
        <v>oc</v>
      </c>
      <c r="D140" s="137" t="str">
        <f>IF(booking!H140&gt;0,"oc","va")</f>
        <v>oc</v>
      </c>
      <c r="E140" s="138" t="str">
        <f>IF(booking!I140&gt;0,"oc","va")</f>
        <v>oc</v>
      </c>
      <c r="F140" s="137" t="str">
        <f>IF(booking!L140&gt;0,"oc","va")</f>
        <v>va</v>
      </c>
      <c r="G140" s="138" t="str">
        <f>IF(booking!M140&gt;0,"oc","va")</f>
        <v>oc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">
      <c r="A141" s="5">
        <f>booking!C141</f>
        <v>46278</v>
      </c>
      <c r="B141" s="137" t="str">
        <f>IF(booking!D141&gt;0,"oc","va")</f>
        <v>oc</v>
      </c>
      <c r="C141" s="138" t="str">
        <f>IF(booking!E141&gt;0,"oc","va")</f>
        <v>va</v>
      </c>
      <c r="D141" s="137" t="str">
        <f>IF(booking!H141&gt;0,"oc","va")</f>
        <v>oc</v>
      </c>
      <c r="E141" s="138" t="str">
        <f>IF(booking!I141&gt;0,"oc","va")</f>
        <v>va</v>
      </c>
      <c r="F141" s="137" t="str">
        <f>IF(booking!L141&gt;0,"oc","va")</f>
        <v>oc</v>
      </c>
      <c r="G141" s="138" t="str">
        <f>IF(booking!M141&gt;0,"oc","va")</f>
        <v>oc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oc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oc</v>
      </c>
      <c r="G142" s="138" t="str">
        <f>IF(booking!M142&gt;0,"oc","va")</f>
        <v>oc</v>
      </c>
      <c r="H142" s="137" t="str">
        <f>IF(booking!P142&gt;0,"oc","va")</f>
        <v>va</v>
      </c>
      <c r="I142" s="138" t="str">
        <f>IF(booking!Q142&gt;0,"oc","va")</f>
        <v>oc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">
      <c r="A143" s="5">
        <f>booking!C143</f>
        <v>46280</v>
      </c>
      <c r="B143" s="137" t="str">
        <f>IF(booking!D143&gt;0,"oc","va")</f>
        <v>oc</v>
      </c>
      <c r="C143" s="138" t="str">
        <f>IF(booking!E143&gt;0,"oc","va")</f>
        <v>oc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oc</v>
      </c>
      <c r="G143" s="138" t="str">
        <f>IF(booking!M143&gt;0,"oc","va")</f>
        <v>oc</v>
      </c>
      <c r="H143" s="137" t="str">
        <f>IF(booking!P143&gt;0,"oc","va")</f>
        <v>oc</v>
      </c>
      <c r="I143" s="138" t="str">
        <f>IF(booking!Q143&gt;0,"oc","va")</f>
        <v>oc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">
      <c r="A144" s="5">
        <f>booking!C144</f>
        <v>46281</v>
      </c>
      <c r="B144" s="137" t="str">
        <f>IF(booking!D144&gt;0,"oc","va")</f>
        <v>oc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oc</v>
      </c>
      <c r="G144" s="138" t="str">
        <f>IF(booking!M144&gt;0,"oc","va")</f>
        <v>oc</v>
      </c>
      <c r="H144" s="137" t="str">
        <f>IF(booking!P144&gt;0,"oc","va")</f>
        <v>oc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oc</v>
      </c>
      <c r="G145" s="138" t="str">
        <f>IF(booking!M145&gt;0,"oc","va")</f>
        <v>oc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oc</v>
      </c>
      <c r="G146" s="138" t="str">
        <f>IF(booking!M146&gt;0,"oc","va")</f>
        <v>oc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oc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">
      <c r="A172" s="5"/>
      <c r="C172" s="17"/>
    </row>
    <row r="173" spans="1:13" x14ac:dyDescent="0.3">
      <c r="A173" s="5"/>
      <c r="C173" s="17"/>
    </row>
    <row r="174" spans="1:13" x14ac:dyDescent="0.3">
      <c r="A174" s="5"/>
      <c r="C174" s="17"/>
    </row>
    <row r="175" spans="1:13" x14ac:dyDescent="0.3">
      <c r="A175" s="5"/>
      <c r="C175" s="17"/>
    </row>
    <row r="176" spans="1:13" x14ac:dyDescent="0.3">
      <c r="A176" s="5"/>
      <c r="C176" s="17"/>
    </row>
    <row r="177" spans="1:3" x14ac:dyDescent="0.3">
      <c r="A177" s="5"/>
      <c r="C177" s="17"/>
    </row>
    <row r="178" spans="1:3" x14ac:dyDescent="0.3">
      <c r="A178" s="5"/>
      <c r="C178" s="17"/>
    </row>
    <row r="179" spans="1:3" x14ac:dyDescent="0.3">
      <c r="A179" s="5"/>
      <c r="C179" s="17"/>
    </row>
    <row r="180" spans="1:3" x14ac:dyDescent="0.3">
      <c r="A180" s="5"/>
      <c r="C180" s="17"/>
    </row>
    <row r="181" spans="1:3" x14ac:dyDescent="0.3">
      <c r="A181" s="5"/>
      <c r="C181" s="17"/>
    </row>
    <row r="182" spans="1:3" x14ac:dyDescent="0.3">
      <c r="A182" s="5"/>
      <c r="C182" s="17"/>
    </row>
    <row r="183" spans="1:3" x14ac:dyDescent="0.3">
      <c r="A183" s="5"/>
      <c r="C183" s="17"/>
    </row>
    <row r="184" spans="1:3" x14ac:dyDescent="0.3">
      <c r="A184" s="5"/>
      <c r="C184" s="17"/>
    </row>
    <row r="185" spans="1:3" x14ac:dyDescent="0.3">
      <c r="A185" s="5"/>
      <c r="C185" s="17"/>
    </row>
    <row r="186" spans="1:3" x14ac:dyDescent="0.3">
      <c r="A186" s="5"/>
      <c r="C186" s="17"/>
    </row>
    <row r="187" spans="1:3" x14ac:dyDescent="0.3">
      <c r="A187" s="5"/>
      <c r="C187" s="17"/>
    </row>
    <row r="188" spans="1:3" x14ac:dyDescent="0.3">
      <c r="A188" s="5"/>
      <c r="C188" s="17"/>
    </row>
    <row r="189" spans="1:3" x14ac:dyDescent="0.3">
      <c r="A189" s="5"/>
      <c r="C189" s="17"/>
    </row>
    <row r="190" spans="1:3" x14ac:dyDescent="0.3">
      <c r="A190" s="5"/>
      <c r="C190" s="17"/>
    </row>
    <row r="191" spans="1:3" x14ac:dyDescent="0.3">
      <c r="A191" s="5"/>
      <c r="C191" s="17"/>
    </row>
    <row r="192" spans="1:3" x14ac:dyDescent="0.3">
      <c r="A192" s="5"/>
      <c r="C192" s="17"/>
    </row>
    <row r="193" spans="1:3" x14ac:dyDescent="0.3">
      <c r="A193" s="5"/>
      <c r="C193" s="17"/>
    </row>
    <row r="194" spans="1:3" x14ac:dyDescent="0.3">
      <c r="A194" s="5"/>
      <c r="C194" s="17"/>
    </row>
    <row r="195" spans="1:3" x14ac:dyDescent="0.3">
      <c r="A195" s="5"/>
      <c r="C195" s="17"/>
    </row>
    <row r="196" spans="1:3" x14ac:dyDescent="0.3">
      <c r="A196" s="5"/>
      <c r="C196" s="17"/>
    </row>
    <row r="197" spans="1:3" x14ac:dyDescent="0.3">
      <c r="A197" s="5"/>
      <c r="C197" s="17"/>
    </row>
    <row r="198" spans="1:3" x14ac:dyDescent="0.3">
      <c r="A198" s="5"/>
      <c r="C198" s="17"/>
    </row>
    <row r="199" spans="1:3" x14ac:dyDescent="0.3">
      <c r="A199" s="5"/>
      <c r="C199" s="17"/>
    </row>
    <row r="200" spans="1:3" x14ac:dyDescent="0.3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2026-03-26T08:44:27Z</cp:lastPrinted>
  <dcterms:created xsi:type="dcterms:W3CDTF">2024-07-25T07:35:10Z</dcterms:created>
  <dcterms:modified xsi:type="dcterms:W3CDTF">2026-03-26T16:12:46Z</dcterms:modified>
  <cp:category/>
  <cp:contentStatus/>
</cp:coreProperties>
</file>