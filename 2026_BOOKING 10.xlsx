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filer/"/>
    </mc:Choice>
  </mc:AlternateContent>
  <xr:revisionPtr revIDLastSave="0" documentId="114_{97BF4A03-C156-4224-AAC9-47EFFE8A7E54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" i="3" l="1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8" i="3"/>
  <c r="BO8" i="3"/>
  <c r="BP8" i="3"/>
  <c r="BQ8" i="3"/>
  <c r="BR8" i="3"/>
  <c r="BS8" i="3"/>
  <c r="BT8" i="3"/>
  <c r="BL8" i="3" s="1"/>
  <c r="BU8" i="3"/>
  <c r="BM8" i="3" s="1"/>
  <c r="BV8" i="3"/>
  <c r="BW8" i="3"/>
  <c r="BX8" i="3"/>
  <c r="BY8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5" i="3"/>
  <c r="BL15" i="3" s="1"/>
  <c r="BO15" i="3"/>
  <c r="BP15" i="3"/>
  <c r="BQ15" i="3"/>
  <c r="BM15" i="3" s="1"/>
  <c r="BR15" i="3"/>
  <c r="BS15" i="3"/>
  <c r="BT15" i="3"/>
  <c r="BU15" i="3"/>
  <c r="BV15" i="3"/>
  <c r="BW15" i="3"/>
  <c r="BX15" i="3"/>
  <c r="BY15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19" i="3"/>
  <c r="BO19" i="3"/>
  <c r="BP19" i="3"/>
  <c r="BQ19" i="3"/>
  <c r="BR19" i="3"/>
  <c r="BS19" i="3"/>
  <c r="BT19" i="3"/>
  <c r="BU19" i="3"/>
  <c r="BV19" i="3"/>
  <c r="BW19" i="3"/>
  <c r="BX19" i="3"/>
  <c r="BL19" i="3" s="1"/>
  <c r="BY19" i="3"/>
  <c r="BM19" i="3" s="1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7" i="3"/>
  <c r="BL27" i="3" s="1"/>
  <c r="BO27" i="3"/>
  <c r="BP27" i="3"/>
  <c r="BQ27" i="3"/>
  <c r="BM27" i="3" s="1"/>
  <c r="BR27" i="3"/>
  <c r="BS27" i="3"/>
  <c r="BT27" i="3"/>
  <c r="BU27" i="3"/>
  <c r="BV27" i="3"/>
  <c r="BW27" i="3"/>
  <c r="BX27" i="3"/>
  <c r="BY27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60" i="3"/>
  <c r="BL60" i="3" s="1"/>
  <c r="BO60" i="3"/>
  <c r="BM60" i="3" s="1"/>
  <c r="BP60" i="3"/>
  <c r="BQ60" i="3"/>
  <c r="BR60" i="3"/>
  <c r="BS60" i="3"/>
  <c r="BT60" i="3"/>
  <c r="BU60" i="3"/>
  <c r="BV60" i="3"/>
  <c r="BW60" i="3"/>
  <c r="BX60" i="3"/>
  <c r="BY60" i="3"/>
  <c r="BN61" i="3"/>
  <c r="BO61" i="3"/>
  <c r="BP61" i="3"/>
  <c r="BQ61" i="3"/>
  <c r="BR61" i="3"/>
  <c r="BS61" i="3"/>
  <c r="BT61" i="3"/>
  <c r="BU61" i="3"/>
  <c r="BV61" i="3"/>
  <c r="BW61" i="3"/>
  <c r="BX61" i="3"/>
  <c r="BL61" i="3" s="1"/>
  <c r="BY61" i="3"/>
  <c r="BM61" i="3" s="1"/>
  <c r="BN62" i="3"/>
  <c r="BO62" i="3"/>
  <c r="BP62" i="3"/>
  <c r="BQ62" i="3"/>
  <c r="BR62" i="3"/>
  <c r="BL62" i="3" s="1"/>
  <c r="BS62" i="3"/>
  <c r="BT62" i="3"/>
  <c r="BU62" i="3"/>
  <c r="BM62" i="3" s="1"/>
  <c r="BV62" i="3"/>
  <c r="BW62" i="3"/>
  <c r="BX62" i="3"/>
  <c r="BY62" i="3"/>
  <c r="BN63" i="3"/>
  <c r="BL63" i="3" s="1"/>
  <c r="BO63" i="3"/>
  <c r="BP63" i="3"/>
  <c r="BQ63" i="3"/>
  <c r="BM63" i="3" s="1"/>
  <c r="BR63" i="3"/>
  <c r="BS63" i="3"/>
  <c r="BT63" i="3"/>
  <c r="BU63" i="3"/>
  <c r="BV63" i="3"/>
  <c r="BW63" i="3"/>
  <c r="BX63" i="3"/>
  <c r="BY63" i="3"/>
  <c r="BN64" i="3"/>
  <c r="BL64" i="3" s="1"/>
  <c r="BO64" i="3"/>
  <c r="BM64" i="3" s="1"/>
  <c r="BP64" i="3"/>
  <c r="BQ64" i="3"/>
  <c r="BR64" i="3"/>
  <c r="BS64" i="3"/>
  <c r="BT64" i="3"/>
  <c r="BU64" i="3"/>
  <c r="BV64" i="3"/>
  <c r="BW64" i="3"/>
  <c r="BX64" i="3"/>
  <c r="BY64" i="3"/>
  <c r="BN65" i="3"/>
  <c r="BL65" i="3" s="1"/>
  <c r="BO65" i="3"/>
  <c r="BM65" i="3" s="1"/>
  <c r="BP65" i="3"/>
  <c r="BQ65" i="3"/>
  <c r="BR65" i="3"/>
  <c r="BS65" i="3"/>
  <c r="BT65" i="3"/>
  <c r="BU65" i="3"/>
  <c r="BV65" i="3"/>
  <c r="BW65" i="3"/>
  <c r="BX65" i="3"/>
  <c r="BY65" i="3"/>
  <c r="BN66" i="3"/>
  <c r="BL66" i="3" s="1"/>
  <c r="BO66" i="3"/>
  <c r="BM66" i="3" s="1"/>
  <c r="BP66" i="3"/>
  <c r="BQ66" i="3"/>
  <c r="BR66" i="3"/>
  <c r="BS66" i="3"/>
  <c r="BT66" i="3"/>
  <c r="BU66" i="3"/>
  <c r="BV66" i="3"/>
  <c r="BW66" i="3"/>
  <c r="BX66" i="3"/>
  <c r="BY66" i="3"/>
  <c r="BN67" i="3"/>
  <c r="BO67" i="3"/>
  <c r="BP67" i="3"/>
  <c r="BQ67" i="3"/>
  <c r="BR67" i="3"/>
  <c r="BS67" i="3"/>
  <c r="BT67" i="3"/>
  <c r="BU67" i="3"/>
  <c r="BV67" i="3"/>
  <c r="BW67" i="3"/>
  <c r="BX67" i="3"/>
  <c r="BL67" i="3" s="1"/>
  <c r="BY67" i="3"/>
  <c r="BM67" i="3" s="1"/>
  <c r="BN68" i="3"/>
  <c r="BO68" i="3"/>
  <c r="BP68" i="3"/>
  <c r="BQ68" i="3"/>
  <c r="BR68" i="3"/>
  <c r="BL68" i="3" s="1"/>
  <c r="BS68" i="3"/>
  <c r="BT68" i="3"/>
  <c r="BU68" i="3"/>
  <c r="BM68" i="3" s="1"/>
  <c r="BV68" i="3"/>
  <c r="BW68" i="3"/>
  <c r="BX68" i="3"/>
  <c r="BY68" i="3"/>
  <c r="BN69" i="3"/>
  <c r="BL69" i="3" s="1"/>
  <c r="BO69" i="3"/>
  <c r="BP69" i="3"/>
  <c r="BQ69" i="3"/>
  <c r="BM69" i="3" s="1"/>
  <c r="BR69" i="3"/>
  <c r="BS69" i="3"/>
  <c r="BT69" i="3"/>
  <c r="BU69" i="3"/>
  <c r="BV69" i="3"/>
  <c r="BW69" i="3"/>
  <c r="BX69" i="3"/>
  <c r="BY69" i="3"/>
  <c r="BN70" i="3"/>
  <c r="BL70" i="3" s="1"/>
  <c r="BO70" i="3"/>
  <c r="BM70" i="3" s="1"/>
  <c r="BP70" i="3"/>
  <c r="BQ70" i="3"/>
  <c r="BR70" i="3"/>
  <c r="BS70" i="3"/>
  <c r="BT70" i="3"/>
  <c r="BU70" i="3"/>
  <c r="BV70" i="3"/>
  <c r="BW70" i="3"/>
  <c r="BX70" i="3"/>
  <c r="BY70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8" i="3"/>
  <c r="BC8" i="3"/>
  <c r="BD8" i="3"/>
  <c r="BE8" i="3"/>
  <c r="BF8" i="3"/>
  <c r="BG8" i="3"/>
  <c r="BH8" i="3"/>
  <c r="BI8" i="3"/>
  <c r="BJ8" i="3"/>
  <c r="BK8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5" i="3"/>
  <c r="BC15" i="3"/>
  <c r="BD15" i="3"/>
  <c r="BE15" i="3"/>
  <c r="BF15" i="3"/>
  <c r="BG15" i="3"/>
  <c r="BH15" i="3"/>
  <c r="BI15" i="3"/>
  <c r="BJ15" i="3"/>
  <c r="BK15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19" i="3"/>
  <c r="BC19" i="3"/>
  <c r="BD19" i="3"/>
  <c r="BE19" i="3"/>
  <c r="BF19" i="3"/>
  <c r="BG19" i="3"/>
  <c r="BH19" i="3"/>
  <c r="BI19" i="3"/>
  <c r="BJ19" i="3"/>
  <c r="BK19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7" i="3"/>
  <c r="BC27" i="3"/>
  <c r="BD27" i="3"/>
  <c r="BE27" i="3"/>
  <c r="BF27" i="3"/>
  <c r="BG27" i="3"/>
  <c r="BH27" i="3"/>
  <c r="BI27" i="3"/>
  <c r="BJ27" i="3"/>
  <c r="BK27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60" i="3"/>
  <c r="BC60" i="3"/>
  <c r="BD60" i="3"/>
  <c r="BE60" i="3"/>
  <c r="BF60" i="3"/>
  <c r="BG60" i="3"/>
  <c r="BH60" i="3"/>
  <c r="BI60" i="3"/>
  <c r="BJ60" i="3"/>
  <c r="BK60" i="3"/>
  <c r="BB61" i="3"/>
  <c r="BC61" i="3"/>
  <c r="BD61" i="3"/>
  <c r="BE61" i="3"/>
  <c r="BF61" i="3"/>
  <c r="BG61" i="3"/>
  <c r="BH61" i="3"/>
  <c r="BI61" i="3"/>
  <c r="BJ61" i="3"/>
  <c r="BK61" i="3"/>
  <c r="BB62" i="3"/>
  <c r="BC62" i="3"/>
  <c r="BD62" i="3"/>
  <c r="BE62" i="3"/>
  <c r="BF62" i="3"/>
  <c r="BG62" i="3"/>
  <c r="BH62" i="3"/>
  <c r="BI62" i="3"/>
  <c r="BJ62" i="3"/>
  <c r="BK62" i="3"/>
  <c r="BB63" i="3"/>
  <c r="BC63" i="3"/>
  <c r="BD63" i="3"/>
  <c r="BE63" i="3"/>
  <c r="BF63" i="3"/>
  <c r="BG63" i="3"/>
  <c r="BH63" i="3"/>
  <c r="BI63" i="3"/>
  <c r="BJ63" i="3"/>
  <c r="BK63" i="3"/>
  <c r="BB64" i="3"/>
  <c r="BC64" i="3"/>
  <c r="BD64" i="3"/>
  <c r="BE64" i="3"/>
  <c r="BF64" i="3"/>
  <c r="BG64" i="3"/>
  <c r="BH64" i="3"/>
  <c r="BI64" i="3"/>
  <c r="BJ64" i="3"/>
  <c r="BK64" i="3"/>
  <c r="BB65" i="3"/>
  <c r="BC65" i="3"/>
  <c r="BD65" i="3"/>
  <c r="BE65" i="3"/>
  <c r="BF65" i="3"/>
  <c r="BG65" i="3"/>
  <c r="BH65" i="3"/>
  <c r="BI65" i="3"/>
  <c r="BJ65" i="3"/>
  <c r="BK65" i="3"/>
  <c r="BB66" i="3"/>
  <c r="BC66" i="3"/>
  <c r="BD66" i="3"/>
  <c r="BE66" i="3"/>
  <c r="BF66" i="3"/>
  <c r="BG66" i="3"/>
  <c r="BH66" i="3"/>
  <c r="BI66" i="3"/>
  <c r="BJ66" i="3"/>
  <c r="BK66" i="3"/>
  <c r="BB67" i="3"/>
  <c r="BC67" i="3"/>
  <c r="BD67" i="3"/>
  <c r="BE67" i="3"/>
  <c r="BF67" i="3"/>
  <c r="BG67" i="3"/>
  <c r="BH67" i="3"/>
  <c r="BI67" i="3"/>
  <c r="BJ67" i="3"/>
  <c r="BK67" i="3"/>
  <c r="BB68" i="3"/>
  <c r="BC68" i="3"/>
  <c r="BD68" i="3"/>
  <c r="BE68" i="3"/>
  <c r="BF68" i="3"/>
  <c r="BG68" i="3"/>
  <c r="BH68" i="3"/>
  <c r="BI68" i="3"/>
  <c r="BJ68" i="3"/>
  <c r="BK68" i="3"/>
  <c r="BB69" i="3"/>
  <c r="BC69" i="3"/>
  <c r="BD69" i="3"/>
  <c r="BE69" i="3"/>
  <c r="BF69" i="3"/>
  <c r="BG69" i="3"/>
  <c r="BH69" i="3"/>
  <c r="BI69" i="3"/>
  <c r="BJ69" i="3"/>
  <c r="BK69" i="3"/>
  <c r="BB70" i="3"/>
  <c r="BC70" i="3"/>
  <c r="BD70" i="3"/>
  <c r="BE70" i="3"/>
  <c r="BF70" i="3"/>
  <c r="BG70" i="3"/>
  <c r="BH70" i="3"/>
  <c r="BI70" i="3"/>
  <c r="BJ70" i="3"/>
  <c r="BK70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5" i="3"/>
  <c r="M16" i="3"/>
  <c r="M18" i="3"/>
  <c r="M19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N17" i="3" l="1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7" i="3" l="1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BL196" i="3" s="1"/>
  <c r="L198" i="3"/>
  <c r="L200" i="3" s="1"/>
  <c r="M198" i="3"/>
  <c r="M200" i="3" s="1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BM196" i="3" l="1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<sst xmlns="http://schemas.openxmlformats.org/spreadsheetml/2006/main" count="849" uniqueCount="311">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</sst>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308</c:v>
                </c:pt>
                <c:pt idx="5">
                  <c:v>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94</c:v>
                </c:pt>
                <c:pt idx="1">
                  <c:v>11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420</c:v>
                </c:pt>
                <c:pt idx="1">
                  <c:v>45</c:v>
                </c:pt>
                <c:pt idx="2">
                  <c:v>0</c:v>
                </c:pt>
                <c:pt idx="3">
                  <c:v>83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94</c:v>
                </c:pt>
                <c:pt idx="1">
                  <c:v>11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420</c:v>
                </c:pt>
                <c:pt idx="1">
                  <c:v>45</c:v>
                </c:pt>
                <c:pt idx="2">
                  <c:v>0</c:v>
                </c:pt>
                <c:pt idx="3">
                  <c:v>83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308</c:v>
                </c:pt>
                <c:pt idx="5">
                  <c:v>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53" activePane="bottomLeft" state="frozen"/>
      <selection pane="bottomLeft" activeCell="H56" sqref="H5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7" bestFit="1" customWidth="1"/>
    <col min="15" max="15" width="16.08984375" customWidth="1"/>
    <col min="16" max="16" width="8.54296875" style="2"/>
    <col min="17" max="17" width="8.54296875" style="2" customWidth="1"/>
    <col min="18" max="18" width="12.5429687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1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7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8" t="s">
        <v>170</v>
      </c>
      <c r="N2" s="162"/>
      <c r="O2" s="111" t="s">
        <v>171</v>
      </c>
      <c r="P2" s="133"/>
      <c r="Q2" s="133" t="s">
        <v>21</v>
      </c>
      <c r="R2" s="173">
        <v>7267.5</v>
      </c>
      <c r="S2" s="167" t="s">
        <v>20</v>
      </c>
      <c r="T2" t="s">
        <v>172</v>
      </c>
    </row>
    <row r="3" spans="1:20" x14ac:dyDescent="0.35">
      <c r="A3" s="148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9" t="s">
        <v>174</v>
      </c>
      <c r="N3" s="163"/>
      <c r="O3" s="113" t="s">
        <v>175</v>
      </c>
      <c r="P3" s="134"/>
      <c r="Q3" s="134" t="s">
        <v>21</v>
      </c>
      <c r="R3" s="173">
        <v>8740</v>
      </c>
      <c r="S3" s="168" t="s">
        <v>20</v>
      </c>
    </row>
    <row r="4" spans="1:20" x14ac:dyDescent="0.35">
      <c r="A4" s="147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8" t="s">
        <v>174</v>
      </c>
      <c r="N4" s="162"/>
      <c r="O4" s="111" t="s">
        <v>175</v>
      </c>
      <c r="P4" s="133"/>
      <c r="Q4" s="133" t="s">
        <v>21</v>
      </c>
      <c r="R4" s="173">
        <v>2070</v>
      </c>
      <c r="S4" s="167" t="s">
        <v>20</v>
      </c>
      <c r="T4" s="131"/>
    </row>
    <row r="5" spans="1:20" x14ac:dyDescent="0.35">
      <c r="A5" s="148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9" t="s">
        <v>178</v>
      </c>
      <c r="N5" s="164">
        <v>4530267986</v>
      </c>
      <c r="O5" s="113" t="s">
        <v>179</v>
      </c>
      <c r="P5" s="134"/>
      <c r="Q5" s="134" t="s">
        <v>21</v>
      </c>
      <c r="R5" s="173">
        <v>9180</v>
      </c>
      <c r="S5" s="168" t="s">
        <v>21</v>
      </c>
      <c r="T5" t="s">
        <v>177</v>
      </c>
    </row>
    <row r="6" spans="1:20" x14ac:dyDescent="0.35">
      <c r="A6" s="147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8" t="s">
        <v>181</v>
      </c>
      <c r="N6" s="162"/>
      <c r="O6" s="111"/>
      <c r="P6" s="133"/>
      <c r="Q6" s="133" t="s">
        <v>21</v>
      </c>
      <c r="R6" s="173">
        <v>5175</v>
      </c>
      <c r="S6" s="167" t="s">
        <v>20</v>
      </c>
    </row>
    <row r="7" spans="1:20" x14ac:dyDescent="0.35">
      <c r="A7" s="147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N7" s="17"/>
      <c r="O7" s="2"/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8">
        <v>7</v>
      </c>
      <c r="B8" s="126" t="s">
        <v>185</v>
      </c>
      <c r="C8" s="129">
        <v>46206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64">
        <v>4522701312</v>
      </c>
      <c r="O8" s="2" t="s">
        <v>187</v>
      </c>
      <c r="Q8" s="2" t="s">
        <v>20</v>
      </c>
      <c r="R8" s="173">
        <v>6772.5</v>
      </c>
      <c r="S8" s="2" t="s">
        <v>21</v>
      </c>
    </row>
    <row r="9" spans="1:20" x14ac:dyDescent="0.35">
      <c r="A9" s="147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64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7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N10" s="165"/>
      <c r="O10" s="2" t="s">
        <v>194</v>
      </c>
      <c r="Q10" s="2" t="s">
        <v>21</v>
      </c>
      <c r="R10" s="173">
        <v>7245</v>
      </c>
      <c r="S10" s="2" t="s">
        <v>21</v>
      </c>
    </row>
    <row r="11" spans="1:20" x14ac:dyDescent="0.35">
      <c r="A11" s="148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7">
        <v>4561557600</v>
      </c>
      <c r="O11" s="2"/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7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N12" s="17"/>
      <c r="O12" s="2"/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7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60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8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60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7">
        <v>14</v>
      </c>
      <c r="B15" s="126" t="s">
        <v>209</v>
      </c>
      <c r="C15" s="24">
        <v>46206</v>
      </c>
      <c r="D15" s="24">
        <v>46214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60" t="s">
        <v>212</v>
      </c>
      <c r="N15" s="160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7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77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8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60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7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60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7">
        <v>18</v>
      </c>
      <c r="B19" s="126" t="s">
        <v>219</v>
      </c>
      <c r="C19" s="24">
        <v>46183</v>
      </c>
      <c r="D19" s="24">
        <v>46188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60" t="s">
        <v>220</v>
      </c>
      <c r="N19" s="160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8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60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7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73">
        <v>12420</v>
      </c>
      <c r="S21" s="2" t="s">
        <v>38</v>
      </c>
      <c r="T21" t="s">
        <v>249</v>
      </c>
    </row>
    <row r="22" spans="1:20" x14ac:dyDescent="0.35">
      <c r="A22" s="147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60">
        <v>46705125490</v>
      </c>
      <c r="O22" t="s">
        <v>244</v>
      </c>
      <c r="Q22" s="2" t="s">
        <v>21</v>
      </c>
      <c r="R22" s="173">
        <v>5175</v>
      </c>
      <c r="S22" s="2" t="s">
        <v>38</v>
      </c>
      <c r="T22" t="s">
        <v>246</v>
      </c>
    </row>
    <row r="23" spans="1:20" x14ac:dyDescent="0.35">
      <c r="A23" s="148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7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73">
        <v>3825</v>
      </c>
      <c r="S24" s="2" t="s">
        <v>20</v>
      </c>
    </row>
    <row r="25" spans="1:20" x14ac:dyDescent="0.35">
      <c r="A25" s="147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73">
        <v>3825</v>
      </c>
      <c r="S25" s="2" t="s">
        <v>20</v>
      </c>
    </row>
    <row r="26" spans="1:20" x14ac:dyDescent="0.35">
      <c r="A26" s="148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7">
        <v>26</v>
      </c>
      <c r="B27" t="s">
        <v>238</v>
      </c>
      <c r="C27" s="24">
        <v>46251</v>
      </c>
      <c r="D27" s="24">
        <v>46254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66"/>
      <c r="Q27" s="2" t="s">
        <v>21</v>
      </c>
      <c r="R27" s="132">
        <v>3450</v>
      </c>
      <c r="S27" s="2" t="s">
        <v>20</v>
      </c>
    </row>
    <row r="28" spans="1:20" x14ac:dyDescent="0.35">
      <c r="A28" s="147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60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8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7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7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60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8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77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7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7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8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7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4" t="s">
        <v>263</v>
      </c>
      <c r="N36" s="160">
        <v>46733448215</v>
      </c>
      <c r="O36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7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8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7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77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60">
        <v>4531909358</v>
      </c>
      <c r="O48" s="16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74" t="s">
        <v>278</v>
      </c>
      <c r="N52" s="160">
        <v>4540474386</v>
      </c>
      <c r="O52" s="16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73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60">
        <v>466700686</v>
      </c>
      <c r="O58" t="s">
        <v>304</v>
      </c>
      <c r="Q58" s="2" t="s">
        <v>20</v>
      </c>
      <c r="R58" s="173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73">
        <v>4590</v>
      </c>
      <c r="S59" s="2" t="s">
        <v>38</v>
      </c>
      <c r="T59" t="s">
        <v>302</v>
      </c>
    </row>
    <row r="60" spans="1:20" x14ac:dyDescent="0.35">
      <c r="A60" s="2">
        <v>59</v>
      </c>
      <c r="M60" s="123"/>
    </row>
    <row r="61" spans="1:20" x14ac:dyDescent="0.35">
      <c r="A61" s="2">
        <v>60</v>
      </c>
    </row>
    <row r="62" spans="1:20" x14ac:dyDescent="0.35">
      <c r="A62" s="2">
        <v>61</v>
      </c>
      <c r="M62" s="123"/>
    </row>
    <row r="63" spans="1:20" x14ac:dyDescent="0.35">
      <c r="A63" s="2">
        <v>62</v>
      </c>
    </row>
    <row r="64" spans="1:20" x14ac:dyDescent="0.35">
      <c r="A64" s="2">
        <v>63</v>
      </c>
      <c r="M64" s="123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3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</hyperlinks>
  <pageMargins left="0.7" right="0.7" top="0.75" bottom="0.75" header="0.3" footer="0.3"/>
  <legacy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X1" workbookViewId="0">
      <pane ySplit="1" topLeftCell="A11" activePane="bottomLeft" state="frozen"/>
      <selection pane="bottomLeft" activeCell="BL2" sqref="BL2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9" t="s">
        <v>299</v>
      </c>
      <c r="BW1" s="189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30"/>
        <v>8</v>
      </c>
      <c r="L8">
        <f t="shared" si="31"/>
        <v>8</v>
      </c>
      <c r="M8">
        <f t="shared" si="32"/>
        <v>8</v>
      </c>
      <c r="N8">
        <f t="shared" si="5"/>
        <v>8</v>
      </c>
      <c r="O8">
        <f t="shared" si="5"/>
        <v>8</v>
      </c>
      <c r="P8">
        <f t="shared" si="5"/>
        <v>8</v>
      </c>
      <c r="Q8">
        <f t="shared" si="5"/>
        <v>8</v>
      </c>
      <c r="R8">
        <f t="shared" si="5"/>
        <v>8</v>
      </c>
      <c r="S8">
        <f t="shared" si="5"/>
        <v>8</v>
      </c>
      <c r="T8">
        <f t="shared" si="5"/>
        <v>8</v>
      </c>
      <c r="U8">
        <f t="shared" si="5"/>
        <v>8</v>
      </c>
      <c r="V8">
        <f t="shared" si="5"/>
        <v>8</v>
      </c>
      <c r="W8">
        <f t="shared" si="5"/>
        <v>8</v>
      </c>
      <c r="X8">
        <f t="shared" si="6"/>
        <v>8</v>
      </c>
      <c r="Y8">
        <f t="shared" si="6"/>
        <v>8</v>
      </c>
      <c r="Z8">
        <f t="shared" si="6"/>
        <v>8</v>
      </c>
      <c r="AA8">
        <f t="shared" si="6"/>
        <v>8</v>
      </c>
      <c r="AB8">
        <f t="shared" si="6"/>
        <v>8</v>
      </c>
      <c r="AC8">
        <f t="shared" si="6"/>
        <v>8</v>
      </c>
      <c r="AD8">
        <f t="shared" si="6"/>
        <v>8</v>
      </c>
      <c r="AE8">
        <f t="shared" si="6"/>
        <v>8</v>
      </c>
      <c r="AF8">
        <f t="shared" si="6"/>
        <v>8</v>
      </c>
      <c r="AG8">
        <f t="shared" si="6"/>
        <v>8</v>
      </c>
      <c r="AH8">
        <f t="shared" si="7"/>
        <v>8</v>
      </c>
      <c r="AI8">
        <f t="shared" si="7"/>
        <v>8</v>
      </c>
      <c r="AJ8">
        <f t="shared" si="7"/>
        <v>8</v>
      </c>
      <c r="AK8">
        <f t="shared" si="7"/>
        <v>8</v>
      </c>
      <c r="AL8">
        <f t="shared" si="7"/>
        <v>8</v>
      </c>
      <c r="AM8">
        <f t="shared" si="7"/>
        <v>8</v>
      </c>
      <c r="AN8">
        <f t="shared" si="7"/>
        <v>8</v>
      </c>
      <c r="AO8">
        <f t="shared" si="7"/>
        <v>8</v>
      </c>
      <c r="AP8">
        <f t="shared" si="7"/>
        <v>8</v>
      </c>
      <c r="AQ8">
        <f t="shared" si="7"/>
        <v>8</v>
      </c>
      <c r="AR8">
        <f t="shared" si="8"/>
        <v>8</v>
      </c>
      <c r="AS8">
        <f t="shared" si="8"/>
        <v>8</v>
      </c>
      <c r="AT8">
        <f t="shared" si="8"/>
        <v>8</v>
      </c>
      <c r="AU8">
        <f t="shared" si="8"/>
        <v>8</v>
      </c>
      <c r="AV8">
        <f t="shared" si="8"/>
        <v>8</v>
      </c>
      <c r="AW8">
        <f t="shared" si="8"/>
        <v>8</v>
      </c>
      <c r="AX8">
        <f t="shared" si="8"/>
        <v>8</v>
      </c>
      <c r="BB8" s="34">
        <f t="shared" si="9"/>
        <v>2</v>
      </c>
      <c r="BC8" s="34">
        <f t="shared" si="10"/>
        <v>16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32"/>
        <v>8</v>
      </c>
      <c r="N15">
        <f t="shared" si="33"/>
        <v>8</v>
      </c>
      <c r="O15">
        <f t="shared" si="33"/>
        <v>8</v>
      </c>
      <c r="P15">
        <f t="shared" si="33"/>
        <v>8</v>
      </c>
      <c r="Q15">
        <f t="shared" si="33"/>
        <v>8</v>
      </c>
      <c r="R15">
        <f t="shared" si="33"/>
        <v>8</v>
      </c>
      <c r="S15">
        <f t="shared" si="33"/>
        <v>8</v>
      </c>
      <c r="T15">
        <f t="shared" si="33"/>
        <v>8</v>
      </c>
      <c r="U15">
        <f t="shared" si="33"/>
        <v>8</v>
      </c>
      <c r="V15">
        <f t="shared" si="33"/>
        <v>8</v>
      </c>
      <c r="W15">
        <f t="shared" si="33"/>
        <v>8</v>
      </c>
      <c r="X15">
        <f t="shared" si="34"/>
        <v>8</v>
      </c>
      <c r="Y15">
        <f t="shared" si="34"/>
        <v>8</v>
      </c>
      <c r="Z15">
        <f t="shared" si="34"/>
        <v>8</v>
      </c>
      <c r="AA15">
        <f t="shared" si="34"/>
        <v>8</v>
      </c>
      <c r="AB15">
        <f t="shared" si="34"/>
        <v>8</v>
      </c>
      <c r="AC15">
        <f t="shared" si="34"/>
        <v>8</v>
      </c>
      <c r="AD15">
        <f t="shared" si="34"/>
        <v>8</v>
      </c>
      <c r="AE15">
        <f t="shared" si="34"/>
        <v>8</v>
      </c>
      <c r="AF15">
        <f t="shared" si="34"/>
        <v>8</v>
      </c>
      <c r="AG15">
        <f t="shared" si="34"/>
        <v>8</v>
      </c>
      <c r="AH15">
        <f t="shared" si="35"/>
        <v>8</v>
      </c>
      <c r="AI15">
        <f t="shared" si="35"/>
        <v>8</v>
      </c>
      <c r="AJ15">
        <f t="shared" si="35"/>
        <v>8</v>
      </c>
      <c r="AK15">
        <f t="shared" si="35"/>
        <v>8</v>
      </c>
      <c r="AL15">
        <f t="shared" si="35"/>
        <v>8</v>
      </c>
      <c r="AM15">
        <f t="shared" si="35"/>
        <v>8</v>
      </c>
      <c r="AN15">
        <f t="shared" si="35"/>
        <v>8</v>
      </c>
      <c r="AO15">
        <f t="shared" si="35"/>
        <v>8</v>
      </c>
      <c r="AP15">
        <f t="shared" si="35"/>
        <v>8</v>
      </c>
      <c r="AQ15">
        <f t="shared" si="35"/>
        <v>8</v>
      </c>
      <c r="AR15">
        <f t="shared" si="36"/>
        <v>8</v>
      </c>
      <c r="AS15">
        <f t="shared" si="36"/>
        <v>8</v>
      </c>
      <c r="AT15">
        <f t="shared" si="36"/>
        <v>8</v>
      </c>
      <c r="AU15">
        <f t="shared" si="36"/>
        <v>8</v>
      </c>
      <c r="AV15">
        <f t="shared" si="36"/>
        <v>8</v>
      </c>
      <c r="AW15">
        <f t="shared" si="36"/>
        <v>8</v>
      </c>
      <c r="AX15">
        <f t="shared" si="36"/>
        <v>8</v>
      </c>
      <c r="BB15" s="34">
        <f t="shared" si="9"/>
        <v>2</v>
      </c>
      <c r="BC15" s="34">
        <f t="shared" si="10"/>
        <v>16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32"/>
        <v>3</v>
      </c>
      <c r="N27">
        <f t="shared" si="38"/>
        <v>3</v>
      </c>
      <c r="O27">
        <f t="shared" si="38"/>
        <v>3</v>
      </c>
      <c r="P27">
        <f t="shared" si="38"/>
        <v>3</v>
      </c>
      <c r="Q27">
        <f t="shared" si="38"/>
        <v>3</v>
      </c>
      <c r="R27">
        <f t="shared" si="38"/>
        <v>3</v>
      </c>
      <c r="S27">
        <f t="shared" si="38"/>
        <v>3</v>
      </c>
      <c r="T27">
        <f t="shared" si="38"/>
        <v>3</v>
      </c>
      <c r="U27">
        <f t="shared" si="38"/>
        <v>3</v>
      </c>
      <c r="V27">
        <f t="shared" si="38"/>
        <v>3</v>
      </c>
      <c r="W27">
        <f t="shared" si="38"/>
        <v>3</v>
      </c>
      <c r="X27">
        <f t="shared" si="39"/>
        <v>3</v>
      </c>
      <c r="Y27">
        <f t="shared" si="39"/>
        <v>3</v>
      </c>
      <c r="Z27">
        <f t="shared" si="39"/>
        <v>3</v>
      </c>
      <c r="AA27">
        <f t="shared" si="39"/>
        <v>3</v>
      </c>
      <c r="AB27">
        <f t="shared" si="39"/>
        <v>3</v>
      </c>
      <c r="AC27">
        <f t="shared" si="39"/>
        <v>3</v>
      </c>
      <c r="AD27">
        <f t="shared" si="39"/>
        <v>3</v>
      </c>
      <c r="AE27">
        <f t="shared" si="39"/>
        <v>3</v>
      </c>
      <c r="AF27">
        <f t="shared" si="39"/>
        <v>3</v>
      </c>
      <c r="AG27">
        <f t="shared" si="39"/>
        <v>3</v>
      </c>
      <c r="AH27">
        <f t="shared" si="40"/>
        <v>3</v>
      </c>
      <c r="AI27">
        <f t="shared" si="40"/>
        <v>3</v>
      </c>
      <c r="AJ27">
        <f t="shared" si="40"/>
        <v>3</v>
      </c>
      <c r="AK27">
        <f t="shared" si="40"/>
        <v>3</v>
      </c>
      <c r="AL27">
        <f t="shared" si="40"/>
        <v>3</v>
      </c>
      <c r="AM27">
        <f t="shared" si="40"/>
        <v>3</v>
      </c>
      <c r="AN27">
        <f t="shared" si="40"/>
        <v>3</v>
      </c>
      <c r="AO27">
        <f t="shared" si="40"/>
        <v>3</v>
      </c>
      <c r="AP27">
        <f t="shared" si="40"/>
        <v>3</v>
      </c>
      <c r="AQ27">
        <f t="shared" si="40"/>
        <v>3</v>
      </c>
      <c r="AR27">
        <f t="shared" si="41"/>
        <v>3</v>
      </c>
      <c r="AS27">
        <f t="shared" si="41"/>
        <v>3</v>
      </c>
      <c r="AT27">
        <f t="shared" si="41"/>
        <v>3</v>
      </c>
      <c r="AU27">
        <f t="shared" si="41"/>
        <v>3</v>
      </c>
      <c r="AV27">
        <f t="shared" si="41"/>
        <v>3</v>
      </c>
      <c r="AW27">
        <f t="shared" si="41"/>
        <v>3</v>
      </c>
      <c r="AX27">
        <f t="shared" si="41"/>
        <v>3</v>
      </c>
      <c r="BB27" s="34">
        <f t="shared" si="9"/>
        <v>2</v>
      </c>
      <c r="BC27" s="34">
        <f t="shared" si="10"/>
        <v>6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4">
        <f t="shared" si="9"/>
        <v>0</v>
      </c>
      <c r="BC60" s="34">
        <f t="shared" si="10"/>
        <v>0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4">
        <f t="shared" si="9"/>
        <v>0</v>
      </c>
      <c r="BC61" s="34">
        <f t="shared" si="10"/>
        <v>0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0</v>
      </c>
      <c r="BI62" s="34">
        <f t="shared" si="16"/>
        <v>0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0</v>
      </c>
      <c r="P63">
        <f t="shared" si="56"/>
        <v>0</v>
      </c>
      <c r="Q63">
        <f t="shared" si="56"/>
        <v>0</v>
      </c>
      <c r="R63">
        <f t="shared" si="56"/>
        <v>0</v>
      </c>
      <c r="S63">
        <f t="shared" si="56"/>
        <v>0</v>
      </c>
      <c r="T63">
        <f t="shared" si="56"/>
        <v>0</v>
      </c>
      <c r="U63">
        <f t="shared" si="56"/>
        <v>0</v>
      </c>
      <c r="V63">
        <f t="shared" si="56"/>
        <v>0</v>
      </c>
      <c r="W63">
        <f t="shared" si="56"/>
        <v>0</v>
      </c>
      <c r="X63">
        <f t="shared" ref="X63:AG72" si="57">IF($B63&lt;X$1,$C63*$D63,0)</f>
        <v>0</v>
      </c>
      <c r="Y63">
        <f t="shared" si="57"/>
        <v>0</v>
      </c>
      <c r="Z63">
        <f t="shared" si="57"/>
        <v>0</v>
      </c>
      <c r="AA63">
        <f t="shared" si="57"/>
        <v>0</v>
      </c>
      <c r="AB63">
        <f t="shared" si="57"/>
        <v>0</v>
      </c>
      <c r="AC63">
        <f t="shared" si="57"/>
        <v>0</v>
      </c>
      <c r="AD63">
        <f t="shared" si="57"/>
        <v>0</v>
      </c>
      <c r="AE63">
        <f t="shared" si="57"/>
        <v>0</v>
      </c>
      <c r="AF63">
        <f t="shared" si="57"/>
        <v>0</v>
      </c>
      <c r="AG63">
        <f t="shared" si="57"/>
        <v>0</v>
      </c>
      <c r="AH63">
        <f t="shared" ref="AH63:AQ72" si="58">IF($B63&lt;AH$1,$C63*$D63,0)</f>
        <v>0</v>
      </c>
      <c r="AI63">
        <f t="shared" si="58"/>
        <v>0</v>
      </c>
      <c r="AJ63">
        <f t="shared" si="58"/>
        <v>0</v>
      </c>
      <c r="AK63">
        <f t="shared" si="58"/>
        <v>0</v>
      </c>
      <c r="AL63">
        <f t="shared" si="58"/>
        <v>0</v>
      </c>
      <c r="AM63">
        <f t="shared" si="58"/>
        <v>0</v>
      </c>
      <c r="AN63">
        <f t="shared" si="58"/>
        <v>0</v>
      </c>
      <c r="AO63">
        <f t="shared" si="58"/>
        <v>0</v>
      </c>
      <c r="AP63">
        <f t="shared" si="58"/>
        <v>0</v>
      </c>
      <c r="AQ63">
        <f t="shared" si="58"/>
        <v>0</v>
      </c>
      <c r="AR63">
        <f t="shared" ref="AR63:AX72" si="59">IF($B63&lt;AR$1,$C63*$D63,0)</f>
        <v>0</v>
      </c>
      <c r="AS63">
        <f t="shared" si="59"/>
        <v>0</v>
      </c>
      <c r="AT63">
        <f t="shared" si="59"/>
        <v>0</v>
      </c>
      <c r="AU63">
        <f t="shared" si="59"/>
        <v>0</v>
      </c>
      <c r="AV63">
        <f t="shared" si="59"/>
        <v>0</v>
      </c>
      <c r="AW63">
        <f t="shared" si="59"/>
        <v>0</v>
      </c>
      <c r="AX63">
        <f t="shared" si="59"/>
        <v>0</v>
      </c>
      <c r="BB63" s="34">
        <f t="shared" si="9"/>
        <v>0</v>
      </c>
      <c r="BC63" s="34">
        <f t="shared" si="10"/>
        <v>0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0</v>
      </c>
      <c r="Q64">
        <f t="shared" si="56"/>
        <v>0</v>
      </c>
      <c r="R64">
        <f t="shared" si="56"/>
        <v>0</v>
      </c>
      <c r="S64">
        <f t="shared" si="56"/>
        <v>0</v>
      </c>
      <c r="T64">
        <f t="shared" si="56"/>
        <v>0</v>
      </c>
      <c r="U64">
        <f t="shared" si="56"/>
        <v>0</v>
      </c>
      <c r="V64">
        <f t="shared" si="56"/>
        <v>0</v>
      </c>
      <c r="W64">
        <f t="shared" si="56"/>
        <v>0</v>
      </c>
      <c r="X64">
        <f t="shared" si="57"/>
        <v>0</v>
      </c>
      <c r="Y64">
        <f t="shared" si="57"/>
        <v>0</v>
      </c>
      <c r="Z64">
        <f t="shared" si="57"/>
        <v>0</v>
      </c>
      <c r="AA64">
        <f t="shared" si="57"/>
        <v>0</v>
      </c>
      <c r="AB64">
        <f t="shared" si="57"/>
        <v>0</v>
      </c>
      <c r="AC64">
        <f t="shared" si="57"/>
        <v>0</v>
      </c>
      <c r="AD64">
        <f t="shared" si="57"/>
        <v>0</v>
      </c>
      <c r="AE64">
        <f t="shared" si="57"/>
        <v>0</v>
      </c>
      <c r="AF64">
        <f t="shared" si="57"/>
        <v>0</v>
      </c>
      <c r="AG64">
        <f t="shared" si="57"/>
        <v>0</v>
      </c>
      <c r="AH64">
        <f t="shared" si="58"/>
        <v>0</v>
      </c>
      <c r="AI64">
        <f t="shared" si="58"/>
        <v>0</v>
      </c>
      <c r="AJ64">
        <f t="shared" si="58"/>
        <v>0</v>
      </c>
      <c r="AK64">
        <f t="shared" si="58"/>
        <v>0</v>
      </c>
      <c r="AL64">
        <f t="shared" si="58"/>
        <v>0</v>
      </c>
      <c r="AM64">
        <f t="shared" si="58"/>
        <v>0</v>
      </c>
      <c r="AN64">
        <f t="shared" si="58"/>
        <v>0</v>
      </c>
      <c r="AO64">
        <f t="shared" si="58"/>
        <v>0</v>
      </c>
      <c r="AP64">
        <f t="shared" si="58"/>
        <v>0</v>
      </c>
      <c r="AQ64">
        <f t="shared" si="58"/>
        <v>0</v>
      </c>
      <c r="AR64">
        <f t="shared" si="59"/>
        <v>0</v>
      </c>
      <c r="AS64">
        <f t="shared" si="59"/>
        <v>0</v>
      </c>
      <c r="AT64">
        <f t="shared" si="59"/>
        <v>0</v>
      </c>
      <c r="AU64">
        <f t="shared" si="59"/>
        <v>0</v>
      </c>
      <c r="AV64">
        <f t="shared" si="59"/>
        <v>0</v>
      </c>
      <c r="AW64">
        <f t="shared" si="59"/>
        <v>0</v>
      </c>
      <c r="AX64">
        <f t="shared" si="59"/>
        <v>0</v>
      </c>
      <c r="BB64" s="34">
        <f t="shared" si="9"/>
        <v>0</v>
      </c>
      <c r="BC64" s="34">
        <f t="shared" si="10"/>
        <v>0</v>
      </c>
      <c r="BD64" s="34">
        <f t="shared" si="11"/>
        <v>0</v>
      </c>
      <c r="BE64" s="34">
        <f t="shared" si="12"/>
        <v>0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0</v>
      </c>
      <c r="Q65">
        <f t="shared" si="56"/>
        <v>0</v>
      </c>
      <c r="R65">
        <f t="shared" si="56"/>
        <v>0</v>
      </c>
      <c r="S65">
        <f t="shared" si="56"/>
        <v>0</v>
      </c>
      <c r="T65">
        <f t="shared" si="56"/>
        <v>0</v>
      </c>
      <c r="U65">
        <f t="shared" si="56"/>
        <v>0</v>
      </c>
      <c r="V65">
        <f t="shared" si="56"/>
        <v>0</v>
      </c>
      <c r="W65">
        <f t="shared" si="56"/>
        <v>0</v>
      </c>
      <c r="X65">
        <f t="shared" si="57"/>
        <v>0</v>
      </c>
      <c r="Y65">
        <f t="shared" si="57"/>
        <v>0</v>
      </c>
      <c r="Z65">
        <f t="shared" si="57"/>
        <v>0</v>
      </c>
      <c r="AA65">
        <f t="shared" si="57"/>
        <v>0</v>
      </c>
      <c r="AB65">
        <f t="shared" si="57"/>
        <v>0</v>
      </c>
      <c r="AC65">
        <f t="shared" si="57"/>
        <v>0</v>
      </c>
      <c r="AD65">
        <f t="shared" si="57"/>
        <v>0</v>
      </c>
      <c r="AE65">
        <f t="shared" si="57"/>
        <v>0</v>
      </c>
      <c r="AF65">
        <f t="shared" si="57"/>
        <v>0</v>
      </c>
      <c r="AG65">
        <f t="shared" si="57"/>
        <v>0</v>
      </c>
      <c r="AH65">
        <f t="shared" si="58"/>
        <v>0</v>
      </c>
      <c r="AI65">
        <f t="shared" si="58"/>
        <v>0</v>
      </c>
      <c r="AJ65">
        <f t="shared" si="58"/>
        <v>0</v>
      </c>
      <c r="AK65">
        <f t="shared" si="58"/>
        <v>0</v>
      </c>
      <c r="AL65">
        <f t="shared" si="58"/>
        <v>0</v>
      </c>
      <c r="AM65">
        <f t="shared" si="58"/>
        <v>0</v>
      </c>
      <c r="AN65">
        <f t="shared" si="58"/>
        <v>0</v>
      </c>
      <c r="AO65">
        <f t="shared" si="58"/>
        <v>0</v>
      </c>
      <c r="AP65">
        <f t="shared" si="58"/>
        <v>0</v>
      </c>
      <c r="AQ65">
        <f t="shared" si="58"/>
        <v>0</v>
      </c>
      <c r="AR65">
        <f t="shared" si="59"/>
        <v>0</v>
      </c>
      <c r="AS65">
        <f t="shared" si="59"/>
        <v>0</v>
      </c>
      <c r="AT65">
        <f t="shared" si="59"/>
        <v>0</v>
      </c>
      <c r="AU65">
        <f t="shared" si="59"/>
        <v>0</v>
      </c>
      <c r="AV65">
        <f t="shared" si="59"/>
        <v>0</v>
      </c>
      <c r="AW65">
        <f t="shared" si="59"/>
        <v>0</v>
      </c>
      <c r="AX65">
        <f t="shared" si="59"/>
        <v>0</v>
      </c>
      <c r="BB65" s="34">
        <f t="shared" si="9"/>
        <v>0</v>
      </c>
      <c r="BC65" s="34">
        <f t="shared" si="10"/>
        <v>0</v>
      </c>
      <c r="BD65" s="34">
        <f t="shared" si="11"/>
        <v>0</v>
      </c>
      <c r="BE65" s="34">
        <f t="shared" si="12"/>
        <v>0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0</v>
      </c>
      <c r="Q66">
        <f t="shared" si="56"/>
        <v>0</v>
      </c>
      <c r="R66">
        <f t="shared" si="56"/>
        <v>0</v>
      </c>
      <c r="S66">
        <f t="shared" si="56"/>
        <v>0</v>
      </c>
      <c r="T66">
        <f t="shared" si="56"/>
        <v>0</v>
      </c>
      <c r="U66">
        <f t="shared" si="56"/>
        <v>0</v>
      </c>
      <c r="V66">
        <f t="shared" si="56"/>
        <v>0</v>
      </c>
      <c r="W66">
        <f t="shared" si="56"/>
        <v>0</v>
      </c>
      <c r="X66">
        <f t="shared" si="57"/>
        <v>0</v>
      </c>
      <c r="Y66">
        <f t="shared" si="57"/>
        <v>0</v>
      </c>
      <c r="Z66">
        <f t="shared" si="57"/>
        <v>0</v>
      </c>
      <c r="AA66">
        <f t="shared" si="57"/>
        <v>0</v>
      </c>
      <c r="AB66">
        <f t="shared" si="57"/>
        <v>0</v>
      </c>
      <c r="AC66">
        <f t="shared" si="57"/>
        <v>0</v>
      </c>
      <c r="AD66">
        <f t="shared" si="57"/>
        <v>0</v>
      </c>
      <c r="AE66">
        <f t="shared" si="57"/>
        <v>0</v>
      </c>
      <c r="AF66">
        <f t="shared" si="57"/>
        <v>0</v>
      </c>
      <c r="AG66">
        <f t="shared" si="57"/>
        <v>0</v>
      </c>
      <c r="AH66">
        <f t="shared" si="58"/>
        <v>0</v>
      </c>
      <c r="AI66">
        <f t="shared" si="58"/>
        <v>0</v>
      </c>
      <c r="AJ66">
        <f t="shared" si="58"/>
        <v>0</v>
      </c>
      <c r="AK66">
        <f t="shared" si="58"/>
        <v>0</v>
      </c>
      <c r="AL66">
        <f t="shared" si="58"/>
        <v>0</v>
      </c>
      <c r="AM66">
        <f t="shared" si="58"/>
        <v>0</v>
      </c>
      <c r="AN66">
        <f t="shared" si="58"/>
        <v>0</v>
      </c>
      <c r="AO66">
        <f t="shared" si="58"/>
        <v>0</v>
      </c>
      <c r="AP66">
        <f t="shared" si="58"/>
        <v>0</v>
      </c>
      <c r="AQ66">
        <f t="shared" si="58"/>
        <v>0</v>
      </c>
      <c r="AR66">
        <f t="shared" si="59"/>
        <v>0</v>
      </c>
      <c r="AS66">
        <f t="shared" si="59"/>
        <v>0</v>
      </c>
      <c r="AT66">
        <f t="shared" si="59"/>
        <v>0</v>
      </c>
      <c r="AU66">
        <f t="shared" si="59"/>
        <v>0</v>
      </c>
      <c r="AV66">
        <f t="shared" si="59"/>
        <v>0</v>
      </c>
      <c r="AW66">
        <f t="shared" si="59"/>
        <v>0</v>
      </c>
      <c r="AX66">
        <f t="shared" si="59"/>
        <v>0</v>
      </c>
      <c r="BB66" s="34">
        <f t="shared" si="9"/>
        <v>0</v>
      </c>
      <c r="BC66" s="34">
        <f t="shared" si="10"/>
        <v>0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0</v>
      </c>
      <c r="Q67">
        <f t="shared" si="56"/>
        <v>0</v>
      </c>
      <c r="R67">
        <f t="shared" si="56"/>
        <v>0</v>
      </c>
      <c r="S67">
        <f t="shared" si="56"/>
        <v>0</v>
      </c>
      <c r="T67">
        <f t="shared" si="56"/>
        <v>0</v>
      </c>
      <c r="U67">
        <f t="shared" si="56"/>
        <v>0</v>
      </c>
      <c r="V67">
        <f t="shared" si="56"/>
        <v>0</v>
      </c>
      <c r="W67">
        <f t="shared" si="56"/>
        <v>0</v>
      </c>
      <c r="X67">
        <f t="shared" si="57"/>
        <v>0</v>
      </c>
      <c r="Y67">
        <f t="shared" si="57"/>
        <v>0</v>
      </c>
      <c r="Z67">
        <f t="shared" si="57"/>
        <v>0</v>
      </c>
      <c r="AA67">
        <f t="shared" si="57"/>
        <v>0</v>
      </c>
      <c r="AB67">
        <f t="shared" si="57"/>
        <v>0</v>
      </c>
      <c r="AC67">
        <f t="shared" si="57"/>
        <v>0</v>
      </c>
      <c r="AD67">
        <f t="shared" si="57"/>
        <v>0</v>
      </c>
      <c r="AE67">
        <f t="shared" si="57"/>
        <v>0</v>
      </c>
      <c r="AF67">
        <f t="shared" si="57"/>
        <v>0</v>
      </c>
      <c r="AG67">
        <f t="shared" si="57"/>
        <v>0</v>
      </c>
      <c r="AH67">
        <f t="shared" si="58"/>
        <v>0</v>
      </c>
      <c r="AI67">
        <f t="shared" si="58"/>
        <v>0</v>
      </c>
      <c r="AJ67">
        <f t="shared" si="58"/>
        <v>0</v>
      </c>
      <c r="AK67">
        <f t="shared" si="58"/>
        <v>0</v>
      </c>
      <c r="AL67">
        <f t="shared" si="58"/>
        <v>0</v>
      </c>
      <c r="AM67">
        <f t="shared" si="58"/>
        <v>0</v>
      </c>
      <c r="AN67">
        <f t="shared" si="58"/>
        <v>0</v>
      </c>
      <c r="AO67">
        <f t="shared" si="58"/>
        <v>0</v>
      </c>
      <c r="AP67">
        <f t="shared" si="58"/>
        <v>0</v>
      </c>
      <c r="AQ67">
        <f t="shared" si="58"/>
        <v>0</v>
      </c>
      <c r="AR67">
        <f t="shared" si="59"/>
        <v>0</v>
      </c>
      <c r="AS67">
        <f t="shared" si="59"/>
        <v>0</v>
      </c>
      <c r="AT67">
        <f t="shared" si="59"/>
        <v>0</v>
      </c>
      <c r="AU67">
        <f t="shared" si="59"/>
        <v>0</v>
      </c>
      <c r="AV67">
        <f t="shared" si="59"/>
        <v>0</v>
      </c>
      <c r="AW67">
        <f t="shared" si="59"/>
        <v>0</v>
      </c>
      <c r="AX67">
        <f t="shared" si="59"/>
        <v>0</v>
      </c>
      <c r="BB67" s="34">
        <f t="shared" ref="BB67:BB130" si="63">IF(AND($D67&gt;0,$G67=BB$1),$F67,0)</f>
        <v>0</v>
      </c>
      <c r="BC67" s="34">
        <f t="shared" ref="BC67:BC130" si="64">IF(AND($D67&gt;0,$G67=BC$1),$D67*F67,0)</f>
        <v>0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0</v>
      </c>
      <c r="BI68" s="34">
        <f t="shared" si="70"/>
        <v>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0</v>
      </c>
      <c r="R69">
        <f t="shared" si="56"/>
        <v>0</v>
      </c>
      <c r="S69">
        <f t="shared" si="56"/>
        <v>0</v>
      </c>
      <c r="T69">
        <f t="shared" si="56"/>
        <v>0</v>
      </c>
      <c r="U69">
        <f t="shared" si="56"/>
        <v>0</v>
      </c>
      <c r="V69">
        <f t="shared" si="56"/>
        <v>0</v>
      </c>
      <c r="W69">
        <f t="shared" si="56"/>
        <v>0</v>
      </c>
      <c r="X69">
        <f t="shared" si="57"/>
        <v>0</v>
      </c>
      <c r="Y69">
        <f t="shared" si="57"/>
        <v>0</v>
      </c>
      <c r="Z69">
        <f t="shared" si="57"/>
        <v>0</v>
      </c>
      <c r="AA69">
        <f t="shared" si="57"/>
        <v>0</v>
      </c>
      <c r="AB69">
        <f t="shared" si="57"/>
        <v>0</v>
      </c>
      <c r="AC69">
        <f t="shared" si="57"/>
        <v>0</v>
      </c>
      <c r="AD69">
        <f t="shared" si="57"/>
        <v>0</v>
      </c>
      <c r="AE69">
        <f t="shared" si="57"/>
        <v>0</v>
      </c>
      <c r="AF69">
        <f t="shared" si="57"/>
        <v>0</v>
      </c>
      <c r="AG69">
        <f t="shared" si="57"/>
        <v>0</v>
      </c>
      <c r="AH69">
        <f t="shared" si="58"/>
        <v>0</v>
      </c>
      <c r="AI69">
        <f t="shared" si="58"/>
        <v>0</v>
      </c>
      <c r="AJ69">
        <f t="shared" si="58"/>
        <v>0</v>
      </c>
      <c r="AK69">
        <f t="shared" si="58"/>
        <v>0</v>
      </c>
      <c r="AL69">
        <f t="shared" si="58"/>
        <v>0</v>
      </c>
      <c r="AM69">
        <f t="shared" si="58"/>
        <v>0</v>
      </c>
      <c r="AN69">
        <f t="shared" si="58"/>
        <v>0</v>
      </c>
      <c r="AO69">
        <f t="shared" si="58"/>
        <v>0</v>
      </c>
      <c r="AP69">
        <f t="shared" si="58"/>
        <v>0</v>
      </c>
      <c r="AQ69">
        <f t="shared" si="58"/>
        <v>0</v>
      </c>
      <c r="AR69">
        <f t="shared" si="59"/>
        <v>0</v>
      </c>
      <c r="AS69">
        <f t="shared" si="59"/>
        <v>0</v>
      </c>
      <c r="AT69">
        <f t="shared" si="59"/>
        <v>0</v>
      </c>
      <c r="AU69">
        <f t="shared" si="59"/>
        <v>0</v>
      </c>
      <c r="AV69">
        <f t="shared" si="59"/>
        <v>0</v>
      </c>
      <c r="AW69">
        <f t="shared" si="59"/>
        <v>0</v>
      </c>
      <c r="AX69">
        <f t="shared" si="59"/>
        <v>0</v>
      </c>
      <c r="BB69" s="34">
        <f t="shared" si="63"/>
        <v>0</v>
      </c>
      <c r="BC69" s="34">
        <f t="shared" si="64"/>
        <v>0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0</v>
      </c>
      <c r="R70">
        <f t="shared" si="56"/>
        <v>0</v>
      </c>
      <c r="S70">
        <f t="shared" si="56"/>
        <v>0</v>
      </c>
      <c r="T70">
        <f t="shared" si="56"/>
        <v>0</v>
      </c>
      <c r="U70">
        <f t="shared" si="56"/>
        <v>0</v>
      </c>
      <c r="V70">
        <f t="shared" si="56"/>
        <v>0</v>
      </c>
      <c r="W70">
        <f t="shared" si="56"/>
        <v>0</v>
      </c>
      <c r="X70">
        <f t="shared" si="57"/>
        <v>0</v>
      </c>
      <c r="Y70">
        <f t="shared" si="57"/>
        <v>0</v>
      </c>
      <c r="Z70">
        <f t="shared" si="57"/>
        <v>0</v>
      </c>
      <c r="AA70">
        <f t="shared" si="57"/>
        <v>0</v>
      </c>
      <c r="AB70">
        <f t="shared" si="57"/>
        <v>0</v>
      </c>
      <c r="AC70">
        <f t="shared" si="57"/>
        <v>0</v>
      </c>
      <c r="AD70">
        <f t="shared" si="57"/>
        <v>0</v>
      </c>
      <c r="AE70">
        <f t="shared" si="57"/>
        <v>0</v>
      </c>
      <c r="AF70">
        <f t="shared" si="57"/>
        <v>0</v>
      </c>
      <c r="AG70">
        <f t="shared" si="57"/>
        <v>0</v>
      </c>
      <c r="AH70">
        <f t="shared" si="58"/>
        <v>0</v>
      </c>
      <c r="AI70">
        <f t="shared" si="58"/>
        <v>0</v>
      </c>
      <c r="AJ70">
        <f t="shared" si="58"/>
        <v>0</v>
      </c>
      <c r="AK70">
        <f t="shared" si="58"/>
        <v>0</v>
      </c>
      <c r="AL70">
        <f t="shared" si="58"/>
        <v>0</v>
      </c>
      <c r="AM70">
        <f t="shared" si="58"/>
        <v>0</v>
      </c>
      <c r="AN70">
        <f t="shared" si="58"/>
        <v>0</v>
      </c>
      <c r="AO70">
        <f t="shared" si="58"/>
        <v>0</v>
      </c>
      <c r="AP70">
        <f t="shared" si="58"/>
        <v>0</v>
      </c>
      <c r="AQ70">
        <f t="shared" si="58"/>
        <v>0</v>
      </c>
      <c r="AR70">
        <f t="shared" si="59"/>
        <v>0</v>
      </c>
      <c r="AS70">
        <f t="shared" si="59"/>
        <v>0</v>
      </c>
      <c r="AT70">
        <f t="shared" si="59"/>
        <v>0</v>
      </c>
      <c r="AU70">
        <f t="shared" si="59"/>
        <v>0</v>
      </c>
      <c r="AV70">
        <f t="shared" si="59"/>
        <v>0</v>
      </c>
      <c r="AW70">
        <f t="shared" si="59"/>
        <v>0</v>
      </c>
      <c r="AX70">
        <f t="shared" si="59"/>
        <v>0</v>
      </c>
      <c r="BB70" s="34">
        <f t="shared" si="63"/>
        <v>0</v>
      </c>
      <c r="BC70" s="34">
        <f t="shared" si="64"/>
        <v>0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0</v>
      </c>
      <c r="B72" s="24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94</v>
      </c>
      <c r="BC196" s="34">
        <f t="shared" si="167"/>
        <v>420</v>
      </c>
      <c r="BD196" s="34">
        <f t="shared" si="167"/>
        <v>11</v>
      </c>
      <c r="BE196" s="34">
        <f t="shared" si="167"/>
        <v>45</v>
      </c>
      <c r="BF196" s="34">
        <f t="shared" si="167"/>
        <v>0</v>
      </c>
      <c r="BG196" s="34">
        <f t="shared" si="167"/>
        <v>0</v>
      </c>
      <c r="BH196" s="34">
        <f t="shared" si="167"/>
        <v>11</v>
      </c>
      <c r="BI196" s="34">
        <f t="shared" si="167"/>
        <v>83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167</v>
      </c>
      <c r="L198">
        <f t="shared" si="168"/>
        <v>181</v>
      </c>
      <c r="M198">
        <f t="shared" si="168"/>
        <v>233</v>
      </c>
      <c r="N198">
        <f t="shared" si="168"/>
        <v>274</v>
      </c>
      <c r="O198">
        <f t="shared" si="168"/>
        <v>308</v>
      </c>
      <c r="P198">
        <f t="shared" si="168"/>
        <v>308</v>
      </c>
      <c r="Q198">
        <f t="shared" si="168"/>
        <v>308</v>
      </c>
      <c r="R198">
        <f t="shared" si="168"/>
        <v>308</v>
      </c>
      <c r="S198">
        <f t="shared" si="168"/>
        <v>308</v>
      </c>
      <c r="T198">
        <f t="shared" si="168"/>
        <v>308</v>
      </c>
      <c r="U198">
        <f t="shared" si="168"/>
        <v>308</v>
      </c>
      <c r="V198">
        <f t="shared" si="168"/>
        <v>308</v>
      </c>
      <c r="W198">
        <f t="shared" si="168"/>
        <v>308</v>
      </c>
      <c r="X198">
        <f t="shared" si="168"/>
        <v>308</v>
      </c>
      <c r="Y198">
        <f t="shared" si="168"/>
        <v>308</v>
      </c>
      <c r="Z198">
        <f t="shared" si="168"/>
        <v>308</v>
      </c>
      <c r="AA198">
        <f t="shared" si="168"/>
        <v>308</v>
      </c>
      <c r="AB198">
        <f t="shared" si="168"/>
        <v>308</v>
      </c>
      <c r="AC198">
        <f t="shared" si="168"/>
        <v>308</v>
      </c>
      <c r="AD198">
        <f t="shared" si="168"/>
        <v>308</v>
      </c>
      <c r="AE198">
        <f t="shared" si="168"/>
        <v>308</v>
      </c>
      <c r="AF198">
        <f t="shared" si="168"/>
        <v>308</v>
      </c>
      <c r="AG198">
        <f t="shared" si="168"/>
        <v>308</v>
      </c>
      <c r="AH198">
        <f t="shared" si="168"/>
        <v>308</v>
      </c>
      <c r="AI198">
        <f t="shared" si="168"/>
        <v>308</v>
      </c>
      <c r="AJ198">
        <f t="shared" si="168"/>
        <v>308</v>
      </c>
      <c r="AK198">
        <f t="shared" si="168"/>
        <v>308</v>
      </c>
      <c r="AL198">
        <f t="shared" si="168"/>
        <v>308</v>
      </c>
      <c r="AM198">
        <f t="shared" si="168"/>
        <v>308</v>
      </c>
      <c r="AN198">
        <f t="shared" si="168"/>
        <v>308</v>
      </c>
      <c r="AO198">
        <f t="shared" si="168"/>
        <v>308</v>
      </c>
      <c r="AP198">
        <f t="shared" si="168"/>
        <v>308</v>
      </c>
      <c r="AQ198">
        <f t="shared" si="168"/>
        <v>308</v>
      </c>
      <c r="AR198">
        <f t="shared" si="168"/>
        <v>308</v>
      </c>
      <c r="AS198">
        <f t="shared" si="168"/>
        <v>308</v>
      </c>
      <c r="AT198">
        <f t="shared" si="168"/>
        <v>308</v>
      </c>
      <c r="AU198">
        <f t="shared" si="168"/>
        <v>308</v>
      </c>
      <c r="AV198">
        <f t="shared" si="168"/>
        <v>308</v>
      </c>
      <c r="AW198">
        <f t="shared" si="168"/>
        <v>308</v>
      </c>
      <c r="AX198">
        <f t="shared" si="168"/>
        <v>308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P200" si="169">K198</f>
        <v>167</v>
      </c>
      <c r="L200">
        <f t="shared" si="169"/>
        <v>181</v>
      </c>
      <c r="M200">
        <f t="shared" si="169"/>
        <v>233</v>
      </c>
      <c r="N200">
        <f t="shared" si="169"/>
        <v>274</v>
      </c>
      <c r="O200">
        <f t="shared" si="169"/>
        <v>308</v>
      </c>
      <c r="P200">
        <f t="shared" si="169"/>
        <v>308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94</v>
      </c>
      <c r="BE202" s="34">
        <f>BD196</f>
        <v>11</v>
      </c>
      <c r="BF202" s="34">
        <f>BF196</f>
        <v>0</v>
      </c>
      <c r="BG202" s="34">
        <f>BH196</f>
        <v>11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420</v>
      </c>
      <c r="BE203" s="40">
        <f>BE196</f>
        <v>45</v>
      </c>
      <c r="BF203" s="40">
        <f>BG196</f>
        <v>0</v>
      </c>
      <c r="BG203" s="40">
        <f>BI196</f>
        <v>83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80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94</v>
      </c>
      <c r="C30" s="34">
        <f>'book stat'!BE202</f>
        <v>11</v>
      </c>
      <c r="D30" s="34">
        <f>'book stat'!BF202</f>
        <v>0</v>
      </c>
      <c r="E30" s="34">
        <f>'book stat'!BG202</f>
        <v>11</v>
      </c>
      <c r="F30" s="34">
        <f>'book stat'!BH202</f>
        <v>0</v>
      </c>
      <c r="G30" s="35">
        <f>'book stat'!BI202</f>
        <v>5</v>
      </c>
      <c r="H30" s="181">
        <f>'book stat'!BJ202</f>
        <v>0</v>
      </c>
      <c r="I30" s="182">
        <f>'book stat'!BK202</f>
        <v>0</v>
      </c>
      <c r="J30" s="182">
        <f>'book stat'!BL202</f>
        <v>3</v>
      </c>
      <c r="K30" s="183">
        <f>'book stat'!BM202</f>
        <v>2</v>
      </c>
      <c r="L30" s="184">
        <f>'book stat'!BN202</f>
        <v>0</v>
      </c>
      <c r="M30" s="185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420</v>
      </c>
      <c r="C31" s="34">
        <f>'book stat'!BE203</f>
        <v>45</v>
      </c>
      <c r="D31" s="34">
        <f>'book stat'!BF203</f>
        <v>0</v>
      </c>
      <c r="E31" s="34">
        <f>'book stat'!BG203</f>
        <v>83</v>
      </c>
      <c r="F31" s="34">
        <f>'book stat'!BH203</f>
        <v>0</v>
      </c>
      <c r="G31" s="35">
        <f>'book stat'!BI203</f>
        <v>29</v>
      </c>
      <c r="H31" s="186">
        <f>'book stat'!BJ203</f>
        <v>0</v>
      </c>
      <c r="I31" s="187">
        <f>'book stat'!BK203</f>
        <v>0</v>
      </c>
      <c r="J31" s="187">
        <f>'book stat'!BL203</f>
        <v>19</v>
      </c>
      <c r="K31" s="188">
        <f>'book stat'!BM203</f>
        <v>10</v>
      </c>
      <c r="L31" s="184">
        <f>'book stat'!BN203</f>
        <v>0</v>
      </c>
      <c r="M31" s="185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33" activePane="bottomLeft" state="frozen"/>
      <selection pane="bottomLeft" activeCell="E150" sqref="E15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0">
        <v>1</v>
      </c>
      <c r="E1" s="191"/>
      <c r="F1" s="66" t="s">
        <v>117</v>
      </c>
      <c r="G1" s="67" t="s">
        <v>8</v>
      </c>
      <c r="H1" s="192">
        <v>2</v>
      </c>
      <c r="I1" s="191"/>
      <c r="J1" s="66" t="s">
        <v>117</v>
      </c>
      <c r="K1" s="68" t="s">
        <v>8</v>
      </c>
      <c r="L1" s="192">
        <v>3</v>
      </c>
      <c r="M1" s="191"/>
      <c r="N1" s="66" t="s">
        <v>117</v>
      </c>
      <c r="O1" s="69" t="s">
        <v>8</v>
      </c>
      <c r="P1" s="190">
        <v>4</v>
      </c>
      <c r="Q1" s="191"/>
      <c r="R1" s="66" t="s">
        <v>117</v>
      </c>
      <c r="S1" s="68" t="s">
        <v>8</v>
      </c>
      <c r="T1" s="193">
        <v>5</v>
      </c>
      <c r="U1" s="194"/>
      <c r="V1" s="66" t="s">
        <v>117</v>
      </c>
      <c r="W1" s="68" t="s">
        <v>8</v>
      </c>
      <c r="X1" s="190">
        <v>6</v>
      </c>
      <c r="Y1" s="191"/>
      <c r="Z1" s="70" t="s">
        <v>118</v>
      </c>
      <c r="AA1" s="139">
        <f>SUM(AA2:AA171)</f>
        <v>304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6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6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6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6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/>
      <c r="N6" s="20"/>
      <c r="O6" s="20"/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6">
        <f t="shared" si="2"/>
        <v>0</v>
      </c>
      <c r="AA6" s="140">
        <f t="shared" si="3"/>
        <v>2</v>
      </c>
      <c r="AB6" s="8">
        <f t="shared" si="0"/>
        <v>2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/>
      <c r="M7" s="8"/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6">
        <f t="shared" si="2"/>
        <v>3</v>
      </c>
      <c r="AA7" s="140">
        <f t="shared" si="3"/>
        <v>2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/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6">
        <f t="shared" si="2"/>
        <v>3</v>
      </c>
      <c r="AA8" s="140">
        <f t="shared" si="3"/>
        <v>0</v>
      </c>
      <c r="AB8" s="8">
        <f t="shared" si="0"/>
        <v>0</v>
      </c>
      <c r="AC8" s="23">
        <f t="shared" si="1"/>
        <v>2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14"/>
      <c r="I9" s="8"/>
      <c r="J9" s="20"/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6">
        <f t="shared" si="2"/>
        <v>0</v>
      </c>
      <c r="AA9" s="140">
        <f t="shared" si="3"/>
        <v>0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14"/>
      <c r="I10" s="8"/>
      <c r="J10" s="20"/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6">
        <f t="shared" si="2"/>
        <v>0</v>
      </c>
      <c r="AA10" s="140">
        <f t="shared" si="3"/>
        <v>0</v>
      </c>
      <c r="AB10" s="8">
        <f t="shared" si="0"/>
        <v>0</v>
      </c>
      <c r="AC10" s="23">
        <f t="shared" si="1"/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H11" s="14"/>
      <c r="I11" s="8"/>
      <c r="J11" s="20"/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6">
        <f t="shared" si="2"/>
        <v>0</v>
      </c>
      <c r="AA11" s="140">
        <f t="shared" si="3"/>
        <v>0</v>
      </c>
      <c r="AB11" s="8">
        <f t="shared" si="0"/>
        <v>0</v>
      </c>
      <c r="AC11" s="23">
        <f t="shared" si="1"/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14"/>
      <c r="I12" s="8"/>
      <c r="J12" s="20"/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6">
        <f t="shared" si="2"/>
        <v>0</v>
      </c>
      <c r="AA12" s="140">
        <f t="shared" si="3"/>
        <v>0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"/>
      <c r="I13" s="8"/>
      <c r="J13" s="20"/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6">
        <f t="shared" si="2"/>
        <v>0</v>
      </c>
      <c r="AA13" s="140">
        <f t="shared" si="3"/>
        <v>0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"/>
      <c r="I14" s="8"/>
      <c r="J14" s="20"/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6">
        <f t="shared" si="2"/>
        <v>0</v>
      </c>
      <c r="AA14" s="140">
        <f t="shared" si="3"/>
        <v>0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"/>
      <c r="I15" s="8"/>
      <c r="J15" s="20"/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6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0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8"/>
      <c r="V16" s="20"/>
      <c r="W16" s="20"/>
      <c r="X16" s="22"/>
      <c r="Y16" s="22"/>
      <c r="Z16" s="146">
        <f t="shared" si="2"/>
        <v>0</v>
      </c>
      <c r="AA16" s="140">
        <f t="shared" si="3"/>
        <v>0</v>
      </c>
      <c r="AB16" s="8">
        <f t="shared" si="0"/>
        <v>0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8"/>
      <c r="U17" s="8"/>
      <c r="V17" s="20"/>
      <c r="W17" s="20"/>
      <c r="X17" s="22"/>
      <c r="Y17" s="22"/>
      <c r="Z17" s="146">
        <f t="shared" si="2"/>
        <v>0</v>
      </c>
      <c r="AA17" s="140">
        <f t="shared" si="3"/>
        <v>0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8"/>
      <c r="U18" s="8"/>
      <c r="V18" s="20"/>
      <c r="W18" s="20"/>
      <c r="X18" s="22"/>
      <c r="Y18" s="22"/>
      <c r="Z18" s="146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0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6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6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50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6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50">
        <v>8</v>
      </c>
      <c r="E22" s="150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50">
        <v>9</v>
      </c>
      <c r="V22" s="20"/>
      <c r="W22" s="20"/>
      <c r="X22" s="22"/>
      <c r="Y22" s="22"/>
      <c r="Z22" s="146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0">
        <v>8</v>
      </c>
      <c r="E23" s="150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50">
        <v>9</v>
      </c>
      <c r="U23" s="150">
        <v>9</v>
      </c>
      <c r="V23" s="20">
        <v>2</v>
      </c>
      <c r="W23" s="20" t="s">
        <v>137</v>
      </c>
      <c r="X23" s="22"/>
      <c r="Y23" s="22"/>
      <c r="Z23" s="146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50">
        <v>8</v>
      </c>
      <c r="E24" s="150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50">
        <v>9</v>
      </c>
      <c r="U24" s="150">
        <v>9</v>
      </c>
      <c r="V24" s="20">
        <v>2</v>
      </c>
      <c r="W24" s="20"/>
      <c r="X24" s="22"/>
      <c r="Y24" s="22"/>
      <c r="Z24" s="146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50">
        <v>8</v>
      </c>
      <c r="E25" s="150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50">
        <v>9</v>
      </c>
      <c r="U25" s="150">
        <v>9</v>
      </c>
      <c r="V25" s="20">
        <v>2</v>
      </c>
      <c r="W25" s="20"/>
      <c r="X25" s="22"/>
      <c r="Y25" s="22"/>
      <c r="Z25" s="146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50">
        <v>8</v>
      </c>
      <c r="E26" s="8"/>
      <c r="F26" s="20">
        <v>2</v>
      </c>
      <c r="G26" s="19"/>
      <c r="H26" s="14"/>
      <c r="I26" s="149">
        <v>20</v>
      </c>
      <c r="J26" s="20"/>
      <c r="K26" s="19"/>
      <c r="L26" s="14"/>
      <c r="M26" s="149">
        <v>20</v>
      </c>
      <c r="N26" s="20"/>
      <c r="O26" s="20"/>
      <c r="P26" s="8"/>
      <c r="Q26" s="149">
        <v>20</v>
      </c>
      <c r="R26" s="124"/>
      <c r="S26" s="124"/>
      <c r="T26" s="150">
        <v>9</v>
      </c>
      <c r="U26" s="150">
        <v>9</v>
      </c>
      <c r="V26" s="20">
        <v>2</v>
      </c>
      <c r="W26" s="20"/>
      <c r="X26" s="22"/>
      <c r="Y26" s="22"/>
      <c r="Z26" s="146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9">
        <v>20</v>
      </c>
      <c r="I27" s="149">
        <v>20</v>
      </c>
      <c r="J27" s="20">
        <v>2</v>
      </c>
      <c r="K27" s="19"/>
      <c r="L27" s="169">
        <v>20</v>
      </c>
      <c r="M27" s="149">
        <v>20</v>
      </c>
      <c r="N27" s="20">
        <v>2</v>
      </c>
      <c r="O27" s="20"/>
      <c r="P27" s="149">
        <v>20</v>
      </c>
      <c r="Q27" s="149">
        <v>20</v>
      </c>
      <c r="R27" s="124">
        <v>2</v>
      </c>
      <c r="S27" s="124"/>
      <c r="T27" s="150">
        <v>9</v>
      </c>
      <c r="U27" s="150">
        <v>9</v>
      </c>
      <c r="V27" s="20">
        <v>2</v>
      </c>
      <c r="W27" s="20"/>
      <c r="X27" s="22"/>
      <c r="Y27" s="22"/>
      <c r="Z27" s="146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9">
        <v>20</v>
      </c>
      <c r="I28" s="149">
        <v>20</v>
      </c>
      <c r="J28" s="20">
        <v>2</v>
      </c>
      <c r="K28" s="19"/>
      <c r="L28" s="169">
        <v>20</v>
      </c>
      <c r="M28" s="149">
        <v>20</v>
      </c>
      <c r="N28" s="20">
        <v>2</v>
      </c>
      <c r="O28" s="20"/>
      <c r="P28" s="149">
        <v>20</v>
      </c>
      <c r="Q28" s="149">
        <v>20</v>
      </c>
      <c r="R28" s="124">
        <v>2</v>
      </c>
      <c r="S28" s="124"/>
      <c r="T28" s="150">
        <v>9</v>
      </c>
      <c r="U28" s="150">
        <v>9</v>
      </c>
      <c r="V28" s="20">
        <v>2</v>
      </c>
      <c r="W28" s="20"/>
      <c r="X28" s="22"/>
      <c r="Y28" s="22"/>
      <c r="Z28" s="146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9">
        <v>20</v>
      </c>
      <c r="I29" s="149">
        <v>20</v>
      </c>
      <c r="J29" s="20">
        <v>2</v>
      </c>
      <c r="K29" s="19"/>
      <c r="L29" s="169">
        <v>20</v>
      </c>
      <c r="M29" s="149">
        <v>20</v>
      </c>
      <c r="N29" s="20">
        <v>2</v>
      </c>
      <c r="O29" s="20"/>
      <c r="P29" s="149">
        <v>20</v>
      </c>
      <c r="Q29" s="149">
        <v>20</v>
      </c>
      <c r="R29" s="124">
        <v>2</v>
      </c>
      <c r="S29" s="124"/>
      <c r="T29" s="150">
        <v>9</v>
      </c>
      <c r="U29" s="8"/>
      <c r="V29" s="20">
        <v>2</v>
      </c>
      <c r="W29" s="20"/>
      <c r="X29" s="22"/>
      <c r="Y29" s="22"/>
      <c r="Z29" s="146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9">
        <v>20</v>
      </c>
      <c r="I30" s="8"/>
      <c r="J30" s="20">
        <v>2</v>
      </c>
      <c r="K30" s="19"/>
      <c r="L30" s="169">
        <v>20</v>
      </c>
      <c r="M30" s="8"/>
      <c r="N30" s="20">
        <v>2</v>
      </c>
      <c r="O30" s="20"/>
      <c r="P30" s="149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6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6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50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6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50">
        <v>5</v>
      </c>
      <c r="M33" s="150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6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50">
        <v>5</v>
      </c>
      <c r="M34" s="150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6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50">
        <v>5</v>
      </c>
      <c r="M35" s="150">
        <v>5</v>
      </c>
      <c r="N35" s="124">
        <v>2</v>
      </c>
      <c r="O35" s="124"/>
      <c r="P35" s="8"/>
      <c r="Q35" s="149">
        <v>2</v>
      </c>
      <c r="R35" s="121"/>
      <c r="S35" s="121"/>
      <c r="T35" s="121"/>
      <c r="U35" s="121"/>
      <c r="V35" s="20"/>
      <c r="W35" s="20"/>
      <c r="X35" s="22"/>
      <c r="Y35" s="22"/>
      <c r="Z35" s="146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50">
        <v>5</v>
      </c>
      <c r="M36" s="150">
        <v>5</v>
      </c>
      <c r="N36" s="124">
        <v>2</v>
      </c>
      <c r="O36" s="124"/>
      <c r="P36" s="149">
        <v>2</v>
      </c>
      <c r="Q36" s="149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6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50">
        <v>5</v>
      </c>
      <c r="M37" s="8"/>
      <c r="N37" s="20"/>
      <c r="O37" s="20"/>
      <c r="P37" s="149">
        <v>2</v>
      </c>
      <c r="Q37" s="149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6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9">
        <v>2</v>
      </c>
      <c r="Q38" s="149">
        <v>2</v>
      </c>
      <c r="R38" s="124">
        <v>2</v>
      </c>
      <c r="S38" s="124"/>
      <c r="T38" s="121"/>
      <c r="U38" s="150">
        <v>12</v>
      </c>
      <c r="V38" s="20"/>
      <c r="W38" s="20"/>
      <c r="X38" s="22"/>
      <c r="Y38" s="22"/>
      <c r="Z38" s="146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71">
        <v>27</v>
      </c>
      <c r="N39" s="20"/>
      <c r="O39" s="20" t="s">
        <v>165</v>
      </c>
      <c r="P39" s="149">
        <v>2</v>
      </c>
      <c r="Q39" s="149">
        <v>2</v>
      </c>
      <c r="R39" s="124">
        <v>2</v>
      </c>
      <c r="S39" s="124"/>
      <c r="T39" s="150">
        <v>12</v>
      </c>
      <c r="U39" s="150">
        <v>12</v>
      </c>
      <c r="V39" s="20"/>
      <c r="W39" s="20" t="s">
        <v>137</v>
      </c>
      <c r="X39" s="22"/>
      <c r="Y39" s="22"/>
      <c r="Z39" s="146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70">
        <v>27</v>
      </c>
      <c r="M40" s="171">
        <v>27</v>
      </c>
      <c r="N40" s="20">
        <v>2</v>
      </c>
      <c r="O40" s="20"/>
      <c r="P40" s="149">
        <v>2</v>
      </c>
      <c r="Q40" s="149">
        <v>2</v>
      </c>
      <c r="R40" s="124">
        <v>2</v>
      </c>
      <c r="S40" s="124"/>
      <c r="T40" s="150">
        <v>12</v>
      </c>
      <c r="U40" s="150">
        <v>12</v>
      </c>
      <c r="V40" s="20"/>
      <c r="W40" s="20"/>
      <c r="X40" s="22"/>
      <c r="Y40" s="22"/>
      <c r="Z40" s="146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50">
        <v>6</v>
      </c>
      <c r="F41" s="124"/>
      <c r="G41" s="143"/>
      <c r="H41" s="14"/>
      <c r="I41" s="150">
        <v>6</v>
      </c>
      <c r="J41" s="20"/>
      <c r="K41" s="19"/>
      <c r="L41" s="171">
        <v>27</v>
      </c>
      <c r="M41" s="171">
        <v>27</v>
      </c>
      <c r="N41" s="20">
        <v>2</v>
      </c>
      <c r="O41" s="20"/>
      <c r="P41" s="149">
        <v>2</v>
      </c>
      <c r="Q41" s="149">
        <v>2</v>
      </c>
      <c r="R41" s="124">
        <v>2</v>
      </c>
      <c r="S41" s="124"/>
      <c r="T41" s="150">
        <v>12</v>
      </c>
      <c r="U41" s="150">
        <v>12</v>
      </c>
      <c r="V41" s="20"/>
      <c r="W41" s="20"/>
      <c r="X41" s="122"/>
      <c r="Y41" s="121"/>
      <c r="Z41" s="146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1">
        <v>6</v>
      </c>
      <c r="E42" s="150">
        <v>6</v>
      </c>
      <c r="F42" s="124"/>
      <c r="G42" s="143"/>
      <c r="H42" s="152">
        <v>6</v>
      </c>
      <c r="I42" s="150">
        <v>6</v>
      </c>
      <c r="J42" s="20"/>
      <c r="K42" s="19"/>
      <c r="L42" s="171">
        <v>27</v>
      </c>
      <c r="M42" s="171">
        <v>27</v>
      </c>
      <c r="N42" s="20">
        <v>2</v>
      </c>
      <c r="O42" s="20" t="s">
        <v>162</v>
      </c>
      <c r="P42" s="149">
        <v>2</v>
      </c>
      <c r="Q42" s="149">
        <v>2</v>
      </c>
      <c r="R42" s="124">
        <v>2</v>
      </c>
      <c r="S42" s="124"/>
      <c r="T42" s="150">
        <v>12</v>
      </c>
      <c r="U42" s="121"/>
      <c r="V42" s="20"/>
      <c r="W42" s="20"/>
      <c r="X42" s="122"/>
      <c r="Y42" s="121"/>
      <c r="Z42" s="146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1">
        <v>6</v>
      </c>
      <c r="E43" s="8"/>
      <c r="F43" s="124"/>
      <c r="G43" s="143"/>
      <c r="H43" s="152">
        <v>6</v>
      </c>
      <c r="I43" s="8"/>
      <c r="J43" s="20"/>
      <c r="K43" s="19"/>
      <c r="L43" s="171">
        <v>27</v>
      </c>
      <c r="M43" s="171">
        <v>27</v>
      </c>
      <c r="N43" s="20">
        <v>2</v>
      </c>
      <c r="O43" s="20"/>
      <c r="P43" s="149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6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71">
        <v>27</v>
      </c>
      <c r="M44" s="171">
        <v>27</v>
      </c>
      <c r="N44" s="20">
        <v>2</v>
      </c>
      <c r="O44" s="20"/>
      <c r="P44" s="8"/>
      <c r="Q44" s="154">
        <v>15</v>
      </c>
      <c r="R44" s="124"/>
      <c r="S44" s="124"/>
      <c r="T44" s="8"/>
      <c r="U44" s="150">
        <v>17</v>
      </c>
      <c r="V44" s="20"/>
      <c r="W44" s="20" t="s">
        <v>162</v>
      </c>
      <c r="X44" s="22"/>
      <c r="Y44" s="22"/>
      <c r="Z44" s="146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50">
        <v>16</v>
      </c>
      <c r="F45" s="124"/>
      <c r="G45" s="143"/>
      <c r="H45" s="8"/>
      <c r="I45" s="150">
        <v>16</v>
      </c>
      <c r="J45" s="20"/>
      <c r="K45" s="19"/>
      <c r="L45" s="171">
        <v>27</v>
      </c>
      <c r="M45" s="150">
        <v>18</v>
      </c>
      <c r="N45" s="20">
        <v>2</v>
      </c>
      <c r="O45" s="20" t="s">
        <v>165</v>
      </c>
      <c r="P45" s="154">
        <v>15</v>
      </c>
      <c r="Q45" s="154">
        <v>15</v>
      </c>
      <c r="R45" s="124">
        <v>2</v>
      </c>
      <c r="S45" s="124"/>
      <c r="T45" s="150">
        <v>17</v>
      </c>
      <c r="U45" s="150">
        <v>17</v>
      </c>
      <c r="V45" s="20">
        <v>2</v>
      </c>
      <c r="W45" s="20"/>
      <c r="X45" s="22"/>
      <c r="Y45" s="22"/>
      <c r="Z45" s="146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50">
        <v>16</v>
      </c>
      <c r="E46" s="150">
        <v>16</v>
      </c>
      <c r="F46" s="124">
        <v>2</v>
      </c>
      <c r="G46" s="143"/>
      <c r="H46" s="150">
        <v>16</v>
      </c>
      <c r="I46" s="153">
        <v>16</v>
      </c>
      <c r="J46" s="20">
        <v>2</v>
      </c>
      <c r="K46" s="19"/>
      <c r="L46" s="150">
        <v>18</v>
      </c>
      <c r="M46" s="155">
        <v>18</v>
      </c>
      <c r="N46" s="20">
        <v>2</v>
      </c>
      <c r="O46" s="20"/>
      <c r="P46" s="154">
        <v>15</v>
      </c>
      <c r="Q46" s="154">
        <v>15</v>
      </c>
      <c r="R46" s="124">
        <v>2</v>
      </c>
      <c r="S46" s="124"/>
      <c r="T46" s="150">
        <v>17</v>
      </c>
      <c r="U46" s="150">
        <v>17</v>
      </c>
      <c r="V46" s="20">
        <v>2</v>
      </c>
      <c r="W46" s="20"/>
      <c r="X46" s="22"/>
      <c r="Y46" s="22"/>
      <c r="Z46" s="146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0">
        <v>16</v>
      </c>
      <c r="E47" s="150">
        <v>16</v>
      </c>
      <c r="F47" s="124">
        <v>2</v>
      </c>
      <c r="G47" s="143"/>
      <c r="H47" s="153">
        <v>16</v>
      </c>
      <c r="I47" s="153">
        <v>16</v>
      </c>
      <c r="J47" s="20">
        <v>2</v>
      </c>
      <c r="K47" s="19"/>
      <c r="L47" s="155">
        <v>18</v>
      </c>
      <c r="M47" s="150">
        <v>18</v>
      </c>
      <c r="N47" s="20">
        <v>2</v>
      </c>
      <c r="O47" s="20"/>
      <c r="P47" s="154">
        <v>15</v>
      </c>
      <c r="Q47" s="154">
        <v>15</v>
      </c>
      <c r="R47" s="124">
        <v>2</v>
      </c>
      <c r="S47" s="124"/>
      <c r="T47" s="150">
        <v>17</v>
      </c>
      <c r="U47" s="150">
        <v>17</v>
      </c>
      <c r="V47" s="20">
        <v>2</v>
      </c>
      <c r="W47" s="20"/>
      <c r="X47" s="22"/>
      <c r="Y47" s="22"/>
      <c r="Z47" s="146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0">
        <v>16</v>
      </c>
      <c r="E48" s="150">
        <v>16</v>
      </c>
      <c r="F48" s="124">
        <v>2</v>
      </c>
      <c r="G48" s="143"/>
      <c r="H48" s="153">
        <v>16</v>
      </c>
      <c r="I48" s="153">
        <v>16</v>
      </c>
      <c r="J48" s="20">
        <v>2</v>
      </c>
      <c r="K48" s="19"/>
      <c r="L48" s="150">
        <v>18</v>
      </c>
      <c r="M48" s="150">
        <v>18</v>
      </c>
      <c r="N48" s="20">
        <v>2</v>
      </c>
      <c r="O48" s="20"/>
      <c r="P48" s="154">
        <v>15</v>
      </c>
      <c r="Q48" s="154">
        <v>15</v>
      </c>
      <c r="R48" s="124">
        <v>2</v>
      </c>
      <c r="S48" s="124"/>
      <c r="T48" s="150">
        <v>17</v>
      </c>
      <c r="U48" s="150">
        <v>17</v>
      </c>
      <c r="V48" s="20">
        <v>2</v>
      </c>
      <c r="W48" s="20"/>
      <c r="X48" s="22"/>
      <c r="Y48" s="22"/>
      <c r="Z48" s="146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0">
        <v>16</v>
      </c>
      <c r="E49" s="150">
        <v>16</v>
      </c>
      <c r="F49" s="124">
        <v>2</v>
      </c>
      <c r="G49" s="143"/>
      <c r="H49" s="153">
        <v>16</v>
      </c>
      <c r="I49" s="153">
        <v>16</v>
      </c>
      <c r="J49" s="20">
        <v>2</v>
      </c>
      <c r="K49" s="19"/>
      <c r="L49" s="150">
        <v>18</v>
      </c>
      <c r="M49" s="150">
        <v>18</v>
      </c>
      <c r="N49" s="20">
        <v>2</v>
      </c>
      <c r="O49" s="20"/>
      <c r="P49" s="154">
        <v>15</v>
      </c>
      <c r="Q49" s="154">
        <v>15</v>
      </c>
      <c r="R49" s="124">
        <v>2</v>
      </c>
      <c r="S49" s="124"/>
      <c r="T49" s="150">
        <v>17</v>
      </c>
      <c r="U49" s="150">
        <v>17</v>
      </c>
      <c r="V49" s="20">
        <v>2</v>
      </c>
      <c r="W49" s="20"/>
      <c r="X49" s="22"/>
      <c r="Y49" s="22"/>
      <c r="Z49" s="146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0">
        <v>16</v>
      </c>
      <c r="E50" s="150">
        <v>16</v>
      </c>
      <c r="F50" s="124">
        <v>2</v>
      </c>
      <c r="G50" s="143"/>
      <c r="H50" s="153">
        <v>16</v>
      </c>
      <c r="I50" s="153">
        <v>16</v>
      </c>
      <c r="J50" s="20">
        <v>2</v>
      </c>
      <c r="K50" s="19"/>
      <c r="L50" s="150">
        <v>18</v>
      </c>
      <c r="M50" s="121"/>
      <c r="N50" s="20">
        <v>2</v>
      </c>
      <c r="O50" s="20"/>
      <c r="P50" s="154">
        <v>15</v>
      </c>
      <c r="Q50" s="154">
        <v>15</v>
      </c>
      <c r="R50" s="124">
        <v>2</v>
      </c>
      <c r="S50" s="124"/>
      <c r="T50" s="150">
        <v>17</v>
      </c>
      <c r="U50" s="150">
        <v>17</v>
      </c>
      <c r="V50" s="20">
        <v>2</v>
      </c>
      <c r="W50" s="20"/>
      <c r="X50" s="22"/>
      <c r="Y50" s="22"/>
      <c r="Z50" s="146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0">
        <v>16</v>
      </c>
      <c r="E51" s="121"/>
      <c r="F51" s="124">
        <v>2</v>
      </c>
      <c r="G51" s="143"/>
      <c r="H51" s="153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4">
        <v>15</v>
      </c>
      <c r="Q51" s="144"/>
      <c r="R51" s="124"/>
      <c r="S51" s="124"/>
      <c r="T51" s="150">
        <v>17</v>
      </c>
      <c r="U51" s="121"/>
      <c r="V51" s="20">
        <v>2</v>
      </c>
      <c r="W51" s="20"/>
      <c r="X51" s="22"/>
      <c r="Y51" s="22"/>
      <c r="Z51" s="146">
        <f t="shared" si="2"/>
        <v>8</v>
      </c>
      <c r="AA51" s="140">
        <f t="shared" si="3"/>
        <v>0</v>
      </c>
      <c r="AB51" s="8">
        <f t="shared" si="4"/>
        <v>0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44"/>
      <c r="Q52" s="144"/>
      <c r="R52" s="124"/>
      <c r="S52" s="124"/>
      <c r="T52" s="121"/>
      <c r="U52" s="8"/>
      <c r="V52" s="20"/>
      <c r="W52" s="20"/>
      <c r="X52" s="22"/>
      <c r="Y52" s="22"/>
      <c r="Z52" s="146">
        <f t="shared" si="2"/>
        <v>0</v>
      </c>
      <c r="AA52" s="140">
        <f t="shared" si="3"/>
        <v>0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44"/>
      <c r="Q53" s="8"/>
      <c r="R53" s="124"/>
      <c r="S53" s="124"/>
      <c r="T53" s="8"/>
      <c r="U53" s="150">
        <v>31</v>
      </c>
      <c r="V53" s="20"/>
      <c r="W53" s="20" t="s">
        <v>32</v>
      </c>
      <c r="X53" s="22"/>
      <c r="Y53" s="22"/>
      <c r="Z53" s="146">
        <f t="shared" si="2"/>
        <v>0</v>
      </c>
      <c r="AA53" s="140">
        <f t="shared" si="3"/>
        <v>1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8"/>
      <c r="Q54" s="8"/>
      <c r="R54" s="124"/>
      <c r="S54" s="124"/>
      <c r="T54" s="150">
        <v>31</v>
      </c>
      <c r="U54" s="150">
        <v>31</v>
      </c>
      <c r="V54" s="20">
        <v>1</v>
      </c>
      <c r="W54" s="20"/>
      <c r="X54" s="22"/>
      <c r="Y54" s="22"/>
      <c r="Z54" s="146">
        <f t="shared" si="2"/>
        <v>1</v>
      </c>
      <c r="AA54" s="140">
        <f t="shared" si="3"/>
        <v>1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/>
      <c r="N55" s="20"/>
      <c r="O55" s="20"/>
      <c r="P55" s="8"/>
      <c r="Q55" s="8"/>
      <c r="R55" s="124"/>
      <c r="S55" s="124"/>
      <c r="T55" s="150">
        <v>31</v>
      </c>
      <c r="U55" s="150">
        <v>31</v>
      </c>
      <c r="V55" s="20">
        <v>1</v>
      </c>
      <c r="W55" s="20"/>
      <c r="X55" s="22"/>
      <c r="Y55" s="22"/>
      <c r="Z55" s="146">
        <f t="shared" si="2"/>
        <v>1</v>
      </c>
      <c r="AA55" s="140">
        <f t="shared" si="3"/>
        <v>1</v>
      </c>
      <c r="AB55" s="8">
        <f t="shared" si="4"/>
        <v>0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/>
      <c r="M56" s="8"/>
      <c r="N56" s="20"/>
      <c r="O56" s="20"/>
      <c r="P56" s="8"/>
      <c r="Q56" s="8"/>
      <c r="R56" s="124"/>
      <c r="S56" s="124"/>
      <c r="T56" s="150">
        <v>31</v>
      </c>
      <c r="U56" s="150">
        <v>31</v>
      </c>
      <c r="V56" s="20">
        <v>1</v>
      </c>
      <c r="W56" s="20"/>
      <c r="X56" s="22"/>
      <c r="Y56" s="22"/>
      <c r="Z56" s="146">
        <f t="shared" si="2"/>
        <v>1</v>
      </c>
      <c r="AA56" s="140">
        <f t="shared" si="3"/>
        <v>1</v>
      </c>
      <c r="AB56" s="8">
        <f t="shared" si="4"/>
        <v>0</v>
      </c>
      <c r="AC56" s="23">
        <f t="shared" si="5"/>
        <v>0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/>
      <c r="M57" s="8"/>
      <c r="N57" s="20"/>
      <c r="O57" s="20"/>
      <c r="P57" s="8"/>
      <c r="Q57" s="8"/>
      <c r="R57" s="124"/>
      <c r="S57" s="124"/>
      <c r="T57" s="150">
        <v>31</v>
      </c>
      <c r="U57" s="150">
        <v>31</v>
      </c>
      <c r="V57" s="20">
        <v>1</v>
      </c>
      <c r="W57" s="20"/>
      <c r="X57" s="22"/>
      <c r="Y57" s="22"/>
      <c r="Z57" s="146">
        <f t="shared" si="2"/>
        <v>1</v>
      </c>
      <c r="AA57" s="140">
        <f t="shared" si="3"/>
        <v>1</v>
      </c>
      <c r="AB57" s="8">
        <f t="shared" si="4"/>
        <v>0</v>
      </c>
      <c r="AC57" s="23">
        <f t="shared" si="5"/>
        <v>0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/>
      <c r="R58" s="124"/>
      <c r="S58" s="124"/>
      <c r="T58" s="150">
        <v>31</v>
      </c>
      <c r="U58" s="8"/>
      <c r="V58" s="20">
        <v>1</v>
      </c>
      <c r="W58" s="20"/>
      <c r="X58" s="22"/>
      <c r="Y58" s="22"/>
      <c r="Z58" s="146">
        <f t="shared" si="2"/>
        <v>1</v>
      </c>
      <c r="AA58" s="140">
        <f t="shared" si="3"/>
        <v>0</v>
      </c>
      <c r="AB58" s="8">
        <f t="shared" si="4"/>
        <v>0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/>
      <c r="Q59" s="8"/>
      <c r="R59" s="124"/>
      <c r="S59" s="124"/>
      <c r="T59" s="8"/>
      <c r="U59" s="8"/>
      <c r="V59" s="20"/>
      <c r="W59" s="20"/>
      <c r="X59" s="22"/>
      <c r="Y59" s="22"/>
      <c r="Z59" s="146">
        <f t="shared" si="2"/>
        <v>0</v>
      </c>
      <c r="AA59" s="140">
        <f t="shared" si="3"/>
        <v>0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/>
      <c r="Q60" s="8"/>
      <c r="R60" s="124"/>
      <c r="S60" s="124"/>
      <c r="T60" s="8"/>
      <c r="U60" s="8"/>
      <c r="V60" s="20"/>
      <c r="W60" s="20"/>
      <c r="X60" s="22"/>
      <c r="Y60" s="22"/>
      <c r="Z60" s="146">
        <f t="shared" si="2"/>
        <v>0</v>
      </c>
      <c r="AA60" s="140">
        <f t="shared" si="3"/>
        <v>0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/>
      <c r="Q61" s="8"/>
      <c r="R61" s="124"/>
      <c r="S61" s="124"/>
      <c r="T61" s="8"/>
      <c r="U61" s="8"/>
      <c r="V61" s="20"/>
      <c r="W61" s="20"/>
      <c r="X61" s="22"/>
      <c r="Y61" s="22"/>
      <c r="Z61" s="146">
        <f t="shared" si="2"/>
        <v>0</v>
      </c>
      <c r="AA61" s="140">
        <f t="shared" si="3"/>
        <v>1</v>
      </c>
      <c r="AB61" s="8">
        <f t="shared" si="4"/>
        <v>1</v>
      </c>
      <c r="AC61" s="23">
        <f t="shared" si="5"/>
        <v>0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/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/>
      <c r="U62" s="8"/>
      <c r="V62" s="20"/>
      <c r="W62" s="20"/>
      <c r="X62" s="22"/>
      <c r="Y62" s="22"/>
      <c r="Z62" s="146">
        <f t="shared" si="2"/>
        <v>2</v>
      </c>
      <c r="AA62" s="140">
        <f t="shared" si="3"/>
        <v>1</v>
      </c>
      <c r="AB62" s="8">
        <f t="shared" si="4"/>
        <v>0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/>
      <c r="I63" s="9"/>
      <c r="J63" s="20"/>
      <c r="K63" s="19"/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/>
      <c r="U63" s="8"/>
      <c r="V63" s="20"/>
      <c r="W63" s="20"/>
      <c r="X63" s="22"/>
      <c r="Y63" s="22"/>
      <c r="Z63" s="146">
        <f t="shared" si="2"/>
        <v>2</v>
      </c>
      <c r="AA63" s="140">
        <f t="shared" si="3"/>
        <v>1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/>
      <c r="I64" s="9"/>
      <c r="J64" s="20"/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/>
      <c r="U64" s="8"/>
      <c r="V64" s="20"/>
      <c r="W64" s="20"/>
      <c r="X64" s="22"/>
      <c r="Y64" s="22"/>
      <c r="Z64" s="146">
        <f t="shared" si="2"/>
        <v>2</v>
      </c>
      <c r="AA64" s="140">
        <f t="shared" si="3"/>
        <v>1</v>
      </c>
      <c r="AB64" s="8">
        <f t="shared" si="4"/>
        <v>0</v>
      </c>
      <c r="AC64" s="23">
        <f t="shared" si="5"/>
        <v>0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/>
      <c r="I65" s="8"/>
      <c r="J65" s="20"/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6">
        <f t="shared" si="2"/>
        <v>2</v>
      </c>
      <c r="AA65" s="140">
        <f t="shared" si="3"/>
        <v>1</v>
      </c>
      <c r="AB65" s="8">
        <f t="shared" si="4"/>
        <v>0</v>
      </c>
      <c r="AC65" s="23">
        <f t="shared" si="5"/>
        <v>0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6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6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6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3">
        <v>14</v>
      </c>
      <c r="R69" s="124"/>
      <c r="S69" s="143"/>
      <c r="T69" s="8"/>
      <c r="U69" s="121"/>
      <c r="V69" s="20"/>
      <c r="W69" s="20"/>
      <c r="X69" s="136"/>
      <c r="Y69" s="136"/>
      <c r="Z69" s="146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3">
        <v>14</v>
      </c>
      <c r="Q70" s="153">
        <v>14</v>
      </c>
      <c r="R70" s="124">
        <v>2</v>
      </c>
      <c r="S70" s="143"/>
      <c r="T70" s="121"/>
      <c r="U70" s="150">
        <v>7</v>
      </c>
      <c r="V70" s="20"/>
      <c r="W70" s="20"/>
      <c r="X70" s="136"/>
      <c r="Y70" s="136"/>
      <c r="Z70" s="146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3">
        <v>14</v>
      </c>
      <c r="Q71" s="153">
        <v>14</v>
      </c>
      <c r="R71" s="124">
        <v>2</v>
      </c>
      <c r="S71" s="143"/>
      <c r="T71" s="150">
        <v>7</v>
      </c>
      <c r="U71" s="150">
        <v>7</v>
      </c>
      <c r="V71" s="20"/>
      <c r="W71" s="20"/>
      <c r="X71" s="136"/>
      <c r="Y71" s="136"/>
      <c r="Z71" s="146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3">
        <v>14</v>
      </c>
      <c r="Q72" s="153">
        <v>14</v>
      </c>
      <c r="R72" s="124">
        <v>2</v>
      </c>
      <c r="S72" s="143"/>
      <c r="T72" s="150">
        <v>7</v>
      </c>
      <c r="U72" s="150">
        <v>7</v>
      </c>
      <c r="V72" s="20"/>
      <c r="W72" s="20"/>
      <c r="X72" s="136"/>
      <c r="Y72" s="136"/>
      <c r="Z72" s="146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3">
        <v>14</v>
      </c>
      <c r="Q73" s="153">
        <v>14</v>
      </c>
      <c r="R73" s="124">
        <v>2</v>
      </c>
      <c r="S73" s="143"/>
      <c r="T73" s="150">
        <v>7</v>
      </c>
      <c r="U73" s="150">
        <v>7</v>
      </c>
      <c r="V73" s="20"/>
      <c r="W73" s="20"/>
      <c r="X73" s="136"/>
      <c r="Y73" s="136"/>
      <c r="Z73" s="146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50">
        <v>13</v>
      </c>
      <c r="J74" s="20"/>
      <c r="K74" s="19"/>
      <c r="L74" s="8">
        <v>36</v>
      </c>
      <c r="M74" s="8">
        <v>36</v>
      </c>
      <c r="N74" s="20"/>
      <c r="O74" s="20"/>
      <c r="P74" s="153">
        <v>14</v>
      </c>
      <c r="Q74" s="153">
        <v>14</v>
      </c>
      <c r="R74" s="124">
        <v>2</v>
      </c>
      <c r="S74" s="143"/>
      <c r="T74" s="150">
        <v>7</v>
      </c>
      <c r="U74" s="150">
        <v>7</v>
      </c>
      <c r="V74" s="20"/>
      <c r="W74" s="20"/>
      <c r="X74" s="136"/>
      <c r="Y74" s="136"/>
      <c r="Z74" s="146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4"/>
      <c r="G75" s="143"/>
      <c r="H75" s="150">
        <v>13</v>
      </c>
      <c r="I75" s="150">
        <v>13</v>
      </c>
      <c r="J75" s="20">
        <v>2</v>
      </c>
      <c r="K75" s="19"/>
      <c r="L75" s="8">
        <v>36</v>
      </c>
      <c r="M75" s="8"/>
      <c r="N75" s="20"/>
      <c r="O75" s="20"/>
      <c r="P75" s="153">
        <v>14</v>
      </c>
      <c r="Q75" s="153">
        <v>14</v>
      </c>
      <c r="R75" s="124">
        <v>2</v>
      </c>
      <c r="S75" s="143"/>
      <c r="T75" s="150">
        <v>7</v>
      </c>
      <c r="U75" s="150">
        <v>7</v>
      </c>
      <c r="V75" s="20"/>
      <c r="W75" s="20"/>
      <c r="X75" s="136"/>
      <c r="Y75" s="136"/>
      <c r="Z75" s="146">
        <f t="shared" si="6"/>
        <v>4</v>
      </c>
      <c r="AA75" s="140">
        <f t="shared" si="7"/>
        <v>3</v>
      </c>
      <c r="AB75" s="8">
        <f t="shared" si="4"/>
        <v>0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4"/>
      <c r="G76" s="143"/>
      <c r="H76" s="150">
        <v>13</v>
      </c>
      <c r="I76" s="150">
        <v>13</v>
      </c>
      <c r="J76" s="20">
        <v>2</v>
      </c>
      <c r="K76" s="19"/>
      <c r="L76" s="8"/>
      <c r="M76" s="8"/>
      <c r="N76" s="20"/>
      <c r="O76" s="20"/>
      <c r="P76" s="153">
        <v>14</v>
      </c>
      <c r="Q76" s="121"/>
      <c r="R76" s="124">
        <v>2</v>
      </c>
      <c r="S76" s="124"/>
      <c r="T76" s="150">
        <v>7</v>
      </c>
      <c r="U76" s="150">
        <v>7</v>
      </c>
      <c r="V76" s="20"/>
      <c r="W76" s="20"/>
      <c r="X76" s="22"/>
      <c r="Y76" s="22"/>
      <c r="Z76" s="146">
        <f t="shared" si="6"/>
        <v>4</v>
      </c>
      <c r="AA76" s="140">
        <f t="shared" si="7"/>
        <v>2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0"/>
      <c r="G77" s="19"/>
      <c r="H77" s="150">
        <v>13</v>
      </c>
      <c r="I77" s="150">
        <v>13</v>
      </c>
      <c r="J77" s="20">
        <v>2</v>
      </c>
      <c r="K77" s="19"/>
      <c r="L77" s="8"/>
      <c r="M77" s="8"/>
      <c r="N77" s="20"/>
      <c r="O77" s="20"/>
      <c r="P77" s="121"/>
      <c r="Q77" s="8"/>
      <c r="R77" s="124"/>
      <c r="S77" s="124"/>
      <c r="T77" s="150">
        <v>7</v>
      </c>
      <c r="U77" s="8"/>
      <c r="V77" s="20"/>
      <c r="W77" s="20"/>
      <c r="X77" s="22"/>
      <c r="Y77" s="22"/>
      <c r="Z77" s="146">
        <f t="shared" si="6"/>
        <v>2</v>
      </c>
      <c r="AA77" s="140">
        <f t="shared" si="7"/>
        <v>1</v>
      </c>
      <c r="AB77" s="8">
        <f t="shared" si="4"/>
        <v>0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0">
        <v>19</v>
      </c>
      <c r="F78" s="20"/>
      <c r="G78" s="19" t="s">
        <v>32</v>
      </c>
      <c r="H78" s="150">
        <v>13</v>
      </c>
      <c r="I78" s="150">
        <v>13</v>
      </c>
      <c r="J78" s="20">
        <v>2</v>
      </c>
      <c r="K78" s="19"/>
      <c r="L78" s="8"/>
      <c r="M78" s="8"/>
      <c r="N78" s="20"/>
      <c r="O78" s="20"/>
      <c r="P78" s="8"/>
      <c r="Q78" s="8"/>
      <c r="R78" s="124"/>
      <c r="S78" s="124"/>
      <c r="T78" s="8"/>
      <c r="U78" s="8"/>
      <c r="V78" s="20"/>
      <c r="W78" s="20"/>
      <c r="X78" s="22"/>
      <c r="Y78" s="22"/>
      <c r="Z78" s="146">
        <f t="shared" si="6"/>
        <v>2</v>
      </c>
      <c r="AA78" s="140">
        <f t="shared" si="7"/>
        <v>2</v>
      </c>
      <c r="AB78" s="8">
        <f t="shared" si="4"/>
        <v>1</v>
      </c>
      <c r="AC78" s="23">
        <f t="shared" si="5"/>
        <v>0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0">
        <v>19</v>
      </c>
      <c r="E79" s="150">
        <v>19</v>
      </c>
      <c r="F79" s="20">
        <v>1</v>
      </c>
      <c r="G79" s="19"/>
      <c r="H79" s="150">
        <v>13</v>
      </c>
      <c r="I79" s="150">
        <v>13</v>
      </c>
      <c r="J79" s="20">
        <v>2</v>
      </c>
      <c r="K79" s="19"/>
      <c r="L79" s="8"/>
      <c r="M79" s="149">
        <v>43</v>
      </c>
      <c r="N79" s="20"/>
      <c r="O79" s="20" t="s">
        <v>164</v>
      </c>
      <c r="P79" s="8"/>
      <c r="Q79" s="8"/>
      <c r="R79" s="124"/>
      <c r="S79" s="124"/>
      <c r="T79" s="8"/>
      <c r="U79" s="8"/>
      <c r="V79" s="20"/>
      <c r="W79" s="20"/>
      <c r="X79" s="22"/>
      <c r="Y79" s="22"/>
      <c r="Z79" s="146">
        <f t="shared" si="6"/>
        <v>3</v>
      </c>
      <c r="AA79" s="140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50">
        <v>19</v>
      </c>
      <c r="E80" s="150">
        <v>19</v>
      </c>
      <c r="F80" s="20">
        <v>1</v>
      </c>
      <c r="G80" s="19"/>
      <c r="H80" s="150">
        <v>13</v>
      </c>
      <c r="I80" s="150">
        <v>13</v>
      </c>
      <c r="J80" s="20">
        <v>2</v>
      </c>
      <c r="K80" s="19"/>
      <c r="L80" s="149">
        <v>43</v>
      </c>
      <c r="M80" s="149">
        <v>43</v>
      </c>
      <c r="N80" s="20">
        <v>3</v>
      </c>
      <c r="O80" s="20"/>
      <c r="P80" s="8"/>
      <c r="Q80" s="8"/>
      <c r="R80" s="124"/>
      <c r="S80" s="124"/>
      <c r="T80" s="8"/>
      <c r="U80" s="8"/>
      <c r="V80" s="20"/>
      <c r="W80" s="20"/>
      <c r="X80" s="22"/>
      <c r="Y80" s="22"/>
      <c r="Z80" s="146">
        <f t="shared" si="6"/>
        <v>6</v>
      </c>
      <c r="AA80" s="140">
        <f t="shared" si="7"/>
        <v>3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50">
        <v>19</v>
      </c>
      <c r="E81" s="150">
        <v>19</v>
      </c>
      <c r="F81" s="20">
        <v>1</v>
      </c>
      <c r="G81" s="19"/>
      <c r="H81" s="150">
        <v>13</v>
      </c>
      <c r="I81" s="8"/>
      <c r="J81" s="20">
        <v>2</v>
      </c>
      <c r="K81" s="19"/>
      <c r="L81" s="149">
        <v>43</v>
      </c>
      <c r="M81" s="149">
        <v>43</v>
      </c>
      <c r="N81" s="20">
        <v>3</v>
      </c>
      <c r="O81" s="20"/>
      <c r="P81" s="8"/>
      <c r="Q81" s="8"/>
      <c r="R81" s="124"/>
      <c r="S81" s="124"/>
      <c r="T81" s="8"/>
      <c r="U81" s="8"/>
      <c r="V81" s="20"/>
      <c r="W81" s="20"/>
      <c r="X81" s="22"/>
      <c r="Y81" s="22"/>
      <c r="Z81" s="146">
        <f t="shared" si="6"/>
        <v>6</v>
      </c>
      <c r="AA81" s="140">
        <f t="shared" si="7"/>
        <v>2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50">
        <v>19</v>
      </c>
      <c r="E82" s="150">
        <v>19</v>
      </c>
      <c r="F82" s="20">
        <v>1</v>
      </c>
      <c r="G82" s="19"/>
      <c r="H82" s="8"/>
      <c r="I82" s="8"/>
      <c r="J82" s="20"/>
      <c r="K82" s="19"/>
      <c r="L82" s="149">
        <v>43</v>
      </c>
      <c r="M82" s="8"/>
      <c r="N82" s="20">
        <v>3</v>
      </c>
      <c r="O82" s="20"/>
      <c r="P82" s="8"/>
      <c r="Q82" s="8"/>
      <c r="R82" s="124"/>
      <c r="S82" s="124"/>
      <c r="T82" s="8"/>
      <c r="U82" s="8"/>
      <c r="V82" s="20"/>
      <c r="W82" s="20"/>
      <c r="X82" s="22"/>
      <c r="Y82" s="22"/>
      <c r="Z82" s="146">
        <f t="shared" si="6"/>
        <v>4</v>
      </c>
      <c r="AA82" s="140">
        <f t="shared" si="7"/>
        <v>1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50">
        <v>19</v>
      </c>
      <c r="E83" s="150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8"/>
      <c r="Q83" s="8"/>
      <c r="R83" s="124"/>
      <c r="S83" s="124"/>
      <c r="T83" s="8"/>
      <c r="U83" s="8"/>
      <c r="V83" s="20"/>
      <c r="W83" s="20"/>
      <c r="X83" s="22"/>
      <c r="Y83" s="22"/>
      <c r="Z83" s="146">
        <f t="shared" si="6"/>
        <v>1</v>
      </c>
      <c r="AA83" s="140">
        <f t="shared" si="7"/>
        <v>1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50">
        <v>19</v>
      </c>
      <c r="E84" s="150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8"/>
      <c r="Q84" s="8"/>
      <c r="R84" s="124"/>
      <c r="S84" s="124"/>
      <c r="T84" s="8"/>
      <c r="U84" s="8"/>
      <c r="V84" s="20"/>
      <c r="W84" s="20"/>
      <c r="X84" s="22"/>
      <c r="Y84" s="22"/>
      <c r="Z84" s="146">
        <f t="shared" si="6"/>
        <v>1</v>
      </c>
      <c r="AA84" s="140">
        <f t="shared" si="7"/>
        <v>2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50">
        <v>19</v>
      </c>
      <c r="E85" s="150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8"/>
      <c r="Q85" s="8"/>
      <c r="R85" s="124"/>
      <c r="S85" s="124"/>
      <c r="T85" s="8"/>
      <c r="U85" s="149">
        <v>1</v>
      </c>
      <c r="V85" s="20"/>
      <c r="W85" s="20"/>
      <c r="X85" s="22"/>
      <c r="Y85" s="22"/>
      <c r="Z85" s="146">
        <f t="shared" si="6"/>
        <v>1</v>
      </c>
      <c r="AA85" s="140">
        <f t="shared" si="7"/>
        <v>4</v>
      </c>
      <c r="AB85" s="8">
        <f t="shared" si="8"/>
        <v>2</v>
      </c>
      <c r="AC85" s="23">
        <f t="shared" si="9"/>
        <v>0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50">
        <v>19</v>
      </c>
      <c r="E86" s="150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8"/>
      <c r="Q86" s="8"/>
      <c r="R86" s="124"/>
      <c r="S86" s="124"/>
      <c r="T86" s="149">
        <v>1</v>
      </c>
      <c r="U86" s="149">
        <v>1</v>
      </c>
      <c r="V86" s="20">
        <v>2</v>
      </c>
      <c r="W86" s="20"/>
      <c r="X86" s="22"/>
      <c r="Y86" s="22"/>
      <c r="Z86" s="146">
        <f t="shared" si="6"/>
        <v>5</v>
      </c>
      <c r="AA86" s="140">
        <f t="shared" si="7"/>
        <v>4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50">
        <v>19</v>
      </c>
      <c r="E87" s="150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8"/>
      <c r="Q87" s="8"/>
      <c r="R87" s="124"/>
      <c r="S87" s="124"/>
      <c r="T87" s="149">
        <v>1</v>
      </c>
      <c r="U87" s="149">
        <v>1</v>
      </c>
      <c r="V87" s="20">
        <v>2</v>
      </c>
      <c r="W87" s="20"/>
      <c r="X87" s="22"/>
      <c r="Y87" s="22"/>
      <c r="Z87" s="146">
        <f t="shared" si="6"/>
        <v>5</v>
      </c>
      <c r="AA87" s="140">
        <f t="shared" si="7"/>
        <v>4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50">
        <v>19</v>
      </c>
      <c r="E88" s="150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8"/>
      <c r="Q88" s="150">
        <v>10</v>
      </c>
      <c r="R88" s="124"/>
      <c r="S88" s="124"/>
      <c r="T88" s="149">
        <v>1</v>
      </c>
      <c r="U88" s="149">
        <v>1</v>
      </c>
      <c r="V88" s="20">
        <v>2</v>
      </c>
      <c r="W88" s="20"/>
      <c r="X88" s="22"/>
      <c r="Y88" s="22"/>
      <c r="Z88" s="146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0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0">
        <v>19</v>
      </c>
      <c r="E89" s="150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50">
        <v>10</v>
      </c>
      <c r="Q89" s="150">
        <v>10</v>
      </c>
      <c r="R89" s="124"/>
      <c r="S89" s="124"/>
      <c r="T89" s="149">
        <v>1</v>
      </c>
      <c r="U89" s="149">
        <v>1</v>
      </c>
      <c r="V89" s="20">
        <v>2</v>
      </c>
      <c r="W89" s="20"/>
      <c r="X89" s="22"/>
      <c r="Y89" s="22"/>
      <c r="Z89" s="146">
        <f t="shared" si="6"/>
        <v>5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50">
        <v>19</v>
      </c>
      <c r="E90" s="150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50">
        <v>10</v>
      </c>
      <c r="Q90" s="150">
        <v>10</v>
      </c>
      <c r="R90" s="124"/>
      <c r="S90" s="124"/>
      <c r="T90" s="149">
        <v>1</v>
      </c>
      <c r="U90" s="149">
        <v>1</v>
      </c>
      <c r="V90" s="20">
        <v>2</v>
      </c>
      <c r="W90" s="20"/>
      <c r="X90" s="22"/>
      <c r="Y90" s="22"/>
      <c r="Z90" s="146">
        <f t="shared" si="6"/>
        <v>5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50">
        <v>19</v>
      </c>
      <c r="E91" s="150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50">
        <v>10</v>
      </c>
      <c r="Q91" s="8"/>
      <c r="R91" s="124"/>
      <c r="S91" s="124"/>
      <c r="T91" s="149">
        <v>1</v>
      </c>
      <c r="U91" s="8">
        <v>49</v>
      </c>
      <c r="V91" s="20">
        <v>2</v>
      </c>
      <c r="W91" s="20"/>
      <c r="X91" s="22"/>
      <c r="Y91" s="22"/>
      <c r="Z91" s="146">
        <f t="shared" si="6"/>
        <v>3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50">
        <v>19</v>
      </c>
      <c r="E92" s="8"/>
      <c r="F92" s="20">
        <v>1</v>
      </c>
      <c r="G92" s="19"/>
      <c r="H92" s="8"/>
      <c r="I92" s="150">
        <v>58</v>
      </c>
      <c r="J92" s="20"/>
      <c r="K92" s="19" t="s">
        <v>32</v>
      </c>
      <c r="L92" s="8"/>
      <c r="M92" s="8"/>
      <c r="N92" s="20"/>
      <c r="O92" s="20"/>
      <c r="P92" s="8"/>
      <c r="Q92" s="8"/>
      <c r="R92" s="124"/>
      <c r="S92" s="124"/>
      <c r="T92" s="8">
        <v>49</v>
      </c>
      <c r="U92" s="8">
        <v>49</v>
      </c>
      <c r="V92" s="20">
        <v>2</v>
      </c>
      <c r="W92" s="20"/>
      <c r="X92" s="22"/>
      <c r="Y92" s="22"/>
      <c r="Z92" s="146">
        <f t="shared" si="6"/>
        <v>3</v>
      </c>
      <c r="AA92" s="140">
        <f t="shared" si="7"/>
        <v>2</v>
      </c>
      <c r="AB92" s="8">
        <f t="shared" si="8"/>
        <v>1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50">
        <v>58</v>
      </c>
      <c r="I93" s="150">
        <v>58</v>
      </c>
      <c r="J93" s="20">
        <v>2</v>
      </c>
      <c r="K93" s="19" t="s">
        <v>298</v>
      </c>
      <c r="L93" s="8"/>
      <c r="M93" s="8">
        <v>30</v>
      </c>
      <c r="N93" s="20"/>
      <c r="O93" s="20" t="s">
        <v>165</v>
      </c>
      <c r="P93" s="8"/>
      <c r="Q93" s="8"/>
      <c r="R93" s="124"/>
      <c r="S93" s="124"/>
      <c r="T93" s="8">
        <v>49</v>
      </c>
      <c r="U93" s="8">
        <v>49</v>
      </c>
      <c r="V93" s="20">
        <v>2</v>
      </c>
      <c r="W93" s="20"/>
      <c r="X93" s="22"/>
      <c r="Y93" s="22"/>
      <c r="Z93" s="146">
        <f t="shared" si="6"/>
        <v>4</v>
      </c>
      <c r="AA93" s="140">
        <f t="shared" si="7"/>
        <v>4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50">
        <v>58</v>
      </c>
      <c r="I94" s="150">
        <v>58</v>
      </c>
      <c r="J94" s="20">
        <v>2</v>
      </c>
      <c r="K94" s="19"/>
      <c r="L94" s="8">
        <v>30</v>
      </c>
      <c r="M94" s="8">
        <v>30</v>
      </c>
      <c r="N94" s="20">
        <v>2</v>
      </c>
      <c r="O94" s="20"/>
      <c r="P94" s="8"/>
      <c r="Q94" s="8"/>
      <c r="R94" s="124"/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6">
        <f t="shared" si="6"/>
        <v>6</v>
      </c>
      <c r="AA94" s="140">
        <f t="shared" si="7"/>
        <v>4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50">
        <v>58</v>
      </c>
      <c r="I95" s="150">
        <v>58</v>
      </c>
      <c r="J95" s="20">
        <v>2</v>
      </c>
      <c r="K95" s="19"/>
      <c r="L95" s="8">
        <v>30</v>
      </c>
      <c r="M95" s="8">
        <v>30</v>
      </c>
      <c r="N95" s="20">
        <v>2</v>
      </c>
      <c r="O95" s="20"/>
      <c r="P95" s="8"/>
      <c r="Q95" s="179">
        <v>57</v>
      </c>
      <c r="R95" s="124"/>
      <c r="S95" s="124"/>
      <c r="T95" s="8">
        <v>49</v>
      </c>
      <c r="U95" s="8">
        <v>49</v>
      </c>
      <c r="V95" s="20">
        <v>2</v>
      </c>
      <c r="W95" s="20"/>
      <c r="X95" s="22"/>
      <c r="Y95" s="22"/>
      <c r="Z95" s="146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0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50">
        <v>58</v>
      </c>
      <c r="I96" s="8"/>
      <c r="J96" s="20">
        <v>2</v>
      </c>
      <c r="K96" s="19"/>
      <c r="L96" s="8">
        <v>30</v>
      </c>
      <c r="M96" s="8">
        <v>30</v>
      </c>
      <c r="N96" s="20">
        <v>2</v>
      </c>
      <c r="O96" s="20"/>
      <c r="P96" s="178">
        <v>57</v>
      </c>
      <c r="Q96" s="179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/>
      <c r="Y96" s="22"/>
      <c r="Z96" s="146">
        <f t="shared" si="6"/>
        <v>6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8">
        <v>57</v>
      </c>
      <c r="Q97" s="179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6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8">
        <v>57</v>
      </c>
      <c r="Q98" s="179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6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8">
        <v>57</v>
      </c>
      <c r="Q99" s="179">
        <v>57</v>
      </c>
      <c r="R99" s="124"/>
      <c r="S99" s="124"/>
      <c r="T99" s="8"/>
      <c r="U99" s="8"/>
      <c r="V99" s="20"/>
      <c r="W99" s="20"/>
      <c r="X99" s="22"/>
      <c r="Y99" s="22"/>
      <c r="Z99" s="146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9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8">
        <v>57</v>
      </c>
      <c r="Q100" s="179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6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9">
        <v>11</v>
      </c>
      <c r="E101" s="149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8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6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9">
        <v>11</v>
      </c>
      <c r="E102" s="149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6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9">
        <v>11</v>
      </c>
      <c r="E103" s="149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72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6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9">
        <v>11</v>
      </c>
      <c r="E104" s="149">
        <v>11</v>
      </c>
      <c r="F104" s="20"/>
      <c r="G104" s="19"/>
      <c r="H104" s="156">
        <v>32</v>
      </c>
      <c r="I104" s="156">
        <v>32</v>
      </c>
      <c r="J104" s="156">
        <v>2</v>
      </c>
      <c r="K104" s="157" t="s">
        <v>163</v>
      </c>
      <c r="L104" s="172">
        <v>33</v>
      </c>
      <c r="M104" s="172">
        <v>33</v>
      </c>
      <c r="N104" s="156">
        <v>1</v>
      </c>
      <c r="O104" s="156" t="s">
        <v>163</v>
      </c>
      <c r="P104" s="8">
        <v>45</v>
      </c>
      <c r="Q104" s="156">
        <v>45</v>
      </c>
      <c r="R104" s="156">
        <v>2</v>
      </c>
      <c r="S104" s="156"/>
      <c r="T104" s="8">
        <v>50</v>
      </c>
      <c r="U104" s="156"/>
      <c r="V104" s="156">
        <v>2</v>
      </c>
      <c r="W104" s="156"/>
      <c r="X104" s="22"/>
      <c r="Y104" s="22"/>
      <c r="Z104" s="146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9">
        <v>11</v>
      </c>
      <c r="E105" s="8"/>
      <c r="F105" s="20"/>
      <c r="G105" s="19"/>
      <c r="H105" s="156">
        <v>32</v>
      </c>
      <c r="I105" s="156">
        <v>32</v>
      </c>
      <c r="J105" s="156">
        <v>2</v>
      </c>
      <c r="K105" s="157"/>
      <c r="L105" s="172">
        <v>33</v>
      </c>
      <c r="M105" s="172">
        <v>33</v>
      </c>
      <c r="N105" s="156">
        <v>1</v>
      </c>
      <c r="O105" s="156"/>
      <c r="P105" s="156">
        <v>45</v>
      </c>
      <c r="Q105" s="156">
        <v>45</v>
      </c>
      <c r="R105" s="156">
        <v>2</v>
      </c>
      <c r="S105" s="156"/>
      <c r="T105" s="156"/>
      <c r="U105" s="156"/>
      <c r="V105" s="156"/>
      <c r="W105" s="156"/>
      <c r="X105" s="22"/>
      <c r="Y105" s="22"/>
      <c r="Z105" s="146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72">
        <v>33</v>
      </c>
      <c r="M106" s="172">
        <v>33</v>
      </c>
      <c r="N106" s="20">
        <v>1</v>
      </c>
      <c r="O106" s="20"/>
      <c r="P106" s="156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6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/>
      <c r="F107" s="20"/>
      <c r="G107" s="19"/>
      <c r="H107" s="8">
        <v>32</v>
      </c>
      <c r="I107" s="8">
        <v>32</v>
      </c>
      <c r="J107" s="20">
        <v>2</v>
      </c>
      <c r="K107" s="19"/>
      <c r="L107" s="172">
        <v>33</v>
      </c>
      <c r="M107" s="172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6">
        <f t="shared" si="6"/>
        <v>3</v>
      </c>
      <c r="AA107" s="140">
        <f t="shared" si="7"/>
        <v>2</v>
      </c>
      <c r="AB107" s="8">
        <f t="shared" si="8"/>
        <v>0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/>
      <c r="E108" s="8"/>
      <c r="F108" s="20"/>
      <c r="G108" s="19"/>
      <c r="H108" s="8">
        <v>32</v>
      </c>
      <c r="I108" s="8">
        <v>32</v>
      </c>
      <c r="J108" s="20">
        <v>2</v>
      </c>
      <c r="K108" s="19"/>
      <c r="L108" s="172">
        <v>33</v>
      </c>
      <c r="M108" s="172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6">
        <f>F108+J108+N109+R108+V108</f>
        <v>3</v>
      </c>
      <c r="AA108" s="140">
        <f t="shared" si="7"/>
        <v>2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/>
      <c r="E109" s="8"/>
      <c r="F109" s="20"/>
      <c r="G109" s="19"/>
      <c r="H109" s="14">
        <v>32</v>
      </c>
      <c r="I109" s="9">
        <v>32</v>
      </c>
      <c r="J109" s="20">
        <v>2</v>
      </c>
      <c r="K109" s="19"/>
      <c r="L109" s="172">
        <v>33</v>
      </c>
      <c r="M109" s="172">
        <v>33</v>
      </c>
      <c r="N109" s="20">
        <v>1</v>
      </c>
      <c r="O109" s="20"/>
      <c r="P109" s="8"/>
      <c r="Q109" s="150">
        <v>4</v>
      </c>
      <c r="R109" s="124"/>
      <c r="S109" s="124"/>
      <c r="T109" s="8"/>
      <c r="U109" s="150">
        <v>4</v>
      </c>
      <c r="V109" s="20"/>
      <c r="W109" s="20"/>
      <c r="X109" s="22"/>
      <c r="Y109" s="22"/>
      <c r="Z109" s="146" t="e">
        <f>F109+J109+#REF!+R109+V109</f>
        <v>#REF!</v>
      </c>
      <c r="AA109" s="140">
        <f t="shared" si="7"/>
        <v>4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/>
      <c r="E110" s="8"/>
      <c r="F110" s="20"/>
      <c r="G110" s="19"/>
      <c r="H110" s="9">
        <v>32</v>
      </c>
      <c r="I110" s="37">
        <v>46</v>
      </c>
      <c r="J110" s="20">
        <v>2</v>
      </c>
      <c r="K110" s="19"/>
      <c r="L110" s="172">
        <v>33</v>
      </c>
      <c r="M110" s="8">
        <v>23</v>
      </c>
      <c r="N110" s="20">
        <v>1</v>
      </c>
      <c r="O110" s="20"/>
      <c r="P110" s="150">
        <v>4</v>
      </c>
      <c r="Q110" s="150">
        <v>4</v>
      </c>
      <c r="R110" s="124">
        <v>2</v>
      </c>
      <c r="S110" s="124"/>
      <c r="T110" s="150">
        <v>4</v>
      </c>
      <c r="U110" s="150">
        <v>4</v>
      </c>
      <c r="V110" s="20">
        <v>2</v>
      </c>
      <c r="W110" s="20"/>
      <c r="X110" s="22"/>
      <c r="Y110" s="22"/>
      <c r="Z110" s="146">
        <f t="shared" si="6"/>
        <v>7</v>
      </c>
      <c r="AA110" s="140">
        <f t="shared" si="7"/>
        <v>4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/>
      <c r="E111" s="8"/>
      <c r="F111" s="20"/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50">
        <v>4</v>
      </c>
      <c r="Q111" s="150">
        <v>4</v>
      </c>
      <c r="R111" s="124">
        <v>2</v>
      </c>
      <c r="S111" s="124"/>
      <c r="T111" s="150">
        <v>4</v>
      </c>
      <c r="U111" s="150">
        <v>4</v>
      </c>
      <c r="V111" s="20">
        <v>2</v>
      </c>
      <c r="W111" s="20"/>
      <c r="X111" s="22"/>
      <c r="Y111" s="22"/>
      <c r="Z111" s="146">
        <f t="shared" si="6"/>
        <v>6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50">
        <v>4</v>
      </c>
      <c r="Q112" s="150">
        <v>4</v>
      </c>
      <c r="R112" s="124">
        <v>2</v>
      </c>
      <c r="S112" s="124"/>
      <c r="T112" s="150">
        <v>4</v>
      </c>
      <c r="U112" s="150">
        <v>4</v>
      </c>
      <c r="V112" s="20">
        <v>2</v>
      </c>
      <c r="W112" s="20"/>
      <c r="X112" s="22"/>
      <c r="Y112" s="22"/>
      <c r="Z112" s="146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72">
        <v>46</v>
      </c>
      <c r="J113" s="20"/>
      <c r="K113" s="19"/>
      <c r="L113" s="8">
        <v>23</v>
      </c>
      <c r="M113" s="8"/>
      <c r="N113" s="20">
        <v>2</v>
      </c>
      <c r="O113" s="20"/>
      <c r="P113" s="150">
        <v>4</v>
      </c>
      <c r="Q113" s="171">
        <v>51</v>
      </c>
      <c r="R113" s="124">
        <v>2</v>
      </c>
      <c r="S113" s="124"/>
      <c r="T113" s="150">
        <v>4</v>
      </c>
      <c r="U113" s="8"/>
      <c r="V113" s="20">
        <v>2</v>
      </c>
      <c r="W113" s="20"/>
      <c r="X113" s="22"/>
      <c r="Y113" s="22"/>
      <c r="Z113" s="146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72">
        <v>46</v>
      </c>
      <c r="I114" s="172">
        <v>46</v>
      </c>
      <c r="J114" s="20"/>
      <c r="K114" s="19"/>
      <c r="L114" s="14"/>
      <c r="M114" s="8">
        <v>52</v>
      </c>
      <c r="N114" s="20"/>
      <c r="O114" s="20"/>
      <c r="P114" s="175">
        <v>51</v>
      </c>
      <c r="Q114" s="171">
        <v>51</v>
      </c>
      <c r="R114" s="124">
        <v>2</v>
      </c>
      <c r="S114" s="124" t="s">
        <v>274</v>
      </c>
      <c r="T114" s="8"/>
      <c r="U114" s="150">
        <v>21</v>
      </c>
      <c r="V114" s="20"/>
      <c r="W114" s="20" t="s">
        <v>165</v>
      </c>
      <c r="X114" s="22"/>
      <c r="Y114" s="22"/>
      <c r="Z114" s="146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72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75">
        <v>51</v>
      </c>
      <c r="Q115" s="171">
        <v>51</v>
      </c>
      <c r="R115" s="124">
        <v>2</v>
      </c>
      <c r="S115" s="124"/>
      <c r="T115" s="150">
        <v>21</v>
      </c>
      <c r="U115" s="150">
        <v>21</v>
      </c>
      <c r="V115" s="20">
        <v>2</v>
      </c>
      <c r="W115" s="20" t="s">
        <v>275</v>
      </c>
      <c r="X115" s="22"/>
      <c r="Y115" s="22"/>
      <c r="Z115" s="146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75">
        <v>51</v>
      </c>
      <c r="Q116" s="171">
        <v>51</v>
      </c>
      <c r="R116" s="124">
        <v>2</v>
      </c>
      <c r="S116" s="124"/>
      <c r="T116" s="150">
        <v>21</v>
      </c>
      <c r="U116" s="150">
        <v>21</v>
      </c>
      <c r="V116" s="20">
        <v>2</v>
      </c>
      <c r="W116" s="20"/>
      <c r="X116" s="22"/>
      <c r="Y116" s="22"/>
      <c r="Z116" s="146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6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75">
        <v>51</v>
      </c>
      <c r="Q117" s="171">
        <v>51</v>
      </c>
      <c r="R117" s="124">
        <v>2</v>
      </c>
      <c r="S117" s="124"/>
      <c r="T117" s="150">
        <v>21</v>
      </c>
      <c r="U117" s="150">
        <v>21</v>
      </c>
      <c r="V117" s="20">
        <v>2</v>
      </c>
      <c r="W117" s="20"/>
      <c r="X117" s="22"/>
      <c r="Y117" s="176">
        <v>54</v>
      </c>
      <c r="Z117" s="146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7">
        <v>54</v>
      </c>
      <c r="I118" s="176">
        <v>54</v>
      </c>
      <c r="J118" s="20">
        <v>2</v>
      </c>
      <c r="K118" s="19"/>
      <c r="L118" s="14">
        <v>52</v>
      </c>
      <c r="M118" s="176">
        <v>54</v>
      </c>
      <c r="N118" s="20">
        <v>2</v>
      </c>
      <c r="O118" s="20"/>
      <c r="P118" s="175">
        <v>51</v>
      </c>
      <c r="Q118" s="8"/>
      <c r="R118" s="124">
        <v>2</v>
      </c>
      <c r="S118" s="124"/>
      <c r="T118" s="150">
        <v>21</v>
      </c>
      <c r="U118" s="150">
        <v>21</v>
      </c>
      <c r="V118" s="20">
        <v>2</v>
      </c>
      <c r="W118" s="20"/>
      <c r="X118" s="176">
        <v>54</v>
      </c>
      <c r="Y118" s="22"/>
      <c r="Z118" s="146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/>
      <c r="F119" s="20"/>
      <c r="G119" s="19"/>
      <c r="H119" s="177">
        <v>54</v>
      </c>
      <c r="I119" s="176">
        <v>54</v>
      </c>
      <c r="J119" s="20">
        <v>2</v>
      </c>
      <c r="K119" s="19"/>
      <c r="L119" s="176">
        <v>54</v>
      </c>
      <c r="M119" s="176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50">
        <v>21</v>
      </c>
      <c r="U119" s="8"/>
      <c r="V119" s="124">
        <v>2</v>
      </c>
      <c r="W119" s="124"/>
      <c r="X119" s="22"/>
      <c r="Y119" s="22"/>
      <c r="Z119" s="146">
        <f t="shared" si="6"/>
        <v>6</v>
      </c>
      <c r="AA119" s="140">
        <f t="shared" si="7"/>
        <v>3</v>
      </c>
      <c r="AB119" s="8">
        <f t="shared" si="10"/>
        <v>1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/>
      <c r="E120" s="8"/>
      <c r="F120" s="20"/>
      <c r="G120" s="19"/>
      <c r="H120" s="177">
        <v>54</v>
      </c>
      <c r="I120" s="8"/>
      <c r="J120" s="20">
        <v>2</v>
      </c>
      <c r="K120" s="19"/>
      <c r="L120" s="176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6">
        <f t="shared" si="6"/>
        <v>4</v>
      </c>
      <c r="AA120" s="140">
        <f t="shared" si="7"/>
        <v>1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/>
      <c r="E121" s="8"/>
      <c r="F121" s="20"/>
      <c r="G121" s="19"/>
      <c r="H121" s="14"/>
      <c r="I121" s="8"/>
      <c r="J121" s="20"/>
      <c r="K121" s="19"/>
      <c r="L121" s="8"/>
      <c r="M121" s="8"/>
      <c r="N121" s="20"/>
      <c r="O121" s="20"/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6">
        <f t="shared" si="6"/>
        <v>0</v>
      </c>
      <c r="AA121" s="140">
        <f t="shared" si="7"/>
        <v>1</v>
      </c>
      <c r="AB121" s="8">
        <f t="shared" si="10"/>
        <v>0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/>
      <c r="E122" s="8"/>
      <c r="F122" s="20"/>
      <c r="G122" s="19"/>
      <c r="H122" s="8"/>
      <c r="I122" s="8"/>
      <c r="J122" s="20"/>
      <c r="K122" s="19"/>
      <c r="L122" s="8"/>
      <c r="M122" s="8"/>
      <c r="N122" s="20"/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6">
        <f t="shared" si="6"/>
        <v>0</v>
      </c>
      <c r="AA122" s="140">
        <f t="shared" si="7"/>
        <v>1</v>
      </c>
      <c r="AB122" s="8">
        <f t="shared" si="10"/>
        <v>0</v>
      </c>
      <c r="AC122" s="23">
        <f t="shared" si="11"/>
        <v>0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/>
      <c r="F123" s="20"/>
      <c r="G123" s="19"/>
      <c r="H123" s="8"/>
      <c r="I123" s="8"/>
      <c r="J123" s="20"/>
      <c r="K123" s="19"/>
      <c r="L123" s="8"/>
      <c r="M123" s="8"/>
      <c r="N123" s="20"/>
      <c r="O123" s="20"/>
      <c r="P123" s="8">
        <v>26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6">
        <f t="shared" si="6"/>
        <v>0</v>
      </c>
      <c r="AA123" s="140">
        <f t="shared" si="7"/>
        <v>1</v>
      </c>
      <c r="AB123" s="8">
        <f t="shared" si="10"/>
        <v>1</v>
      </c>
      <c r="AC123" s="23">
        <f t="shared" si="11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/>
      <c r="E124" s="8"/>
      <c r="F124" s="124"/>
      <c r="G124" s="143"/>
      <c r="H124" s="8"/>
      <c r="I124" s="8"/>
      <c r="J124" s="20"/>
      <c r="K124" s="19"/>
      <c r="L124" s="8"/>
      <c r="M124" s="8"/>
      <c r="N124" s="20"/>
      <c r="O124" s="20"/>
      <c r="P124" s="8">
        <v>25</v>
      </c>
      <c r="Q124" s="8"/>
      <c r="R124" s="124"/>
      <c r="S124" s="124"/>
      <c r="T124" s="8"/>
      <c r="U124" s="150">
        <v>35</v>
      </c>
      <c r="V124" s="124"/>
      <c r="W124" s="124"/>
      <c r="X124" s="22"/>
      <c r="Y124" s="22"/>
      <c r="Z124" s="146">
        <f t="shared" si="6"/>
        <v>0</v>
      </c>
      <c r="AA124" s="140">
        <f t="shared" si="7"/>
        <v>1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/>
      <c r="E125" s="8"/>
      <c r="F125" s="124"/>
      <c r="G125" s="143"/>
      <c r="H125" s="8"/>
      <c r="I125" s="8"/>
      <c r="J125" s="20"/>
      <c r="K125" s="19"/>
      <c r="L125" s="8"/>
      <c r="M125" s="8"/>
      <c r="N125" s="20"/>
      <c r="O125" s="20"/>
      <c r="P125" s="8"/>
      <c r="Q125" s="8"/>
      <c r="R125" s="124"/>
      <c r="S125" s="124"/>
      <c r="T125" s="150">
        <v>35</v>
      </c>
      <c r="U125" s="150">
        <v>35</v>
      </c>
      <c r="V125" s="124">
        <v>2</v>
      </c>
      <c r="W125" s="124" t="s">
        <v>234</v>
      </c>
      <c r="X125" s="22"/>
      <c r="Y125" s="22"/>
      <c r="Z125" s="146">
        <f t="shared" si="6"/>
        <v>2</v>
      </c>
      <c r="AA125" s="140">
        <f t="shared" si="7"/>
        <v>1</v>
      </c>
      <c r="AB125" s="8">
        <f t="shared" si="10"/>
        <v>0</v>
      </c>
      <c r="AC125" s="23">
        <f t="shared" si="11"/>
        <v>0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/>
      <c r="E126" s="8"/>
      <c r="F126" s="124"/>
      <c r="G126" s="143"/>
      <c r="H126" s="8"/>
      <c r="I126" s="8"/>
      <c r="J126" s="20"/>
      <c r="K126" s="19"/>
      <c r="L126" s="8"/>
      <c r="M126" s="8"/>
      <c r="N126" s="20"/>
      <c r="O126" s="20"/>
      <c r="P126" s="8"/>
      <c r="Q126" s="8"/>
      <c r="R126" s="124"/>
      <c r="S126" s="124"/>
      <c r="T126" s="150">
        <v>35</v>
      </c>
      <c r="U126" s="150">
        <v>35</v>
      </c>
      <c r="V126" s="124">
        <v>2</v>
      </c>
      <c r="W126" s="124"/>
      <c r="X126" s="22"/>
      <c r="Y126" s="22"/>
      <c r="Z126" s="146">
        <f t="shared" si="6"/>
        <v>2</v>
      </c>
      <c r="AA126" s="140">
        <f t="shared" si="7"/>
        <v>1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/>
      <c r="E127" s="8"/>
      <c r="F127" s="124"/>
      <c r="G127" s="143"/>
      <c r="H127" s="8"/>
      <c r="I127" s="8"/>
      <c r="J127" s="20"/>
      <c r="K127" s="19"/>
      <c r="L127" s="8"/>
      <c r="M127" s="8"/>
      <c r="N127" s="20"/>
      <c r="O127" s="20"/>
      <c r="P127" s="8"/>
      <c r="Q127" s="8"/>
      <c r="R127" s="124"/>
      <c r="S127" s="124"/>
      <c r="T127" s="150">
        <v>35</v>
      </c>
      <c r="U127" s="150">
        <v>35</v>
      </c>
      <c r="V127" s="124">
        <v>2</v>
      </c>
      <c r="W127" s="124"/>
      <c r="X127" s="22"/>
      <c r="Y127" s="22"/>
      <c r="Z127" s="146">
        <f t="shared" si="6"/>
        <v>2</v>
      </c>
      <c r="AA127" s="140">
        <f t="shared" si="7"/>
        <v>1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/>
      <c r="E128" s="8"/>
      <c r="F128" s="124"/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50">
        <v>35</v>
      </c>
      <c r="U128" s="8"/>
      <c r="V128" s="124">
        <v>2</v>
      </c>
      <c r="W128" s="124"/>
      <c r="X128" s="22"/>
      <c r="Y128" s="22"/>
      <c r="Z128" s="146">
        <f t="shared" si="6"/>
        <v>2</v>
      </c>
      <c r="AA128" s="140">
        <f t="shared" si="7"/>
        <v>0</v>
      </c>
      <c r="AB128" s="8">
        <f t="shared" si="10"/>
        <v>0</v>
      </c>
      <c r="AC128" s="23">
        <f t="shared" si="11"/>
        <v>1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5"/>
      <c r="W129" s="124"/>
      <c r="X129" s="22"/>
      <c r="Y129" s="22"/>
      <c r="Z129" s="146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6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6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6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6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6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6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6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6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6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6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6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6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6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6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6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/>
      <c r="H145" s="8">
        <v>47</v>
      </c>
      <c r="I145" s="8">
        <v>47</v>
      </c>
      <c r="J145" s="20">
        <v>2</v>
      </c>
      <c r="K145" s="19"/>
      <c r="L145" s="8"/>
      <c r="M145" s="8">
        <v>43</v>
      </c>
      <c r="N145" s="20"/>
      <c r="O145" s="20" t="s">
        <v>165</v>
      </c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6">
        <f t="shared" si="12"/>
        <v>2</v>
      </c>
      <c r="AA145" s="140">
        <f t="shared" si="13"/>
        <v>4</v>
      </c>
      <c r="AB145" s="8">
        <f t="shared" si="14"/>
        <v>3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>
        <v>43</v>
      </c>
      <c r="M146" s="8">
        <v>43</v>
      </c>
      <c r="N146" s="20"/>
      <c r="O146" s="20"/>
      <c r="P146" s="8">
        <v>42</v>
      </c>
      <c r="Q146" s="8">
        <v>42</v>
      </c>
      <c r="R146" s="124"/>
      <c r="S146" s="124"/>
      <c r="T146" s="8"/>
      <c r="U146" s="149">
        <v>3</v>
      </c>
      <c r="V146" s="20"/>
      <c r="W146" s="20"/>
      <c r="X146" s="22"/>
      <c r="Y146" s="22"/>
      <c r="Z146" s="146">
        <f t="shared" si="12"/>
        <v>2</v>
      </c>
      <c r="AA146" s="140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>
        <v>43</v>
      </c>
      <c r="M147" s="8">
        <v>43</v>
      </c>
      <c r="N147" s="20"/>
      <c r="O147" s="20"/>
      <c r="P147" s="8">
        <v>42</v>
      </c>
      <c r="Q147" s="8">
        <v>42</v>
      </c>
      <c r="R147" s="124"/>
      <c r="S147" s="124"/>
      <c r="T147" s="149">
        <v>3</v>
      </c>
      <c r="U147" s="149">
        <v>3</v>
      </c>
      <c r="V147" s="20">
        <v>2</v>
      </c>
      <c r="W147" s="20"/>
      <c r="X147" s="22"/>
      <c r="Y147" s="22"/>
      <c r="Z147" s="146">
        <f t="shared" si="12"/>
        <v>4</v>
      </c>
      <c r="AA147" s="140">
        <f t="shared" si="13"/>
        <v>5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>
        <v>43</v>
      </c>
      <c r="M148" s="8"/>
      <c r="N148" s="20"/>
      <c r="O148" s="20"/>
      <c r="P148" s="8">
        <v>42</v>
      </c>
      <c r="Q148" s="8"/>
      <c r="R148" s="124"/>
      <c r="S148" s="124"/>
      <c r="T148" s="149">
        <v>3</v>
      </c>
      <c r="U148" s="8"/>
      <c r="V148" s="20">
        <v>2</v>
      </c>
      <c r="W148" s="20"/>
      <c r="X148" s="22"/>
      <c r="Y148" s="22"/>
      <c r="Z148" s="146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4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6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6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6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6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6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6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6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6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6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6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6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6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6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6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6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6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6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6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6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6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6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6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6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15 O2:Y171 D116:N171 D2:M115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46047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-</v>
      </c>
      <c r="M6" s="49" t="str">
        <f>IFERROR(IF(AND(booking!AB6&gt;0,booking!L6&lt;&gt;booking!M6),VLOOKUP(booking!M6,Database!A5:'Database'!L179,9,FALSE),"-"),"-")</f>
        <v>-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-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IF(AND(booking!H10&lt;&gt;booking!I10,booking!H10&gt;0),"udc","-")</f>
        <v>-</v>
      </c>
      <c r="I10" s="49" t="str">
        <f>IFERROR(IF(AND(booking!AB10&gt;0,booking!H10&lt;&gt;booking!I10),VLOOKUP(booking!I10,Database!$A$1:'Database'!$L$175,6,FALSE),"-"),"-")</f>
        <v>-</v>
      </c>
      <c r="J10" s="49" t="str">
        <f>IFERROR(IF(AND(booking!AB10&gt;0,booking!H10&lt;&gt;booking!I10),VLOOKUP(booking!I10,Database!$A$1:'Database'!$L$175,9,FALSE),"-"),"-")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IF(AND(booking!H11&lt;&gt;booking!I11,booking!H11&gt;0),"udc","-")</f>
        <v>-</v>
      </c>
      <c r="I11" s="49" t="str">
        <f>IFERROR(IF(AND(booking!AB11&gt;0,booking!H11&lt;&gt;booking!I11),VLOOKUP(booking!I11,Database!$A$1:'Database'!$L$175,6,FALSE),"-"),"-")</f>
        <v>-</v>
      </c>
      <c r="J11" s="49" t="str">
        <f>IFERROR(IF(AND(booking!AB11&gt;0,booking!H11&lt;&gt;booking!I11),VLOOKUP(booking!I11,Database!$A$1:'Database'!$L$175,9,FALSE),"-"),"-")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-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-</v>
      </c>
      <c r="S16" s="49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-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-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-</v>
      </c>
      <c r="P51" s="49" t="str">
        <f>IFERROR(IF(AND(booking!AB51&gt;0,booking!P51&lt;&gt;booking!Q51),VLOOKUP(booking!Q51,Database!$A$1:'Database'!$L$175,9,FALSE),"-"),"-")</f>
        <v>-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-</v>
      </c>
      <c r="M55" s="49" t="str">
        <f>IFERROR(IF(AND(booking!AB55&gt;0,booking!L55&lt;&gt;booking!M55),VLOOKUP(booking!M55,Database!A54:'Database'!L228,9,FALSE),"-"),"-")</f>
        <v>-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-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-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-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-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-</v>
      </c>
      <c r="P58" s="49" t="str">
        <f>IFERROR(IF(AND(booking!AB58&gt;0,booking!P58&lt;&gt;booking!Q58),VLOOKUP(booking!Q58,Database!$A$1:'Database'!$L$175,9,FALSE),"-"),"-")</f>
        <v>-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-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-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-</v>
      </c>
      <c r="J62" s="49" t="str">
        <f>IFERROR(IF(AND(booking!AB62&gt;0,booking!H62&lt;&gt;booking!I62),VLOOKUP(booking!I62,Database!$A$1:'Database'!$L$175,9,FALSE),"-"),"-")</f>
        <v>-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-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-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-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-</v>
      </c>
      <c r="G75" s="49" t="str">
        <f>IFERROR(IF(AND(booking!AB75&gt;0,booking!D75&lt;&gt;booking!E75),VLOOKUP(booking!E75,Database!$A$1:'Database'!$L$175,9,FALSE),"-"),"-")</f>
        <v>-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-</v>
      </c>
      <c r="P77" s="49" t="str">
        <f>IFERROR(IF(AND(booking!AB77&gt;0,booking!P77&lt;&gt;booking!Q77),VLOOKUP(booking!Q77,Database!$A$1:'Database'!$L$175,9,FALSE),"-"),"-")</f>
        <v>-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-</v>
      </c>
      <c r="S77" s="49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-</v>
      </c>
      <c r="E78" s="53" t="str">
        <f>IF(AND(booking!D78&lt;&gt;booking!E78,booking!D78&gt;0),"udc","-")</f>
        <v>-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-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-</v>
      </c>
      <c r="O85" s="49" t="str">
        <f>IFERROR(IF(AND(booking!AB85&gt;0,booking!P85&lt;&gt;booking!Q85),VLOOKUP(booking!Q85,Database!$A$1:'Database'!$L$175,6,FALSE),"-"),"-")</f>
        <v>-</v>
      </c>
      <c r="P85" s="49" t="str">
        <f>IFERROR(IF(AND(booking!AB85&gt;0,booking!P85&lt;&gt;booking!Q85),VLOOKUP(booking!Q85,Database!$A$1:'Database'!$L$175,9,FALSE),"-"),"-")</f>
        <v>-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DK</v>
      </c>
      <c r="S85" s="49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-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DK</v>
      </c>
      <c r="P88" s="49">
        <f>IFERROR(IF(AND(booking!AB88&gt;0,booking!P88&lt;&gt;booking!Q88),VLOOKUP(booking!Q88,Database!$A$1:'Database'!$L$175,9,FALSE),"-"),"-")</f>
        <v>0</v>
      </c>
      <c r="Q88" s="53" t="str">
        <f>IF(AND(booking!T88&lt;&gt;booking!U88,booking!T88&gt;0),"udc","-")</f>
        <v>-</v>
      </c>
      <c r="R88" s="49" t="str">
        <f>IFERROR(IF(AND(booking!AB88&gt;0,booking!T88&lt;&gt;booking!U88),VLOOKUP(booking!U88,Database!$A$1:'Database'!$L$175,6,FALSE),"-"),"-")</f>
        <v>-</v>
      </c>
      <c r="S88" s="49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-</v>
      </c>
      <c r="G107" s="49" t="str">
        <f>IFERROR(IF(AND(booking!AB107&gt;0,booking!D107&lt;&gt;booking!E107),VLOOKUP(booking!E107,Database!$A$1:'Database'!$L$175,9,FALSE),"-"),"-")</f>
        <v>-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-</v>
      </c>
      <c r="E111" s="53" t="str">
        <f>IF(AND(booking!D111&lt;&gt;booking!E111,booking!D111&gt;0),"udc","-")</f>
        <v>-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-</v>
      </c>
      <c r="G119" s="49" t="str">
        <f>IFERROR(IF(AND(booking!AB119&gt;0,booking!D119&lt;&gt;booking!E119),VLOOKUP(booking!E119,Database!$A$1:'Database'!$L$175,9,FALSE),"-"),"-")</f>
        <v>-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-</v>
      </c>
      <c r="E122" s="53" t="str">
        <f>IF(AND(booking!D122&lt;&gt;booking!E122,booking!D122&gt;0),"udc","-")</f>
        <v>-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-</v>
      </c>
      <c r="G123" s="49" t="str">
        <f>IFERROR(IF(AND(booking!AB123&gt;0,booking!D123&lt;&gt;booking!E123),VLOOKUP(booking!E123,Database!$A$1:'Database'!$L$175,9,FALSE),"-"),"-")</f>
        <v>-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udc</v>
      </c>
      <c r="O123" s="49" t="str">
        <f>IFERROR(IF(AND(booking!AB123&gt;0,booking!P123&lt;&gt;booking!Q123),VLOOKUP(booking!Q123,Database!$A$1:'Database'!$L$175,6,FALSE),"-"),"-")</f>
        <v>CH</v>
      </c>
      <c r="P123" s="49" t="str">
        <f>IFERROR(IF(AND(booking!AB123&gt;0,booking!P123&lt;&gt;booking!Q123),VLOOKUP(booking!Q123,Database!$A$1:'Database'!$L$175,9,FALSE),"-"),"-")</f>
        <v>sing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-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-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DK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udc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46047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 t="str">
        <f>IF(AND(D6="Y",booking!L6&lt;&gt;booking!M6,booking!M6&gt;0),booking!M6,"-")</f>
        <v>-</v>
      </c>
      <c r="O6" s="84" t="str">
        <f>IFERROR(VLOOKUP(N6,Database!$A$2:$L$175,8,FALSE),"-")</f>
        <v>-</v>
      </c>
      <c r="P6" s="84" t="str">
        <f>IFERROR(VLOOKUP(N6,Database!$A$2:$L$175,6,FALSE),"-")</f>
        <v>-</v>
      </c>
      <c r="Q6" s="88" t="str">
        <f>IFERROR(VLOOKUP(N6,Database!$A$2:$L$175,9,FALSE),"-")</f>
        <v>-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-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IF(AND(D10="Y",booking!H10&lt;&gt;booking!I10,booking!I10&gt;0),booking!I10,"-")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IF(AND(D11="Y",booking!H11&lt;&gt;booking!I11,booking!I11&gt;0),booking!I11,"-")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-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 t="str">
        <f>IF(AND(D16="Y",booking!T16&lt;&gt;booking!U16,booking!U16&gt;0),booking!U16,"-")</f>
        <v>-</v>
      </c>
      <c r="W16" s="85" t="str">
        <f>IFERROR(VLOOKUP(V16,Database!$A$2:$L$175,8,FALSE),"-")</f>
        <v>-</v>
      </c>
      <c r="X16" s="85" t="str">
        <f>IFERROR(VLOOKUP(V16,Database!$A$2:$L$175,6,FALSE),"-")</f>
        <v>-</v>
      </c>
      <c r="Y16" s="87" t="str">
        <f>IFERROR(VLOOKUP(V16,Database!$A$2:$L$175,9,FALSE),"-")</f>
        <v>-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-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 t="str">
        <f>IF(AND(D51="Y",booking!P51&lt;&gt;booking!Q51,booking!Q51&gt;0),booking!Q51,"-")</f>
        <v>-</v>
      </c>
      <c r="S51" s="84" t="str">
        <f>IFERROR(VLOOKUP(R51,Database!$A$2:$L$175,8,FALSE),"-")</f>
        <v>-</v>
      </c>
      <c r="T51" s="84" t="str">
        <f>IFERROR(VLOOKUP(R51,Database!$A$2:$L$175,6,FALSE),"-")</f>
        <v>-</v>
      </c>
      <c r="U51" s="88" t="str">
        <f>IFERROR(VLOOKUP(R51,Database!$A$2:$L$175,9,FALSE),"-")</f>
        <v>-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-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 t="str">
        <f>IF(AND(D55="Y",booking!L55&lt;&gt;booking!M55,booking!M55&gt;0),booking!M55,"-")</f>
        <v>-</v>
      </c>
      <c r="O55" s="84" t="str">
        <f>IFERROR(VLOOKUP(N55,Database!$A$2:$L$175,8,FALSE),"-")</f>
        <v>-</v>
      </c>
      <c r="P55" s="84" t="str">
        <f>IFERROR(VLOOKUP(N55,Database!$A$2:$L$175,6,FALSE),"-")</f>
        <v>-</v>
      </c>
      <c r="Q55" s="88" t="str">
        <f>IFERROR(VLOOKUP(N55,Database!$A$2:$L$175,9,FALSE),"-")</f>
        <v>-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-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 t="str">
        <f>IF(AND(D58="Y",booking!P58&lt;&gt;booking!Q58,booking!Q58&gt;0),booking!Q58,"-")</f>
        <v>-</v>
      </c>
      <c r="S58" s="84" t="str">
        <f>IFERROR(VLOOKUP(R58,Database!$A$2:$L$175,8,FALSE),"-")</f>
        <v>-</v>
      </c>
      <c r="T58" s="84" t="str">
        <f>IFERROR(VLOOKUP(R58,Database!$A$2:$L$175,6,FALSE),"-")</f>
        <v>-</v>
      </c>
      <c r="U58" s="88" t="str">
        <f>IFERROR(VLOOKUP(R58,Database!$A$2:$L$175,9,FALSE),"-")</f>
        <v>-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-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 t="str">
        <f>IF(AND(D62="Y",booking!H62&lt;&gt;booking!I62,booking!I62&gt;0),booking!I62,"-")</f>
        <v>-</v>
      </c>
      <c r="K62" s="84" t="str">
        <f>IFERROR(VLOOKUP(J62,Database!$A$2:$L$175,8,FALSE),"-")</f>
        <v>-</v>
      </c>
      <c r="L62" s="84" t="str">
        <f>IFERROR(VLOOKUP(J62,Database!$A$2:$L$175,6,FALSE),"-")</f>
        <v>-</v>
      </c>
      <c r="M62" s="100" t="str">
        <f>IFERROR(VLOOKUP(J62,Database!$A$2:$L$175,9,FALSE),"-")</f>
        <v>-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-</v>
      </c>
      <c r="E75" s="102" t="str">
        <f>IF(AND(D75="Y",booking!D75&lt;&gt;booking!E75,booking!E75&gt;0),booking!E75,"-")</f>
        <v>-</v>
      </c>
      <c r="F75" s="84" t="str">
        <f>IFERROR(VLOOKUP(E75,Database!$A$2:$L$175,8,FALSE),"-")</f>
        <v>-</v>
      </c>
      <c r="G75" s="84" t="str">
        <f>IFERROR(VLOOKUP(E75,Database!$A$2:$L$175,6,FALSE),"-")</f>
        <v>-</v>
      </c>
      <c r="H75" s="100" t="str">
        <f>IFERROR(VLOOKUP(E75,Database!$A$2:$L$175,9,FALSE),"-")</f>
        <v>-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-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 t="str">
        <f>IF(AND(D77="Y",booking!P77&lt;&gt;booking!Q77,booking!Q77&gt;0),booking!Q77,"-")</f>
        <v>-</v>
      </c>
      <c r="S77" s="84" t="str">
        <f>IFERROR(VLOOKUP(R77,Database!$A$2:$L$175,8,FALSE),"-")</f>
        <v>-</v>
      </c>
      <c r="T77" s="84" t="str">
        <f>IFERROR(VLOOKUP(R77,Database!$A$2:$L$175,6,FALSE),"-")</f>
        <v>-</v>
      </c>
      <c r="U77" s="88" t="str">
        <f>IFERROR(VLOOKUP(R77,Database!$A$2:$L$175,9,FALSE),"-")</f>
        <v>-</v>
      </c>
      <c r="V77" s="103" t="str">
        <f>IF(AND(D77="Y",booking!T77&lt;&gt;booking!U77,booking!U77&gt;0),booking!U77,"-")</f>
        <v>-</v>
      </c>
      <c r="W77" s="85" t="str">
        <f>IFERROR(VLOOKUP(V77,Database!$A$2:$L$175,8,FALSE),"-")</f>
        <v>-</v>
      </c>
      <c r="X77" s="85" t="str">
        <f>IFERROR(VLOOKUP(V77,Database!$A$2:$L$175,6,FALSE),"-")</f>
        <v>-</v>
      </c>
      <c r="Y77" s="87" t="str">
        <f>IFERROR(VLOOKUP(V77,Database!$A$2:$L$175,9,FALSE),"-")</f>
        <v>-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 t="str">
        <f>IF(AND(D85="Y",booking!P85&lt;&gt;booking!Q85,booking!Q85&gt;0),booking!Q85,"-")</f>
        <v>-</v>
      </c>
      <c r="S85" s="84" t="str">
        <f>IFERROR(VLOOKUP(R85,Database!$A$2:$L$175,8,FALSE),"-")</f>
        <v>-</v>
      </c>
      <c r="T85" s="84" t="str">
        <f>IFERROR(VLOOKUP(R85,Database!$A$2:$L$175,6,FALSE),"-")</f>
        <v>-</v>
      </c>
      <c r="U85" s="88" t="str">
        <f>IFERROR(VLOOKUP(R85,Database!$A$2:$L$175,9,FALSE),"-")</f>
        <v>-</v>
      </c>
      <c r="V85" s="103">
        <f>IF(AND(D85="Y",booking!T85&lt;&gt;booking!U85,booking!U85&gt;0),booking!U85,"-")</f>
        <v>1</v>
      </c>
      <c r="W85" s="85">
        <f>IFERROR(VLOOKUP(V85,Database!$A$2:$L$175,8,FALSE),"-")</f>
        <v>0</v>
      </c>
      <c r="X85" s="85" t="str">
        <f>IFERROR(VLOOKUP(V85,Database!$A$2:$L$175,6,FALSE),"-")</f>
        <v>DK</v>
      </c>
      <c r="Y85" s="87">
        <f>IFERROR(VLOOKUP(V85,Database!$A$2:$L$175,9,FALSE),"-")</f>
        <v>0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>
        <f>IF(AND(D88="Y",booking!P88&lt;&gt;booking!Q88,booking!Q88&gt;0),booking!Q88,"-")</f>
        <v>10</v>
      </c>
      <c r="S88" s="84">
        <f>IFERROR(VLOOKUP(R88,Database!$A$2:$L$175,8,FALSE),"-")</f>
        <v>0</v>
      </c>
      <c r="T88" s="84" t="str">
        <f>IFERROR(VLOOKUP(R88,Database!$A$2:$L$175,6,FALSE),"-")</f>
        <v>DK</v>
      </c>
      <c r="U88" s="88">
        <f>IFERROR(VLOOKUP(R88,Database!$A$2:$L$175,9,FALSE),"-")</f>
        <v>0</v>
      </c>
      <c r="V88" s="103" t="str">
        <f>IF(AND(D88="Y",booking!T88&lt;&gt;booking!U88,booking!U88&gt;0),booking!U88,"-")</f>
        <v>-</v>
      </c>
      <c r="W88" s="85" t="str">
        <f>IFERROR(VLOOKUP(V88,Database!$A$2:$L$175,8,FALSE),"-")</f>
        <v>-</v>
      </c>
      <c r="X88" s="85" t="str">
        <f>IFERROR(VLOOKUP(V88,Database!$A$2:$L$175,6,FALSE),"-")</f>
        <v>-</v>
      </c>
      <c r="Y88" s="87" t="str">
        <f>IFERROR(VLOOKUP(V88,Database!$A$2:$L$175,9,FALSE),"-")</f>
        <v>-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 t="str">
        <f>IF(AND(D92="Y",booking!P92&lt;&gt;booking!Q92,booking!Q92&gt;0),booking!Q92,"-")</f>
        <v>-</v>
      </c>
      <c r="S92" s="84" t="str">
        <f>IFERROR(VLOOKUP(R92,Database!$A$2:$L$175,8,FALSE),"-")</f>
        <v>-</v>
      </c>
      <c r="T92" s="84" t="str">
        <f>IFERROR(VLOOKUP(R92,Database!$A$2:$L$175,6,FALSE),"-")</f>
        <v>-</v>
      </c>
      <c r="U92" s="88" t="str">
        <f>IFERROR(VLOOKUP(R92,Database!$A$2:$L$175,9,FALSE),"-")</f>
        <v>-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-</v>
      </c>
      <c r="E107" s="102" t="str">
        <f>IF(AND(D107="Y",booking!D107&lt;&gt;booking!E107,booking!E107&gt;0),booking!E107,"-")</f>
        <v>-</v>
      </c>
      <c r="F107" s="84" t="str">
        <f>IFERROR(VLOOKUP(E107,Database!$A$2:$L$175,8,FALSE),"-")</f>
        <v>-</v>
      </c>
      <c r="G107" s="84" t="str">
        <f>IFERROR(VLOOKUP(E107,Database!$A$2:$L$175,6,FALSE),"-")</f>
        <v>-</v>
      </c>
      <c r="H107" s="100" t="str">
        <f>IFERROR(VLOOKUP(E107,Database!$A$2:$L$175,9,FALSE),"-")</f>
        <v>-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 t="str">
        <f>IF(AND(D119="Y",booking!D119&lt;&gt;booking!E119,booking!E119&gt;0),booking!E119,"-")</f>
        <v>-</v>
      </c>
      <c r="F119" s="84" t="str">
        <f>IFERROR(VLOOKUP(E119,Database!$A$2:$L$175,8,FALSE),"-")</f>
        <v>-</v>
      </c>
      <c r="G119" s="84" t="str">
        <f>IFERROR(VLOOKUP(E119,Database!$A$2:$L$175,6,FALSE),"-")</f>
        <v>-</v>
      </c>
      <c r="H119" s="100" t="str">
        <f>IFERROR(VLOOKUP(E119,Database!$A$2:$L$175,9,FALSE),"-")</f>
        <v>-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-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 t="str">
        <f>IF(AND(D121="Y",booking!L121&lt;&gt;booking!M121,booking!M121&gt;0),booking!M121,"-")</f>
        <v>-</v>
      </c>
      <c r="O121" s="84" t="str">
        <f>IFERROR(VLOOKUP(N121,Database!$A$2:$L$175,8,FALSE),"-")</f>
        <v>-</v>
      </c>
      <c r="P121" s="84" t="str">
        <f>IFERROR(VLOOKUP(N121,Database!$A$2:$L$175,6,FALSE),"-")</f>
        <v>-</v>
      </c>
      <c r="Q121" s="88" t="str">
        <f>IFERROR(VLOOKUP(N121,Database!$A$2:$L$175,9,FALSE),"-")</f>
        <v>-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 t="str">
        <f>IF(AND(D123="Y",booking!D123&lt;&gt;booking!E123,booking!E123&gt;0),booking!E123,"-")</f>
        <v>-</v>
      </c>
      <c r="F123" s="84" t="str">
        <f>IFERROR(VLOOKUP(E123,Database!$A$2:$L$175,8,FALSE),"-")</f>
        <v>-</v>
      </c>
      <c r="G123" s="84" t="str">
        <f>IFERROR(VLOOKUP(E123,Database!$A$2:$L$175,6,FALSE),"-")</f>
        <v>-</v>
      </c>
      <c r="H123" s="100" t="str">
        <f>IFERROR(VLOOKUP(E123,Database!$A$2:$L$175,9,FALSE),"-")</f>
        <v>-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25</v>
      </c>
      <c r="S123" s="84">
        <f>IFERROR(VLOOKUP(R123,Database!$A$2:$L$175,8,FALSE),"-")</f>
        <v>0</v>
      </c>
      <c r="T123" s="84" t="str">
        <f>IFERROR(VLOOKUP(R123,Database!$A$2:$L$175,6,FALSE),"-")</f>
        <v>CH</v>
      </c>
      <c r="U123" s="88" t="str">
        <f>IFERROR(VLOOKUP(R123,Database!$A$2:$L$175,9,FALSE),"-")</f>
        <v>sing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>
        <f>IF(AND(D145="Y",booking!L145&lt;&gt;booking!M145,booking!M145&gt;0),booking!M145,"-")</f>
        <v>43</v>
      </c>
      <c r="O145" s="84" t="str">
        <f>IFERROR(VLOOKUP(N145,Database!$A$2:$L$175,8,FALSE),"-")</f>
        <v>1430</v>
      </c>
      <c r="P145" s="84" t="str">
        <f>IFERROR(VLOOKUP(N145,Database!$A$2:$L$175,6,FALSE),"-")</f>
        <v>DK</v>
      </c>
      <c r="Q145" s="88" t="str">
        <f>IFERROR(VLOOKUP(N145,Database!$A$2:$L$175,9,FALSE),"-")</f>
        <v>db + opr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va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va</v>
      </c>
      <c r="G7" s="138" t="str">
        <f>IF(booking!M7&gt;0,"oc","va")</f>
        <v>va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va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IF(booking!I10&gt;0,"oc","va")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str">
        <f>IF(booking!I11&gt;0,"oc","va")</f>
        <v>va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va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va</v>
      </c>
      <c r="K17" s="138" t="str">
        <f>IF(booking!U17&gt;0,"oc","va")</f>
        <v>va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va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va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va</v>
      </c>
      <c r="I52" s="138" t="str">
        <f>IF(booking!Q52&gt;0,"oc","va")</f>
        <v>va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va</v>
      </c>
      <c r="I53" s="138" t="str">
        <f>IF(booking!Q53&gt;0,"oc","va")</f>
        <v>va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va</v>
      </c>
      <c r="I54" s="138" t="str">
        <f>IF(booking!Q54&gt;0,"oc","va")</f>
        <v>va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va</v>
      </c>
      <c r="H55" s="137" t="str">
        <f>IF(booking!P55&gt;0,"oc","va")</f>
        <v>va</v>
      </c>
      <c r="I55" s="138" t="str">
        <f>IF(booking!Q55&gt;0,"oc","va")</f>
        <v>va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va</v>
      </c>
      <c r="G56" s="138" t="str">
        <f>IF(booking!M56&gt;0,"oc","va")</f>
        <v>va</v>
      </c>
      <c r="H56" s="137" t="str">
        <f>IF(booking!P56&gt;0,"oc","va")</f>
        <v>va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va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va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va</v>
      </c>
      <c r="I59" s="138" t="str">
        <f>IF(booking!Q59&gt;0,"oc","va")</f>
        <v>va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va</v>
      </c>
      <c r="I60" s="138" t="str">
        <f>IF(booking!Q60&gt;0,"oc","va")</f>
        <v>va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va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va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va</v>
      </c>
      <c r="E63" s="138" t="str">
        <f>IF(booking!I63&gt;0,"oc","va")</f>
        <v>va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va</v>
      </c>
      <c r="K63" s="138" t="str">
        <f>IF(booking!U63&gt;0,"oc","va")</f>
        <v>va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va</v>
      </c>
      <c r="E64" s="138" t="str">
        <f>IF(booking!I64&gt;0,"oc","va")</f>
        <v>va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va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va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va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va</v>
      </c>
      <c r="C76" s="138" t="str">
        <f>IF(booking!E76&gt;0,"oc","va")</f>
        <v>va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va</v>
      </c>
      <c r="C77" s="138" t="str">
        <f>IF(booking!E77&gt;0,"oc","va")</f>
        <v>va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va</v>
      </c>
      <c r="J77" s="137" t="str">
        <f>IF(booking!T77&gt;0,"oc","va")</f>
        <v>oc</v>
      </c>
      <c r="K77" s="138" t="str">
        <f>IF(booking!U77&gt;0,"oc","va")</f>
        <v>va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va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va</v>
      </c>
      <c r="I78" s="138" t="str">
        <f>IF(booking!Q78&gt;0,"oc","va")</f>
        <v>va</v>
      </c>
      <c r="J78" s="137" t="str">
        <f>IF(booking!T78&gt;0,"oc","va")</f>
        <v>va</v>
      </c>
      <c r="K78" s="138" t="str">
        <f>IF(booking!U78&gt;0,"oc","va")</f>
        <v>va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va</v>
      </c>
      <c r="I79" s="138" t="str">
        <f>IF(booking!Q79&gt;0,"oc","va")</f>
        <v>va</v>
      </c>
      <c r="J79" s="137" t="str">
        <f>IF(booking!T79&gt;0,"oc","va")</f>
        <v>va</v>
      </c>
      <c r="K79" s="138" t="str">
        <f>IF(booking!U79&gt;0,"oc","va")</f>
        <v>va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va</v>
      </c>
      <c r="I80" s="138" t="str">
        <f>IF(booking!Q80&gt;0,"oc","va")</f>
        <v>va</v>
      </c>
      <c r="J80" s="137" t="str">
        <f>IF(booking!T80&gt;0,"oc","va")</f>
        <v>va</v>
      </c>
      <c r="K80" s="138" t="str">
        <f>IF(booking!U80&gt;0,"oc","va")</f>
        <v>va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va</v>
      </c>
      <c r="I81" s="138" t="str">
        <f>IF(booking!Q81&gt;0,"oc","va")</f>
        <v>va</v>
      </c>
      <c r="J81" s="137" t="str">
        <f>IF(booking!T81&gt;0,"oc","va")</f>
        <v>va</v>
      </c>
      <c r="K81" s="138" t="str">
        <f>IF(booking!U81&gt;0,"oc","va")</f>
        <v>va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va</v>
      </c>
      <c r="I82" s="138" t="str">
        <f>IF(booking!Q82&gt;0,"oc","va")</f>
        <v>va</v>
      </c>
      <c r="J82" s="137" t="str">
        <f>IF(booking!T82&gt;0,"oc","va")</f>
        <v>va</v>
      </c>
      <c r="K82" s="138" t="str">
        <f>IF(booking!U82&gt;0,"oc","va")</f>
        <v>va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va</v>
      </c>
      <c r="I83" s="138" t="str">
        <f>IF(booking!Q83&gt;0,"oc","va")</f>
        <v>va</v>
      </c>
      <c r="J83" s="137" t="str">
        <f>IF(booking!T83&gt;0,"oc","va")</f>
        <v>va</v>
      </c>
      <c r="K83" s="138" t="str">
        <f>IF(booking!U83&gt;0,"oc","va")</f>
        <v>va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va</v>
      </c>
      <c r="I84" s="138" t="str">
        <f>IF(booking!Q84&gt;0,"oc","va")</f>
        <v>va</v>
      </c>
      <c r="J84" s="137" t="str">
        <f>IF(booking!T84&gt;0,"oc","va")</f>
        <v>va</v>
      </c>
      <c r="K84" s="138" t="str">
        <f>IF(booking!U84&gt;0,"oc","va")</f>
        <v>va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va</v>
      </c>
      <c r="I85" s="138" t="str">
        <f>IF(booking!Q85&gt;0,"oc","va")</f>
        <v>va</v>
      </c>
      <c r="J85" s="137" t="str">
        <f>IF(booking!T85&gt;0,"oc","va")</f>
        <v>va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va</v>
      </c>
      <c r="I86" s="138" t="str">
        <f>IF(booking!Q86&gt;0,"oc","va")</f>
        <v>va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va</v>
      </c>
      <c r="I87" s="138" t="str">
        <f>IF(booking!Q87&gt;0,"oc","va")</f>
        <v>va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va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va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va</v>
      </c>
      <c r="I93" s="138" t="str">
        <f>IF(booking!Q93&gt;0,"oc","va")</f>
        <v>va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va</v>
      </c>
      <c r="I94" s="138" t="str">
        <f>IF(booking!Q94&gt;0,"oc","va")</f>
        <v>va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va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va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va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va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va</v>
      </c>
      <c r="C108" s="138" t="str">
        <f>IF(booking!E108&gt;0,"oc","va")</f>
        <v>va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va</v>
      </c>
      <c r="C109" s="138" t="str">
        <f>IF(booking!E109&gt;0,"oc","va")</f>
        <v>va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va</v>
      </c>
      <c r="C110" s="138" t="str">
        <f>IF(booking!E110&gt;0,"oc","va")</f>
        <v>va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va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va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va</v>
      </c>
      <c r="C120" s="138" t="str">
        <f>IF(booking!E120&gt;0,"oc","va")</f>
        <v>va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va</v>
      </c>
      <c r="C121" s="138" t="str">
        <f>IF(booking!E121&gt;0,"oc","va")</f>
        <v>va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va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va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va</v>
      </c>
      <c r="G122" s="138" t="str">
        <f>IF(booking!M122&gt;0,"oc","va")</f>
        <v>va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va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va</v>
      </c>
      <c r="G123" s="138" t="str">
        <f>IF(booking!M123&gt;0,"oc","va")</f>
        <v>va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va</v>
      </c>
      <c r="C124" s="138" t="str">
        <f>IF(booking!E124&gt;0,"oc","va")</f>
        <v>va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va</v>
      </c>
      <c r="G124" s="138" t="str">
        <f>IF(booking!M124&gt;0,"oc","va")</f>
        <v>va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va</v>
      </c>
      <c r="C125" s="138" t="str">
        <f>IF(booking!E125&gt;0,"oc","va")</f>
        <v>va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va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va</v>
      </c>
      <c r="C126" s="138" t="str">
        <f>IF(booking!E126&gt;0,"oc","va")</f>
        <v>va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va</v>
      </c>
      <c r="C127" s="138" t="str">
        <f>IF(booking!E127&gt;0,"oc","va")</f>
        <v>va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va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oc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oc</v>
      </c>
      <c r="G146" s="138" t="str">
        <f>IF(booking!M146&gt;0,"oc","va")</f>
        <v>oc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oc</v>
      </c>
      <c r="G147" s="138" t="str">
        <f>IF(booking!M147&gt;0,"oc","va")</f>
        <v>oc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oc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2026-01-19T14:27:31Z</cp:lastPrinted>
  <dcterms:created xsi:type="dcterms:W3CDTF">2024-07-25T07:35:10Z</dcterms:created>
  <dcterms:modified xsi:type="dcterms:W3CDTF">2026-01-25T10:35:23Z</dcterms:modified>
  <cp:category/>
  <cp:contentStatus/>
</cp:coreProperties>
</file>