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finnj\-repoHK2\HK-portal10\"/>
    </mc:Choice>
  </mc:AlternateContent>
  <xr:revisionPtr revIDLastSave="0" documentId="13_ncr:1_{0BB1AFDB-2BAA-4AEB-BEB1-EC08FAD03FEF}" xr6:coauthVersionLast="47" xr6:coauthVersionMax="47" xr10:uidLastSave="{00000000-0000-0000-0000-000000000000}"/>
  <bookViews>
    <workbookView xWindow="-110" yWindow="-110" windowWidth="19420" windowHeight="11500" firstSheet="1" activeTab="6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web calc" sheetId="10" state="hidden" r:id="rId9"/>
    <sheet name="book_simp" sheetId="9" state="hidden" r:id="rId10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7" l="1"/>
  <c r="AC14" i="5"/>
  <c r="AB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J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J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6" i="10"/>
  <c r="I107" i="10"/>
  <c r="J107" i="10"/>
  <c r="I108" i="10"/>
  <c r="J108" i="10"/>
  <c r="I109" i="10"/>
  <c r="J109" i="10"/>
  <c r="I110" i="10"/>
  <c r="J110" i="10"/>
  <c r="I111" i="10"/>
  <c r="J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/>
  <c r="F77" i="10"/>
  <c r="G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G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G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A107" i="10"/>
  <c r="B107" i="10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A109" i="10"/>
  <c r="B109" i="10"/>
  <c r="C109" i="10"/>
  <c r="E109" i="10" s="1"/>
  <c r="G109" i="10" s="1"/>
  <c r="D109" i="10"/>
  <c r="F109" i="10"/>
  <c r="A110" i="10"/>
  <c r="B110" i="10"/>
  <c r="C110" i="10"/>
  <c r="D110" i="10"/>
  <c r="E110" i="10"/>
  <c r="F110" i="10"/>
  <c r="G110" i="10"/>
  <c r="A111" i="10"/>
  <c r="B111" i="10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B11" i="5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I100" i="10" l="1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AB121" i="5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D14" i="6"/>
  <c r="I14" i="6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T105" i="3" l="1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7" s="1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M105" i="3" l="1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R200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X200" i="3" s="1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Y200" i="3" s="1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W200" i="3" s="1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V200" i="3" s="1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<sst xmlns="http://schemas.openxmlformats.org/spreadsheetml/2006/main" count="1187" uniqueCount="402">
  <si>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</si>
  <si>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</si>
  <si>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</si>
  <si>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</si>
  <si>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</si>
  <si>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</si>
  <si>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</si>
  <si>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</si>
  <si>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</si>
  <si>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</si>
  <si>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</si>
  <si>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</si>
  <si>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</si>
  <si>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</si>
  <si>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</si>
  <si>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</si>
  <si>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</si>
  <si>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</si>
  <si>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</si>
  <si>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</si>
  <si>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</si>
  <si>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</si>
  <si>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</si>
  <si>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</si>
  <si>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</si>
  <si>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</si>
  <si>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</si>
  <si>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</si>
  <si>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</si>
  <si>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</si>
  <si>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</si>
  <si>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</si>
  <si>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</si>
  <si>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</si>
  <si>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</si>
  <si>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</si>
  <si>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</si>
  <si>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</si>
  <si>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</si>
  <si>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</si>
  <si>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</si>
  <si>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</si>
  <si>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</si>
  <si>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</si>
  <si>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</si>
  <si>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</si>
  <si>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</si>
  <si>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</si>
  <si>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</si>
  <si>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</si>
  <si>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</si>
  <si>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</si>
  <si>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</si>
  <si>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</si>
  <si>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</si>
  <si>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</si>
  <si>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</si>
  <si>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</si>
  <si>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</si>
  <si>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</si>
  <si>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</si>
  <si>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</si>
  <si>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</si>
  <si>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</si>
  <si>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</si>
  <si>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</si>
  <si>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</si>
  <si>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</si>
  <si>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</si>
  <si>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</si>
  <si>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</si>
  <si>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</si>
  <si>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</si>
  <si>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</si>
  <si>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</si>
  <si>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</si>
  <si>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</si>
  <si>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</si>
  <si>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</si>
  <si>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</si>
  <si>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</si>
  <si>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</si>
  <si>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</si>
  <si>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</si>
  <si>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</si>
  <si>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</si>
  <si>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</si>
  <si>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</si>
  <si>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</si>
  <si>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</si>
  <si>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</si>
  <si>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</si>
  <si>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</si>
  <si>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</si>
  <si>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</si>
  <si>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</si>
  <si>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</si>
  <si>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</si>
  <si>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</si>
  <si>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</si>
  <si>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</si>
  <si>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</si>
  <si>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</si>
  <si>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</si>
  <si>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</si>
  <si>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</si>
  <si>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</si>
  <si>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</si>
  <si>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</si>
  <si>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</si>
  <si>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</si>
  <si>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</si>
  <si>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</si>
  <si>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</si>
  <si>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</si>
  <si>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</si>
  <si>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</si>
  <si>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</si>
  <si>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</si>
  <si>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</si>
  <si>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</si>
  <si>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</si>
  <si>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</si>
  <si>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</si>
  <si>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</si>
  <si>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</si>
  <si>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</si>
  <si>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</si>
  <si>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</si>
  <si>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</si>
  <si>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</si>
  <si>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</si>
  <si>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</si>
  <si>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</si>
  <si>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</si>
  <si>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</si>
  <si>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</si>
  <si>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</si>
  <si>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</si>
  <si>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</si>
  <si>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</si>
  <si>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</si>
  <si>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</si>
  <si>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</si>
  <si>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</si>
  <si>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</si>
  <si>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</si>
  <si>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</si>
  <si>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</si>
  <si>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</si>
  <si>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</si>
  <si>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</si>
  <si>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</si>
  <si>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</si>
  <si>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</si>
  <si>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</si>
  <si>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</si>
  <si>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</si>
  <si>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</si>
  <si>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</si>
  <si>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</si>
  <si>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</si>
  <si>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</si>
  <si>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</si>
  <si>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</si>
  <si>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</si>
  <si>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</si>
  <si>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</si>
  <si>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</si>
  <si>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</si>
  <si>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</si>
  <si>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</si>
  <si>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</si>
  <si>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</si>
  <si>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</si>
  <si>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</si>
  <si>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</si>
  <si>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</si>
  <si>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</si>
  <si>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</si>
  <si>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</si>
  <si>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</si>
  <si>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</si>
  <si>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</si>
  <si>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</si>
  <si>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</si>
  <si>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</si>
  <si>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</si>
  <si>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</si>
  <si>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</si>
  <si>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</si>
  <si>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</si>
  <si>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</si>
  <si>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</si>
  <si>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</si>
  <si>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</si>
  <si>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</si>
  <si>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</si>
  <si>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</si>
  <si>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</si>
  <si>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</si>
  <si>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</si>
  <si>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</si>
  <si>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</si>
  <si>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</si>
  <si>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</si>
  <si>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</si>
  <si>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</si>
  <si>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</si>
  <si>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</si>
  <si>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</si>
  <si>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</si>
  <si>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</si>
  <si>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</si>
  <si>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</si>
  <si>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</si>
  <si>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</si>
  <si>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</si>
  <si>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</si>
  <si>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</si>
  <si>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</si>
  <si>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</si>
  <si>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</si>
  <si>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</si>
  <si>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</si>
  <si>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</si>
  <si>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</si>
  <si>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</si>
  <si>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</si>
  <si>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</si>
  <si>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</si>
  <si>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</si>
  <si>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</si>
  <si>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</si>
  <si>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</si>
  <si>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</si>
  <si>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</si>
  <si>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</si>
  <si>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</si>
  <si>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</si>
  <si>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</si>
  <si>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</si>
  <si>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</si>
  <si>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</si>
  <si>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</si>
  <si>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</si>
  <si>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</si>
  <si>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</si>
  <si>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</si>
  <si>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</si>
  <si>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</si>
  <si>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</si>
  <si>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</si>
  <si>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</si>
  <si>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</si>
  <si>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</si>
  <si>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</si>
  <si>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</si>
  <si>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</si>
  <si>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</si>
  <si>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</si>
  <si>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</si>
  <si>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</si>
  <si>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</si>
  <si>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</si>
  <si>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</si>
  <si>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</si>
  <si>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</si>
  <si>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</si>
  <si>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</si>
  <si>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</si>
  <si>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</si>
  <si>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</si>
  <si>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</si>
  <si>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</si>
  <si>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</si>
  <si>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</si>
  <si>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</si>
  <si>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</si>
  <si>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</si>
  <si>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</si>
  <si>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</si>
  <si>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</si>
  <si>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</si>
  <si>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</si>
  <si>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</si>
  <si>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</si>
  <si>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</si>
  <si>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</si>
  <si>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</si>
  <si>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</si>
  <si>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</si>
  <si>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</si>
  <si>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</si>
  <si>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</si>
  <si>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</si>
  <si>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</si>
  <si>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</si>
  <si>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</si>
  <si>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</si>
  <si>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</si>
  <si>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</si>
  <si>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</si>
  <si>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</si>
  <si>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</si>
  <si>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</si>
  <si>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</si>
  <si>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</si>
  <si>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</si>
  <si>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</si>
  <si>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</si>
  <si>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</si>
  <si>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</si>
  <si>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</si>
  <si>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</si>
  <si>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</si>
  <si>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</si>
  <si>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</si>
  <si>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</si>
  <si>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</si>
  <si>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</si>
  <si>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</si>
  <si>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</si>
  <si>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</si>
  <si>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</si>
  <si>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</si>
  <si>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</si>
  <si>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</si>
  <si>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</si>
  <si>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</si>
  <si>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</si>
  <si>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</si>
  <si>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</si>
  <si>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</si>
  <si>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</si>
  <si>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</si>
  <si>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</si>
  <si>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</si>
  <si>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</si>
  <si>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</si>
  <si>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</si>
  <si>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</si>
  <si>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</si>
  <si>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</si>
  <si>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</si>
  <si>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</si>
  <si>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</si>
  <si>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</si>
  <si>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</si>
  <si>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</si>
  <si>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</si>
  <si>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</si>
  <si>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</si>
  <si>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</si>
  <si>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</si>
  <si>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</si>
  <si>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</si>
  <si>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</si>
  <si>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</si>
  <si>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</si>
  <si>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</si>
  <si>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</si>
  <si>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</si>
  <si>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</si>
  <si>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</si>
  <si>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</si>
  <si>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</si>
  <si>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</si>
  <si>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</si>
  <si>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</si>
  <si>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</si>
  <si>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</si>
  <si>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</si>
  <si>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</si>
  <si>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</si>
  <si>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</si>
  <si>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</si>
  <si>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</si>
  <si>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</si>
  <si>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</si>
  <si>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</si>
  <si>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</si>
  <si>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</si>
  <si>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</si>
  <si>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</si>
  <si>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</si>
  <si>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</si>
  <si>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</si>
  <si>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</si>
  <si>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</si>
  <si>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</si>
  <si>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</si>
  <si>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</si>
  <si>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</si>
  <si>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</si>
  <si>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</si>
  <si>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</si>
  <si>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Enk</t>
  </si>
  <si>
    <t>Mona Andersen</t>
  </si>
  <si>
    <t>Heidi Rose</t>
  </si>
  <si>
    <t>hr@heidirose.dk</t>
  </si>
  <si>
    <t>Jette Frederiksen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</si>
</sst>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21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7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7" fillId="11" borderId="4" xfId="0" applyFont="1" applyFill="1" applyBorder="1" applyAlignment="1">
      <alignment horizontal="center"/>
    </xf>
    <xf numFmtId="0" fontId="11" fillId="0" borderId="0" xfId="0" applyFont="1"/>
    <xf numFmtId="44" fontId="0" fillId="0" borderId="0" xfId="0" applyNumberFormat="1"/>
    <xf numFmtId="44" fontId="2" fillId="0" borderId="0" xfId="0" applyNumberFormat="1" applyFont="1"/>
    <xf numFmtId="0" fontId="14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7" fillId="7" borderId="4" xfId="0" applyFont="1" applyFill="1" applyBorder="1"/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440</c:v>
                </c:pt>
                <c:pt idx="12">
                  <c:v>456</c:v>
                </c:pt>
                <c:pt idx="13">
                  <c:v>473</c:v>
                </c:pt>
                <c:pt idx="14">
                  <c:v>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635</c:v>
                </c:pt>
                <c:pt idx="1">
                  <c:v>67</c:v>
                </c:pt>
                <c:pt idx="2">
                  <c:v>0</c:v>
                </c:pt>
                <c:pt idx="3">
                  <c:v>156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635</c:v>
                </c:pt>
                <c:pt idx="1">
                  <c:v>67</c:v>
                </c:pt>
                <c:pt idx="2">
                  <c:v>0</c:v>
                </c:pt>
                <c:pt idx="3">
                  <c:v>156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440</c:v>
                </c:pt>
                <c:pt idx="12">
                  <c:v>456</c:v>
                </c:pt>
                <c:pt idx="13">
                  <c:v>473</c:v>
                </c:pt>
                <c:pt idx="14">
                  <c:v>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235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235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9"/>
      <c r="B2" s="110"/>
      <c r="C2" s="113"/>
      <c r="D2" s="113"/>
      <c r="E2" s="113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4"/>
    </row>
    <row r="3" spans="1:19" x14ac:dyDescent="0.35">
      <c r="A3" s="111"/>
      <c r="B3" s="112"/>
      <c r="C3" s="115"/>
      <c r="D3" s="115"/>
      <c r="E3" s="115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6"/>
    </row>
    <row r="4" spans="1:19" x14ac:dyDescent="0.35">
      <c r="A4" s="109"/>
      <c r="B4" s="110"/>
      <c r="C4" s="113"/>
      <c r="D4" s="113"/>
      <c r="E4" s="113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4"/>
    </row>
    <row r="12" spans="1:19" x14ac:dyDescent="0.35">
      <c r="C12" s="119"/>
      <c r="D12" s="119"/>
      <c r="E12" s="119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5"/>
  <sheetViews>
    <sheetView topLeftCell="F1" workbookViewId="0">
      <pane ySplit="1" topLeftCell="A95" activePane="bottomLeft" state="frozen"/>
      <selection pane="bottomLeft" activeCell="N111" sqref="N111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57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31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8" t="s">
        <v>40</v>
      </c>
      <c r="D1" s="108" t="s">
        <v>41</v>
      </c>
      <c r="E1" s="108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1" t="s">
        <v>48</v>
      </c>
      <c r="O1" s="3" t="s">
        <v>49</v>
      </c>
      <c r="P1" s="3" t="s">
        <v>32</v>
      </c>
      <c r="Q1" s="3" t="s">
        <v>50</v>
      </c>
      <c r="R1" s="131" t="s">
        <v>51</v>
      </c>
      <c r="S1" s="3" t="s">
        <v>18</v>
      </c>
      <c r="T1" s="3" t="s">
        <v>52</v>
      </c>
    </row>
    <row r="2" spans="1:21" x14ac:dyDescent="0.35">
      <c r="A2" s="145">
        <v>1</v>
      </c>
      <c r="B2" s="110" t="s">
        <v>168</v>
      </c>
      <c r="C2" s="113">
        <v>46222</v>
      </c>
      <c r="D2" s="113">
        <v>46228</v>
      </c>
      <c r="E2" s="113">
        <v>45868</v>
      </c>
      <c r="F2" s="110" t="s">
        <v>53</v>
      </c>
      <c r="G2" s="110" t="s">
        <v>6</v>
      </c>
      <c r="H2" s="110"/>
      <c r="I2" s="132"/>
      <c r="J2" s="110">
        <v>5</v>
      </c>
      <c r="K2" s="110">
        <v>1</v>
      </c>
      <c r="L2" s="110">
        <v>2</v>
      </c>
      <c r="M2" s="154" t="s">
        <v>169</v>
      </c>
      <c r="N2" s="182"/>
      <c r="O2" s="132" t="s">
        <v>170</v>
      </c>
      <c r="P2" s="132"/>
      <c r="Q2" s="132" t="s">
        <v>21</v>
      </c>
      <c r="R2" s="164">
        <v>7267.5</v>
      </c>
      <c r="S2" s="158" t="s">
        <v>20</v>
      </c>
      <c r="T2" t="s">
        <v>171</v>
      </c>
    </row>
    <row r="3" spans="1:21" x14ac:dyDescent="0.35">
      <c r="A3" s="146">
        <v>2</v>
      </c>
      <c r="B3" s="112" t="s">
        <v>172</v>
      </c>
      <c r="C3" s="115">
        <v>46172</v>
      </c>
      <c r="D3" s="115">
        <v>46180</v>
      </c>
      <c r="E3" s="115">
        <v>45889</v>
      </c>
      <c r="F3" s="112" t="s">
        <v>53</v>
      </c>
      <c r="G3" s="112" t="s">
        <v>272</v>
      </c>
      <c r="H3" s="112"/>
      <c r="I3" s="133"/>
      <c r="J3" s="112"/>
      <c r="K3" s="112"/>
      <c r="L3" s="112"/>
      <c r="M3" s="155"/>
      <c r="N3" s="183"/>
      <c r="O3" s="133"/>
      <c r="P3" s="133"/>
      <c r="Q3" s="133"/>
      <c r="R3" s="164"/>
      <c r="S3" s="159"/>
    </row>
    <row r="4" spans="1:21" x14ac:dyDescent="0.35">
      <c r="A4" s="145">
        <v>3</v>
      </c>
      <c r="B4" s="110" t="s">
        <v>172</v>
      </c>
      <c r="C4" s="113">
        <v>46283</v>
      </c>
      <c r="D4" s="113">
        <v>46285</v>
      </c>
      <c r="E4" s="113">
        <v>45889</v>
      </c>
      <c r="F4" s="110" t="s">
        <v>53</v>
      </c>
      <c r="G4" s="110" t="s">
        <v>6</v>
      </c>
      <c r="H4" s="110"/>
      <c r="I4" s="132"/>
      <c r="J4" s="110">
        <v>10</v>
      </c>
      <c r="K4" s="110">
        <v>1</v>
      </c>
      <c r="L4" s="110">
        <v>2</v>
      </c>
      <c r="M4" s="154" t="s">
        <v>173</v>
      </c>
      <c r="N4" s="182"/>
      <c r="O4" s="132" t="s">
        <v>174</v>
      </c>
      <c r="P4" s="132"/>
      <c r="Q4" s="132" t="s">
        <v>21</v>
      </c>
      <c r="R4" s="164">
        <v>2070</v>
      </c>
      <c r="S4" s="158" t="s">
        <v>20</v>
      </c>
      <c r="T4" s="130"/>
    </row>
    <row r="5" spans="1:21" x14ac:dyDescent="0.35">
      <c r="A5" s="146">
        <v>4</v>
      </c>
      <c r="B5" s="112" t="s">
        <v>175</v>
      </c>
      <c r="C5" s="115">
        <v>46246</v>
      </c>
      <c r="D5" s="115">
        <v>46250</v>
      </c>
      <c r="E5" s="115">
        <v>45891</v>
      </c>
      <c r="F5" s="112" t="s">
        <v>53</v>
      </c>
      <c r="G5" s="112" t="s">
        <v>6</v>
      </c>
      <c r="H5" s="112"/>
      <c r="I5" s="133"/>
      <c r="J5" s="112">
        <v>10</v>
      </c>
      <c r="K5" s="112">
        <v>2</v>
      </c>
      <c r="L5" s="112">
        <v>4</v>
      </c>
      <c r="M5" s="155" t="s">
        <v>177</v>
      </c>
      <c r="N5" s="184">
        <v>4530267986</v>
      </c>
      <c r="O5" s="133" t="s">
        <v>178</v>
      </c>
      <c r="P5" s="133"/>
      <c r="Q5" s="133" t="s">
        <v>21</v>
      </c>
      <c r="R5" s="164">
        <v>9180</v>
      </c>
      <c r="S5" s="159" t="s">
        <v>21</v>
      </c>
      <c r="T5" t="s">
        <v>176</v>
      </c>
    </row>
    <row r="6" spans="1:21" x14ac:dyDescent="0.35">
      <c r="A6" s="145">
        <v>5</v>
      </c>
      <c r="B6" s="110" t="s">
        <v>179</v>
      </c>
      <c r="C6" s="113">
        <v>46169</v>
      </c>
      <c r="D6" s="113">
        <v>46174</v>
      </c>
      <c r="E6" s="113">
        <v>45903</v>
      </c>
      <c r="F6" s="110" t="s">
        <v>53</v>
      </c>
      <c r="G6" s="110" t="s">
        <v>6</v>
      </c>
      <c r="H6" s="110"/>
      <c r="I6" s="132"/>
      <c r="J6" s="110">
        <v>10</v>
      </c>
      <c r="K6" s="110">
        <v>1</v>
      </c>
      <c r="L6" s="110">
        <v>2</v>
      </c>
      <c r="M6" s="154" t="s">
        <v>180</v>
      </c>
      <c r="N6" s="182"/>
      <c r="O6" s="132"/>
      <c r="P6" s="132"/>
      <c r="Q6" s="132" t="s">
        <v>21</v>
      </c>
      <c r="R6" s="164">
        <v>5175</v>
      </c>
      <c r="S6" s="158" t="s">
        <v>20</v>
      </c>
    </row>
    <row r="7" spans="1:21" x14ac:dyDescent="0.35">
      <c r="A7" s="145">
        <v>6</v>
      </c>
      <c r="B7" s="125" t="s">
        <v>181</v>
      </c>
      <c r="C7" s="128">
        <v>46178</v>
      </c>
      <c r="D7" s="128">
        <v>46180</v>
      </c>
      <c r="E7" s="128">
        <v>45910</v>
      </c>
      <c r="F7" s="125" t="s">
        <v>53</v>
      </c>
      <c r="G7" s="2" t="s">
        <v>6</v>
      </c>
      <c r="H7" s="2"/>
      <c r="J7" s="127">
        <v>10</v>
      </c>
      <c r="K7" s="127">
        <v>2</v>
      </c>
      <c r="L7" s="127">
        <v>4</v>
      </c>
      <c r="M7" s="129" t="s">
        <v>182</v>
      </c>
      <c r="Q7" s="2" t="s">
        <v>21</v>
      </c>
      <c r="R7" s="131">
        <v>4140</v>
      </c>
      <c r="S7" s="2" t="s">
        <v>38</v>
      </c>
      <c r="T7" t="s">
        <v>183</v>
      </c>
    </row>
    <row r="8" spans="1:21" x14ac:dyDescent="0.35">
      <c r="A8" s="146">
        <v>7</v>
      </c>
      <c r="B8" s="125" t="s">
        <v>184</v>
      </c>
      <c r="C8" s="128">
        <v>46207</v>
      </c>
      <c r="D8" s="128">
        <v>46214</v>
      </c>
      <c r="E8" s="128">
        <v>45927</v>
      </c>
      <c r="F8" s="125" t="s">
        <v>53</v>
      </c>
      <c r="G8" s="2" t="s">
        <v>6</v>
      </c>
      <c r="H8" s="2"/>
      <c r="J8" s="127">
        <v>10</v>
      </c>
      <c r="K8" s="127">
        <v>1</v>
      </c>
      <c r="L8" s="127">
        <v>2</v>
      </c>
      <c r="M8" s="129" t="s">
        <v>185</v>
      </c>
      <c r="N8" s="184">
        <v>4522701312</v>
      </c>
      <c r="O8" s="2" t="s">
        <v>186</v>
      </c>
      <c r="Q8" s="2" t="s">
        <v>20</v>
      </c>
      <c r="R8" s="164">
        <v>6772.5</v>
      </c>
      <c r="S8" s="2" t="s">
        <v>21</v>
      </c>
    </row>
    <row r="9" spans="1:21" x14ac:dyDescent="0.35">
      <c r="A9" s="145">
        <v>8</v>
      </c>
      <c r="B9" s="125" t="s">
        <v>187</v>
      </c>
      <c r="C9" s="128">
        <v>46158</v>
      </c>
      <c r="D9" s="128">
        <v>46163</v>
      </c>
      <c r="E9" s="128">
        <v>45953</v>
      </c>
      <c r="F9" s="125" t="s">
        <v>31</v>
      </c>
      <c r="G9" s="2" t="s">
        <v>6</v>
      </c>
      <c r="H9" s="2"/>
      <c r="J9" s="127">
        <v>10</v>
      </c>
      <c r="K9" s="127">
        <v>1</v>
      </c>
      <c r="L9" s="127">
        <v>2</v>
      </c>
      <c r="M9" s="129" t="s">
        <v>188</v>
      </c>
      <c r="N9" s="184">
        <v>4917643882286</v>
      </c>
      <c r="O9" s="2" t="s">
        <v>189</v>
      </c>
      <c r="Q9" s="2" t="s">
        <v>21</v>
      </c>
      <c r="R9" s="131">
        <v>4275</v>
      </c>
      <c r="S9" s="2" t="s">
        <v>21</v>
      </c>
      <c r="T9" s="125" t="s">
        <v>190</v>
      </c>
    </row>
    <row r="10" spans="1:21" x14ac:dyDescent="0.35">
      <c r="A10" s="145">
        <v>9</v>
      </c>
      <c r="B10" s="125" t="s">
        <v>191</v>
      </c>
      <c r="C10" s="128">
        <v>46159</v>
      </c>
      <c r="D10" s="128">
        <v>46166</v>
      </c>
      <c r="E10" s="128">
        <v>45954</v>
      </c>
      <c r="F10" s="125" t="s">
        <v>53</v>
      </c>
      <c r="G10" s="2" t="s">
        <v>6</v>
      </c>
      <c r="H10" s="2"/>
      <c r="J10" s="127">
        <v>10</v>
      </c>
      <c r="K10" s="127">
        <v>1</v>
      </c>
      <c r="L10" s="127">
        <v>2</v>
      </c>
      <c r="M10" s="129" t="s">
        <v>192</v>
      </c>
      <c r="O10" s="2" t="s">
        <v>193</v>
      </c>
      <c r="Q10" s="2" t="s">
        <v>21</v>
      </c>
      <c r="R10" s="164">
        <v>7245</v>
      </c>
      <c r="S10" s="2" t="s">
        <v>21</v>
      </c>
    </row>
    <row r="11" spans="1:21" x14ac:dyDescent="0.35">
      <c r="A11" s="146">
        <v>10</v>
      </c>
      <c r="B11" s="125" t="s">
        <v>194</v>
      </c>
      <c r="C11" s="128">
        <v>46225</v>
      </c>
      <c r="D11" s="128">
        <v>46228</v>
      </c>
      <c r="E11" s="128">
        <v>45932</v>
      </c>
      <c r="F11" s="125" t="s">
        <v>53</v>
      </c>
      <c r="G11" s="2" t="s">
        <v>6</v>
      </c>
      <c r="H11" s="2"/>
      <c r="J11" s="127">
        <v>10</v>
      </c>
      <c r="K11" s="127">
        <v>1</v>
      </c>
      <c r="L11" s="127">
        <v>2</v>
      </c>
      <c r="M11" s="126" t="s">
        <v>195</v>
      </c>
      <c r="N11" s="157">
        <v>4561557600</v>
      </c>
      <c r="Q11" s="2" t="s">
        <v>21</v>
      </c>
      <c r="R11" s="131">
        <v>3442</v>
      </c>
      <c r="S11" s="2" t="s">
        <v>21</v>
      </c>
      <c r="T11" t="s">
        <v>196</v>
      </c>
    </row>
    <row r="12" spans="1:21" x14ac:dyDescent="0.35">
      <c r="A12" s="145">
        <v>11</v>
      </c>
      <c r="B12" s="125" t="s">
        <v>197</v>
      </c>
      <c r="C12" s="24">
        <v>46237</v>
      </c>
      <c r="D12" s="24">
        <v>46242</v>
      </c>
      <c r="E12" s="24">
        <v>45932</v>
      </c>
      <c r="F12" s="125" t="s">
        <v>31</v>
      </c>
      <c r="G12" s="2" t="s">
        <v>6</v>
      </c>
      <c r="H12" s="2"/>
      <c r="J12" s="127">
        <v>10</v>
      </c>
      <c r="K12" s="127">
        <v>1</v>
      </c>
      <c r="L12" s="127">
        <v>2</v>
      </c>
      <c r="M12" s="129" t="s">
        <v>199</v>
      </c>
      <c r="Q12" s="2" t="s">
        <v>21</v>
      </c>
      <c r="R12" s="131">
        <v>5737.5</v>
      </c>
      <c r="S12" s="2" t="s">
        <v>20</v>
      </c>
      <c r="T12" t="s">
        <v>198</v>
      </c>
    </row>
    <row r="13" spans="1:21" x14ac:dyDescent="0.35">
      <c r="A13" s="145">
        <v>12</v>
      </c>
      <c r="B13" s="125" t="s">
        <v>200</v>
      </c>
      <c r="C13" s="128">
        <v>46175</v>
      </c>
      <c r="D13" s="128">
        <v>46179</v>
      </c>
      <c r="E13" s="128">
        <v>45977</v>
      </c>
      <c r="F13" s="125" t="s">
        <v>53</v>
      </c>
      <c r="G13" s="2" t="s">
        <v>6</v>
      </c>
      <c r="H13" s="2"/>
      <c r="I13" s="2" t="s">
        <v>165</v>
      </c>
      <c r="J13" s="127">
        <v>10</v>
      </c>
      <c r="K13" s="127">
        <v>1</v>
      </c>
      <c r="L13" s="127">
        <v>2</v>
      </c>
      <c r="M13" s="129" t="s">
        <v>201</v>
      </c>
      <c r="N13" s="185">
        <v>4540552384</v>
      </c>
      <c r="O13" s="2" t="s">
        <v>202</v>
      </c>
      <c r="Q13" s="2" t="s">
        <v>21</v>
      </c>
      <c r="R13" s="131">
        <v>4140</v>
      </c>
      <c r="S13" s="2" t="s">
        <v>21</v>
      </c>
      <c r="T13" t="s">
        <v>203</v>
      </c>
    </row>
    <row r="14" spans="1:21" x14ac:dyDescent="0.35">
      <c r="A14" s="146">
        <v>13</v>
      </c>
      <c r="B14" s="125" t="s">
        <v>204</v>
      </c>
      <c r="C14" s="24">
        <v>46211</v>
      </c>
      <c r="D14" s="24">
        <v>46218</v>
      </c>
      <c r="E14" s="24">
        <v>45998</v>
      </c>
      <c r="F14" s="125" t="s">
        <v>53</v>
      </c>
      <c r="G14" s="2" t="s">
        <v>6</v>
      </c>
      <c r="J14" s="127">
        <v>10</v>
      </c>
      <c r="K14" s="127">
        <v>1</v>
      </c>
      <c r="L14" s="127">
        <v>2</v>
      </c>
      <c r="M14" s="122" t="s">
        <v>205</v>
      </c>
      <c r="N14" s="185">
        <v>4525582842</v>
      </c>
      <c r="O14" s="2" t="s">
        <v>207</v>
      </c>
      <c r="Q14" s="2" t="s">
        <v>21</v>
      </c>
      <c r="R14" s="131">
        <v>8032.5</v>
      </c>
      <c r="S14" s="2" t="s">
        <v>38</v>
      </c>
      <c r="T14" t="s">
        <v>206</v>
      </c>
    </row>
    <row r="15" spans="1:21" x14ac:dyDescent="0.35">
      <c r="A15" s="145">
        <v>14</v>
      </c>
      <c r="B15" s="125" t="s">
        <v>208</v>
      </c>
      <c r="C15" s="24">
        <v>46206</v>
      </c>
      <c r="D15" s="24">
        <v>46213</v>
      </c>
      <c r="E15" s="24">
        <v>46001</v>
      </c>
      <c r="F15" s="125" t="s">
        <v>53</v>
      </c>
      <c r="G15" s="2" t="s">
        <v>6</v>
      </c>
      <c r="J15" s="127">
        <v>10</v>
      </c>
      <c r="K15" s="127">
        <v>1</v>
      </c>
      <c r="L15" s="127">
        <v>2</v>
      </c>
      <c r="M15" s="156" t="s">
        <v>211</v>
      </c>
      <c r="N15" s="185">
        <v>4591191885</v>
      </c>
      <c r="O15" s="2" t="s">
        <v>209</v>
      </c>
      <c r="Q15" s="2" t="s">
        <v>21</v>
      </c>
      <c r="R15" s="131">
        <v>9180</v>
      </c>
      <c r="S15" s="2" t="s">
        <v>38</v>
      </c>
      <c r="T15" s="125" t="s">
        <v>210</v>
      </c>
    </row>
    <row r="16" spans="1:21" x14ac:dyDescent="0.35">
      <c r="A16" s="145">
        <v>15</v>
      </c>
      <c r="B16" s="125" t="s">
        <v>212</v>
      </c>
      <c r="C16" s="24">
        <v>46181</v>
      </c>
      <c r="D16" s="24">
        <v>46188</v>
      </c>
      <c r="E16" s="24">
        <v>45866</v>
      </c>
      <c r="F16" s="125" t="s">
        <v>53</v>
      </c>
      <c r="G16" s="2" t="s">
        <v>56</v>
      </c>
      <c r="K16" s="127">
        <v>1</v>
      </c>
      <c r="L16" s="127">
        <v>2</v>
      </c>
      <c r="M16" s="122" t="s">
        <v>213</v>
      </c>
      <c r="N16" s="157">
        <v>4531534745</v>
      </c>
      <c r="O16" s="2" t="s">
        <v>214</v>
      </c>
      <c r="Q16" s="2" t="s">
        <v>21</v>
      </c>
      <c r="R16" s="131">
        <v>8925</v>
      </c>
      <c r="S16" s="2" t="s">
        <v>38</v>
      </c>
      <c r="T16" t="s">
        <v>215</v>
      </c>
      <c r="U16" s="190">
        <f>R16*0.5</f>
        <v>4462.5</v>
      </c>
    </row>
    <row r="17" spans="1:21" x14ac:dyDescent="0.35">
      <c r="A17" s="146">
        <v>16</v>
      </c>
      <c r="B17" s="125" t="s">
        <v>226</v>
      </c>
      <c r="C17" s="24">
        <v>46182</v>
      </c>
      <c r="D17" s="24">
        <v>46188</v>
      </c>
      <c r="E17" s="24">
        <v>45832</v>
      </c>
      <c r="F17" s="125" t="s">
        <v>53</v>
      </c>
      <c r="G17" s="2" t="s">
        <v>56</v>
      </c>
      <c r="K17" s="127">
        <v>2</v>
      </c>
      <c r="L17" s="127">
        <v>4</v>
      </c>
      <c r="M17" s="122" t="s">
        <v>227</v>
      </c>
      <c r="N17" s="185">
        <v>4530604703</v>
      </c>
      <c r="Q17" s="2" t="s">
        <v>21</v>
      </c>
      <c r="R17" s="131">
        <v>17850</v>
      </c>
      <c r="S17" s="2" t="s">
        <v>38</v>
      </c>
      <c r="T17" t="s">
        <v>228</v>
      </c>
      <c r="U17" s="191">
        <f t="shared" ref="U17:U19" si="0">R17*0.5</f>
        <v>8925</v>
      </c>
    </row>
    <row r="18" spans="1:21" x14ac:dyDescent="0.35">
      <c r="A18" s="145">
        <v>17</v>
      </c>
      <c r="B18" s="125" t="s">
        <v>220</v>
      </c>
      <c r="C18" s="24">
        <v>46181</v>
      </c>
      <c r="D18" s="24">
        <v>46188</v>
      </c>
      <c r="E18" s="24">
        <v>45824</v>
      </c>
      <c r="F18" s="125" t="s">
        <v>53</v>
      </c>
      <c r="G18" s="2" t="s">
        <v>56</v>
      </c>
      <c r="K18" s="127">
        <v>1</v>
      </c>
      <c r="L18" s="127">
        <v>2</v>
      </c>
      <c r="M18" s="122" t="s">
        <v>223</v>
      </c>
      <c r="N18" s="185">
        <v>4524669843</v>
      </c>
      <c r="O18" s="2" t="s">
        <v>224</v>
      </c>
      <c r="Q18" s="2" t="s">
        <v>21</v>
      </c>
      <c r="R18" s="131">
        <v>8925</v>
      </c>
      <c r="S18" s="2" t="s">
        <v>38</v>
      </c>
      <c r="T18" t="s">
        <v>225</v>
      </c>
      <c r="U18" s="191">
        <f t="shared" si="0"/>
        <v>4462.5</v>
      </c>
    </row>
    <row r="19" spans="1:21" x14ac:dyDescent="0.35">
      <c r="A19" s="145">
        <v>18</v>
      </c>
      <c r="B19" s="125" t="s">
        <v>218</v>
      </c>
      <c r="C19" s="24">
        <v>46182</v>
      </c>
      <c r="D19" s="24">
        <v>46187</v>
      </c>
      <c r="E19" s="24">
        <v>45834</v>
      </c>
      <c r="F19" s="125" t="s">
        <v>53</v>
      </c>
      <c r="G19" s="2" t="s">
        <v>56</v>
      </c>
      <c r="K19" s="127">
        <v>1</v>
      </c>
      <c r="L19" s="127">
        <v>2</v>
      </c>
      <c r="M19" s="156" t="s">
        <v>219</v>
      </c>
      <c r="N19" s="185">
        <v>4531909358</v>
      </c>
      <c r="O19" s="2" t="s">
        <v>222</v>
      </c>
      <c r="Q19" s="2" t="s">
        <v>21</v>
      </c>
      <c r="R19" s="131">
        <v>6375</v>
      </c>
      <c r="S19" s="2" t="s">
        <v>38</v>
      </c>
      <c r="T19" t="s">
        <v>221</v>
      </c>
      <c r="U19" s="191">
        <f t="shared" si="0"/>
        <v>3187.5</v>
      </c>
    </row>
    <row r="20" spans="1:21" x14ac:dyDescent="0.35">
      <c r="A20" s="146">
        <v>19</v>
      </c>
      <c r="B20" t="s">
        <v>216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2" t="s">
        <v>217</v>
      </c>
      <c r="N20" s="185">
        <v>4541515960</v>
      </c>
      <c r="P20" s="2" t="s">
        <v>21</v>
      </c>
      <c r="Q20" s="2" t="s">
        <v>21</v>
      </c>
      <c r="R20" s="131">
        <v>14805</v>
      </c>
      <c r="S20" s="2" t="s">
        <v>38</v>
      </c>
      <c r="T20" s="2" t="s">
        <v>206</v>
      </c>
    </row>
    <row r="21" spans="1:21" x14ac:dyDescent="0.35">
      <c r="A21" s="145">
        <v>20</v>
      </c>
      <c r="B21" s="125" t="s">
        <v>246</v>
      </c>
      <c r="C21" s="24">
        <v>46163</v>
      </c>
      <c r="D21" s="24">
        <v>46167</v>
      </c>
      <c r="E21" s="24">
        <v>46008</v>
      </c>
      <c r="F21" s="125" t="s">
        <v>53</v>
      </c>
      <c r="G21" s="2" t="s">
        <v>6</v>
      </c>
      <c r="K21" s="127">
        <v>3</v>
      </c>
      <c r="L21" s="127">
        <v>6</v>
      </c>
      <c r="M21" s="122" t="s">
        <v>247</v>
      </c>
      <c r="Q21" s="2" t="s">
        <v>21</v>
      </c>
      <c r="R21" s="164">
        <v>12420</v>
      </c>
      <c r="S21" s="2" t="s">
        <v>38</v>
      </c>
      <c r="T21" t="s">
        <v>248</v>
      </c>
    </row>
    <row r="22" spans="1:21" x14ac:dyDescent="0.35">
      <c r="A22" s="145">
        <v>21</v>
      </c>
      <c r="B22" s="125" t="s">
        <v>269</v>
      </c>
      <c r="C22" s="24">
        <v>46251</v>
      </c>
      <c r="D22" s="24">
        <v>46256</v>
      </c>
      <c r="E22" s="24">
        <v>46009</v>
      </c>
      <c r="F22" s="125" t="s">
        <v>54</v>
      </c>
      <c r="G22" s="2" t="s">
        <v>6</v>
      </c>
      <c r="J22">
        <v>10</v>
      </c>
      <c r="K22" s="127">
        <v>1</v>
      </c>
      <c r="L22" s="127">
        <v>2</v>
      </c>
      <c r="M22" s="122" t="s">
        <v>244</v>
      </c>
      <c r="N22" s="185">
        <v>46705125490</v>
      </c>
      <c r="O22" s="2" t="s">
        <v>243</v>
      </c>
      <c r="Q22" s="2" t="s">
        <v>21</v>
      </c>
      <c r="R22" s="164">
        <v>5175</v>
      </c>
      <c r="S22" s="2" t="s">
        <v>38</v>
      </c>
      <c r="T22" t="s">
        <v>245</v>
      </c>
    </row>
    <row r="23" spans="1:21" x14ac:dyDescent="0.35">
      <c r="A23" s="146">
        <v>22</v>
      </c>
      <c r="B23" t="s">
        <v>241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7">
        <v>1</v>
      </c>
      <c r="L23" s="127">
        <v>2</v>
      </c>
      <c r="M23" s="122"/>
      <c r="Q23" s="2" t="s">
        <v>21</v>
      </c>
      <c r="R23" s="131">
        <v>11500</v>
      </c>
      <c r="S23" s="2" t="s">
        <v>20</v>
      </c>
      <c r="T23" t="s">
        <v>242</v>
      </c>
    </row>
    <row r="24" spans="1:21" x14ac:dyDescent="0.35">
      <c r="A24" s="145">
        <v>23</v>
      </c>
      <c r="B24" t="s">
        <v>240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259</v>
      </c>
      <c r="I24" s="2" t="s">
        <v>162</v>
      </c>
      <c r="K24" s="127">
        <v>1</v>
      </c>
      <c r="L24" s="127">
        <v>2</v>
      </c>
      <c r="Q24" s="2" t="s">
        <v>21</v>
      </c>
      <c r="R24" s="164">
        <v>3825</v>
      </c>
      <c r="S24" s="2" t="s">
        <v>20</v>
      </c>
    </row>
    <row r="25" spans="1:21" x14ac:dyDescent="0.35">
      <c r="A25" s="145">
        <v>24</v>
      </c>
      <c r="B25" t="s">
        <v>239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7">
        <v>1</v>
      </c>
      <c r="L25" s="127">
        <v>2</v>
      </c>
      <c r="M25" s="122"/>
      <c r="Q25" s="2" t="s">
        <v>21</v>
      </c>
      <c r="R25" s="164">
        <v>3825</v>
      </c>
      <c r="S25" s="2" t="s">
        <v>20</v>
      </c>
    </row>
    <row r="26" spans="1:21" x14ac:dyDescent="0.35">
      <c r="A26" s="146">
        <v>25</v>
      </c>
      <c r="B26" t="s">
        <v>238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7">
        <v>1</v>
      </c>
      <c r="L26" s="127">
        <v>1</v>
      </c>
      <c r="M26" s="122"/>
      <c r="P26" s="2" t="s">
        <v>21</v>
      </c>
      <c r="Q26" s="2" t="s">
        <v>20</v>
      </c>
      <c r="R26" s="131">
        <v>4250</v>
      </c>
      <c r="S26" s="2" t="s">
        <v>20</v>
      </c>
    </row>
    <row r="27" spans="1:21" x14ac:dyDescent="0.35">
      <c r="A27" s="145">
        <v>26</v>
      </c>
      <c r="B27" t="s">
        <v>237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7">
        <v>1</v>
      </c>
      <c r="L27" s="127">
        <v>2</v>
      </c>
      <c r="N27" s="186"/>
      <c r="Q27" s="2" t="s">
        <v>21</v>
      </c>
      <c r="R27" s="131">
        <v>3450</v>
      </c>
      <c r="S27" s="2" t="s">
        <v>20</v>
      </c>
      <c r="T27" t="s">
        <v>326</v>
      </c>
    </row>
    <row r="28" spans="1:21" x14ac:dyDescent="0.35">
      <c r="A28" s="145">
        <v>27</v>
      </c>
      <c r="B28" t="s">
        <v>235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7">
        <v>1</v>
      </c>
      <c r="L28" s="127">
        <v>2</v>
      </c>
      <c r="M28" s="122" t="s">
        <v>236</v>
      </c>
      <c r="N28" s="185">
        <v>4561283743</v>
      </c>
      <c r="Q28" s="2" t="s">
        <v>21</v>
      </c>
      <c r="R28" s="131">
        <v>6210</v>
      </c>
      <c r="S28" s="2" t="s">
        <v>21</v>
      </c>
      <c r="T28" t="s">
        <v>268</v>
      </c>
    </row>
    <row r="29" spans="1:21" x14ac:dyDescent="0.35">
      <c r="A29" s="146">
        <v>28</v>
      </c>
      <c r="B29" t="s">
        <v>234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2"/>
      <c r="Q29" s="2" t="s">
        <v>21</v>
      </c>
      <c r="R29" s="131">
        <v>1900</v>
      </c>
      <c r="S29" s="2" t="s">
        <v>20</v>
      </c>
    </row>
    <row r="30" spans="1:21" x14ac:dyDescent="0.35">
      <c r="A30" s="145">
        <v>29</v>
      </c>
      <c r="B30" t="s">
        <v>251</v>
      </c>
      <c r="C30" s="24">
        <v>46177</v>
      </c>
      <c r="D30" s="24">
        <v>46179</v>
      </c>
      <c r="E30" s="24">
        <v>46023</v>
      </c>
      <c r="F30" t="s">
        <v>58</v>
      </c>
      <c r="G30" t="s">
        <v>272</v>
      </c>
      <c r="K30" s="127"/>
      <c r="L30" s="127"/>
      <c r="M30" s="122"/>
    </row>
    <row r="31" spans="1:21" x14ac:dyDescent="0.35">
      <c r="A31" s="145">
        <v>30</v>
      </c>
      <c r="B31" t="s">
        <v>249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7">
        <v>1</v>
      </c>
      <c r="L31" s="127">
        <v>2</v>
      </c>
      <c r="N31" s="185">
        <v>4526241192</v>
      </c>
      <c r="Q31" s="2" t="s">
        <v>21</v>
      </c>
      <c r="R31" s="131">
        <v>5100</v>
      </c>
      <c r="S31" s="2" t="s">
        <v>21</v>
      </c>
      <c r="T31" t="s">
        <v>250</v>
      </c>
    </row>
    <row r="32" spans="1:21" x14ac:dyDescent="0.35">
      <c r="A32" s="146">
        <v>31</v>
      </c>
      <c r="B32" t="s">
        <v>252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7">
        <v>1</v>
      </c>
      <c r="L32" s="127">
        <v>1</v>
      </c>
      <c r="M32" s="122" t="s">
        <v>253</v>
      </c>
      <c r="N32" s="157">
        <v>4541125671</v>
      </c>
      <c r="P32" s="2" t="s">
        <v>21</v>
      </c>
      <c r="Q32" s="2" t="s">
        <v>21</v>
      </c>
      <c r="R32" s="131">
        <v>4275</v>
      </c>
      <c r="S32" s="2" t="s">
        <v>21</v>
      </c>
      <c r="T32" s="125" t="s">
        <v>254</v>
      </c>
    </row>
    <row r="33" spans="1:20" x14ac:dyDescent="0.35">
      <c r="A33" s="145">
        <v>32</v>
      </c>
      <c r="B33" t="s">
        <v>267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7">
        <v>1</v>
      </c>
      <c r="L33" s="127">
        <v>2</v>
      </c>
      <c r="Q33" s="2" t="s">
        <v>21</v>
      </c>
      <c r="R33" s="131">
        <v>8925</v>
      </c>
      <c r="S33" s="2" t="s">
        <v>20</v>
      </c>
    </row>
    <row r="34" spans="1:20" x14ac:dyDescent="0.35">
      <c r="A34" s="145">
        <v>33</v>
      </c>
      <c r="B34" t="s">
        <v>266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7">
        <v>1</v>
      </c>
      <c r="L34" s="127">
        <v>1</v>
      </c>
      <c r="M34" s="122"/>
      <c r="P34" s="2" t="s">
        <v>21</v>
      </c>
      <c r="Q34" s="2" t="s">
        <v>21</v>
      </c>
      <c r="R34" s="131">
        <v>7525</v>
      </c>
      <c r="S34" s="2" t="s">
        <v>20</v>
      </c>
    </row>
    <row r="35" spans="1:20" x14ac:dyDescent="0.35">
      <c r="A35" s="146">
        <v>34</v>
      </c>
      <c r="B35" t="s">
        <v>265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7">
        <v>1</v>
      </c>
      <c r="L35" s="127">
        <v>2</v>
      </c>
      <c r="Q35" s="2" t="s">
        <v>21</v>
      </c>
      <c r="R35" s="131">
        <v>12375</v>
      </c>
      <c r="S35" s="2" t="s">
        <v>20</v>
      </c>
    </row>
    <row r="36" spans="1:20" x14ac:dyDescent="0.35">
      <c r="A36" s="145">
        <v>35</v>
      </c>
      <c r="B36" t="s">
        <v>261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5" t="s">
        <v>262</v>
      </c>
      <c r="N36" s="185">
        <v>46733448215</v>
      </c>
      <c r="O36" s="2" t="s">
        <v>263</v>
      </c>
      <c r="Q36" s="2" t="s">
        <v>21</v>
      </c>
      <c r="R36" s="131">
        <v>4140</v>
      </c>
      <c r="S36" s="2" t="s">
        <v>38</v>
      </c>
      <c r="T36" t="s">
        <v>264</v>
      </c>
    </row>
    <row r="37" spans="1:20" x14ac:dyDescent="0.35">
      <c r="A37" s="145">
        <v>36</v>
      </c>
      <c r="B37" t="s">
        <v>260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2"/>
      <c r="Q37" s="2" t="s">
        <v>20</v>
      </c>
      <c r="R37" s="131">
        <v>6450</v>
      </c>
      <c r="S37" s="2" t="s">
        <v>20</v>
      </c>
    </row>
    <row r="38" spans="1:20" x14ac:dyDescent="0.35">
      <c r="A38" s="146">
        <v>37</v>
      </c>
      <c r="B38" t="s">
        <v>258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259</v>
      </c>
      <c r="K38">
        <v>1</v>
      </c>
      <c r="L38">
        <v>2</v>
      </c>
      <c r="M38" s="122"/>
      <c r="Q38" s="2" t="s">
        <v>21</v>
      </c>
      <c r="R38" s="131">
        <v>3450</v>
      </c>
      <c r="S38" s="2" t="s">
        <v>20</v>
      </c>
    </row>
    <row r="39" spans="1:20" x14ac:dyDescent="0.35">
      <c r="A39" s="145">
        <v>38</v>
      </c>
      <c r="B39" t="s">
        <v>257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2"/>
      <c r="Q39" s="2" t="s">
        <v>20</v>
      </c>
      <c r="R39" s="131">
        <v>7525</v>
      </c>
      <c r="S39" s="2" t="s">
        <v>20</v>
      </c>
    </row>
    <row r="40" spans="1:20" x14ac:dyDescent="0.35">
      <c r="A40" s="2">
        <v>39</v>
      </c>
      <c r="B40" t="s">
        <v>256</v>
      </c>
      <c r="C40" s="24">
        <v>46216</v>
      </c>
      <c r="D40" s="24">
        <v>46220</v>
      </c>
      <c r="E40" s="24">
        <v>46032</v>
      </c>
      <c r="G40" t="s">
        <v>272</v>
      </c>
    </row>
    <row r="41" spans="1:20" x14ac:dyDescent="0.35">
      <c r="A41" s="2">
        <v>40</v>
      </c>
      <c r="B41" t="s">
        <v>255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2"/>
      <c r="Q41" s="2" t="s">
        <v>21</v>
      </c>
      <c r="R41" s="131">
        <v>3450</v>
      </c>
      <c r="S41" s="2" t="s">
        <v>20</v>
      </c>
    </row>
    <row r="42" spans="1:20" x14ac:dyDescent="0.35">
      <c r="A42" s="2">
        <v>41</v>
      </c>
      <c r="B42" t="s">
        <v>271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2"/>
      <c r="Q42" s="2" t="s">
        <v>20</v>
      </c>
      <c r="R42" s="131">
        <v>2850</v>
      </c>
      <c r="S42" s="2" t="s">
        <v>20</v>
      </c>
    </row>
    <row r="43" spans="1:20" x14ac:dyDescent="0.35">
      <c r="A43" s="2">
        <v>42</v>
      </c>
      <c r="B43" t="s">
        <v>270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2"/>
      <c r="P43" s="2" t="s">
        <v>21</v>
      </c>
      <c r="Q43" s="2" t="s">
        <v>20</v>
      </c>
      <c r="R43" s="131">
        <v>2550</v>
      </c>
      <c r="S43" s="2" t="s">
        <v>20</v>
      </c>
    </row>
    <row r="44" spans="1:20" x14ac:dyDescent="0.35">
      <c r="A44" s="2">
        <v>43</v>
      </c>
      <c r="B44" t="s">
        <v>288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259</v>
      </c>
      <c r="I44" s="2" t="s">
        <v>291</v>
      </c>
      <c r="K44">
        <v>1</v>
      </c>
      <c r="L44">
        <v>2</v>
      </c>
      <c r="M44" s="122" t="s">
        <v>290</v>
      </c>
      <c r="N44" s="157">
        <v>4526140610</v>
      </c>
      <c r="Q44" s="2" t="s">
        <v>21</v>
      </c>
      <c r="R44" s="131">
        <v>4500</v>
      </c>
      <c r="S44" s="2" t="s">
        <v>20</v>
      </c>
      <c r="T44" t="s">
        <v>289</v>
      </c>
    </row>
    <row r="45" spans="1:20" x14ac:dyDescent="0.35">
      <c r="A45" s="2">
        <v>44</v>
      </c>
      <c r="B45" t="s">
        <v>287</v>
      </c>
      <c r="C45" s="24">
        <v>46222</v>
      </c>
      <c r="D45" s="24">
        <v>46227</v>
      </c>
      <c r="E45" s="24">
        <v>46037</v>
      </c>
      <c r="F45" t="s">
        <v>294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1">
        <v>6375</v>
      </c>
      <c r="S45" s="2" t="s">
        <v>20</v>
      </c>
    </row>
    <row r="46" spans="1:20" x14ac:dyDescent="0.35">
      <c r="A46" s="2">
        <v>45</v>
      </c>
      <c r="B46" t="s">
        <v>286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1">
        <v>3825</v>
      </c>
      <c r="S46" s="2" t="s">
        <v>20</v>
      </c>
    </row>
    <row r="47" spans="1:20" x14ac:dyDescent="0.35">
      <c r="A47" s="2">
        <v>46</v>
      </c>
      <c r="B47" t="s">
        <v>283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2"/>
      <c r="Q47" s="2" t="s">
        <v>20</v>
      </c>
      <c r="R47" s="131">
        <v>5125</v>
      </c>
      <c r="S47" s="2" t="s">
        <v>285</v>
      </c>
      <c r="T47" t="s">
        <v>284</v>
      </c>
    </row>
    <row r="48" spans="1:20" x14ac:dyDescent="0.35">
      <c r="A48" s="2">
        <v>47</v>
      </c>
      <c r="B48" t="s">
        <v>218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2" t="s">
        <v>219</v>
      </c>
      <c r="N48" s="185">
        <v>4531909358</v>
      </c>
      <c r="O48" s="187" t="s">
        <v>281</v>
      </c>
      <c r="Q48" s="2" t="s">
        <v>21</v>
      </c>
      <c r="S48" s="2" t="s">
        <v>21</v>
      </c>
      <c r="T48" t="s">
        <v>282</v>
      </c>
    </row>
    <row r="49" spans="1:20" x14ac:dyDescent="0.35">
      <c r="A49" s="2">
        <v>48</v>
      </c>
      <c r="B49" t="s">
        <v>280</v>
      </c>
      <c r="C49" s="24">
        <v>46156</v>
      </c>
      <c r="D49" s="24">
        <v>46159</v>
      </c>
      <c r="E49" s="24">
        <v>46040</v>
      </c>
      <c r="F49" t="s">
        <v>53</v>
      </c>
      <c r="G49" t="s">
        <v>272</v>
      </c>
      <c r="M49" s="122"/>
    </row>
    <row r="50" spans="1:20" x14ac:dyDescent="0.35">
      <c r="A50" s="2">
        <v>49</v>
      </c>
      <c r="B50" t="s">
        <v>279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2"/>
      <c r="Q50" s="2" t="s">
        <v>21</v>
      </c>
      <c r="R50" s="131">
        <v>8925</v>
      </c>
      <c r="S50" s="2" t="s">
        <v>20</v>
      </c>
    </row>
    <row r="51" spans="1:20" x14ac:dyDescent="0.35">
      <c r="A51" s="2">
        <v>50</v>
      </c>
      <c r="B51" t="s">
        <v>278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1">
        <v>5100</v>
      </c>
      <c r="S51" s="2" t="s">
        <v>20</v>
      </c>
    </row>
    <row r="52" spans="1:20" x14ac:dyDescent="0.35">
      <c r="A52" s="2">
        <v>51</v>
      </c>
      <c r="B52" t="s">
        <v>275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5" t="s">
        <v>277</v>
      </c>
      <c r="N52" s="185">
        <v>4540474386</v>
      </c>
      <c r="O52" s="187" t="s">
        <v>276</v>
      </c>
      <c r="Q52" s="2" t="s">
        <v>21</v>
      </c>
      <c r="R52" s="193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293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2"/>
      <c r="Q53" s="2" t="s">
        <v>21</v>
      </c>
      <c r="R53" s="131">
        <v>4600</v>
      </c>
      <c r="S53" s="2" t="s">
        <v>20</v>
      </c>
    </row>
    <row r="54" spans="1:20" x14ac:dyDescent="0.35">
      <c r="A54" s="2">
        <v>53</v>
      </c>
      <c r="B54" t="s">
        <v>292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1">
        <v>2850</v>
      </c>
      <c r="S54" s="2" t="s">
        <v>20</v>
      </c>
    </row>
    <row r="55" spans="1:20" x14ac:dyDescent="0.35">
      <c r="A55" s="2">
        <v>54</v>
      </c>
      <c r="B55" t="s">
        <v>308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2"/>
      <c r="Q55" s="2" t="s">
        <v>20</v>
      </c>
      <c r="R55" s="164">
        <v>5700</v>
      </c>
    </row>
    <row r="56" spans="1:20" x14ac:dyDescent="0.35">
      <c r="A56" s="2">
        <v>55</v>
      </c>
      <c r="B56" t="s">
        <v>307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2"/>
      <c r="Q56" s="2" t="s">
        <v>20</v>
      </c>
      <c r="R56" s="131">
        <v>4300</v>
      </c>
      <c r="S56" s="2" t="s">
        <v>20</v>
      </c>
    </row>
    <row r="57" spans="1:20" x14ac:dyDescent="0.35">
      <c r="A57" s="2">
        <v>56</v>
      </c>
      <c r="B57" t="s">
        <v>304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317</v>
      </c>
      <c r="I57" s="2" t="s">
        <v>305</v>
      </c>
      <c r="K57">
        <v>1</v>
      </c>
      <c r="L57">
        <v>2</v>
      </c>
      <c r="M57" s="122"/>
      <c r="Q57" s="2" t="s">
        <v>20</v>
      </c>
      <c r="R57" s="131">
        <v>1900</v>
      </c>
      <c r="S57" s="2" t="s">
        <v>20</v>
      </c>
      <c r="T57" t="s">
        <v>306</v>
      </c>
    </row>
    <row r="58" spans="1:20" x14ac:dyDescent="0.35">
      <c r="A58" s="2">
        <v>57</v>
      </c>
      <c r="B58" t="s">
        <v>301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5">
        <v>466700686</v>
      </c>
      <c r="O58" s="2" t="s">
        <v>302</v>
      </c>
      <c r="Q58" s="2" t="s">
        <v>20</v>
      </c>
      <c r="R58" s="164">
        <v>6450</v>
      </c>
      <c r="S58" s="2" t="s">
        <v>38</v>
      </c>
      <c r="T58" t="s">
        <v>303</v>
      </c>
    </row>
    <row r="59" spans="1:20" x14ac:dyDescent="0.35">
      <c r="A59" s="2">
        <v>58</v>
      </c>
      <c r="B59" t="s">
        <v>299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2"/>
      <c r="Q59" s="2" t="s">
        <v>21</v>
      </c>
      <c r="R59" s="164">
        <v>4590</v>
      </c>
      <c r="S59" s="2" t="s">
        <v>38</v>
      </c>
      <c r="T59" t="s">
        <v>300</v>
      </c>
    </row>
    <row r="60" spans="1:20" x14ac:dyDescent="0.35">
      <c r="A60" s="2">
        <v>59</v>
      </c>
      <c r="B60" t="s">
        <v>309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310</v>
      </c>
      <c r="I60" s="2" t="s">
        <v>162</v>
      </c>
      <c r="K60">
        <v>1</v>
      </c>
      <c r="L60">
        <v>2</v>
      </c>
      <c r="M60" s="122"/>
      <c r="N60" s="157">
        <v>4542401010</v>
      </c>
      <c r="Q60" s="2" t="s">
        <v>21</v>
      </c>
      <c r="R60" s="164">
        <v>5100</v>
      </c>
      <c r="S60" s="2" t="s">
        <v>20</v>
      </c>
    </row>
    <row r="61" spans="1:20" x14ac:dyDescent="0.35">
      <c r="A61" s="2">
        <v>60</v>
      </c>
      <c r="B61" t="s">
        <v>316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4">
        <v>3800</v>
      </c>
      <c r="S61" s="2" t="s">
        <v>20</v>
      </c>
    </row>
    <row r="62" spans="1:20" x14ac:dyDescent="0.35">
      <c r="A62" s="2">
        <v>61</v>
      </c>
      <c r="B62" t="s">
        <v>314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315</v>
      </c>
      <c r="I62" s="2" t="s">
        <v>305</v>
      </c>
      <c r="K62">
        <v>1</v>
      </c>
      <c r="L62">
        <v>2</v>
      </c>
      <c r="M62" s="122"/>
      <c r="Q62" s="2" t="s">
        <v>20</v>
      </c>
      <c r="R62" s="164">
        <v>2975</v>
      </c>
      <c r="S62" s="2" t="s">
        <v>20</v>
      </c>
    </row>
    <row r="63" spans="1:20" x14ac:dyDescent="0.35">
      <c r="A63" s="2">
        <v>62</v>
      </c>
      <c r="B63" t="s">
        <v>313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305</v>
      </c>
      <c r="J63">
        <v>10</v>
      </c>
      <c r="K63">
        <v>1</v>
      </c>
      <c r="L63">
        <v>2</v>
      </c>
      <c r="Q63" s="2" t="s">
        <v>21</v>
      </c>
      <c r="R63" s="164">
        <f>8925+3442.5</f>
        <v>12367.5</v>
      </c>
      <c r="S63" s="2" t="s">
        <v>20</v>
      </c>
      <c r="T63" t="s">
        <v>325</v>
      </c>
    </row>
    <row r="64" spans="1:20" x14ac:dyDescent="0.35">
      <c r="A64" s="2">
        <v>63</v>
      </c>
      <c r="B64" t="s">
        <v>311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>
        <v>5</v>
      </c>
      <c r="K64">
        <v>1</v>
      </c>
      <c r="L64">
        <v>2</v>
      </c>
      <c r="M64" s="122" t="s">
        <v>312</v>
      </c>
      <c r="Q64" s="2" t="s">
        <v>20</v>
      </c>
      <c r="R64" s="164">
        <v>1805</v>
      </c>
      <c r="S64" s="2" t="s">
        <v>20</v>
      </c>
    </row>
    <row r="65" spans="1:20" x14ac:dyDescent="0.35">
      <c r="A65" s="2">
        <v>64</v>
      </c>
      <c r="B65" t="s">
        <v>318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31">
        <v>2850</v>
      </c>
      <c r="S65" s="2" t="s">
        <v>20</v>
      </c>
    </row>
    <row r="66" spans="1:20" x14ac:dyDescent="0.35">
      <c r="A66" s="2">
        <v>65</v>
      </c>
      <c r="B66" t="s">
        <v>322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305</v>
      </c>
      <c r="K66">
        <v>1</v>
      </c>
      <c r="L66">
        <v>2</v>
      </c>
      <c r="Q66" s="2" t="s">
        <v>20</v>
      </c>
      <c r="R66" s="164">
        <v>2850</v>
      </c>
      <c r="S66" s="2" t="s">
        <v>20</v>
      </c>
    </row>
    <row r="67" spans="1:20" x14ac:dyDescent="0.35">
      <c r="A67" s="2">
        <v>66</v>
      </c>
      <c r="B67" t="s">
        <v>320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22" t="s">
        <v>321</v>
      </c>
      <c r="N67" s="156">
        <v>4521261488</v>
      </c>
      <c r="O67" s="2" t="s">
        <v>186</v>
      </c>
      <c r="Q67" s="2" t="s">
        <v>21</v>
      </c>
      <c r="R67" s="164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319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2"/>
      <c r="Q68" s="2" t="s">
        <v>21</v>
      </c>
      <c r="R68" s="164">
        <v>5750</v>
      </c>
      <c r="S68" s="2" t="s">
        <v>20</v>
      </c>
    </row>
    <row r="69" spans="1:20" x14ac:dyDescent="0.35">
      <c r="A69" s="2">
        <v>68</v>
      </c>
      <c r="B69" t="s">
        <v>324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64">
        <v>1700</v>
      </c>
      <c r="S69" s="2" t="s">
        <v>20</v>
      </c>
    </row>
    <row r="70" spans="1:20" x14ac:dyDescent="0.35">
      <c r="A70" s="2">
        <v>69</v>
      </c>
      <c r="B70" t="s">
        <v>323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64">
        <v>3225</v>
      </c>
      <c r="S70" s="2" t="s">
        <v>20</v>
      </c>
    </row>
    <row r="71" spans="1:20" x14ac:dyDescent="0.35">
      <c r="A71" s="2">
        <v>70</v>
      </c>
      <c r="B71" t="s">
        <v>331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22" t="s">
        <v>332</v>
      </c>
      <c r="N71" s="156">
        <v>4561793423</v>
      </c>
      <c r="Q71" s="2" t="s">
        <v>21</v>
      </c>
      <c r="R71" s="164">
        <v>5175</v>
      </c>
      <c r="S71" s="2" t="s">
        <v>21</v>
      </c>
      <c r="T71" t="s">
        <v>333</v>
      </c>
    </row>
    <row r="72" spans="1:20" x14ac:dyDescent="0.35">
      <c r="A72" s="2">
        <v>71</v>
      </c>
      <c r="B72" t="s">
        <v>334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165</v>
      </c>
      <c r="K72">
        <v>1</v>
      </c>
      <c r="L72">
        <v>1</v>
      </c>
      <c r="P72" s="2" t="s">
        <v>21</v>
      </c>
      <c r="Q72" s="2" t="s">
        <v>20</v>
      </c>
      <c r="R72" s="131">
        <v>3400</v>
      </c>
      <c r="S72" s="2" t="s">
        <v>20</v>
      </c>
    </row>
    <row r="73" spans="1:20" x14ac:dyDescent="0.35">
      <c r="A73" s="2">
        <v>72</v>
      </c>
      <c r="B73" t="s">
        <v>328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259</v>
      </c>
      <c r="K73">
        <v>1</v>
      </c>
      <c r="L73">
        <v>2</v>
      </c>
      <c r="M73" s="165" t="s">
        <v>329</v>
      </c>
      <c r="N73" s="156">
        <v>4527139833</v>
      </c>
      <c r="Q73" s="2" t="s">
        <v>21</v>
      </c>
      <c r="R73" s="164">
        <v>8050</v>
      </c>
      <c r="S73" s="2" t="s">
        <v>21</v>
      </c>
      <c r="T73" t="s">
        <v>330</v>
      </c>
    </row>
    <row r="74" spans="1:20" x14ac:dyDescent="0.35">
      <c r="A74" s="2">
        <v>73</v>
      </c>
      <c r="B74" t="s">
        <v>327</v>
      </c>
      <c r="C74" s="24">
        <v>46143</v>
      </c>
      <c r="D74" s="24">
        <v>46145</v>
      </c>
      <c r="E74" s="24">
        <v>46061</v>
      </c>
      <c r="F74" t="s">
        <v>53</v>
      </c>
      <c r="G74" t="s">
        <v>272</v>
      </c>
    </row>
    <row r="75" spans="1:20" x14ac:dyDescent="0.35">
      <c r="A75" s="2">
        <v>74</v>
      </c>
      <c r="B75" t="s">
        <v>337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>
        <v>10</v>
      </c>
      <c r="K75">
        <v>2</v>
      </c>
      <c r="L75">
        <v>3</v>
      </c>
      <c r="M75" s="122" t="s">
        <v>338</v>
      </c>
      <c r="Q75" s="2" t="s">
        <v>21</v>
      </c>
      <c r="R75" s="164">
        <v>8460</v>
      </c>
      <c r="S75" s="2" t="s">
        <v>21</v>
      </c>
      <c r="T75" t="s">
        <v>339</v>
      </c>
    </row>
    <row r="76" spans="1:20" x14ac:dyDescent="0.35">
      <c r="A76" s="2">
        <v>75</v>
      </c>
      <c r="B76" t="s">
        <v>336</v>
      </c>
      <c r="C76" s="24">
        <v>46276</v>
      </c>
      <c r="D76" s="24">
        <v>46279</v>
      </c>
      <c r="E76" s="24">
        <v>46067</v>
      </c>
      <c r="F76" t="s">
        <v>53</v>
      </c>
      <c r="G76" t="s">
        <v>272</v>
      </c>
      <c r="R76" s="164"/>
    </row>
    <row r="77" spans="1:20" x14ac:dyDescent="0.35">
      <c r="A77" s="2">
        <v>76</v>
      </c>
      <c r="B77" t="s">
        <v>335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165</v>
      </c>
      <c r="K77">
        <v>1</v>
      </c>
      <c r="L77">
        <v>2</v>
      </c>
      <c r="Q77" s="2" t="s">
        <v>21</v>
      </c>
      <c r="R77" s="164">
        <v>5100</v>
      </c>
      <c r="S77" s="2" t="s">
        <v>20</v>
      </c>
    </row>
    <row r="78" spans="1:20" x14ac:dyDescent="0.35">
      <c r="A78" s="2">
        <v>77</v>
      </c>
      <c r="B78" t="s">
        <v>340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5" t="s">
        <v>341</v>
      </c>
      <c r="N78" s="156">
        <v>4525240507</v>
      </c>
      <c r="Q78" s="2" t="s">
        <v>21</v>
      </c>
      <c r="R78" s="193">
        <v>8032.5</v>
      </c>
      <c r="S78" s="2" t="s">
        <v>21</v>
      </c>
      <c r="T78" t="s">
        <v>342</v>
      </c>
    </row>
    <row r="79" spans="1:20" x14ac:dyDescent="0.35">
      <c r="A79" s="2">
        <v>78</v>
      </c>
      <c r="B79" t="s">
        <v>350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21</v>
      </c>
      <c r="R79" s="131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>
        <v>10</v>
      </c>
      <c r="K80">
        <v>1</v>
      </c>
      <c r="L80">
        <v>2</v>
      </c>
      <c r="M80" s="122" t="s">
        <v>348</v>
      </c>
      <c r="N80" s="156">
        <v>4520646004</v>
      </c>
      <c r="Q80" s="2" t="s">
        <v>21</v>
      </c>
      <c r="R80" s="164">
        <v>5175</v>
      </c>
      <c r="S80" s="2" t="s">
        <v>38</v>
      </c>
      <c r="T80" t="s">
        <v>349</v>
      </c>
    </row>
    <row r="81" spans="1:20" x14ac:dyDescent="0.35">
      <c r="A81" s="2">
        <v>80</v>
      </c>
      <c r="B81" t="s">
        <v>345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>
        <v>10</v>
      </c>
      <c r="K81">
        <v>2</v>
      </c>
      <c r="L81">
        <v>4</v>
      </c>
      <c r="M81" s="122" t="s">
        <v>346</v>
      </c>
      <c r="N81" s="156">
        <v>4520143818</v>
      </c>
      <c r="Q81" s="2" t="s">
        <v>21</v>
      </c>
      <c r="R81" s="131">
        <v>10350</v>
      </c>
      <c r="S81" s="2" t="s">
        <v>21</v>
      </c>
      <c r="T81" t="s">
        <v>347</v>
      </c>
    </row>
    <row r="82" spans="1:20" x14ac:dyDescent="0.35">
      <c r="A82" s="2">
        <v>81</v>
      </c>
      <c r="B82" t="s">
        <v>351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31">
        <v>3825</v>
      </c>
      <c r="S82" s="2" t="s">
        <v>20</v>
      </c>
    </row>
    <row r="83" spans="1:20" x14ac:dyDescent="0.35">
      <c r="A83" s="2">
        <v>82</v>
      </c>
      <c r="B83" s="189" t="s">
        <v>352</v>
      </c>
      <c r="C83" s="24">
        <v>46143</v>
      </c>
      <c r="D83" s="24">
        <v>46145</v>
      </c>
      <c r="E83" s="24">
        <v>46075</v>
      </c>
      <c r="F83" t="s">
        <v>53</v>
      </c>
      <c r="G83" t="s">
        <v>35</v>
      </c>
      <c r="K83">
        <v>1</v>
      </c>
      <c r="L83">
        <v>2</v>
      </c>
      <c r="Q83" s="2" t="s">
        <v>21</v>
      </c>
      <c r="R83" s="164">
        <v>2300</v>
      </c>
      <c r="S83" s="2" t="s">
        <v>20</v>
      </c>
    </row>
    <row r="84" spans="1:20" x14ac:dyDescent="0.35">
      <c r="A84" s="2">
        <v>83</v>
      </c>
      <c r="B84" s="192" t="s">
        <v>353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31">
        <v>4600</v>
      </c>
      <c r="S84" s="2" t="s">
        <v>20</v>
      </c>
    </row>
    <row r="85" spans="1:20" x14ac:dyDescent="0.35">
      <c r="A85" s="2">
        <v>84</v>
      </c>
      <c r="B85" s="189" t="s">
        <v>365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>
        <v>10</v>
      </c>
      <c r="K85">
        <v>1</v>
      </c>
      <c r="L85">
        <v>2</v>
      </c>
      <c r="M85" s="165" t="s">
        <v>366</v>
      </c>
      <c r="N85" s="156">
        <v>4526251564</v>
      </c>
      <c r="O85" s="2" t="s">
        <v>367</v>
      </c>
      <c r="Q85" s="2" t="s">
        <v>20</v>
      </c>
      <c r="R85" s="164">
        <v>3870</v>
      </c>
    </row>
    <row r="86" spans="1:20" x14ac:dyDescent="0.35">
      <c r="A86" s="2">
        <v>85</v>
      </c>
      <c r="B86" t="s">
        <v>364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31">
        <v>1700</v>
      </c>
      <c r="S86" s="2" t="s">
        <v>20</v>
      </c>
    </row>
    <row r="87" spans="1:20" x14ac:dyDescent="0.35">
      <c r="A87" s="2">
        <v>86</v>
      </c>
      <c r="B87" t="s">
        <v>361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>
        <v>10</v>
      </c>
      <c r="K87">
        <v>1</v>
      </c>
      <c r="L87">
        <v>2</v>
      </c>
      <c r="M87" s="122" t="s">
        <v>362</v>
      </c>
      <c r="O87" s="2" t="s">
        <v>363</v>
      </c>
      <c r="Q87" s="2" t="s">
        <v>21</v>
      </c>
      <c r="R87" s="131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368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31">
        <v>2975</v>
      </c>
      <c r="S88" s="2" t="s">
        <v>20</v>
      </c>
    </row>
    <row r="89" spans="1:20" x14ac:dyDescent="0.35">
      <c r="A89" s="2">
        <v>88</v>
      </c>
      <c r="B89" t="s">
        <v>375</v>
      </c>
      <c r="C89" s="24">
        <v>46188</v>
      </c>
      <c r="D89" s="24">
        <v>46191</v>
      </c>
      <c r="E89" s="24">
        <v>46089</v>
      </c>
      <c r="F89" t="s">
        <v>31</v>
      </c>
      <c r="G89" t="s">
        <v>272</v>
      </c>
    </row>
    <row r="90" spans="1:20" x14ac:dyDescent="0.35">
      <c r="A90" s="2">
        <v>89</v>
      </c>
      <c r="B90" t="s">
        <v>371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165</v>
      </c>
      <c r="J90">
        <v>5</v>
      </c>
      <c r="K90">
        <v>2</v>
      </c>
      <c r="L90">
        <v>3</v>
      </c>
      <c r="M90" s="122" t="s">
        <v>372</v>
      </c>
      <c r="N90">
        <v>4540528447</v>
      </c>
      <c r="O90"/>
      <c r="P90" s="2" t="s">
        <v>374</v>
      </c>
      <c r="Q90" s="2" t="s">
        <v>21</v>
      </c>
      <c r="R90" s="131">
        <f>2185+1805</f>
        <v>3990</v>
      </c>
      <c r="S90" s="2" t="s">
        <v>20</v>
      </c>
      <c r="T90" t="s">
        <v>373</v>
      </c>
    </row>
    <row r="91" spans="1:20" x14ac:dyDescent="0.35">
      <c r="A91" s="2">
        <v>90</v>
      </c>
      <c r="B91" t="s">
        <v>369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370</v>
      </c>
      <c r="I91" t="s">
        <v>162</v>
      </c>
      <c r="J91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31">
        <v>2850</v>
      </c>
      <c r="S91" s="2" t="s">
        <v>20</v>
      </c>
    </row>
    <row r="92" spans="1:20" x14ac:dyDescent="0.35">
      <c r="A92" s="2">
        <v>91</v>
      </c>
      <c r="B92" t="s">
        <v>376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>
        <v>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204">
        <v>2185</v>
      </c>
      <c r="S92" s="2" t="s">
        <v>20</v>
      </c>
    </row>
    <row r="93" spans="1:20" x14ac:dyDescent="0.35">
      <c r="A93" s="2">
        <v>92</v>
      </c>
      <c r="B93" t="s">
        <v>377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378</v>
      </c>
      <c r="I93" t="s">
        <v>165</v>
      </c>
      <c r="J93">
        <v>10</v>
      </c>
      <c r="K93">
        <v>1</v>
      </c>
      <c r="L93">
        <v>2</v>
      </c>
      <c r="M93" s="122" t="s">
        <v>379</v>
      </c>
      <c r="N93"/>
      <c r="O93" t="s">
        <v>380</v>
      </c>
      <c r="P93" s="2" t="s">
        <v>20</v>
      </c>
      <c r="Q93" s="2" t="s">
        <v>20</v>
      </c>
      <c r="R93" s="204">
        <v>4837.5</v>
      </c>
      <c r="S93" s="2" t="s">
        <v>38</v>
      </c>
      <c r="T93" t="s">
        <v>381</v>
      </c>
    </row>
    <row r="94" spans="1:20" x14ac:dyDescent="0.35">
      <c r="A94" s="2">
        <v>93</v>
      </c>
      <c r="B94" t="s">
        <v>382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383</v>
      </c>
      <c r="I94" t="s">
        <v>165</v>
      </c>
      <c r="J9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204">
        <v>2850</v>
      </c>
      <c r="S94" s="2" t="s">
        <v>20</v>
      </c>
    </row>
    <row r="95" spans="1:20" x14ac:dyDescent="0.35">
      <c r="A95" s="2">
        <v>94</v>
      </c>
      <c r="B95" t="s">
        <v>384</v>
      </c>
      <c r="C95" s="205">
        <v>46234</v>
      </c>
      <c r="D95" s="205">
        <v>46237</v>
      </c>
      <c r="E95" s="205">
        <v>46098</v>
      </c>
      <c r="F95" t="s">
        <v>31</v>
      </c>
      <c r="G95" t="s">
        <v>35</v>
      </c>
      <c r="H95"/>
      <c r="I95"/>
      <c r="J95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31">
        <v>2925</v>
      </c>
      <c r="S95" t="s">
        <v>20</v>
      </c>
    </row>
    <row r="96" spans="1:20" x14ac:dyDescent="0.35">
      <c r="A96" s="2">
        <v>95</v>
      </c>
      <c r="B96" t="s">
        <v>385</v>
      </c>
      <c r="C96" s="205">
        <v>46156</v>
      </c>
      <c r="D96" s="205">
        <v>46159</v>
      </c>
      <c r="E96" s="205">
        <v>46098</v>
      </c>
      <c r="F96" t="s">
        <v>54</v>
      </c>
      <c r="G96" t="s">
        <v>35</v>
      </c>
      <c r="H96"/>
      <c r="I96"/>
      <c r="J96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31">
        <v>3450</v>
      </c>
      <c r="S96" t="s">
        <v>20</v>
      </c>
    </row>
    <row r="97" spans="1:20" x14ac:dyDescent="0.35">
      <c r="A97" s="2">
        <v>96</v>
      </c>
      <c r="B97" t="s">
        <v>386</v>
      </c>
      <c r="C97" s="205">
        <v>46159</v>
      </c>
      <c r="D97" s="205">
        <v>46163</v>
      </c>
      <c r="E97" s="205">
        <v>46099</v>
      </c>
      <c r="F97" t="s">
        <v>31</v>
      </c>
      <c r="G97" t="s">
        <v>35</v>
      </c>
      <c r="H97" t="s">
        <v>387</v>
      </c>
      <c r="I97" t="s">
        <v>162</v>
      </c>
      <c r="J97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t="s">
        <v>20</v>
      </c>
    </row>
    <row r="98" spans="1:20" x14ac:dyDescent="0.35">
      <c r="A98" s="2">
        <v>97</v>
      </c>
      <c r="B98" t="s">
        <v>388</v>
      </c>
      <c r="C98" s="119">
        <v>46156</v>
      </c>
      <c r="D98" s="119">
        <v>46159</v>
      </c>
      <c r="E98" s="119">
        <v>46102</v>
      </c>
      <c r="F98" t="s">
        <v>53</v>
      </c>
      <c r="G98" t="s">
        <v>35</v>
      </c>
      <c r="H98"/>
      <c r="I98"/>
      <c r="J98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31">
        <v>2850</v>
      </c>
      <c r="S98" t="s">
        <v>20</v>
      </c>
    </row>
    <row r="99" spans="1:20" x14ac:dyDescent="0.35">
      <c r="A99" s="2">
        <v>98</v>
      </c>
      <c r="B99" t="s">
        <v>389</v>
      </c>
      <c r="C99" s="205">
        <v>46207</v>
      </c>
      <c r="D99" s="205">
        <v>46210</v>
      </c>
      <c r="E99" s="205">
        <v>46103</v>
      </c>
      <c r="F99" t="s">
        <v>53</v>
      </c>
      <c r="G99" t="s">
        <v>35</v>
      </c>
      <c r="H99"/>
      <c r="I99"/>
      <c r="J99">
        <v>0</v>
      </c>
      <c r="K99">
        <v>1</v>
      </c>
      <c r="L99">
        <v>2</v>
      </c>
      <c r="N99"/>
      <c r="O99"/>
      <c r="P99" s="2" t="s">
        <v>20</v>
      </c>
      <c r="Q99" s="2" t="s">
        <v>20</v>
      </c>
      <c r="R99" s="131">
        <v>3225</v>
      </c>
      <c r="S99" t="s">
        <v>20</v>
      </c>
    </row>
    <row r="100" spans="1:20" x14ac:dyDescent="0.35">
      <c r="A100" s="2">
        <v>99</v>
      </c>
      <c r="B100" t="s">
        <v>390</v>
      </c>
      <c r="C100" s="205">
        <v>46171</v>
      </c>
      <c r="D100" s="205">
        <v>46173</v>
      </c>
      <c r="E100" s="205">
        <v>46104</v>
      </c>
      <c r="F100" t="s">
        <v>53</v>
      </c>
      <c r="G100" t="s">
        <v>6</v>
      </c>
      <c r="H100"/>
      <c r="I100"/>
      <c r="J100">
        <v>10</v>
      </c>
      <c r="K100">
        <v>1</v>
      </c>
      <c r="L100">
        <v>2</v>
      </c>
      <c r="M100" s="122" t="s">
        <v>391</v>
      </c>
      <c r="N100" t="s">
        <v>392</v>
      </c>
      <c r="O100" t="s">
        <v>393</v>
      </c>
      <c r="P100" s="2" t="s">
        <v>20</v>
      </c>
      <c r="Q100" s="2" t="s">
        <v>21</v>
      </c>
      <c r="R100" s="131">
        <v>2070</v>
      </c>
      <c r="S100" t="s">
        <v>21</v>
      </c>
      <c r="T100" t="s">
        <v>394</v>
      </c>
    </row>
    <row r="101" spans="1:20" x14ac:dyDescent="0.35">
      <c r="A101" s="2">
        <v>100</v>
      </c>
      <c r="B101" t="s">
        <v>395</v>
      </c>
      <c r="C101" s="205">
        <v>46279</v>
      </c>
      <c r="D101" s="205">
        <v>46281</v>
      </c>
      <c r="E101" s="205">
        <v>46104</v>
      </c>
      <c r="F101" t="s">
        <v>53</v>
      </c>
      <c r="G101" t="s">
        <v>35</v>
      </c>
      <c r="H101"/>
      <c r="I101"/>
      <c r="J101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31">
        <v>1900</v>
      </c>
      <c r="S101" t="s">
        <v>20</v>
      </c>
    </row>
    <row r="102" spans="1:20" x14ac:dyDescent="0.35">
      <c r="A102" s="2">
        <v>101</v>
      </c>
      <c r="B102" t="s">
        <v>396</v>
      </c>
      <c r="C102" s="205">
        <v>46279</v>
      </c>
      <c r="D102" s="205">
        <v>46281</v>
      </c>
      <c r="E102" s="205">
        <v>46104</v>
      </c>
      <c r="F102" t="s">
        <v>53</v>
      </c>
      <c r="G102" t="s">
        <v>35</v>
      </c>
      <c r="H102"/>
      <c r="I102" t="s">
        <v>397</v>
      </c>
      <c r="J102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31">
        <v>1700</v>
      </c>
      <c r="S102" t="s">
        <v>20</v>
      </c>
    </row>
    <row r="103" spans="1:20" x14ac:dyDescent="0.35">
      <c r="A103" s="2">
        <v>102</v>
      </c>
      <c r="B103" t="s">
        <v>398</v>
      </c>
      <c r="C103" s="205">
        <v>46172</v>
      </c>
      <c r="D103" s="205">
        <v>46174</v>
      </c>
      <c r="E103" s="205">
        <v>46106</v>
      </c>
      <c r="F103" t="s">
        <v>53</v>
      </c>
      <c r="G103" t="s">
        <v>35</v>
      </c>
      <c r="H103"/>
      <c r="I103"/>
      <c r="J103">
        <v>0</v>
      </c>
      <c r="K103">
        <v>1</v>
      </c>
      <c r="L103">
        <v>2</v>
      </c>
      <c r="N103"/>
      <c r="O103"/>
      <c r="P103" s="2" t="s">
        <v>20</v>
      </c>
      <c r="Q103" s="2" t="s">
        <v>20</v>
      </c>
      <c r="R103" s="131">
        <v>1900</v>
      </c>
      <c r="S103" t="s">
        <v>20</v>
      </c>
    </row>
    <row r="104" spans="1:20" x14ac:dyDescent="0.35">
      <c r="A104" s="2">
        <v>103</v>
      </c>
      <c r="B104" t="s">
        <v>399</v>
      </c>
      <c r="C104" s="205">
        <v>46278</v>
      </c>
      <c r="D104" s="205">
        <v>46284</v>
      </c>
      <c r="E104" s="205">
        <v>46107</v>
      </c>
      <c r="F104" t="s">
        <v>53</v>
      </c>
      <c r="G104" t="s">
        <v>6</v>
      </c>
      <c r="H104"/>
      <c r="I104" t="s">
        <v>397</v>
      </c>
      <c r="J104">
        <v>10</v>
      </c>
      <c r="K104">
        <v>1</v>
      </c>
      <c r="L104">
        <v>2</v>
      </c>
      <c r="M104" s="122" t="s">
        <v>400</v>
      </c>
      <c r="N104"/>
      <c r="O104"/>
      <c r="P104" s="2" t="s">
        <v>20</v>
      </c>
      <c r="Q104" s="2" t="s">
        <v>21</v>
      </c>
      <c r="R104" s="131">
        <v>6210</v>
      </c>
      <c r="S104" t="s">
        <v>20</v>
      </c>
    </row>
    <row r="105" spans="1:20" x14ac:dyDescent="0.35">
      <c r="A105" s="2">
        <v>104</v>
      </c>
      <c r="B105" t="s">
        <v>401</v>
      </c>
      <c r="C105" s="205">
        <v>46204</v>
      </c>
      <c r="D105" s="205">
        <v>46207</v>
      </c>
      <c r="E105" s="205">
        <v>46107</v>
      </c>
      <c r="F105" t="s">
        <v>53</v>
      </c>
      <c r="G105" t="s">
        <v>35</v>
      </c>
      <c r="H105"/>
      <c r="I105"/>
      <c r="J105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31">
        <v>3225</v>
      </c>
      <c r="S105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W211" sqref="W211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294</v>
      </c>
      <c r="BU1" s="2" t="str">
        <f>BT1</f>
        <v>CZ</v>
      </c>
      <c r="BV1" s="180" t="s">
        <v>297</v>
      </c>
      <c r="BW1" s="180" t="s">
        <v>297</v>
      </c>
      <c r="BX1" s="140" t="s">
        <v>298</v>
      </c>
      <c r="BY1" s="140" t="s">
        <v>298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1</v>
      </c>
      <c r="D83">
        <f>Database!D83-Database!C83</f>
        <v>2</v>
      </c>
      <c r="F83">
        <f>Database!L83</f>
        <v>2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2</v>
      </c>
      <c r="T83">
        <f t="shared" si="89"/>
        <v>2</v>
      </c>
      <c r="U83">
        <f t="shared" si="89"/>
        <v>2</v>
      </c>
      <c r="V83">
        <f t="shared" si="89"/>
        <v>2</v>
      </c>
      <c r="W83">
        <f t="shared" si="89"/>
        <v>2</v>
      </c>
      <c r="X83">
        <f t="shared" ref="X83:AG92" si="90">IF($B83&lt;X$1,$C83*$D83,0)</f>
        <v>2</v>
      </c>
      <c r="Y83">
        <f t="shared" si="90"/>
        <v>2</v>
      </c>
      <c r="Z83">
        <f t="shared" si="90"/>
        <v>2</v>
      </c>
      <c r="AA83">
        <f t="shared" si="90"/>
        <v>2</v>
      </c>
      <c r="AB83">
        <f t="shared" si="90"/>
        <v>2</v>
      </c>
      <c r="AC83">
        <f t="shared" si="90"/>
        <v>2</v>
      </c>
      <c r="AD83">
        <f t="shared" si="90"/>
        <v>2</v>
      </c>
      <c r="AE83">
        <f t="shared" si="90"/>
        <v>2</v>
      </c>
      <c r="AF83">
        <f t="shared" si="90"/>
        <v>2</v>
      </c>
      <c r="AG83">
        <f t="shared" si="90"/>
        <v>2</v>
      </c>
      <c r="AH83">
        <f t="shared" ref="AH83:AQ92" si="91">IF($B83&lt;AH$1,$C83*$D83,0)</f>
        <v>2</v>
      </c>
      <c r="AI83">
        <f t="shared" si="91"/>
        <v>2</v>
      </c>
      <c r="AJ83">
        <f t="shared" si="91"/>
        <v>2</v>
      </c>
      <c r="AK83">
        <f t="shared" si="91"/>
        <v>2</v>
      </c>
      <c r="AL83">
        <f t="shared" si="91"/>
        <v>2</v>
      </c>
      <c r="AM83">
        <f t="shared" si="91"/>
        <v>2</v>
      </c>
      <c r="AN83">
        <f t="shared" si="91"/>
        <v>2</v>
      </c>
      <c r="AO83">
        <f t="shared" si="91"/>
        <v>2</v>
      </c>
      <c r="AP83">
        <f t="shared" si="91"/>
        <v>2</v>
      </c>
      <c r="AQ83">
        <f t="shared" si="91"/>
        <v>2</v>
      </c>
      <c r="AR83">
        <f t="shared" ref="AR83:AX92" si="92">IF($B83&lt;AR$1,$C83*$D83,0)</f>
        <v>2</v>
      </c>
      <c r="AS83">
        <f t="shared" si="92"/>
        <v>2</v>
      </c>
      <c r="AT83">
        <f t="shared" si="92"/>
        <v>2</v>
      </c>
      <c r="AU83">
        <f t="shared" si="92"/>
        <v>2</v>
      </c>
      <c r="AV83">
        <f t="shared" si="92"/>
        <v>2</v>
      </c>
      <c r="AW83">
        <f t="shared" si="92"/>
        <v>2</v>
      </c>
      <c r="AX83">
        <f t="shared" si="92"/>
        <v>2</v>
      </c>
      <c r="BB83" s="34">
        <f t="shared" si="63"/>
        <v>2</v>
      </c>
      <c r="BC83" s="34">
        <f t="shared" si="64"/>
        <v>4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1</v>
      </c>
      <c r="D99">
        <f>Database!D99-Database!C99</f>
        <v>3</v>
      </c>
      <c r="F99">
        <f>Database!L99</f>
        <v>2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3</v>
      </c>
      <c r="X99">
        <f t="shared" si="95"/>
        <v>3</v>
      </c>
      <c r="Y99">
        <f t="shared" si="95"/>
        <v>3</v>
      </c>
      <c r="Z99">
        <f t="shared" si="95"/>
        <v>3</v>
      </c>
      <c r="AA99">
        <f t="shared" si="95"/>
        <v>3</v>
      </c>
      <c r="AB99">
        <f t="shared" si="95"/>
        <v>3</v>
      </c>
      <c r="AC99">
        <f t="shared" si="95"/>
        <v>3</v>
      </c>
      <c r="AD99">
        <f t="shared" si="95"/>
        <v>3</v>
      </c>
      <c r="AE99">
        <f t="shared" si="95"/>
        <v>3</v>
      </c>
      <c r="AF99">
        <f t="shared" si="95"/>
        <v>3</v>
      </c>
      <c r="AG99">
        <f t="shared" si="95"/>
        <v>3</v>
      </c>
      <c r="AH99">
        <f t="shared" si="96"/>
        <v>3</v>
      </c>
      <c r="AI99">
        <f t="shared" si="96"/>
        <v>3</v>
      </c>
      <c r="AJ99">
        <f t="shared" si="96"/>
        <v>3</v>
      </c>
      <c r="AK99">
        <f t="shared" si="96"/>
        <v>3</v>
      </c>
      <c r="AL99">
        <f t="shared" si="96"/>
        <v>3</v>
      </c>
      <c r="AM99">
        <f t="shared" si="96"/>
        <v>3</v>
      </c>
      <c r="AN99">
        <f t="shared" si="96"/>
        <v>3</v>
      </c>
      <c r="AO99">
        <f t="shared" si="96"/>
        <v>3</v>
      </c>
      <c r="AP99">
        <f t="shared" si="96"/>
        <v>3</v>
      </c>
      <c r="AQ99">
        <f t="shared" si="96"/>
        <v>3</v>
      </c>
      <c r="AR99">
        <f t="shared" si="97"/>
        <v>3</v>
      </c>
      <c r="AS99">
        <f t="shared" si="97"/>
        <v>3</v>
      </c>
      <c r="AT99">
        <f t="shared" si="97"/>
        <v>3</v>
      </c>
      <c r="AU99">
        <f t="shared" si="97"/>
        <v>3</v>
      </c>
      <c r="AV99">
        <f t="shared" si="97"/>
        <v>3</v>
      </c>
      <c r="AW99">
        <f t="shared" si="97"/>
        <v>3</v>
      </c>
      <c r="AX99">
        <f t="shared" si="97"/>
        <v>3</v>
      </c>
      <c r="BB99" s="34">
        <f t="shared" si="63"/>
        <v>2</v>
      </c>
      <c r="BC99" s="34">
        <f t="shared" si="64"/>
        <v>6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1</v>
      </c>
      <c r="D103">
        <f>Database!D103-Database!C103</f>
        <v>2</v>
      </c>
      <c r="F103">
        <f>Database!L103</f>
        <v>2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2</v>
      </c>
      <c r="Y103">
        <f t="shared" si="101"/>
        <v>2</v>
      </c>
      <c r="Z103">
        <f t="shared" si="101"/>
        <v>2</v>
      </c>
      <c r="AA103">
        <f t="shared" si="101"/>
        <v>2</v>
      </c>
      <c r="AB103">
        <f t="shared" si="101"/>
        <v>2</v>
      </c>
      <c r="AC103">
        <f t="shared" si="101"/>
        <v>2</v>
      </c>
      <c r="AD103">
        <f t="shared" si="101"/>
        <v>2</v>
      </c>
      <c r="AE103">
        <f t="shared" si="101"/>
        <v>2</v>
      </c>
      <c r="AF103">
        <f t="shared" si="101"/>
        <v>2</v>
      </c>
      <c r="AG103">
        <f t="shared" si="101"/>
        <v>2</v>
      </c>
      <c r="AH103">
        <f t="shared" ref="AH103:AQ118" si="102">IF($B103&lt;AH$1,$C103*$D103,0)</f>
        <v>2</v>
      </c>
      <c r="AI103">
        <f t="shared" si="102"/>
        <v>2</v>
      </c>
      <c r="AJ103">
        <f t="shared" si="102"/>
        <v>2</v>
      </c>
      <c r="AK103">
        <f t="shared" si="102"/>
        <v>2</v>
      </c>
      <c r="AL103">
        <f t="shared" si="102"/>
        <v>2</v>
      </c>
      <c r="AM103">
        <f t="shared" si="102"/>
        <v>2</v>
      </c>
      <c r="AN103">
        <f t="shared" si="102"/>
        <v>2</v>
      </c>
      <c r="AO103">
        <f t="shared" si="102"/>
        <v>2</v>
      </c>
      <c r="AP103">
        <f t="shared" si="102"/>
        <v>2</v>
      </c>
      <c r="AQ103">
        <f t="shared" si="102"/>
        <v>2</v>
      </c>
      <c r="AR103">
        <f t="shared" ref="AR103:AX118" si="103">IF($B103&lt;AR$1,$C103*$D103,0)</f>
        <v>2</v>
      </c>
      <c r="AS103">
        <f t="shared" si="103"/>
        <v>2</v>
      </c>
      <c r="AT103">
        <f t="shared" si="103"/>
        <v>2</v>
      </c>
      <c r="AU103">
        <f t="shared" si="103"/>
        <v>2</v>
      </c>
      <c r="AV103">
        <f t="shared" si="103"/>
        <v>2</v>
      </c>
      <c r="AW103">
        <f t="shared" si="103"/>
        <v>2</v>
      </c>
      <c r="AX103">
        <f t="shared" si="103"/>
        <v>2</v>
      </c>
      <c r="BB103" s="34">
        <f t="shared" si="63"/>
        <v>2</v>
      </c>
      <c r="BC103" s="34">
        <f t="shared" si="64"/>
        <v>4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6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6</v>
      </c>
      <c r="Y104">
        <f t="shared" si="101"/>
        <v>6</v>
      </c>
      <c r="Z104">
        <f t="shared" si="101"/>
        <v>6</v>
      </c>
      <c r="AA104">
        <f t="shared" si="101"/>
        <v>6</v>
      </c>
      <c r="AB104">
        <f t="shared" si="101"/>
        <v>6</v>
      </c>
      <c r="AC104">
        <f t="shared" si="101"/>
        <v>6</v>
      </c>
      <c r="AD104">
        <f t="shared" si="101"/>
        <v>6</v>
      </c>
      <c r="AE104">
        <f t="shared" si="101"/>
        <v>6</v>
      </c>
      <c r="AF104">
        <f t="shared" si="101"/>
        <v>6</v>
      </c>
      <c r="AG104">
        <f t="shared" si="101"/>
        <v>6</v>
      </c>
      <c r="AH104">
        <f t="shared" si="102"/>
        <v>6</v>
      </c>
      <c r="AI104">
        <f t="shared" si="102"/>
        <v>6</v>
      </c>
      <c r="AJ104">
        <f t="shared" si="102"/>
        <v>6</v>
      </c>
      <c r="AK104">
        <f t="shared" si="102"/>
        <v>6</v>
      </c>
      <c r="AL104">
        <f t="shared" si="102"/>
        <v>6</v>
      </c>
      <c r="AM104">
        <f t="shared" si="102"/>
        <v>6</v>
      </c>
      <c r="AN104">
        <f t="shared" si="102"/>
        <v>6</v>
      </c>
      <c r="AO104">
        <f t="shared" si="102"/>
        <v>6</v>
      </c>
      <c r="AP104">
        <f t="shared" si="102"/>
        <v>6</v>
      </c>
      <c r="AQ104">
        <f t="shared" si="102"/>
        <v>6</v>
      </c>
      <c r="AR104">
        <f t="shared" si="103"/>
        <v>6</v>
      </c>
      <c r="AS104">
        <f t="shared" si="103"/>
        <v>6</v>
      </c>
      <c r="AT104">
        <f t="shared" si="103"/>
        <v>6</v>
      </c>
      <c r="AU104">
        <f t="shared" si="103"/>
        <v>6</v>
      </c>
      <c r="AV104">
        <f t="shared" si="103"/>
        <v>6</v>
      </c>
      <c r="AW104">
        <f t="shared" si="103"/>
        <v>6</v>
      </c>
      <c r="AX104">
        <f t="shared" si="103"/>
        <v>6</v>
      </c>
      <c r="BB104" s="34">
        <f t="shared" si="63"/>
        <v>2</v>
      </c>
      <c r="BC104" s="34">
        <f t="shared" si="64"/>
        <v>12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151</v>
      </c>
      <c r="BC196" s="34">
        <f t="shared" si="167"/>
        <v>635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156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262</v>
      </c>
      <c r="O198">
        <f t="shared" si="168"/>
        <v>318</v>
      </c>
      <c r="P198">
        <f t="shared" si="168"/>
        <v>334</v>
      </c>
      <c r="Q198">
        <f t="shared" si="168"/>
        <v>360</v>
      </c>
      <c r="R198">
        <f t="shared" si="168"/>
        <v>372</v>
      </c>
      <c r="S198">
        <f t="shared" si="168"/>
        <v>403</v>
      </c>
      <c r="T198">
        <f t="shared" si="168"/>
        <v>420</v>
      </c>
      <c r="U198">
        <f t="shared" si="168"/>
        <v>423</v>
      </c>
      <c r="V198">
        <f t="shared" si="168"/>
        <v>440</v>
      </c>
      <c r="W198">
        <f t="shared" si="168"/>
        <v>456</v>
      </c>
      <c r="X198">
        <f t="shared" si="168"/>
        <v>473</v>
      </c>
      <c r="Y198">
        <f t="shared" si="168"/>
        <v>473</v>
      </c>
      <c r="Z198">
        <f t="shared" si="168"/>
        <v>473</v>
      </c>
      <c r="AA198">
        <f t="shared" si="168"/>
        <v>473</v>
      </c>
      <c r="AB198">
        <f t="shared" si="168"/>
        <v>473</v>
      </c>
      <c r="AC198">
        <f t="shared" si="168"/>
        <v>473</v>
      </c>
      <c r="AD198">
        <f t="shared" si="168"/>
        <v>473</v>
      </c>
      <c r="AE198">
        <f t="shared" si="168"/>
        <v>473</v>
      </c>
      <c r="AF198">
        <f t="shared" si="168"/>
        <v>473</v>
      </c>
      <c r="AG198">
        <f t="shared" si="168"/>
        <v>473</v>
      </c>
      <c r="AH198">
        <f t="shared" si="168"/>
        <v>473</v>
      </c>
      <c r="AI198">
        <f t="shared" si="168"/>
        <v>473</v>
      </c>
      <c r="AJ198">
        <f t="shared" si="168"/>
        <v>473</v>
      </c>
      <c r="AK198">
        <f t="shared" si="168"/>
        <v>473</v>
      </c>
      <c r="AL198">
        <f t="shared" si="168"/>
        <v>473</v>
      </c>
      <c r="AM198">
        <f t="shared" si="168"/>
        <v>473</v>
      </c>
      <c r="AN198">
        <f t="shared" si="168"/>
        <v>473</v>
      </c>
      <c r="AO198">
        <f t="shared" si="168"/>
        <v>473</v>
      </c>
      <c r="AP198">
        <f t="shared" si="168"/>
        <v>473</v>
      </c>
      <c r="AQ198">
        <f t="shared" si="168"/>
        <v>473</v>
      </c>
      <c r="AR198">
        <f t="shared" si="168"/>
        <v>473</v>
      </c>
      <c r="AS198">
        <f t="shared" si="168"/>
        <v>473</v>
      </c>
      <c r="AT198">
        <f t="shared" si="168"/>
        <v>473</v>
      </c>
      <c r="AU198">
        <f t="shared" si="168"/>
        <v>473</v>
      </c>
      <c r="AV198">
        <f t="shared" si="168"/>
        <v>473</v>
      </c>
      <c r="AW198">
        <f t="shared" si="168"/>
        <v>473</v>
      </c>
      <c r="AX198">
        <f t="shared" si="168"/>
        <v>473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Y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262</v>
      </c>
      <c r="O200">
        <f t="shared" si="169"/>
        <v>318</v>
      </c>
      <c r="P200">
        <f t="shared" si="169"/>
        <v>334</v>
      </c>
      <c r="Q200">
        <f t="shared" si="169"/>
        <v>360</v>
      </c>
      <c r="R200">
        <f t="shared" si="169"/>
        <v>372</v>
      </c>
      <c r="S200">
        <f t="shared" si="169"/>
        <v>403</v>
      </c>
      <c r="T200">
        <f t="shared" si="169"/>
        <v>420</v>
      </c>
      <c r="U200">
        <f t="shared" si="169"/>
        <v>423</v>
      </c>
      <c r="V200">
        <f t="shared" si="169"/>
        <v>440</v>
      </c>
      <c r="W200">
        <f t="shared" si="169"/>
        <v>456</v>
      </c>
      <c r="X200">
        <f t="shared" si="169"/>
        <v>473</v>
      </c>
      <c r="Y200">
        <f t="shared" si="169"/>
        <v>473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151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635</v>
      </c>
      <c r="BE203" s="40">
        <f>BE196</f>
        <v>67</v>
      </c>
      <c r="BF203" s="40">
        <f>BG196</f>
        <v>0</v>
      </c>
      <c r="BG203" s="40">
        <f>BI196</f>
        <v>156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workbookViewId="0">
      <selection activeCell="P26" sqref="P26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1" t="s">
        <v>294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151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72">
        <f>'book stat'!BJ202</f>
        <v>0</v>
      </c>
      <c r="I30" s="173">
        <f>'book stat'!BK202</f>
        <v>0</v>
      </c>
      <c r="J30" s="173">
        <f>'book stat'!BL202</f>
        <v>3</v>
      </c>
      <c r="K30" s="174">
        <f>'book stat'!BM202</f>
        <v>2</v>
      </c>
      <c r="L30" s="175">
        <f>'book stat'!BN202</f>
        <v>0</v>
      </c>
      <c r="M30" s="176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635</v>
      </c>
      <c r="C31" s="34">
        <f>'book stat'!BE203</f>
        <v>67</v>
      </c>
      <c r="D31" s="34">
        <f>'book stat'!BF203</f>
        <v>0</v>
      </c>
      <c r="E31" s="34">
        <f>'book stat'!BG203</f>
        <v>156</v>
      </c>
      <c r="F31" s="34">
        <f>'book stat'!BH203</f>
        <v>0</v>
      </c>
      <c r="G31" s="35">
        <f>'book stat'!BI203</f>
        <v>29</v>
      </c>
      <c r="H31" s="177">
        <f>'book stat'!BJ203</f>
        <v>0</v>
      </c>
      <c r="I31" s="178">
        <f>'book stat'!BK203</f>
        <v>0</v>
      </c>
      <c r="J31" s="178">
        <f>'book stat'!BL203</f>
        <v>19</v>
      </c>
      <c r="K31" s="179">
        <f>'book stat'!BM203</f>
        <v>10</v>
      </c>
      <c r="L31" s="175">
        <f>'book stat'!BN203</f>
        <v>0</v>
      </c>
      <c r="M31" s="176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141" activePane="bottomLeft" state="frozen"/>
      <selection pane="bottomLeft" activeCell="AA1" sqref="AA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0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06">
        <v>1</v>
      </c>
      <c r="E1" s="207"/>
      <c r="F1" s="66" t="s">
        <v>117</v>
      </c>
      <c r="G1" s="67" t="s">
        <v>8</v>
      </c>
      <c r="H1" s="208">
        <v>2</v>
      </c>
      <c r="I1" s="207"/>
      <c r="J1" s="66" t="s">
        <v>117</v>
      </c>
      <c r="K1" s="68" t="s">
        <v>8</v>
      </c>
      <c r="L1" s="208">
        <v>3</v>
      </c>
      <c r="M1" s="207"/>
      <c r="N1" s="66" t="s">
        <v>117</v>
      </c>
      <c r="O1" s="69" t="s">
        <v>8</v>
      </c>
      <c r="P1" s="206">
        <v>4</v>
      </c>
      <c r="Q1" s="207"/>
      <c r="R1" s="66" t="s">
        <v>117</v>
      </c>
      <c r="S1" s="68" t="s">
        <v>8</v>
      </c>
      <c r="T1" s="209">
        <v>5</v>
      </c>
      <c r="U1" s="210"/>
      <c r="V1" s="66" t="s">
        <v>117</v>
      </c>
      <c r="W1" s="68" t="s">
        <v>8</v>
      </c>
      <c r="X1" s="206">
        <v>6</v>
      </c>
      <c r="Y1" s="207"/>
      <c r="Z1" s="70" t="s">
        <v>118</v>
      </c>
      <c r="AA1" s="138">
        <f>SUM(AA2:AA171)</f>
        <v>472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24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4">
        <f>F2+J2+N2+R2+V2</f>
        <v>0</v>
      </c>
      <c r="AA2" s="139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0"/>
      <c r="Q3" s="120"/>
      <c r="R3" s="60"/>
      <c r="S3" s="60"/>
      <c r="T3" s="120"/>
      <c r="U3" s="120"/>
      <c r="V3" s="123"/>
      <c r="W3" s="123"/>
      <c r="X3" s="22"/>
      <c r="Y3" s="22"/>
      <c r="Z3" s="144">
        <f t="shared" ref="Z3:Z66" si="2">F3+J3+N3+R3+V3</f>
        <v>0</v>
      </c>
      <c r="AA3" s="139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0"/>
      <c r="Q4" s="120"/>
      <c r="R4" s="60"/>
      <c r="S4" s="60"/>
      <c r="T4" s="120"/>
      <c r="U4" s="120"/>
      <c r="V4" s="123"/>
      <c r="W4" s="123"/>
      <c r="X4" s="22"/>
      <c r="Y4" s="22"/>
      <c r="Z4" s="144">
        <f t="shared" si="2"/>
        <v>0</v>
      </c>
      <c r="AA4" s="139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0"/>
      <c r="Q5" s="120"/>
      <c r="R5" s="60"/>
      <c r="S5" s="60"/>
      <c r="T5" s="8"/>
      <c r="U5" s="8"/>
      <c r="V5" s="123"/>
      <c r="W5" s="123"/>
      <c r="X5" s="22"/>
      <c r="Y5" s="22"/>
      <c r="Z5" s="144">
        <f t="shared" si="2"/>
        <v>0</v>
      </c>
      <c r="AA5" s="139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167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82</v>
      </c>
      <c r="J6" s="20"/>
      <c r="K6" s="19"/>
      <c r="L6" s="14"/>
      <c r="M6" s="8">
        <v>68</v>
      </c>
      <c r="N6" s="20"/>
      <c r="O6" s="20" t="s">
        <v>32</v>
      </c>
      <c r="P6" s="121"/>
      <c r="Q6" s="120">
        <v>28</v>
      </c>
      <c r="R6" s="60"/>
      <c r="S6" s="60"/>
      <c r="T6" s="8"/>
      <c r="U6" s="8">
        <v>28</v>
      </c>
      <c r="V6" s="123"/>
      <c r="W6" s="123" t="s">
        <v>32</v>
      </c>
      <c r="X6" s="22"/>
      <c r="Y6" s="22"/>
      <c r="Z6" s="144">
        <f t="shared" si="2"/>
        <v>0</v>
      </c>
      <c r="AA6" s="139">
        <f t="shared" si="3"/>
        <v>5</v>
      </c>
      <c r="AB6" s="8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82</v>
      </c>
      <c r="I7" s="8">
        <v>82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3">
        <v>1</v>
      </c>
      <c r="W7" s="123"/>
      <c r="X7" s="22"/>
      <c r="Y7" s="22"/>
      <c r="Z7" s="144">
        <f t="shared" si="2"/>
        <v>5</v>
      </c>
      <c r="AA7" s="139">
        <f t="shared" si="3"/>
        <v>5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82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8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4">
        <f t="shared" si="2"/>
        <v>5</v>
      </c>
      <c r="AA8" s="139">
        <f t="shared" si="3"/>
        <v>1</v>
      </c>
      <c r="AB8" s="8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8">
        <v>72</v>
      </c>
      <c r="Q9" s="148">
        <v>72</v>
      </c>
      <c r="R9" s="20">
        <v>2</v>
      </c>
      <c r="S9" s="20" t="s">
        <v>343</v>
      </c>
      <c r="T9" s="8"/>
      <c r="U9" s="8"/>
      <c r="V9" s="20"/>
      <c r="W9" s="20"/>
      <c r="X9" s="22"/>
      <c r="Y9" s="22"/>
      <c r="Z9" s="144">
        <f t="shared" si="2"/>
        <v>2</v>
      </c>
      <c r="AA9" s="139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8">
        <v>72</v>
      </c>
      <c r="Q10" s="148">
        <v>72</v>
      </c>
      <c r="R10" s="20">
        <v>2</v>
      </c>
      <c r="S10" s="20" t="s">
        <v>344</v>
      </c>
      <c r="T10" s="8"/>
      <c r="U10" s="8"/>
      <c r="V10" s="20"/>
      <c r="W10" s="20"/>
      <c r="X10" s="22"/>
      <c r="Y10" s="22"/>
      <c r="Z10" s="144">
        <f t="shared" si="2"/>
        <v>2</v>
      </c>
      <c r="AA10" s="139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8">
        <v>72</v>
      </c>
      <c r="Q11" s="148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44">
        <f t="shared" si="2"/>
        <v>2</v>
      </c>
      <c r="AA11" s="139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1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8">
        <v>80</v>
      </c>
      <c r="J12" s="20"/>
      <c r="K12" s="19" t="s">
        <v>162</v>
      </c>
      <c r="L12" s="14"/>
      <c r="M12" s="148">
        <v>80</v>
      </c>
      <c r="N12" s="20"/>
      <c r="O12" s="20" t="s">
        <v>162</v>
      </c>
      <c r="P12" s="148">
        <v>72</v>
      </c>
      <c r="Q12" s="148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44">
        <f t="shared" si="2"/>
        <v>2</v>
      </c>
      <c r="AA12" s="139">
        <f t="shared" si="3"/>
        <v>3</v>
      </c>
      <c r="AB12" s="8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20"/>
      <c r="E13" s="120"/>
      <c r="F13" s="20"/>
      <c r="G13" s="19"/>
      <c r="H13" s="148">
        <v>80</v>
      </c>
      <c r="I13" s="148">
        <v>80</v>
      </c>
      <c r="J13" s="20">
        <v>2</v>
      </c>
      <c r="K13" s="19"/>
      <c r="L13" s="150">
        <v>80</v>
      </c>
      <c r="M13" s="148">
        <v>80</v>
      </c>
      <c r="N13" s="20">
        <v>2</v>
      </c>
      <c r="O13" s="20"/>
      <c r="P13" s="148">
        <v>72</v>
      </c>
      <c r="Q13" s="148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44">
        <f t="shared" si="2"/>
        <v>6</v>
      </c>
      <c r="AA13" s="139">
        <f t="shared" si="3"/>
        <v>3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20"/>
      <c r="E14" s="202"/>
      <c r="F14" s="20"/>
      <c r="G14" s="19"/>
      <c r="H14" s="148">
        <v>80</v>
      </c>
      <c r="I14" s="148">
        <v>80</v>
      </c>
      <c r="J14" s="20">
        <v>2</v>
      </c>
      <c r="K14" s="19"/>
      <c r="L14" s="150">
        <v>80</v>
      </c>
      <c r="M14" s="148">
        <v>80</v>
      </c>
      <c r="N14" s="20">
        <v>2</v>
      </c>
      <c r="O14" s="20"/>
      <c r="P14" s="148">
        <v>72</v>
      </c>
      <c r="Q14" s="148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44">
        <f t="shared" si="2"/>
        <v>6</v>
      </c>
      <c r="AA14" s="139">
        <f>COUNT(D14,I14,M14,Q14,U14)</f>
        <v>3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20"/>
      <c r="E15" s="120"/>
      <c r="F15" s="20"/>
      <c r="G15" s="19"/>
      <c r="H15" s="148">
        <v>80</v>
      </c>
      <c r="I15" s="8"/>
      <c r="J15" s="20">
        <v>2</v>
      </c>
      <c r="K15" s="19"/>
      <c r="L15" s="150">
        <v>80</v>
      </c>
      <c r="M15" s="8"/>
      <c r="N15" s="20">
        <v>2</v>
      </c>
      <c r="O15" s="20"/>
      <c r="P15" s="148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44">
        <f t="shared" si="2"/>
        <v>4</v>
      </c>
      <c r="AA15" s="139">
        <f t="shared" si="3"/>
        <v>0</v>
      </c>
      <c r="AB15" s="8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7">
        <v>63</v>
      </c>
      <c r="V16" s="20"/>
      <c r="W16" s="20"/>
      <c r="X16" s="22"/>
      <c r="Y16" s="22"/>
      <c r="Z16" s="144">
        <f t="shared" si="2"/>
        <v>0</v>
      </c>
      <c r="AA16" s="139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3"/>
      <c r="S17" s="123"/>
      <c r="T17" s="147">
        <v>63</v>
      </c>
      <c r="U17" s="147">
        <v>63</v>
      </c>
      <c r="V17" s="20"/>
      <c r="W17" s="20" t="s">
        <v>295</v>
      </c>
      <c r="X17" s="22"/>
      <c r="Y17" s="22"/>
      <c r="Z17" s="144">
        <f t="shared" si="2"/>
        <v>0</v>
      </c>
      <c r="AA17" s="139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23"/>
      <c r="S18" s="123"/>
      <c r="T18" s="147">
        <v>63</v>
      </c>
      <c r="U18" s="8"/>
      <c r="V18" s="20"/>
      <c r="W18" s="20"/>
      <c r="X18" s="22"/>
      <c r="Y18" s="22"/>
      <c r="Z18" s="144">
        <f t="shared" si="2"/>
        <v>0</v>
      </c>
      <c r="AA18" s="139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229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23"/>
      <c r="K19" s="19"/>
      <c r="L19" s="14"/>
      <c r="M19" s="8">
        <v>95</v>
      </c>
      <c r="N19" s="20"/>
      <c r="O19" s="20"/>
      <c r="P19" s="8"/>
      <c r="Q19" s="201">
        <v>97</v>
      </c>
      <c r="R19" s="123"/>
      <c r="S19" s="123"/>
      <c r="T19" s="8"/>
      <c r="U19" s="8">
        <v>90</v>
      </c>
      <c r="V19" s="20"/>
      <c r="W19" s="20" t="s">
        <v>162</v>
      </c>
      <c r="X19" s="22"/>
      <c r="Y19" s="22"/>
      <c r="Z19" s="144">
        <f t="shared" si="2"/>
        <v>0</v>
      </c>
      <c r="AA19" s="139">
        <f t="shared" si="3"/>
        <v>4</v>
      </c>
      <c r="AB19" s="8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23"/>
      <c r="K20" s="19" t="s">
        <v>165</v>
      </c>
      <c r="L20" s="14">
        <v>95</v>
      </c>
      <c r="M20" s="8">
        <v>95</v>
      </c>
      <c r="N20" s="20">
        <v>2</v>
      </c>
      <c r="O20" s="20" t="s">
        <v>295</v>
      </c>
      <c r="P20" s="201">
        <v>97</v>
      </c>
      <c r="Q20" s="201">
        <v>97</v>
      </c>
      <c r="R20" s="123"/>
      <c r="S20" s="123"/>
      <c r="T20" s="8">
        <v>90</v>
      </c>
      <c r="U20" s="8">
        <v>90</v>
      </c>
      <c r="V20" s="20"/>
      <c r="W20" s="20" t="s">
        <v>295</v>
      </c>
      <c r="X20" s="22"/>
      <c r="Y20" s="22"/>
      <c r="Z20" s="144">
        <f t="shared" si="2"/>
        <v>2</v>
      </c>
      <c r="AA20" s="139">
        <f t="shared" si="3"/>
        <v>5</v>
      </c>
      <c r="AB20" s="8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8">
        <v>8</v>
      </c>
      <c r="F21" s="20"/>
      <c r="G21" s="19"/>
      <c r="H21" s="8">
        <v>91</v>
      </c>
      <c r="I21" s="8">
        <v>91</v>
      </c>
      <c r="J21" s="123">
        <v>2</v>
      </c>
      <c r="K21" s="19" t="s">
        <v>295</v>
      </c>
      <c r="L21" s="14">
        <v>95</v>
      </c>
      <c r="M21" s="8">
        <v>95</v>
      </c>
      <c r="N21" s="20">
        <v>2</v>
      </c>
      <c r="O21" s="20"/>
      <c r="P21" s="201">
        <v>97</v>
      </c>
      <c r="Q21" s="201">
        <v>97</v>
      </c>
      <c r="R21" s="123"/>
      <c r="S21" s="123"/>
      <c r="T21" s="8">
        <v>90</v>
      </c>
      <c r="U21" s="8">
        <v>90</v>
      </c>
      <c r="V21" s="20"/>
      <c r="W21" s="20"/>
      <c r="X21" s="22"/>
      <c r="Y21" s="22"/>
      <c r="Z21" s="144">
        <f t="shared" si="2"/>
        <v>4</v>
      </c>
      <c r="AA21" s="139">
        <f t="shared" si="3"/>
        <v>5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8">
        <v>8</v>
      </c>
      <c r="E22" s="148">
        <v>8</v>
      </c>
      <c r="F22" s="20">
        <v>2</v>
      </c>
      <c r="G22" s="19" t="s">
        <v>163</v>
      </c>
      <c r="H22" s="8">
        <v>91</v>
      </c>
      <c r="I22" s="8"/>
      <c r="J22" s="123">
        <v>2</v>
      </c>
      <c r="K22" s="19"/>
      <c r="L22" s="14">
        <v>95</v>
      </c>
      <c r="M22" s="8"/>
      <c r="N22" s="20">
        <v>2</v>
      </c>
      <c r="O22" s="20"/>
      <c r="P22" s="201">
        <v>97</v>
      </c>
      <c r="Q22" s="8">
        <v>96</v>
      </c>
      <c r="R22" s="123"/>
      <c r="S22" s="123"/>
      <c r="T22" s="8">
        <v>90</v>
      </c>
      <c r="U22" s="148">
        <v>9</v>
      </c>
      <c r="V22" s="20"/>
      <c r="W22" s="20"/>
      <c r="X22" s="22"/>
      <c r="Y22" s="22"/>
      <c r="Z22" s="144">
        <f t="shared" si="2"/>
        <v>6</v>
      </c>
      <c r="AA22" s="139">
        <f t="shared" si="3"/>
        <v>3</v>
      </c>
      <c r="AB22" s="8">
        <f t="shared" si="0"/>
        <v>2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8">
        <v>8</v>
      </c>
      <c r="E23" s="148">
        <v>8</v>
      </c>
      <c r="F23" s="20">
        <v>2</v>
      </c>
      <c r="G23" s="19" t="s">
        <v>130</v>
      </c>
      <c r="H23" s="14"/>
      <c r="I23" s="8"/>
      <c r="J23" s="123"/>
      <c r="K23" s="19"/>
      <c r="L23" s="14"/>
      <c r="M23" s="8"/>
      <c r="N23" s="20"/>
      <c r="O23" s="20"/>
      <c r="P23" s="8">
        <v>96</v>
      </c>
      <c r="Q23" s="8">
        <v>96</v>
      </c>
      <c r="R23" s="123">
        <v>2</v>
      </c>
      <c r="S23" s="123" t="s">
        <v>163</v>
      </c>
      <c r="T23" s="148">
        <v>9</v>
      </c>
      <c r="U23" s="148">
        <v>9</v>
      </c>
      <c r="V23" s="20">
        <v>2</v>
      </c>
      <c r="W23" s="20" t="s">
        <v>137</v>
      </c>
      <c r="X23" s="22"/>
      <c r="Y23" s="22"/>
      <c r="Z23" s="144">
        <f t="shared" si="2"/>
        <v>6</v>
      </c>
      <c r="AA23" s="139">
        <f t="shared" si="3"/>
        <v>3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8">
        <v>8</v>
      </c>
      <c r="E24" s="148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>
        <v>96</v>
      </c>
      <c r="Q24" s="8">
        <v>96</v>
      </c>
      <c r="R24" s="123">
        <v>2</v>
      </c>
      <c r="S24" s="123"/>
      <c r="T24" s="148">
        <v>9</v>
      </c>
      <c r="U24" s="148">
        <v>9</v>
      </c>
      <c r="V24" s="20">
        <v>2</v>
      </c>
      <c r="W24" s="20"/>
      <c r="X24" s="22"/>
      <c r="Y24" s="22"/>
      <c r="Z24" s="144">
        <f t="shared" si="2"/>
        <v>6</v>
      </c>
      <c r="AA24" s="139">
        <f t="shared" si="3"/>
        <v>3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8">
        <v>8</v>
      </c>
      <c r="E25" s="148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>
        <v>96</v>
      </c>
      <c r="Q25" s="8">
        <v>96</v>
      </c>
      <c r="R25" s="123">
        <v>2</v>
      </c>
      <c r="S25" s="123"/>
      <c r="T25" s="148">
        <v>9</v>
      </c>
      <c r="U25" s="148">
        <v>9</v>
      </c>
      <c r="V25" s="20">
        <v>2</v>
      </c>
      <c r="W25" s="20"/>
      <c r="X25" s="22"/>
      <c r="Y25" s="22"/>
      <c r="Z25" s="144">
        <f t="shared" si="2"/>
        <v>6</v>
      </c>
      <c r="AA25" s="139">
        <f t="shared" si="3"/>
        <v>3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8">
        <v>8</v>
      </c>
      <c r="E26" s="8"/>
      <c r="F26" s="20">
        <v>2</v>
      </c>
      <c r="G26" s="19"/>
      <c r="H26" s="14"/>
      <c r="I26" s="147">
        <v>20</v>
      </c>
      <c r="J26" s="20"/>
      <c r="K26" s="19"/>
      <c r="L26" s="14"/>
      <c r="M26" s="147">
        <v>20</v>
      </c>
      <c r="N26" s="20"/>
      <c r="O26" s="20"/>
      <c r="P26" s="8">
        <v>96</v>
      </c>
      <c r="Q26" s="147">
        <v>20</v>
      </c>
      <c r="R26" s="123">
        <v>2</v>
      </c>
      <c r="S26" s="123"/>
      <c r="T26" s="148">
        <v>9</v>
      </c>
      <c r="U26" s="148">
        <v>9</v>
      </c>
      <c r="V26" s="20">
        <v>2</v>
      </c>
      <c r="W26" s="20"/>
      <c r="X26" s="22"/>
      <c r="Y26" s="22"/>
      <c r="Z26" s="144">
        <f t="shared" si="2"/>
        <v>6</v>
      </c>
      <c r="AA26" s="139">
        <f t="shared" si="3"/>
        <v>4</v>
      </c>
      <c r="AB26" s="8">
        <f t="shared" si="0"/>
        <v>3</v>
      </c>
      <c r="AC26" s="23">
        <f t="shared" si="1"/>
        <v>2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0">
        <v>20</v>
      </c>
      <c r="I27" s="147">
        <v>20</v>
      </c>
      <c r="J27" s="20">
        <v>2</v>
      </c>
      <c r="K27" s="19"/>
      <c r="L27" s="160">
        <v>20</v>
      </c>
      <c r="M27" s="147">
        <v>20</v>
      </c>
      <c r="N27" s="20">
        <v>2</v>
      </c>
      <c r="O27" s="20"/>
      <c r="P27" s="147">
        <v>20</v>
      </c>
      <c r="Q27" s="147">
        <v>20</v>
      </c>
      <c r="R27" s="123">
        <v>2</v>
      </c>
      <c r="S27" s="123"/>
      <c r="T27" s="148">
        <v>9</v>
      </c>
      <c r="U27" s="148">
        <v>9</v>
      </c>
      <c r="V27" s="20">
        <v>2</v>
      </c>
      <c r="W27" s="20"/>
      <c r="X27" s="22"/>
      <c r="Y27" s="22"/>
      <c r="Z27" s="144">
        <f t="shared" si="2"/>
        <v>8</v>
      </c>
      <c r="AA27" s="139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0">
        <v>20</v>
      </c>
      <c r="I28" s="147">
        <v>20</v>
      </c>
      <c r="J28" s="20">
        <v>2</v>
      </c>
      <c r="K28" s="19"/>
      <c r="L28" s="160">
        <v>20</v>
      </c>
      <c r="M28" s="147">
        <v>20</v>
      </c>
      <c r="N28" s="20">
        <v>2</v>
      </c>
      <c r="O28" s="20"/>
      <c r="P28" s="147">
        <v>20</v>
      </c>
      <c r="Q28" s="147">
        <v>20</v>
      </c>
      <c r="R28" s="123">
        <v>2</v>
      </c>
      <c r="S28" s="123"/>
      <c r="T28" s="148">
        <v>9</v>
      </c>
      <c r="U28" s="148">
        <v>9</v>
      </c>
      <c r="V28" s="20">
        <v>2</v>
      </c>
      <c r="W28" s="20"/>
      <c r="X28" s="22"/>
      <c r="Y28" s="22"/>
      <c r="Z28" s="144">
        <f t="shared" si="2"/>
        <v>10</v>
      </c>
      <c r="AA28" s="139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230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0">
        <v>20</v>
      </c>
      <c r="I29" s="147">
        <v>20</v>
      </c>
      <c r="J29" s="20">
        <v>2</v>
      </c>
      <c r="K29" s="19"/>
      <c r="L29" s="160">
        <v>20</v>
      </c>
      <c r="M29" s="147">
        <v>20</v>
      </c>
      <c r="N29" s="20">
        <v>2</v>
      </c>
      <c r="O29" s="20"/>
      <c r="P29" s="147">
        <v>20</v>
      </c>
      <c r="Q29" s="147">
        <v>20</v>
      </c>
      <c r="R29" s="123">
        <v>2</v>
      </c>
      <c r="S29" s="123"/>
      <c r="T29" s="148">
        <v>9</v>
      </c>
      <c r="U29" s="8"/>
      <c r="V29" s="20">
        <v>2</v>
      </c>
      <c r="W29" s="20"/>
      <c r="X29" s="22"/>
      <c r="Y29" s="22"/>
      <c r="Z29" s="144">
        <f t="shared" si="2"/>
        <v>10</v>
      </c>
      <c r="AA29" s="139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231</v>
      </c>
      <c r="B30" s="6" t="s">
        <v>122</v>
      </c>
      <c r="C30" s="7">
        <v>46167</v>
      </c>
      <c r="D30" s="10">
        <v>40</v>
      </c>
      <c r="E30" s="8"/>
      <c r="F30" s="123">
        <v>2</v>
      </c>
      <c r="G30" s="142"/>
      <c r="H30" s="160">
        <v>20</v>
      </c>
      <c r="I30" s="8"/>
      <c r="J30" s="20">
        <v>2</v>
      </c>
      <c r="K30" s="19"/>
      <c r="L30" s="160">
        <v>20</v>
      </c>
      <c r="M30" s="8"/>
      <c r="N30" s="20">
        <v>2</v>
      </c>
      <c r="O30" s="20"/>
      <c r="P30" s="147">
        <v>20</v>
      </c>
      <c r="Q30" s="8"/>
      <c r="R30" s="123">
        <v>2</v>
      </c>
      <c r="S30" s="123"/>
      <c r="T30" s="8"/>
      <c r="U30" s="8"/>
      <c r="V30" s="20"/>
      <c r="W30" s="20"/>
      <c r="X30" s="22"/>
      <c r="Y30" s="22"/>
      <c r="Z30" s="144">
        <f t="shared" si="2"/>
        <v>8</v>
      </c>
      <c r="AA30" s="139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23"/>
      <c r="G31" s="142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3"/>
      <c r="S31" s="123"/>
      <c r="T31" s="8"/>
      <c r="U31" s="8"/>
      <c r="V31" s="20"/>
      <c r="W31" s="20"/>
      <c r="X31" s="22"/>
      <c r="Y31" s="22"/>
      <c r="Z31" s="144">
        <f t="shared" si="2"/>
        <v>0</v>
      </c>
      <c r="AA31" s="139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23"/>
      <c r="G32" s="142"/>
      <c r="H32" s="14"/>
      <c r="I32" s="8"/>
      <c r="J32" s="20"/>
      <c r="K32" s="19"/>
      <c r="L32" s="8"/>
      <c r="M32" s="148">
        <v>5</v>
      </c>
      <c r="N32" s="123"/>
      <c r="O32" s="123" t="s">
        <v>23</v>
      </c>
      <c r="P32" s="120"/>
      <c r="Q32" s="120"/>
      <c r="R32" s="120"/>
      <c r="S32" s="120"/>
      <c r="T32" s="8"/>
      <c r="U32" s="8"/>
      <c r="V32" s="20"/>
      <c r="W32" s="20"/>
      <c r="X32" s="22"/>
      <c r="Y32" s="22"/>
      <c r="Z32" s="144">
        <f t="shared" si="2"/>
        <v>0</v>
      </c>
      <c r="AA32" s="139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23"/>
      <c r="G33" s="142"/>
      <c r="H33" s="14"/>
      <c r="I33" s="8"/>
      <c r="J33" s="20"/>
      <c r="K33" s="19"/>
      <c r="L33" s="148">
        <v>5</v>
      </c>
      <c r="M33" s="148">
        <v>5</v>
      </c>
      <c r="N33" s="123">
        <v>2</v>
      </c>
      <c r="O33" s="123"/>
      <c r="P33" s="120"/>
      <c r="Q33" s="120"/>
      <c r="R33" s="120"/>
      <c r="S33" s="120"/>
      <c r="T33" s="8"/>
      <c r="U33" s="8"/>
      <c r="V33" s="20"/>
      <c r="W33" s="20"/>
      <c r="X33" s="22"/>
      <c r="Y33" s="22"/>
      <c r="Z33" s="144">
        <f t="shared" si="2"/>
        <v>2</v>
      </c>
      <c r="AA33" s="139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23"/>
      <c r="G34" s="142"/>
      <c r="H34" s="14"/>
      <c r="I34" s="8"/>
      <c r="J34" s="20"/>
      <c r="K34" s="19"/>
      <c r="L34" s="148">
        <v>5</v>
      </c>
      <c r="M34" s="148">
        <v>5</v>
      </c>
      <c r="N34" s="123">
        <v>2</v>
      </c>
      <c r="O34" s="123"/>
      <c r="P34" s="120"/>
      <c r="Q34" s="120"/>
      <c r="R34" s="120"/>
      <c r="S34" s="120"/>
      <c r="T34" s="8"/>
      <c r="U34" s="148">
        <v>99</v>
      </c>
      <c r="V34" s="20"/>
      <c r="W34" s="19" t="s">
        <v>162</v>
      </c>
      <c r="X34" s="22"/>
      <c r="Y34" s="22"/>
      <c r="Z34" s="144">
        <f t="shared" si="2"/>
        <v>2</v>
      </c>
      <c r="AA34" s="139">
        <f t="shared" si="3"/>
        <v>2</v>
      </c>
      <c r="AB34" s="8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23"/>
      <c r="G35" s="142"/>
      <c r="H35" s="14"/>
      <c r="I35" s="8"/>
      <c r="J35" s="20"/>
      <c r="K35" s="19"/>
      <c r="L35" s="148">
        <v>5</v>
      </c>
      <c r="M35" s="148">
        <v>5</v>
      </c>
      <c r="N35" s="123">
        <v>2</v>
      </c>
      <c r="O35" s="123"/>
      <c r="P35" s="120"/>
      <c r="Q35" s="120">
        <v>102</v>
      </c>
      <c r="R35" s="120"/>
      <c r="S35" s="120"/>
      <c r="T35" s="148">
        <v>99</v>
      </c>
      <c r="U35" s="153">
        <v>99</v>
      </c>
      <c r="V35" s="20">
        <v>2</v>
      </c>
      <c r="W35" s="19"/>
      <c r="X35" s="22"/>
      <c r="Y35" s="22"/>
      <c r="Z35" s="144">
        <f t="shared" si="2"/>
        <v>4</v>
      </c>
      <c r="AA35" s="139">
        <f t="shared" si="3"/>
        <v>3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23"/>
      <c r="G36" s="142"/>
      <c r="H36" s="121"/>
      <c r="I36" s="162">
        <v>79</v>
      </c>
      <c r="J36" s="20"/>
      <c r="K36" s="19" t="s">
        <v>165</v>
      </c>
      <c r="L36" s="148">
        <v>5</v>
      </c>
      <c r="M36" s="148">
        <v>5</v>
      </c>
      <c r="N36" s="123">
        <v>2</v>
      </c>
      <c r="O36" s="123"/>
      <c r="P36" s="120">
        <v>102</v>
      </c>
      <c r="Q36" s="120">
        <v>102</v>
      </c>
      <c r="R36" s="120"/>
      <c r="S36" s="120"/>
      <c r="T36" s="148">
        <v>99</v>
      </c>
      <c r="U36" s="8"/>
      <c r="V36" s="20">
        <v>2</v>
      </c>
      <c r="W36" s="19"/>
      <c r="X36" s="22"/>
      <c r="Y36" s="22"/>
      <c r="Z36" s="144">
        <f t="shared" si="2"/>
        <v>4</v>
      </c>
      <c r="AA36" s="139">
        <f t="shared" si="3"/>
        <v>3</v>
      </c>
      <c r="AB36" s="8">
        <f t="shared" si="0"/>
        <v>1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23"/>
      <c r="G37" s="142"/>
      <c r="H37" s="162">
        <v>79</v>
      </c>
      <c r="I37" s="162">
        <v>79</v>
      </c>
      <c r="J37" s="20">
        <v>2</v>
      </c>
      <c r="K37" s="19"/>
      <c r="L37" s="148">
        <v>5</v>
      </c>
      <c r="M37" s="8"/>
      <c r="N37" s="20"/>
      <c r="O37" s="20"/>
      <c r="P37" s="120">
        <v>102</v>
      </c>
      <c r="Q37" s="120"/>
      <c r="R37" s="120"/>
      <c r="S37" s="123"/>
      <c r="T37" s="120"/>
      <c r="U37" s="120"/>
      <c r="V37" s="20"/>
      <c r="W37" s="20"/>
      <c r="X37" s="22"/>
      <c r="Y37" s="22"/>
      <c r="Z37" s="144">
        <f t="shared" si="2"/>
        <v>2</v>
      </c>
      <c r="AA37" s="139">
        <f t="shared" si="3"/>
        <v>1</v>
      </c>
      <c r="AB37" s="8">
        <f t="shared" si="0"/>
        <v>0</v>
      </c>
      <c r="AC37" s="23">
        <f t="shared" si="1"/>
        <v>2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23"/>
      <c r="G38" s="142"/>
      <c r="H38" s="162">
        <v>79</v>
      </c>
      <c r="I38" s="162">
        <v>79</v>
      </c>
      <c r="J38" s="20">
        <v>2</v>
      </c>
      <c r="K38" s="19"/>
      <c r="L38" s="8"/>
      <c r="M38" s="8"/>
      <c r="N38" s="20"/>
      <c r="O38" s="20"/>
      <c r="P38" s="120"/>
      <c r="Q38" s="120"/>
      <c r="R38" s="120"/>
      <c r="S38" s="123"/>
      <c r="T38" s="120"/>
      <c r="U38" s="148">
        <v>12</v>
      </c>
      <c r="V38" s="20"/>
      <c r="W38" s="20"/>
      <c r="X38" s="22"/>
      <c r="Y38" s="22"/>
      <c r="Z38" s="144">
        <f t="shared" si="2"/>
        <v>2</v>
      </c>
      <c r="AA38" s="139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23"/>
      <c r="G39" s="142"/>
      <c r="H39" s="162">
        <v>79</v>
      </c>
      <c r="I39" s="162">
        <v>79</v>
      </c>
      <c r="J39" s="20">
        <v>2</v>
      </c>
      <c r="K39" s="19"/>
      <c r="L39" s="8"/>
      <c r="M39" s="162">
        <v>27</v>
      </c>
      <c r="N39" s="20"/>
      <c r="O39" s="20" t="s">
        <v>165</v>
      </c>
      <c r="P39" s="120"/>
      <c r="Q39" s="120"/>
      <c r="R39" s="120"/>
      <c r="S39" s="123"/>
      <c r="T39" s="148">
        <v>12</v>
      </c>
      <c r="U39" s="148">
        <v>12</v>
      </c>
      <c r="V39" s="20"/>
      <c r="W39" s="20" t="s">
        <v>137</v>
      </c>
      <c r="X39" s="22"/>
      <c r="Y39" s="22"/>
      <c r="Z39" s="144">
        <f t="shared" si="2"/>
        <v>2</v>
      </c>
      <c r="AA39" s="139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23"/>
      <c r="G40" s="142"/>
      <c r="H40" s="162">
        <v>79</v>
      </c>
      <c r="I40" s="162">
        <v>79</v>
      </c>
      <c r="J40" s="20">
        <v>2</v>
      </c>
      <c r="K40" s="19"/>
      <c r="L40" s="161">
        <v>27</v>
      </c>
      <c r="M40" s="162">
        <v>27</v>
      </c>
      <c r="N40" s="20">
        <v>2</v>
      </c>
      <c r="O40" s="20"/>
      <c r="P40" s="120"/>
      <c r="Q40" s="120"/>
      <c r="R40" s="120"/>
      <c r="S40" s="123"/>
      <c r="T40" s="148">
        <v>12</v>
      </c>
      <c r="U40" s="148">
        <v>12</v>
      </c>
      <c r="V40" s="20"/>
      <c r="W40" s="20"/>
      <c r="X40" s="22"/>
      <c r="Y40" s="22"/>
      <c r="Z40" s="144">
        <f t="shared" si="2"/>
        <v>4</v>
      </c>
      <c r="AA40" s="139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8">
        <v>6</v>
      </c>
      <c r="F41" s="123"/>
      <c r="G41" s="142"/>
      <c r="H41" s="162">
        <v>79</v>
      </c>
      <c r="I41" s="148">
        <v>6</v>
      </c>
      <c r="J41" s="20">
        <v>2</v>
      </c>
      <c r="K41" s="19"/>
      <c r="L41" s="162">
        <v>27</v>
      </c>
      <c r="M41" s="162">
        <v>27</v>
      </c>
      <c r="N41" s="20">
        <v>2</v>
      </c>
      <c r="O41" s="20"/>
      <c r="P41" s="120"/>
      <c r="Q41" s="120"/>
      <c r="R41" s="120"/>
      <c r="S41" s="123"/>
      <c r="T41" s="148">
        <v>12</v>
      </c>
      <c r="U41" s="148">
        <v>12</v>
      </c>
      <c r="V41" s="20"/>
      <c r="W41" s="20"/>
      <c r="X41" s="121"/>
      <c r="Y41" s="120"/>
      <c r="Z41" s="144">
        <f t="shared" si="2"/>
        <v>4</v>
      </c>
      <c r="AA41" s="139">
        <f t="shared" si="3"/>
        <v>4</v>
      </c>
      <c r="AB41" s="8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9">
        <v>6</v>
      </c>
      <c r="E42" s="148">
        <v>6</v>
      </c>
      <c r="F42" s="123"/>
      <c r="G42" s="142"/>
      <c r="H42" s="150">
        <v>6</v>
      </c>
      <c r="I42" s="148">
        <v>6</v>
      </c>
      <c r="J42" s="20"/>
      <c r="K42" s="19"/>
      <c r="L42" s="162">
        <v>27</v>
      </c>
      <c r="M42" s="162">
        <v>27</v>
      </c>
      <c r="N42" s="20">
        <v>2</v>
      </c>
      <c r="O42" s="20" t="s">
        <v>162</v>
      </c>
      <c r="P42" s="120"/>
      <c r="Q42" s="120"/>
      <c r="R42" s="120"/>
      <c r="S42" s="123"/>
      <c r="T42" s="148">
        <v>12</v>
      </c>
      <c r="U42" s="120"/>
      <c r="V42" s="20"/>
      <c r="W42" s="20"/>
      <c r="X42" s="121"/>
      <c r="Y42" s="120"/>
      <c r="Z42" s="144">
        <f t="shared" si="2"/>
        <v>2</v>
      </c>
      <c r="AA42" s="139">
        <f t="shared" si="3"/>
        <v>3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9">
        <v>6</v>
      </c>
      <c r="E43" s="8"/>
      <c r="F43" s="123"/>
      <c r="G43" s="142"/>
      <c r="H43" s="150">
        <v>6</v>
      </c>
      <c r="I43" s="8"/>
      <c r="J43" s="20"/>
      <c r="K43" s="19"/>
      <c r="L43" s="162">
        <v>27</v>
      </c>
      <c r="M43" s="162">
        <v>27</v>
      </c>
      <c r="N43" s="20">
        <v>2</v>
      </c>
      <c r="O43" s="20"/>
      <c r="P43" s="120"/>
      <c r="Q43" s="120"/>
      <c r="R43" s="120"/>
      <c r="S43" s="123"/>
      <c r="T43" s="120"/>
      <c r="U43" s="120"/>
      <c r="V43" s="20"/>
      <c r="W43" s="20"/>
      <c r="X43" s="121"/>
      <c r="Y43" s="120"/>
      <c r="Z43" s="144">
        <f t="shared" si="2"/>
        <v>2</v>
      </c>
      <c r="AA43" s="139">
        <f t="shared" si="3"/>
        <v>1</v>
      </c>
      <c r="AB43" s="8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23"/>
      <c r="G44" s="142"/>
      <c r="H44" s="14"/>
      <c r="I44" s="8"/>
      <c r="J44" s="20"/>
      <c r="K44" s="19"/>
      <c r="L44" s="162">
        <v>27</v>
      </c>
      <c r="M44" s="162">
        <v>27</v>
      </c>
      <c r="N44" s="20">
        <v>2</v>
      </c>
      <c r="O44" s="20"/>
      <c r="P44" s="8"/>
      <c r="Q44" s="152">
        <v>15</v>
      </c>
      <c r="R44" s="123"/>
      <c r="S44" s="123"/>
      <c r="T44" s="8"/>
      <c r="U44" s="148">
        <v>17</v>
      </c>
      <c r="V44" s="20"/>
      <c r="W44" s="20" t="s">
        <v>162</v>
      </c>
      <c r="X44" s="22"/>
      <c r="Y44" s="22"/>
      <c r="Z44" s="144">
        <f t="shared" si="2"/>
        <v>2</v>
      </c>
      <c r="AA44" s="139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8">
        <v>16</v>
      </c>
      <c r="F45" s="123"/>
      <c r="G45" s="142"/>
      <c r="H45" s="8"/>
      <c r="I45" s="148">
        <v>16</v>
      </c>
      <c r="J45" s="20"/>
      <c r="K45" s="19"/>
      <c r="L45" s="162">
        <v>27</v>
      </c>
      <c r="M45" s="148">
        <v>18</v>
      </c>
      <c r="N45" s="20">
        <v>2</v>
      </c>
      <c r="O45" s="20" t="s">
        <v>165</v>
      </c>
      <c r="P45" s="152">
        <v>15</v>
      </c>
      <c r="Q45" s="152">
        <v>15</v>
      </c>
      <c r="R45" s="123">
        <v>2</v>
      </c>
      <c r="S45" s="123"/>
      <c r="T45" s="148">
        <v>17</v>
      </c>
      <c r="U45" s="148">
        <v>17</v>
      </c>
      <c r="V45" s="20">
        <v>2</v>
      </c>
      <c r="W45" s="20"/>
      <c r="X45" s="22"/>
      <c r="Y45" s="22"/>
      <c r="Z45" s="144">
        <f t="shared" si="2"/>
        <v>6</v>
      </c>
      <c r="AA45" s="139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8">
        <v>16</v>
      </c>
      <c r="E46" s="148">
        <v>16</v>
      </c>
      <c r="F46" s="123">
        <v>2</v>
      </c>
      <c r="G46" s="142"/>
      <c r="H46" s="148">
        <v>16</v>
      </c>
      <c r="I46" s="151">
        <v>16</v>
      </c>
      <c r="J46" s="20">
        <v>2</v>
      </c>
      <c r="K46" s="19"/>
      <c r="L46" s="148">
        <v>18</v>
      </c>
      <c r="M46" s="153">
        <v>18</v>
      </c>
      <c r="N46" s="20">
        <v>2</v>
      </c>
      <c r="O46" s="20"/>
      <c r="P46" s="152">
        <v>15</v>
      </c>
      <c r="Q46" s="152">
        <v>15</v>
      </c>
      <c r="R46" s="123">
        <v>2</v>
      </c>
      <c r="S46" s="123"/>
      <c r="T46" s="148">
        <v>17</v>
      </c>
      <c r="U46" s="148">
        <v>17</v>
      </c>
      <c r="V46" s="20">
        <v>2</v>
      </c>
      <c r="W46" s="20"/>
      <c r="X46" s="22"/>
      <c r="Y46" s="22"/>
      <c r="Z46" s="144">
        <f t="shared" si="2"/>
        <v>10</v>
      </c>
      <c r="AA46" s="139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8">
        <v>16</v>
      </c>
      <c r="E47" s="148">
        <v>16</v>
      </c>
      <c r="F47" s="123">
        <v>2</v>
      </c>
      <c r="G47" s="142"/>
      <c r="H47" s="151">
        <v>16</v>
      </c>
      <c r="I47" s="151">
        <v>16</v>
      </c>
      <c r="J47" s="20">
        <v>2</v>
      </c>
      <c r="K47" s="19"/>
      <c r="L47" s="153">
        <v>18</v>
      </c>
      <c r="M47" s="148">
        <v>18</v>
      </c>
      <c r="N47" s="20">
        <v>2</v>
      </c>
      <c r="O47" s="20"/>
      <c r="P47" s="152">
        <v>15</v>
      </c>
      <c r="Q47" s="152">
        <v>15</v>
      </c>
      <c r="R47" s="123">
        <v>2</v>
      </c>
      <c r="S47" s="123"/>
      <c r="T47" s="148">
        <v>17</v>
      </c>
      <c r="U47" s="148">
        <v>17</v>
      </c>
      <c r="V47" s="20">
        <v>2</v>
      </c>
      <c r="W47" s="20"/>
      <c r="X47" s="22"/>
      <c r="Y47" s="22"/>
      <c r="Z47" s="144">
        <f t="shared" si="2"/>
        <v>10</v>
      </c>
      <c r="AA47" s="139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8">
        <v>16</v>
      </c>
      <c r="E48" s="148">
        <v>16</v>
      </c>
      <c r="F48" s="123">
        <v>2</v>
      </c>
      <c r="G48" s="142"/>
      <c r="H48" s="151">
        <v>16</v>
      </c>
      <c r="I48" s="151">
        <v>16</v>
      </c>
      <c r="J48" s="20">
        <v>2</v>
      </c>
      <c r="K48" s="19"/>
      <c r="L48" s="148">
        <v>18</v>
      </c>
      <c r="M48" s="148">
        <v>18</v>
      </c>
      <c r="N48" s="20">
        <v>2</v>
      </c>
      <c r="O48" s="20"/>
      <c r="P48" s="152">
        <v>15</v>
      </c>
      <c r="Q48" s="152">
        <v>15</v>
      </c>
      <c r="R48" s="123">
        <v>2</v>
      </c>
      <c r="S48" s="123"/>
      <c r="T48" s="148">
        <v>17</v>
      </c>
      <c r="U48" s="148">
        <v>17</v>
      </c>
      <c r="V48" s="20">
        <v>2</v>
      </c>
      <c r="W48" s="20"/>
      <c r="X48" s="22"/>
      <c r="Y48" s="22"/>
      <c r="Z48" s="144">
        <f t="shared" si="2"/>
        <v>10</v>
      </c>
      <c r="AA48" s="139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8">
        <v>16</v>
      </c>
      <c r="E49" s="148">
        <v>16</v>
      </c>
      <c r="F49" s="123">
        <v>2</v>
      </c>
      <c r="G49" s="142"/>
      <c r="H49" s="151">
        <v>16</v>
      </c>
      <c r="I49" s="151">
        <v>16</v>
      </c>
      <c r="J49" s="20">
        <v>2</v>
      </c>
      <c r="K49" s="19"/>
      <c r="L49" s="148">
        <v>18</v>
      </c>
      <c r="M49" s="148">
        <v>18</v>
      </c>
      <c r="N49" s="20">
        <v>2</v>
      </c>
      <c r="O49" s="20"/>
      <c r="P49" s="152">
        <v>15</v>
      </c>
      <c r="Q49" s="152">
        <v>15</v>
      </c>
      <c r="R49" s="123">
        <v>2</v>
      </c>
      <c r="S49" s="123"/>
      <c r="T49" s="148">
        <v>17</v>
      </c>
      <c r="U49" s="148">
        <v>17</v>
      </c>
      <c r="V49" s="20">
        <v>2</v>
      </c>
      <c r="W49" s="20"/>
      <c r="X49" s="22"/>
      <c r="Y49" s="22"/>
      <c r="Z49" s="144">
        <f t="shared" si="2"/>
        <v>10</v>
      </c>
      <c r="AA49" s="139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8">
        <v>16</v>
      </c>
      <c r="E50" s="148">
        <v>16</v>
      </c>
      <c r="F50" s="123">
        <v>2</v>
      </c>
      <c r="G50" s="142"/>
      <c r="H50" s="151">
        <v>16</v>
      </c>
      <c r="I50" s="151">
        <v>16</v>
      </c>
      <c r="J50" s="20">
        <v>2</v>
      </c>
      <c r="K50" s="19"/>
      <c r="L50" s="148">
        <v>18</v>
      </c>
      <c r="M50" s="120">
        <v>83</v>
      </c>
      <c r="N50" s="20">
        <v>2</v>
      </c>
      <c r="O50" s="20"/>
      <c r="P50" s="152">
        <v>15</v>
      </c>
      <c r="Q50" s="152">
        <v>15</v>
      </c>
      <c r="R50" s="123">
        <v>2</v>
      </c>
      <c r="S50" s="123"/>
      <c r="T50" s="148">
        <v>17</v>
      </c>
      <c r="U50" s="148">
        <v>17</v>
      </c>
      <c r="V50" s="20">
        <v>2</v>
      </c>
      <c r="W50" s="20"/>
      <c r="X50" s="22"/>
      <c r="Y50" s="22"/>
      <c r="Z50" s="144">
        <f t="shared" si="2"/>
        <v>10</v>
      </c>
      <c r="AA50" s="139">
        <f t="shared" si="3"/>
        <v>5</v>
      </c>
      <c r="AB50" s="8">
        <f t="shared" si="4"/>
        <v>1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8">
        <v>16</v>
      </c>
      <c r="E51" s="120"/>
      <c r="F51" s="123">
        <v>2</v>
      </c>
      <c r="G51" s="142"/>
      <c r="H51" s="151">
        <v>16</v>
      </c>
      <c r="I51" s="121"/>
      <c r="J51" s="20">
        <v>2</v>
      </c>
      <c r="K51" s="19"/>
      <c r="L51" s="120">
        <v>83</v>
      </c>
      <c r="M51" s="8">
        <v>83</v>
      </c>
      <c r="N51" s="20">
        <v>2</v>
      </c>
      <c r="O51" s="20"/>
      <c r="P51" s="152">
        <v>15</v>
      </c>
      <c r="Q51" s="188">
        <v>70</v>
      </c>
      <c r="R51" s="123"/>
      <c r="S51" s="123"/>
      <c r="T51" s="148">
        <v>17</v>
      </c>
      <c r="U51" s="148">
        <v>86</v>
      </c>
      <c r="V51" s="20">
        <v>2</v>
      </c>
      <c r="W51" s="20"/>
      <c r="X51" s="22"/>
      <c r="Y51" s="22"/>
      <c r="Z51" s="144">
        <f t="shared" si="2"/>
        <v>8</v>
      </c>
      <c r="AA51" s="139">
        <f t="shared" si="3"/>
        <v>3</v>
      </c>
      <c r="AB51" s="8">
        <f t="shared" si="4"/>
        <v>2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20"/>
      <c r="E52" s="8"/>
      <c r="F52" s="123"/>
      <c r="G52" s="142"/>
      <c r="H52" s="121"/>
      <c r="I52" s="8"/>
      <c r="J52" s="20">
        <v>2</v>
      </c>
      <c r="K52" s="19" t="s">
        <v>163</v>
      </c>
      <c r="L52" s="8">
        <v>83</v>
      </c>
      <c r="M52" s="8">
        <v>83</v>
      </c>
      <c r="N52" s="20">
        <v>2</v>
      </c>
      <c r="O52" s="20"/>
      <c r="P52" s="188">
        <v>70</v>
      </c>
      <c r="Q52" s="188">
        <v>70</v>
      </c>
      <c r="R52" s="123">
        <v>2</v>
      </c>
      <c r="S52" s="123"/>
      <c r="T52" s="148">
        <v>86</v>
      </c>
      <c r="U52" s="148">
        <v>86</v>
      </c>
      <c r="V52" s="20">
        <v>2</v>
      </c>
      <c r="W52" s="20" t="s">
        <v>163</v>
      </c>
      <c r="X52" s="22"/>
      <c r="Y52" s="22"/>
      <c r="Z52" s="144">
        <f t="shared" si="2"/>
        <v>8</v>
      </c>
      <c r="AA52" s="139">
        <f t="shared" si="3"/>
        <v>3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8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8">
        <v>70</v>
      </c>
      <c r="Q53" s="148">
        <v>70</v>
      </c>
      <c r="R53" s="123">
        <v>2</v>
      </c>
      <c r="S53" s="123"/>
      <c r="T53" s="148">
        <v>86</v>
      </c>
      <c r="U53" s="148">
        <v>86</v>
      </c>
      <c r="V53" s="20">
        <v>2</v>
      </c>
      <c r="W53" s="20" t="s">
        <v>274</v>
      </c>
      <c r="X53" s="22"/>
      <c r="Y53" s="22"/>
      <c r="Z53" s="144">
        <f t="shared" si="2"/>
        <v>8</v>
      </c>
      <c r="AA53" s="139">
        <f t="shared" si="3"/>
        <v>4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8">
        <v>31</v>
      </c>
      <c r="E54" s="148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8">
        <v>70</v>
      </c>
      <c r="Q54" s="148">
        <v>70</v>
      </c>
      <c r="R54" s="123">
        <v>2</v>
      </c>
      <c r="S54" s="123"/>
      <c r="T54" s="148">
        <v>86</v>
      </c>
      <c r="U54" s="148">
        <v>86</v>
      </c>
      <c r="V54" s="20">
        <v>2</v>
      </c>
      <c r="W54" s="20"/>
      <c r="X54" s="22"/>
      <c r="Y54" s="22"/>
      <c r="Z54" s="144">
        <f t="shared" si="2"/>
        <v>9</v>
      </c>
      <c r="AA54" s="139">
        <f t="shared" si="3"/>
        <v>3</v>
      </c>
      <c r="AB54" s="8">
        <f t="shared" si="4"/>
        <v>0</v>
      </c>
      <c r="AC54" s="23">
        <f t="shared" si="5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8">
        <v>31</v>
      </c>
      <c r="E55" s="148">
        <v>31</v>
      </c>
      <c r="F55" s="20">
        <v>1</v>
      </c>
      <c r="G55" s="20"/>
      <c r="H55" s="8"/>
      <c r="I55" s="8"/>
      <c r="J55" s="20">
        <v>2</v>
      </c>
      <c r="K55" s="19"/>
      <c r="L55" s="8"/>
      <c r="M55" s="8">
        <v>56</v>
      </c>
      <c r="N55" s="123"/>
      <c r="O55" s="20"/>
      <c r="P55" s="148">
        <v>70</v>
      </c>
      <c r="Q55" s="148">
        <v>70</v>
      </c>
      <c r="R55" s="123">
        <v>2</v>
      </c>
      <c r="S55" s="123"/>
      <c r="T55" s="148">
        <v>86</v>
      </c>
      <c r="U55" s="148">
        <v>86</v>
      </c>
      <c r="V55" s="20">
        <v>2</v>
      </c>
      <c r="W55" s="20"/>
      <c r="X55" s="22"/>
      <c r="Y55" s="22"/>
      <c r="Z55" s="144">
        <f t="shared" si="2"/>
        <v>7</v>
      </c>
      <c r="AA55" s="139">
        <f t="shared" si="3"/>
        <v>4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8">
        <v>31</v>
      </c>
      <c r="E56" s="148">
        <v>31</v>
      </c>
      <c r="F56" s="20">
        <v>1</v>
      </c>
      <c r="G56" s="20"/>
      <c r="H56" s="8"/>
      <c r="I56" s="8"/>
      <c r="J56" s="20"/>
      <c r="K56" s="19"/>
      <c r="L56" s="8">
        <v>56</v>
      </c>
      <c r="M56" s="8">
        <v>56</v>
      </c>
      <c r="N56" s="123">
        <v>2</v>
      </c>
      <c r="O56" s="20"/>
      <c r="P56" s="148">
        <v>70</v>
      </c>
      <c r="Q56" s="8"/>
      <c r="R56" s="123">
        <v>2</v>
      </c>
      <c r="S56" s="123"/>
      <c r="T56" s="148">
        <v>86</v>
      </c>
      <c r="U56" s="148">
        <v>86</v>
      </c>
      <c r="V56" s="20">
        <v>2</v>
      </c>
      <c r="W56" s="20"/>
      <c r="X56" s="22"/>
      <c r="Y56" s="22"/>
      <c r="Z56" s="144">
        <f t="shared" si="2"/>
        <v>7</v>
      </c>
      <c r="AA56" s="139">
        <f t="shared" si="3"/>
        <v>3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8">
        <v>31</v>
      </c>
      <c r="E57" s="148">
        <v>31</v>
      </c>
      <c r="F57" s="20">
        <v>1</v>
      </c>
      <c r="G57" s="20"/>
      <c r="H57" s="8"/>
      <c r="I57" s="8"/>
      <c r="J57" s="20"/>
      <c r="K57" s="19"/>
      <c r="L57" s="8">
        <v>56</v>
      </c>
      <c r="M57" s="8"/>
      <c r="N57" s="123">
        <v>2</v>
      </c>
      <c r="O57" s="20"/>
      <c r="P57" s="8"/>
      <c r="Q57" s="8"/>
      <c r="R57" s="123"/>
      <c r="S57" s="123"/>
      <c r="T57" s="148">
        <v>86</v>
      </c>
      <c r="U57" s="148">
        <v>86</v>
      </c>
      <c r="V57" s="20">
        <v>2</v>
      </c>
      <c r="W57" s="20"/>
      <c r="X57" s="22"/>
      <c r="Y57" s="22"/>
      <c r="Z57" s="144">
        <f t="shared" si="2"/>
        <v>5</v>
      </c>
      <c r="AA57" s="139">
        <f t="shared" si="3"/>
        <v>2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8">
        <v>31</v>
      </c>
      <c r="E58" s="8"/>
      <c r="F58" s="20">
        <v>1</v>
      </c>
      <c r="G58" s="20"/>
      <c r="H58" s="8"/>
      <c r="I58" s="8"/>
      <c r="J58" s="20"/>
      <c r="K58" s="19"/>
      <c r="L58" s="8"/>
      <c r="M58" s="8"/>
      <c r="N58" s="20"/>
      <c r="O58" s="20"/>
      <c r="P58" s="8"/>
      <c r="Q58" s="163">
        <v>37</v>
      </c>
      <c r="R58" s="123"/>
      <c r="S58" s="123"/>
      <c r="T58" s="148">
        <v>86</v>
      </c>
      <c r="U58" s="120"/>
      <c r="V58" s="20">
        <v>2</v>
      </c>
      <c r="W58" s="20"/>
      <c r="X58" s="22"/>
      <c r="Y58" s="22"/>
      <c r="Z58" s="144">
        <f t="shared" si="2"/>
        <v>3</v>
      </c>
      <c r="AA58" s="139">
        <f t="shared" si="3"/>
        <v>1</v>
      </c>
      <c r="AB58" s="8">
        <f t="shared" si="4"/>
        <v>1</v>
      </c>
      <c r="AC58" s="23">
        <f t="shared" si="5"/>
        <v>2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23"/>
      <c r="G59" s="142"/>
      <c r="H59" s="14"/>
      <c r="I59" s="8"/>
      <c r="J59" s="20"/>
      <c r="K59" s="19"/>
      <c r="L59" s="8"/>
      <c r="M59" s="8"/>
      <c r="N59" s="20"/>
      <c r="O59" s="20"/>
      <c r="P59" s="163">
        <v>37</v>
      </c>
      <c r="Q59" s="163">
        <v>37</v>
      </c>
      <c r="R59" s="123">
        <v>2</v>
      </c>
      <c r="S59" s="123"/>
      <c r="T59" s="120"/>
      <c r="U59" s="120"/>
      <c r="V59" s="20"/>
      <c r="W59" s="20"/>
      <c r="X59" s="22"/>
      <c r="Y59" s="22"/>
      <c r="Z59" s="144">
        <f t="shared" si="2"/>
        <v>2</v>
      </c>
      <c r="AA59" s="139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23"/>
      <c r="G60" s="142"/>
      <c r="H60" s="14"/>
      <c r="I60" s="8"/>
      <c r="J60" s="20"/>
      <c r="K60" s="19"/>
      <c r="L60" s="8"/>
      <c r="M60" s="8"/>
      <c r="N60" s="20"/>
      <c r="O60" s="20"/>
      <c r="P60" s="163">
        <v>37</v>
      </c>
      <c r="Q60" s="163">
        <v>37</v>
      </c>
      <c r="R60" s="123">
        <v>2</v>
      </c>
      <c r="S60" s="123"/>
      <c r="T60" s="120"/>
      <c r="U60" s="120"/>
      <c r="V60" s="20"/>
      <c r="W60" s="20"/>
      <c r="X60" s="22"/>
      <c r="Y60" s="22"/>
      <c r="Z60" s="144">
        <f t="shared" si="2"/>
        <v>2</v>
      </c>
      <c r="AA60" s="139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23"/>
      <c r="G61" s="142"/>
      <c r="H61" s="14"/>
      <c r="I61" s="9"/>
      <c r="J61" s="20"/>
      <c r="K61" s="19"/>
      <c r="L61" s="8"/>
      <c r="M61" s="8">
        <v>34</v>
      </c>
      <c r="N61" s="20"/>
      <c r="O61" s="20"/>
      <c r="P61" s="163">
        <v>37</v>
      </c>
      <c r="Q61" s="8">
        <v>64</v>
      </c>
      <c r="R61" s="123">
        <v>2</v>
      </c>
      <c r="S61" s="20" t="s">
        <v>165</v>
      </c>
      <c r="T61" s="120"/>
      <c r="U61" s="120"/>
      <c r="V61" s="20"/>
      <c r="W61" s="20"/>
      <c r="X61" s="22"/>
      <c r="Y61" s="22"/>
      <c r="Z61" s="144">
        <f t="shared" si="2"/>
        <v>2</v>
      </c>
      <c r="AA61" s="139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23"/>
      <c r="G62" s="142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232</v>
      </c>
      <c r="P62" s="8">
        <v>64</v>
      </c>
      <c r="Q62" s="8">
        <v>64</v>
      </c>
      <c r="R62" s="20"/>
      <c r="S62" s="20" t="s">
        <v>295</v>
      </c>
      <c r="T62" s="120"/>
      <c r="U62" s="120"/>
      <c r="V62" s="20"/>
      <c r="W62" s="20"/>
      <c r="X62" s="22"/>
      <c r="Y62" s="22"/>
      <c r="Z62" s="144">
        <f t="shared" si="2"/>
        <v>2</v>
      </c>
      <c r="AA62" s="139">
        <f t="shared" si="3"/>
        <v>4</v>
      </c>
      <c r="AB62" s="8">
        <f t="shared" si="4"/>
        <v>2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23"/>
      <c r="G63" s="142" t="s">
        <v>163</v>
      </c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20"/>
      <c r="U63" s="162">
        <v>77</v>
      </c>
      <c r="V63" s="20"/>
      <c r="W63" s="20" t="s">
        <v>23</v>
      </c>
      <c r="X63" s="22"/>
      <c r="Y63" s="22"/>
      <c r="Z63" s="144">
        <f t="shared" si="2"/>
        <v>4</v>
      </c>
      <c r="AA63" s="139">
        <f t="shared" si="3"/>
        <v>5</v>
      </c>
      <c r="AB63" s="8">
        <f t="shared" si="4"/>
        <v>1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23"/>
      <c r="G64" s="142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20"/>
      <c r="R64" s="20"/>
      <c r="S64" s="20"/>
      <c r="T64" s="162">
        <v>77</v>
      </c>
      <c r="U64" s="162">
        <v>77</v>
      </c>
      <c r="V64" s="20">
        <v>2</v>
      </c>
      <c r="W64" s="20"/>
      <c r="X64" s="22"/>
      <c r="Y64" s="22"/>
      <c r="Z64" s="144">
        <f t="shared" si="2"/>
        <v>6</v>
      </c>
      <c r="AA64" s="139">
        <f t="shared" si="3"/>
        <v>4</v>
      </c>
      <c r="AB64" s="8">
        <f t="shared" si="4"/>
        <v>0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23"/>
      <c r="G65" s="142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20"/>
      <c r="Q65" s="163">
        <v>76</v>
      </c>
      <c r="R65" s="20"/>
      <c r="S65" s="20" t="s">
        <v>165</v>
      </c>
      <c r="T65" s="162">
        <v>77</v>
      </c>
      <c r="U65" s="162">
        <v>77</v>
      </c>
      <c r="V65" s="20">
        <v>2</v>
      </c>
      <c r="W65" s="20"/>
      <c r="X65" s="22"/>
      <c r="Y65" s="22"/>
      <c r="Z65" s="144">
        <f t="shared" si="2"/>
        <v>6</v>
      </c>
      <c r="AA65" s="139">
        <f t="shared" si="3"/>
        <v>3</v>
      </c>
      <c r="AB65" s="8">
        <f t="shared" si="4"/>
        <v>1</v>
      </c>
      <c r="AC65" s="23">
        <f t="shared" si="5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23"/>
      <c r="G66" s="142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63">
        <v>76</v>
      </c>
      <c r="Q66" s="163">
        <v>76</v>
      </c>
      <c r="R66" s="123">
        <v>2</v>
      </c>
      <c r="S66" s="123"/>
      <c r="T66" s="162">
        <v>77</v>
      </c>
      <c r="U66" s="162">
        <v>77</v>
      </c>
      <c r="V66" s="20">
        <v>2</v>
      </c>
      <c r="W66" s="20"/>
      <c r="X66" s="22"/>
      <c r="Y66" s="22"/>
      <c r="Z66" s="144">
        <f t="shared" si="2"/>
        <v>6</v>
      </c>
      <c r="AA66" s="139">
        <f t="shared" si="3"/>
        <v>3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23"/>
      <c r="G67" s="142"/>
      <c r="H67" s="14"/>
      <c r="I67" s="163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63">
        <v>76</v>
      </c>
      <c r="Q67" s="163">
        <v>76</v>
      </c>
      <c r="R67" s="123">
        <v>2</v>
      </c>
      <c r="S67" s="123"/>
      <c r="T67" s="162">
        <v>77</v>
      </c>
      <c r="U67" s="162">
        <v>77</v>
      </c>
      <c r="V67" s="20">
        <v>2</v>
      </c>
      <c r="W67" s="20"/>
      <c r="X67" s="22"/>
      <c r="Y67" s="22"/>
      <c r="Z67" s="144">
        <f t="shared" ref="Z67:Z130" si="6">F67+J67+N67+R67+V67</f>
        <v>6</v>
      </c>
      <c r="AA67" s="139">
        <f t="shared" ref="AA67:AA130" si="7">COUNT(E67,I67,M67,Q67,U67)</f>
        <v>4</v>
      </c>
      <c r="AB67" s="8">
        <f t="shared" si="4"/>
        <v>1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23"/>
      <c r="G68" s="142"/>
      <c r="H68" s="203">
        <v>104</v>
      </c>
      <c r="I68" s="163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63">
        <v>76</v>
      </c>
      <c r="Q68" s="173">
        <v>76</v>
      </c>
      <c r="R68" s="123">
        <v>2</v>
      </c>
      <c r="S68" s="142"/>
      <c r="T68" s="162">
        <v>77</v>
      </c>
      <c r="U68" s="162">
        <v>77</v>
      </c>
      <c r="V68" s="20">
        <v>2</v>
      </c>
      <c r="W68" s="20"/>
      <c r="X68" s="134"/>
      <c r="Y68" s="135"/>
      <c r="Z68" s="144">
        <f t="shared" si="6"/>
        <v>6</v>
      </c>
      <c r="AA68" s="139">
        <f t="shared" si="7"/>
        <v>5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23">
        <v>2</v>
      </c>
      <c r="G69" s="142" t="s">
        <v>233</v>
      </c>
      <c r="H69" s="203">
        <v>104</v>
      </c>
      <c r="I69" s="163">
        <v>104</v>
      </c>
      <c r="J69" s="20"/>
      <c r="K69" s="19"/>
      <c r="L69" s="8">
        <v>34</v>
      </c>
      <c r="M69" s="8">
        <v>34</v>
      </c>
      <c r="N69" s="20">
        <v>2</v>
      </c>
      <c r="O69" s="197"/>
      <c r="P69" s="198">
        <v>76</v>
      </c>
      <c r="Q69" s="151">
        <v>14</v>
      </c>
      <c r="R69" s="123">
        <v>2</v>
      </c>
      <c r="S69" s="142"/>
      <c r="T69" s="162">
        <v>77</v>
      </c>
      <c r="U69" s="162">
        <v>77</v>
      </c>
      <c r="V69" s="20">
        <v>2</v>
      </c>
      <c r="W69" s="20"/>
      <c r="X69" s="135"/>
      <c r="Y69" s="135"/>
      <c r="Z69" s="144">
        <f t="shared" si="6"/>
        <v>8</v>
      </c>
      <c r="AA69" s="139">
        <f t="shared" si="7"/>
        <v>5</v>
      </c>
      <c r="AB69" s="8">
        <f t="shared" si="4"/>
        <v>1</v>
      </c>
      <c r="AC69" s="23">
        <f t="shared" si="5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23">
        <v>2</v>
      </c>
      <c r="G70" s="142"/>
      <c r="H70" s="163">
        <v>104</v>
      </c>
      <c r="I70" s="8">
        <v>98</v>
      </c>
      <c r="J70" s="20"/>
      <c r="K70" s="19"/>
      <c r="L70" s="8">
        <v>34</v>
      </c>
      <c r="M70" s="8">
        <v>34</v>
      </c>
      <c r="N70" s="20">
        <v>2</v>
      </c>
      <c r="O70" s="20"/>
      <c r="P70" s="151">
        <v>14</v>
      </c>
      <c r="Q70" s="151">
        <v>14</v>
      </c>
      <c r="R70" s="123">
        <v>2</v>
      </c>
      <c r="S70" s="142"/>
      <c r="T70" s="162">
        <v>77</v>
      </c>
      <c r="U70" s="148">
        <v>7</v>
      </c>
      <c r="V70" s="20">
        <v>2</v>
      </c>
      <c r="W70" s="20"/>
      <c r="X70" s="135"/>
      <c r="Y70" s="135"/>
      <c r="Z70" s="144">
        <f t="shared" si="6"/>
        <v>8</v>
      </c>
      <c r="AA70" s="139">
        <f t="shared" si="7"/>
        <v>5</v>
      </c>
      <c r="AB70" s="8">
        <f t="shared" si="4"/>
        <v>2</v>
      </c>
      <c r="AC70" s="23">
        <f t="shared" si="5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23">
        <v>2</v>
      </c>
      <c r="G71" s="142"/>
      <c r="H71" s="8">
        <v>98</v>
      </c>
      <c r="I71" s="8">
        <v>98</v>
      </c>
      <c r="J71" s="20"/>
      <c r="K71" s="19"/>
      <c r="L71" s="8">
        <v>34</v>
      </c>
      <c r="M71" s="8"/>
      <c r="N71" s="20">
        <v>2</v>
      </c>
      <c r="O71" s="20"/>
      <c r="P71" s="151">
        <v>14</v>
      </c>
      <c r="Q71" s="151">
        <v>14</v>
      </c>
      <c r="R71" s="123">
        <v>2</v>
      </c>
      <c r="S71" s="142"/>
      <c r="T71" s="148">
        <v>7</v>
      </c>
      <c r="U71" s="148">
        <v>7</v>
      </c>
      <c r="V71" s="20"/>
      <c r="W71" s="20"/>
      <c r="X71" s="135"/>
      <c r="Y71" s="135"/>
      <c r="Z71" s="144">
        <f t="shared" si="6"/>
        <v>6</v>
      </c>
      <c r="AA71" s="139">
        <f t="shared" si="7"/>
        <v>3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3"/>
      <c r="G72" s="142"/>
      <c r="H72" s="8">
        <v>98</v>
      </c>
      <c r="I72" s="8">
        <v>98</v>
      </c>
      <c r="J72" s="20"/>
      <c r="K72" s="19"/>
      <c r="L72" s="8"/>
      <c r="M72" s="8">
        <v>36</v>
      </c>
      <c r="N72" s="20"/>
      <c r="O72" s="20"/>
      <c r="P72" s="151">
        <v>14</v>
      </c>
      <c r="Q72" s="151">
        <v>14</v>
      </c>
      <c r="R72" s="123">
        <v>2</v>
      </c>
      <c r="S72" s="142"/>
      <c r="T72" s="148">
        <v>7</v>
      </c>
      <c r="U72" s="148">
        <v>7</v>
      </c>
      <c r="V72" s="20"/>
      <c r="W72" s="20"/>
      <c r="X72" s="135"/>
      <c r="Y72" s="135"/>
      <c r="Z72" s="144">
        <f t="shared" si="6"/>
        <v>2</v>
      </c>
      <c r="AA72" s="139">
        <f t="shared" si="7"/>
        <v>5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3"/>
      <c r="G73" s="142"/>
      <c r="H73" s="8">
        <v>98</v>
      </c>
      <c r="I73" s="8"/>
      <c r="J73" s="20"/>
      <c r="K73" s="19"/>
      <c r="L73" s="8">
        <v>36</v>
      </c>
      <c r="M73" s="8">
        <v>36</v>
      </c>
      <c r="N73" s="20"/>
      <c r="O73" s="20"/>
      <c r="P73" s="151">
        <v>14</v>
      </c>
      <c r="Q73" s="151">
        <v>14</v>
      </c>
      <c r="R73" s="123">
        <v>2</v>
      </c>
      <c r="S73" s="142"/>
      <c r="T73" s="148">
        <v>7</v>
      </c>
      <c r="U73" s="148">
        <v>7</v>
      </c>
      <c r="V73" s="20"/>
      <c r="W73" s="20"/>
      <c r="X73" s="135"/>
      <c r="Y73" s="135"/>
      <c r="Z73" s="144">
        <f t="shared" si="6"/>
        <v>2</v>
      </c>
      <c r="AA73" s="139">
        <f t="shared" si="7"/>
        <v>4</v>
      </c>
      <c r="AB73" s="8">
        <f t="shared" si="4"/>
        <v>0</v>
      </c>
      <c r="AC73" s="23">
        <f t="shared" si="5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3"/>
      <c r="G74" s="142"/>
      <c r="H74" s="8"/>
      <c r="I74" s="148">
        <v>13</v>
      </c>
      <c r="J74" s="20"/>
      <c r="K74" s="19"/>
      <c r="L74" s="8">
        <v>36</v>
      </c>
      <c r="M74" s="8">
        <v>36</v>
      </c>
      <c r="N74" s="20"/>
      <c r="O74" s="20"/>
      <c r="P74" s="151">
        <v>14</v>
      </c>
      <c r="Q74" s="151">
        <v>14</v>
      </c>
      <c r="R74" s="123">
        <v>2</v>
      </c>
      <c r="S74" s="142"/>
      <c r="T74" s="148">
        <v>7</v>
      </c>
      <c r="U74" s="148">
        <v>7</v>
      </c>
      <c r="V74" s="20"/>
      <c r="W74" s="20"/>
      <c r="X74" s="135"/>
      <c r="Y74" s="135"/>
      <c r="Z74" s="144">
        <f t="shared" si="6"/>
        <v>2</v>
      </c>
      <c r="AA74" s="139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23">
        <v>69</v>
      </c>
      <c r="F75" s="123"/>
      <c r="G75" s="142"/>
      <c r="H75" s="148">
        <v>13</v>
      </c>
      <c r="I75" s="148">
        <v>13</v>
      </c>
      <c r="J75" s="20">
        <v>2</v>
      </c>
      <c r="K75" s="19"/>
      <c r="L75" s="8">
        <v>36</v>
      </c>
      <c r="M75" s="148">
        <v>84</v>
      </c>
      <c r="N75" s="20"/>
      <c r="O75" s="20"/>
      <c r="P75" s="151">
        <v>14</v>
      </c>
      <c r="Q75" s="151">
        <v>14</v>
      </c>
      <c r="R75" s="123">
        <v>2</v>
      </c>
      <c r="S75" s="142"/>
      <c r="T75" s="148">
        <v>7</v>
      </c>
      <c r="U75" s="148">
        <v>7</v>
      </c>
      <c r="V75" s="20"/>
      <c r="W75" s="20"/>
      <c r="X75" s="135"/>
      <c r="Y75" s="135"/>
      <c r="Z75" s="144">
        <f t="shared" si="6"/>
        <v>4</v>
      </c>
      <c r="AA75" s="139">
        <f t="shared" si="7"/>
        <v>5</v>
      </c>
      <c r="AB75" s="8">
        <f t="shared" si="4"/>
        <v>2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23">
        <v>69</v>
      </c>
      <c r="E76" s="123">
        <v>69</v>
      </c>
      <c r="F76" s="123"/>
      <c r="G76" s="142"/>
      <c r="H76" s="148">
        <v>13</v>
      </c>
      <c r="I76" s="148">
        <v>13</v>
      </c>
      <c r="J76" s="20">
        <v>2</v>
      </c>
      <c r="K76" s="19"/>
      <c r="L76" s="148">
        <v>84</v>
      </c>
      <c r="M76" s="148">
        <v>84</v>
      </c>
      <c r="N76" s="20"/>
      <c r="O76" s="20"/>
      <c r="P76" s="151">
        <v>14</v>
      </c>
      <c r="Q76" s="120"/>
      <c r="R76" s="123">
        <v>2</v>
      </c>
      <c r="S76" s="123"/>
      <c r="T76" s="148">
        <v>7</v>
      </c>
      <c r="U76" s="148">
        <v>7</v>
      </c>
      <c r="V76" s="20"/>
      <c r="W76" s="20"/>
      <c r="X76" s="22"/>
      <c r="Y76" s="22"/>
      <c r="Z76" s="144">
        <f t="shared" si="6"/>
        <v>4</v>
      </c>
      <c r="AA76" s="139">
        <f t="shared" si="7"/>
        <v>4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23">
        <v>69</v>
      </c>
      <c r="E77" s="123">
        <v>69</v>
      </c>
      <c r="F77" s="20"/>
      <c r="G77" s="19"/>
      <c r="H77" s="148">
        <v>13</v>
      </c>
      <c r="I77" s="148">
        <v>13</v>
      </c>
      <c r="J77" s="20">
        <v>2</v>
      </c>
      <c r="K77" s="19"/>
      <c r="L77" s="148">
        <v>84</v>
      </c>
      <c r="M77" s="148">
        <v>84</v>
      </c>
      <c r="N77" s="20"/>
      <c r="O77" s="20"/>
      <c r="P77" s="120"/>
      <c r="Q77" s="148">
        <v>66</v>
      </c>
      <c r="R77" s="123"/>
      <c r="S77" s="123"/>
      <c r="T77" s="148">
        <v>7</v>
      </c>
      <c r="U77" s="8">
        <v>62</v>
      </c>
      <c r="V77" s="20"/>
      <c r="W77" s="20" t="s">
        <v>164</v>
      </c>
      <c r="X77" s="22"/>
      <c r="Y77" s="22"/>
      <c r="Z77" s="144">
        <f t="shared" si="6"/>
        <v>2</v>
      </c>
      <c r="AA77" s="139">
        <f t="shared" si="7"/>
        <v>5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23">
        <v>69</v>
      </c>
      <c r="E78" s="148">
        <v>19</v>
      </c>
      <c r="F78" s="20"/>
      <c r="G78" s="19" t="s">
        <v>32</v>
      </c>
      <c r="H78" s="148">
        <v>13</v>
      </c>
      <c r="I78" s="148">
        <v>13</v>
      </c>
      <c r="J78" s="20">
        <v>2</v>
      </c>
      <c r="K78" s="19"/>
      <c r="L78" s="148">
        <v>84</v>
      </c>
      <c r="M78" s="148">
        <v>84</v>
      </c>
      <c r="N78" s="20"/>
      <c r="O78" s="20"/>
      <c r="P78" s="148">
        <v>66</v>
      </c>
      <c r="Q78" s="148">
        <v>66</v>
      </c>
      <c r="R78" s="123">
        <v>2</v>
      </c>
      <c r="S78" s="123"/>
      <c r="T78" s="8">
        <v>62</v>
      </c>
      <c r="U78" s="8">
        <v>62</v>
      </c>
      <c r="V78" s="20"/>
      <c r="W78" s="20"/>
      <c r="X78" s="22"/>
      <c r="Y78" s="22"/>
      <c r="Z78" s="144">
        <f t="shared" si="6"/>
        <v>4</v>
      </c>
      <c r="AA78" s="139">
        <f t="shared" si="7"/>
        <v>5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8">
        <v>19</v>
      </c>
      <c r="E79" s="148">
        <v>19</v>
      </c>
      <c r="F79" s="20">
        <v>1</v>
      </c>
      <c r="G79" s="19"/>
      <c r="H79" s="148">
        <v>13</v>
      </c>
      <c r="I79" s="148">
        <v>13</v>
      </c>
      <c r="J79" s="20">
        <v>2</v>
      </c>
      <c r="K79" s="19"/>
      <c r="L79" s="148">
        <v>84</v>
      </c>
      <c r="M79" s="147">
        <v>43</v>
      </c>
      <c r="N79" s="20"/>
      <c r="O79" s="20" t="s">
        <v>164</v>
      </c>
      <c r="P79" s="148">
        <v>66</v>
      </c>
      <c r="Q79" s="148">
        <v>66</v>
      </c>
      <c r="R79" s="123">
        <v>2</v>
      </c>
      <c r="S79" s="123"/>
      <c r="T79" s="8">
        <v>62</v>
      </c>
      <c r="U79" s="8">
        <v>62</v>
      </c>
      <c r="V79" s="20"/>
      <c r="W79" s="20"/>
      <c r="X79" s="22"/>
      <c r="Y79" s="22"/>
      <c r="Z79" s="144">
        <f t="shared" si="6"/>
        <v>5</v>
      </c>
      <c r="AA79" s="139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8">
        <v>19</v>
      </c>
      <c r="E80" s="148">
        <v>19</v>
      </c>
      <c r="F80" s="20">
        <v>1</v>
      </c>
      <c r="G80" s="19"/>
      <c r="H80" s="148">
        <v>13</v>
      </c>
      <c r="I80" s="148">
        <v>13</v>
      </c>
      <c r="J80" s="20">
        <v>2</v>
      </c>
      <c r="K80" s="19"/>
      <c r="L80" s="147">
        <v>43</v>
      </c>
      <c r="M80" s="147">
        <v>43</v>
      </c>
      <c r="N80" s="20">
        <v>3</v>
      </c>
      <c r="O80" s="20"/>
      <c r="P80" s="148">
        <v>66</v>
      </c>
      <c r="Q80" s="148">
        <v>66</v>
      </c>
      <c r="R80" s="123">
        <v>2</v>
      </c>
      <c r="S80" s="123"/>
      <c r="T80" s="8">
        <v>62</v>
      </c>
      <c r="U80" s="8">
        <v>62</v>
      </c>
      <c r="V80" s="20"/>
      <c r="W80" s="20"/>
      <c r="X80" s="22"/>
      <c r="Y80" s="22"/>
      <c r="Z80" s="144">
        <f t="shared" si="6"/>
        <v>8</v>
      </c>
      <c r="AA80" s="139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8">
        <v>19</v>
      </c>
      <c r="E81" s="148">
        <v>19</v>
      </c>
      <c r="F81" s="20">
        <v>1</v>
      </c>
      <c r="G81" s="19"/>
      <c r="H81" s="148">
        <v>13</v>
      </c>
      <c r="I81" s="8">
        <v>81</v>
      </c>
      <c r="J81" s="20">
        <v>2</v>
      </c>
      <c r="K81" s="19"/>
      <c r="L81" s="147">
        <v>43</v>
      </c>
      <c r="M81" s="147">
        <v>43</v>
      </c>
      <c r="N81" s="20">
        <v>3</v>
      </c>
      <c r="O81" s="20"/>
      <c r="P81" s="148">
        <v>66</v>
      </c>
      <c r="Q81" s="148">
        <v>66</v>
      </c>
      <c r="R81" s="123">
        <v>2</v>
      </c>
      <c r="S81" s="123"/>
      <c r="T81" s="8">
        <v>62</v>
      </c>
      <c r="U81" s="8">
        <v>62</v>
      </c>
      <c r="V81" s="20"/>
      <c r="W81" s="20"/>
      <c r="X81" s="22"/>
      <c r="Y81" s="22"/>
      <c r="Z81" s="144">
        <f t="shared" si="6"/>
        <v>8</v>
      </c>
      <c r="AA81" s="139">
        <f t="shared" si="7"/>
        <v>5</v>
      </c>
      <c r="AB81" s="8">
        <f t="shared" si="8"/>
        <v>1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8">
        <v>19</v>
      </c>
      <c r="E82" s="148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7">
        <v>43</v>
      </c>
      <c r="M82" s="8"/>
      <c r="N82" s="20">
        <v>3</v>
      </c>
      <c r="O82" s="20"/>
      <c r="P82" s="148">
        <v>66</v>
      </c>
      <c r="Q82" s="148">
        <v>66</v>
      </c>
      <c r="R82" s="123">
        <v>2</v>
      </c>
      <c r="S82" s="123"/>
      <c r="T82" s="8">
        <v>62</v>
      </c>
      <c r="U82" s="8">
        <v>62</v>
      </c>
      <c r="V82" s="20"/>
      <c r="W82" s="20"/>
      <c r="X82" s="22"/>
      <c r="Y82" s="22"/>
      <c r="Z82" s="144">
        <f t="shared" si="6"/>
        <v>8</v>
      </c>
      <c r="AA82" s="139">
        <f t="shared" si="7"/>
        <v>4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8">
        <v>19</v>
      </c>
      <c r="E83" s="148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8">
        <v>66</v>
      </c>
      <c r="Q83" s="148">
        <v>66</v>
      </c>
      <c r="R83" s="123">
        <v>2</v>
      </c>
      <c r="S83" s="123"/>
      <c r="T83" s="8">
        <v>62</v>
      </c>
      <c r="U83" s="8">
        <v>62</v>
      </c>
      <c r="V83" s="20"/>
      <c r="W83" s="20"/>
      <c r="X83" s="22"/>
      <c r="Y83" s="22"/>
      <c r="Z83" s="144">
        <f t="shared" si="6"/>
        <v>5</v>
      </c>
      <c r="AA83" s="139">
        <f t="shared" si="7"/>
        <v>4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8">
        <v>19</v>
      </c>
      <c r="E84" s="148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8">
        <v>66</v>
      </c>
      <c r="Q84" s="148">
        <v>66</v>
      </c>
      <c r="R84" s="123">
        <v>2</v>
      </c>
      <c r="S84" s="123"/>
      <c r="T84" s="8">
        <v>62</v>
      </c>
      <c r="U84" s="8">
        <v>62</v>
      </c>
      <c r="V84" s="20"/>
      <c r="W84" s="20"/>
      <c r="X84" s="22"/>
      <c r="Y84" s="22"/>
      <c r="Z84" s="144">
        <f t="shared" si="6"/>
        <v>5</v>
      </c>
      <c r="AA84" s="139">
        <f t="shared" si="7"/>
        <v>4</v>
      </c>
      <c r="AB84" s="8">
        <f t="shared" si="8"/>
        <v>1</v>
      </c>
      <c r="AC84" s="23">
        <f t="shared" si="9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8">
        <v>19</v>
      </c>
      <c r="E85" s="148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232</v>
      </c>
      <c r="P85" s="148">
        <v>66</v>
      </c>
      <c r="Q85" s="147">
        <v>1</v>
      </c>
      <c r="R85" s="20">
        <v>2</v>
      </c>
      <c r="S85" s="123"/>
      <c r="T85" s="120">
        <v>62</v>
      </c>
      <c r="U85" s="120">
        <v>62</v>
      </c>
      <c r="V85" s="120"/>
      <c r="W85" s="20"/>
      <c r="X85" s="22"/>
      <c r="Y85" s="22"/>
      <c r="Z85" s="144">
        <f t="shared" si="6"/>
        <v>3</v>
      </c>
      <c r="AA85" s="139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8">
        <v>19</v>
      </c>
      <c r="E86" s="148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7">
        <v>1</v>
      </c>
      <c r="Q86" s="147">
        <v>1</v>
      </c>
      <c r="R86" s="20">
        <v>2</v>
      </c>
      <c r="S86" s="123"/>
      <c r="T86" s="120">
        <v>62</v>
      </c>
      <c r="U86" s="120">
        <v>62</v>
      </c>
      <c r="V86" s="120"/>
      <c r="W86" s="20"/>
      <c r="X86" s="22"/>
      <c r="Y86" s="22"/>
      <c r="Z86" s="144">
        <f t="shared" si="6"/>
        <v>5</v>
      </c>
      <c r="AA86" s="139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8">
        <v>19</v>
      </c>
      <c r="E87" s="148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7">
        <v>1</v>
      </c>
      <c r="Q87" s="147">
        <v>1</v>
      </c>
      <c r="R87" s="20">
        <v>2</v>
      </c>
      <c r="S87" s="123"/>
      <c r="T87" s="120">
        <v>62</v>
      </c>
      <c r="U87" s="120">
        <v>62</v>
      </c>
      <c r="V87" s="120"/>
      <c r="W87" s="20"/>
      <c r="X87" s="22"/>
      <c r="Y87" s="22"/>
      <c r="Z87" s="144">
        <f t="shared" si="6"/>
        <v>5</v>
      </c>
      <c r="AA87" s="139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8">
        <v>19</v>
      </c>
      <c r="E88" s="148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7">
        <v>1</v>
      </c>
      <c r="Q88" s="147">
        <v>1</v>
      </c>
      <c r="R88" s="20">
        <v>2</v>
      </c>
      <c r="S88" s="123"/>
      <c r="T88" s="120">
        <v>62</v>
      </c>
      <c r="U88" s="148">
        <v>10</v>
      </c>
      <c r="V88" s="120"/>
      <c r="W88" s="20"/>
      <c r="X88" s="120"/>
      <c r="Y88" s="120"/>
      <c r="Z88" s="144">
        <f t="shared" si="6"/>
        <v>5</v>
      </c>
      <c r="AA88" s="139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48">
        <v>19</v>
      </c>
      <c r="E89" s="148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7">
        <v>1</v>
      </c>
      <c r="Q89" s="147">
        <v>1</v>
      </c>
      <c r="R89" s="20">
        <v>2</v>
      </c>
      <c r="S89" s="123"/>
      <c r="T89" s="148">
        <v>10</v>
      </c>
      <c r="U89" s="148">
        <v>10</v>
      </c>
      <c r="V89" s="120">
        <v>2</v>
      </c>
      <c r="W89" s="20"/>
      <c r="X89" s="120"/>
      <c r="Y89" s="120"/>
      <c r="Z89" s="144">
        <f t="shared" si="6"/>
        <v>7</v>
      </c>
      <c r="AA89" s="139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8">
        <v>19</v>
      </c>
      <c r="E90" s="148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7">
        <v>1</v>
      </c>
      <c r="Q90" s="147">
        <v>1</v>
      </c>
      <c r="R90" s="20">
        <v>2</v>
      </c>
      <c r="S90" s="123"/>
      <c r="T90" s="148">
        <v>10</v>
      </c>
      <c r="U90" s="148">
        <v>10</v>
      </c>
      <c r="V90" s="120">
        <v>2</v>
      </c>
      <c r="W90" s="20"/>
      <c r="X90" s="120"/>
      <c r="Y90" s="120"/>
      <c r="Z90" s="144">
        <f t="shared" si="6"/>
        <v>7</v>
      </c>
      <c r="AA90" s="139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8">
        <v>19</v>
      </c>
      <c r="E91" s="148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7">
        <v>1</v>
      </c>
      <c r="Q91" s="120"/>
      <c r="R91" s="123">
        <v>2</v>
      </c>
      <c r="S91" s="123"/>
      <c r="T91" s="148">
        <v>10</v>
      </c>
      <c r="U91" s="8">
        <v>49</v>
      </c>
      <c r="V91" s="20">
        <v>2</v>
      </c>
      <c r="W91" s="20"/>
      <c r="X91" s="120"/>
      <c r="Y91" s="120"/>
      <c r="Z91" s="144">
        <f t="shared" si="6"/>
        <v>5</v>
      </c>
      <c r="AA91" s="139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8">
        <v>19</v>
      </c>
      <c r="E92" s="8"/>
      <c r="F92" s="20">
        <v>1</v>
      </c>
      <c r="G92" s="19"/>
      <c r="H92" s="8"/>
      <c r="I92" s="148">
        <v>58</v>
      </c>
      <c r="J92" s="20"/>
      <c r="K92" s="19" t="s">
        <v>32</v>
      </c>
      <c r="L92" s="8"/>
      <c r="M92" s="8"/>
      <c r="N92" s="20"/>
      <c r="O92" s="20"/>
      <c r="P92" s="8"/>
      <c r="Q92" s="148">
        <v>58</v>
      </c>
      <c r="R92" s="123"/>
      <c r="S92" s="123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44">
        <f t="shared" si="6"/>
        <v>3</v>
      </c>
      <c r="AA92" s="139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8">
        <v>58</v>
      </c>
      <c r="I93" s="148">
        <v>58</v>
      </c>
      <c r="J93" s="20">
        <v>1</v>
      </c>
      <c r="K93" s="19" t="s">
        <v>296</v>
      </c>
      <c r="L93" s="8"/>
      <c r="M93" s="8">
        <v>30</v>
      </c>
      <c r="N93" s="20"/>
      <c r="O93" s="20" t="s">
        <v>165</v>
      </c>
      <c r="P93" s="148">
        <v>58</v>
      </c>
      <c r="Q93" s="148">
        <v>58</v>
      </c>
      <c r="R93" s="123">
        <v>1</v>
      </c>
      <c r="S93" s="123" t="s">
        <v>296</v>
      </c>
      <c r="T93" s="8">
        <v>49</v>
      </c>
      <c r="U93" s="8">
        <v>49</v>
      </c>
      <c r="V93" s="20">
        <v>2</v>
      </c>
      <c r="W93" s="20"/>
      <c r="X93" s="22"/>
      <c r="Y93" s="22"/>
      <c r="Z93" s="144">
        <f t="shared" si="6"/>
        <v>4</v>
      </c>
      <c r="AA93" s="139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8">
        <v>58</v>
      </c>
      <c r="I94" s="148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8">
        <v>58</v>
      </c>
      <c r="Q94" s="148">
        <v>58</v>
      </c>
      <c r="R94" s="123">
        <v>1</v>
      </c>
      <c r="S94" s="123"/>
      <c r="T94" s="8">
        <v>49</v>
      </c>
      <c r="U94" s="8">
        <v>49</v>
      </c>
      <c r="V94" s="20">
        <v>2</v>
      </c>
      <c r="W94" s="20"/>
      <c r="X94" s="22"/>
      <c r="Y94" s="22"/>
      <c r="Z94" s="144">
        <f t="shared" si="6"/>
        <v>6</v>
      </c>
      <c r="AA94" s="139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8">
        <v>58</v>
      </c>
      <c r="I95" s="148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8">
        <v>58</v>
      </c>
      <c r="Q95" s="170">
        <v>57</v>
      </c>
      <c r="R95" s="123">
        <v>1</v>
      </c>
      <c r="S95" s="123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44">
        <f t="shared" si="6"/>
        <v>6</v>
      </c>
      <c r="AA95" s="139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8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69">
        <v>57</v>
      </c>
      <c r="Q96" s="170">
        <v>57</v>
      </c>
      <c r="R96" s="123"/>
      <c r="S96" s="123" t="s">
        <v>295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44">
        <f t="shared" si="6"/>
        <v>5</v>
      </c>
      <c r="AA96" s="139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23">
        <v>94</v>
      </c>
      <c r="F97" s="20"/>
      <c r="G97" s="19" t="s">
        <v>32</v>
      </c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69">
        <v>57</v>
      </c>
      <c r="Q97" s="170">
        <v>57</v>
      </c>
      <c r="R97" s="123"/>
      <c r="S97" s="123"/>
      <c r="T97" s="8">
        <v>49</v>
      </c>
      <c r="U97" s="8">
        <v>49</v>
      </c>
      <c r="V97" s="20">
        <v>2</v>
      </c>
      <c r="W97" s="20"/>
      <c r="X97" s="22"/>
      <c r="Y97" s="22"/>
      <c r="Z97" s="144">
        <f t="shared" si="6"/>
        <v>4</v>
      </c>
      <c r="AA97" s="139">
        <f t="shared" si="7"/>
        <v>3</v>
      </c>
      <c r="AB97" s="8">
        <f t="shared" si="8"/>
        <v>1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23">
        <v>94</v>
      </c>
      <c r="E98" s="123">
        <v>94</v>
      </c>
      <c r="F98" s="20"/>
      <c r="G98" s="19" t="s">
        <v>163</v>
      </c>
      <c r="H98" s="14"/>
      <c r="I98" s="8"/>
      <c r="J98" s="20"/>
      <c r="K98" s="19"/>
      <c r="L98" s="8"/>
      <c r="M98" s="8"/>
      <c r="N98" s="20"/>
      <c r="O98" s="20"/>
      <c r="P98" s="169">
        <v>57</v>
      </c>
      <c r="Q98" s="170">
        <v>57</v>
      </c>
      <c r="R98" s="123"/>
      <c r="S98" s="123"/>
      <c r="T98" s="8">
        <v>49</v>
      </c>
      <c r="U98" s="8"/>
      <c r="V98" s="20">
        <v>2</v>
      </c>
      <c r="W98" s="20"/>
      <c r="X98" s="22"/>
      <c r="Y98" s="22"/>
      <c r="Z98" s="144">
        <f t="shared" si="6"/>
        <v>2</v>
      </c>
      <c r="AA98" s="139">
        <f t="shared" si="7"/>
        <v>2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23">
        <v>94</v>
      </c>
      <c r="E99" s="123">
        <v>94</v>
      </c>
      <c r="F99" s="20"/>
      <c r="G99" s="19"/>
      <c r="H99" s="14"/>
      <c r="I99" s="148">
        <v>74</v>
      </c>
      <c r="J99" s="20"/>
      <c r="K99" s="19"/>
      <c r="L99" s="8"/>
      <c r="M99" s="148">
        <v>74</v>
      </c>
      <c r="N99" s="20"/>
      <c r="O99" s="20"/>
      <c r="P99" s="169">
        <v>57</v>
      </c>
      <c r="Q99" s="170">
        <v>57</v>
      </c>
      <c r="R99" s="123"/>
      <c r="S99" s="123"/>
      <c r="T99" s="8"/>
      <c r="U99" s="8"/>
      <c r="V99" s="20"/>
      <c r="W99" s="20"/>
      <c r="X99" s="22"/>
      <c r="Y99" s="22"/>
      <c r="Z99" s="144">
        <f t="shared" si="6"/>
        <v>0</v>
      </c>
      <c r="AA99" s="139">
        <f t="shared" si="7"/>
        <v>4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200">
        <v>94</v>
      </c>
      <c r="E100" s="147">
        <v>11</v>
      </c>
      <c r="F100" s="20"/>
      <c r="G100" s="19" t="s">
        <v>164</v>
      </c>
      <c r="H100" s="150">
        <v>74</v>
      </c>
      <c r="I100" s="148">
        <v>74</v>
      </c>
      <c r="J100" s="20">
        <v>2</v>
      </c>
      <c r="K100" s="19"/>
      <c r="L100" s="148">
        <v>74</v>
      </c>
      <c r="M100" s="148">
        <v>74</v>
      </c>
      <c r="N100" s="20">
        <v>1</v>
      </c>
      <c r="O100" s="20"/>
      <c r="P100" s="169">
        <v>57</v>
      </c>
      <c r="Q100" s="170">
        <v>57</v>
      </c>
      <c r="R100" s="123"/>
      <c r="S100" s="123"/>
      <c r="T100" s="8"/>
      <c r="U100" s="8">
        <v>50</v>
      </c>
      <c r="V100" s="20"/>
      <c r="W100" s="20"/>
      <c r="X100" s="22"/>
      <c r="Y100" s="22"/>
      <c r="Z100" s="144">
        <f t="shared" si="6"/>
        <v>3</v>
      </c>
      <c r="AA100" s="139">
        <f t="shared" si="7"/>
        <v>5</v>
      </c>
      <c r="AB100" s="8">
        <f t="shared" si="8"/>
        <v>2</v>
      </c>
      <c r="AC100" s="23">
        <f t="shared" si="9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7">
        <v>11</v>
      </c>
      <c r="E101" s="147">
        <v>11</v>
      </c>
      <c r="F101" s="20"/>
      <c r="G101" s="19" t="s">
        <v>163</v>
      </c>
      <c r="H101" s="150">
        <v>74</v>
      </c>
      <c r="I101" s="148">
        <v>74</v>
      </c>
      <c r="J101" s="20">
        <v>2</v>
      </c>
      <c r="K101" s="19"/>
      <c r="L101" s="148">
        <v>74</v>
      </c>
      <c r="M101" s="148">
        <v>74</v>
      </c>
      <c r="N101" s="20">
        <v>1</v>
      </c>
      <c r="O101" s="20"/>
      <c r="P101" s="169">
        <v>57</v>
      </c>
      <c r="Q101" s="8"/>
      <c r="R101" s="123"/>
      <c r="S101" s="123"/>
      <c r="T101" s="8">
        <v>50</v>
      </c>
      <c r="U101" s="8">
        <v>50</v>
      </c>
      <c r="V101" s="20">
        <v>2</v>
      </c>
      <c r="W101" s="20"/>
      <c r="X101" s="22"/>
      <c r="Y101" s="22"/>
      <c r="Z101" s="144">
        <f t="shared" si="6"/>
        <v>5</v>
      </c>
      <c r="AA101" s="139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7">
        <v>11</v>
      </c>
      <c r="E102" s="147">
        <v>11</v>
      </c>
      <c r="F102" s="20"/>
      <c r="G102" s="19"/>
      <c r="H102" s="148">
        <v>74</v>
      </c>
      <c r="I102" s="148">
        <v>74</v>
      </c>
      <c r="J102" s="20">
        <v>2</v>
      </c>
      <c r="K102" s="19"/>
      <c r="L102" s="148">
        <v>74</v>
      </c>
      <c r="M102" s="148">
        <v>74</v>
      </c>
      <c r="N102" s="20">
        <v>1</v>
      </c>
      <c r="O102" s="20"/>
      <c r="P102" s="8"/>
      <c r="Q102" s="8"/>
      <c r="R102" s="123"/>
      <c r="S102" s="123"/>
      <c r="T102" s="8">
        <v>50</v>
      </c>
      <c r="U102" s="8">
        <v>50</v>
      </c>
      <c r="V102" s="20">
        <v>2</v>
      </c>
      <c r="W102" s="20"/>
      <c r="X102" s="22"/>
      <c r="Y102" s="22"/>
      <c r="Z102" s="144">
        <f t="shared" si="6"/>
        <v>5</v>
      </c>
      <c r="AA102" s="139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7">
        <v>11</v>
      </c>
      <c r="E103" s="147">
        <v>11</v>
      </c>
      <c r="F103" s="20"/>
      <c r="G103" s="19"/>
      <c r="H103" s="148">
        <v>74</v>
      </c>
      <c r="I103" s="8">
        <v>32</v>
      </c>
      <c r="J103" s="20">
        <v>2</v>
      </c>
      <c r="K103" s="19" t="s">
        <v>162</v>
      </c>
      <c r="L103" s="148">
        <v>74</v>
      </c>
      <c r="M103" s="163">
        <v>33</v>
      </c>
      <c r="N103" s="20">
        <v>1</v>
      </c>
      <c r="O103" s="20" t="s">
        <v>32</v>
      </c>
      <c r="P103" s="8"/>
      <c r="Q103" s="8">
        <v>45</v>
      </c>
      <c r="R103" s="123"/>
      <c r="S103" s="123"/>
      <c r="T103" s="8">
        <v>50</v>
      </c>
      <c r="U103" s="8">
        <v>50</v>
      </c>
      <c r="V103" s="20">
        <v>2</v>
      </c>
      <c r="W103" s="20"/>
      <c r="X103" s="22"/>
      <c r="Y103" s="22"/>
      <c r="Z103" s="144">
        <f t="shared" si="6"/>
        <v>5</v>
      </c>
      <c r="AA103" s="139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7">
        <v>11</v>
      </c>
      <c r="E104" s="147">
        <v>11</v>
      </c>
      <c r="F104" s="20"/>
      <c r="G104" s="19"/>
      <c r="H104" s="120">
        <v>32</v>
      </c>
      <c r="I104" s="120">
        <v>32</v>
      </c>
      <c r="J104" s="120">
        <v>2</v>
      </c>
      <c r="K104" s="196" t="s">
        <v>163</v>
      </c>
      <c r="L104" s="163">
        <v>33</v>
      </c>
      <c r="M104" s="163">
        <v>33</v>
      </c>
      <c r="N104" s="120">
        <v>1</v>
      </c>
      <c r="O104" s="120" t="s">
        <v>163</v>
      </c>
      <c r="P104" s="120">
        <v>45</v>
      </c>
      <c r="Q104" s="120">
        <v>45</v>
      </c>
      <c r="R104" s="120">
        <v>2</v>
      </c>
      <c r="S104" s="120"/>
      <c r="T104" s="120">
        <v>50</v>
      </c>
      <c r="U104" s="162">
        <v>92</v>
      </c>
      <c r="V104" s="120">
        <v>2</v>
      </c>
      <c r="W104" s="120" t="s">
        <v>32</v>
      </c>
      <c r="X104" s="22"/>
      <c r="Y104" s="22"/>
      <c r="Z104" s="144">
        <f t="shared" si="6"/>
        <v>7</v>
      </c>
      <c r="AA104" s="139">
        <f t="shared" si="7"/>
        <v>5</v>
      </c>
      <c r="AB104" s="8">
        <f t="shared" si="8"/>
        <v>1</v>
      </c>
      <c r="AC104" s="23">
        <f t="shared" si="9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7">
        <v>11</v>
      </c>
      <c r="E105" s="8"/>
      <c r="F105" s="20"/>
      <c r="G105" s="19"/>
      <c r="H105" s="120">
        <v>32</v>
      </c>
      <c r="I105" s="120">
        <v>32</v>
      </c>
      <c r="J105" s="120">
        <v>2</v>
      </c>
      <c r="K105" s="196"/>
      <c r="L105" s="163">
        <v>33</v>
      </c>
      <c r="M105" s="163">
        <v>33</v>
      </c>
      <c r="N105" s="120">
        <v>1</v>
      </c>
      <c r="O105" s="120"/>
      <c r="P105" s="120">
        <v>45</v>
      </c>
      <c r="Q105" s="120">
        <v>45</v>
      </c>
      <c r="R105" s="120">
        <v>2</v>
      </c>
      <c r="S105" s="120"/>
      <c r="T105" s="162">
        <v>92</v>
      </c>
      <c r="U105" s="162">
        <v>92</v>
      </c>
      <c r="V105" s="120"/>
      <c r="W105" s="120" t="s">
        <v>274</v>
      </c>
      <c r="X105" s="22"/>
      <c r="Y105" s="22"/>
      <c r="Z105" s="144">
        <f t="shared" si="6"/>
        <v>5</v>
      </c>
      <c r="AA105" s="139">
        <f t="shared" si="7"/>
        <v>4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3">
        <v>33</v>
      </c>
      <c r="M106" s="163">
        <v>33</v>
      </c>
      <c r="N106" s="120">
        <v>1</v>
      </c>
      <c r="O106" s="120"/>
      <c r="P106" s="120">
        <v>45</v>
      </c>
      <c r="Q106" s="120"/>
      <c r="R106" s="120">
        <v>2</v>
      </c>
      <c r="S106" s="120"/>
      <c r="T106" s="162">
        <v>92</v>
      </c>
      <c r="U106" s="162">
        <v>92</v>
      </c>
      <c r="V106" s="120"/>
      <c r="W106" s="120"/>
      <c r="X106" s="22"/>
      <c r="Y106" s="22"/>
      <c r="Z106" s="144">
        <f t="shared" si="6"/>
        <v>5</v>
      </c>
      <c r="AA106" s="139">
        <f t="shared" si="7"/>
        <v>3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162</v>
      </c>
      <c r="H107" s="8">
        <v>32</v>
      </c>
      <c r="I107" s="8">
        <v>32</v>
      </c>
      <c r="J107" s="20">
        <v>2</v>
      </c>
      <c r="K107" s="19"/>
      <c r="L107" s="163">
        <v>33</v>
      </c>
      <c r="M107" s="163">
        <v>33</v>
      </c>
      <c r="N107" s="20">
        <v>1</v>
      </c>
      <c r="O107" s="20"/>
      <c r="P107" s="8"/>
      <c r="Q107" s="8"/>
      <c r="R107" s="123"/>
      <c r="S107" s="123"/>
      <c r="T107" s="162">
        <v>92</v>
      </c>
      <c r="U107" s="162">
        <v>92</v>
      </c>
      <c r="V107" s="20"/>
      <c r="W107" s="20"/>
      <c r="X107" s="22"/>
      <c r="Y107" s="22"/>
      <c r="Z107" s="144">
        <f t="shared" si="6"/>
        <v>3</v>
      </c>
      <c r="AA107" s="139">
        <f t="shared" si="7"/>
        <v>4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3">
        <v>33</v>
      </c>
      <c r="M108" s="163">
        <v>33</v>
      </c>
      <c r="N108" s="2">
        <v>1</v>
      </c>
      <c r="O108" s="20"/>
      <c r="P108" s="8"/>
      <c r="Q108" s="8"/>
      <c r="R108" s="123"/>
      <c r="S108" s="123"/>
      <c r="T108" s="162">
        <v>92</v>
      </c>
      <c r="U108" s="162">
        <v>92</v>
      </c>
      <c r="V108" s="20"/>
      <c r="W108" s="20"/>
      <c r="X108" s="22"/>
      <c r="Y108" s="22"/>
      <c r="Z108" s="144">
        <f>F108+J108+N109+R108+V108</f>
        <v>5</v>
      </c>
      <c r="AA108" s="139">
        <f t="shared" si="7"/>
        <v>4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3">
        <v>33</v>
      </c>
      <c r="M109" s="163">
        <v>33</v>
      </c>
      <c r="N109" s="20">
        <v>1</v>
      </c>
      <c r="O109" s="20"/>
      <c r="P109" s="8"/>
      <c r="Q109" s="148">
        <v>4</v>
      </c>
      <c r="R109" s="123"/>
      <c r="S109" s="123"/>
      <c r="T109" s="162">
        <v>92</v>
      </c>
      <c r="U109" s="148">
        <v>4</v>
      </c>
      <c r="V109" s="20"/>
      <c r="W109" s="20"/>
      <c r="X109" s="22"/>
      <c r="Y109" s="22"/>
      <c r="Z109" s="144">
        <f>F109+J109+N110+R109+V109</f>
        <v>5</v>
      </c>
      <c r="AA109" s="139">
        <f t="shared" si="7"/>
        <v>5</v>
      </c>
      <c r="AB109" s="8">
        <f t="shared" si="8"/>
        <v>2</v>
      </c>
      <c r="AC109" s="23">
        <f t="shared" si="9"/>
        <v>1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3">
        <v>33</v>
      </c>
      <c r="M110" s="8">
        <v>23</v>
      </c>
      <c r="N110" s="20">
        <v>1</v>
      </c>
      <c r="O110" s="20"/>
      <c r="P110" s="148">
        <v>4</v>
      </c>
      <c r="Q110" s="148">
        <v>4</v>
      </c>
      <c r="R110" s="123">
        <v>2</v>
      </c>
      <c r="S110" s="123"/>
      <c r="T110" s="148">
        <v>4</v>
      </c>
      <c r="U110" s="148">
        <v>4</v>
      </c>
      <c r="V110" s="20">
        <v>2</v>
      </c>
      <c r="W110" s="20"/>
      <c r="X110" s="22"/>
      <c r="Y110" s="22"/>
      <c r="Z110" s="144">
        <f t="shared" si="6"/>
        <v>9</v>
      </c>
      <c r="AA110" s="139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8">
        <v>4</v>
      </c>
      <c r="Q111" s="148">
        <v>4</v>
      </c>
      <c r="R111" s="123">
        <v>2</v>
      </c>
      <c r="S111" s="123"/>
      <c r="T111" s="148">
        <v>4</v>
      </c>
      <c r="U111" s="148">
        <v>4</v>
      </c>
      <c r="V111" s="20">
        <v>2</v>
      </c>
      <c r="W111" s="20"/>
      <c r="X111" s="22"/>
      <c r="Y111" s="22"/>
      <c r="Z111" s="144">
        <f t="shared" si="6"/>
        <v>8</v>
      </c>
      <c r="AA111" s="139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8">
        <v>4</v>
      </c>
      <c r="Q112" s="148">
        <v>4</v>
      </c>
      <c r="R112" s="123">
        <v>2</v>
      </c>
      <c r="S112" s="123"/>
      <c r="T112" s="148">
        <v>4</v>
      </c>
      <c r="U112" s="148">
        <v>4</v>
      </c>
      <c r="V112" s="20">
        <v>2</v>
      </c>
      <c r="W112" s="20"/>
      <c r="X112" s="22"/>
      <c r="Y112" s="22"/>
      <c r="Z112" s="144">
        <f t="shared" si="6"/>
        <v>6</v>
      </c>
      <c r="AA112" s="139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3">
        <v>46</v>
      </c>
      <c r="J113" s="20"/>
      <c r="K113" s="19"/>
      <c r="L113" s="8">
        <v>23</v>
      </c>
      <c r="M113" s="8"/>
      <c r="N113" s="20">
        <v>2</v>
      </c>
      <c r="O113" s="20"/>
      <c r="P113" s="148">
        <v>4</v>
      </c>
      <c r="Q113" s="162">
        <v>51</v>
      </c>
      <c r="R113" s="123">
        <v>2</v>
      </c>
      <c r="S113" s="123"/>
      <c r="T113" s="148">
        <v>4</v>
      </c>
      <c r="U113" s="8"/>
      <c r="V113" s="20">
        <v>2</v>
      </c>
      <c r="W113" s="20"/>
      <c r="X113" s="22"/>
      <c r="Y113" s="22"/>
      <c r="Z113" s="144">
        <f t="shared" si="6"/>
        <v>6</v>
      </c>
      <c r="AA113" s="139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3">
        <v>46</v>
      </c>
      <c r="I114" s="163">
        <v>46</v>
      </c>
      <c r="J114" s="20"/>
      <c r="K114" s="19"/>
      <c r="L114" s="14"/>
      <c r="M114" s="8">
        <v>52</v>
      </c>
      <c r="N114" s="20"/>
      <c r="O114" s="20"/>
      <c r="P114" s="166">
        <v>51</v>
      </c>
      <c r="Q114" s="162">
        <v>51</v>
      </c>
      <c r="R114" s="123">
        <v>2</v>
      </c>
      <c r="S114" s="123" t="s">
        <v>273</v>
      </c>
      <c r="T114" s="8"/>
      <c r="U114" s="148">
        <v>21</v>
      </c>
      <c r="V114" s="20"/>
      <c r="W114" s="20" t="s">
        <v>165</v>
      </c>
      <c r="X114" s="22"/>
      <c r="Y114" s="22"/>
      <c r="Z114" s="144">
        <f t="shared" si="6"/>
        <v>2</v>
      </c>
      <c r="AA114" s="139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3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6">
        <v>51</v>
      </c>
      <c r="Q115" s="162">
        <v>51</v>
      </c>
      <c r="R115" s="123">
        <v>2</v>
      </c>
      <c r="S115" s="123"/>
      <c r="T115" s="148">
        <v>21</v>
      </c>
      <c r="U115" s="148">
        <v>21</v>
      </c>
      <c r="V115" s="20">
        <v>2</v>
      </c>
      <c r="W115" s="20" t="s">
        <v>274</v>
      </c>
      <c r="X115" s="22"/>
      <c r="Y115" s="22"/>
      <c r="Z115" s="144">
        <f t="shared" si="6"/>
        <v>8</v>
      </c>
      <c r="AA115" s="139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6">
        <v>51</v>
      </c>
      <c r="Q116" s="162">
        <v>51</v>
      </c>
      <c r="R116" s="123">
        <v>2</v>
      </c>
      <c r="S116" s="123"/>
      <c r="T116" s="148">
        <v>21</v>
      </c>
      <c r="U116" s="148">
        <v>21</v>
      </c>
      <c r="V116" s="20">
        <v>2</v>
      </c>
      <c r="W116" s="20"/>
      <c r="X116" s="22"/>
      <c r="Y116" s="22"/>
      <c r="Z116" s="144">
        <f t="shared" si="6"/>
        <v>8</v>
      </c>
      <c r="AA116" s="139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7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6">
        <v>51</v>
      </c>
      <c r="Q117" s="162">
        <v>51</v>
      </c>
      <c r="R117" s="123">
        <v>2</v>
      </c>
      <c r="S117" s="123"/>
      <c r="T117" s="148">
        <v>21</v>
      </c>
      <c r="U117" s="148">
        <v>21</v>
      </c>
      <c r="V117" s="20">
        <v>2</v>
      </c>
      <c r="W117" s="20"/>
      <c r="X117" s="22"/>
      <c r="Y117" s="167">
        <v>54</v>
      </c>
      <c r="Z117" s="144">
        <f t="shared" si="6"/>
        <v>8</v>
      </c>
      <c r="AA117" s="139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8">
        <v>54</v>
      </c>
      <c r="I118" s="167">
        <v>54</v>
      </c>
      <c r="J118" s="20">
        <v>2</v>
      </c>
      <c r="K118" s="19"/>
      <c r="L118" s="14">
        <v>52</v>
      </c>
      <c r="M118" s="167">
        <v>54</v>
      </c>
      <c r="N118" s="20">
        <v>2</v>
      </c>
      <c r="O118" s="20"/>
      <c r="P118" s="166">
        <v>51</v>
      </c>
      <c r="Q118" s="8">
        <v>93</v>
      </c>
      <c r="R118" s="123">
        <v>2</v>
      </c>
      <c r="S118" s="123"/>
      <c r="T118" s="148">
        <v>21</v>
      </c>
      <c r="U118" s="148">
        <v>21</v>
      </c>
      <c r="V118" s="20">
        <v>2</v>
      </c>
      <c r="W118" s="20"/>
      <c r="X118" s="167">
        <v>54</v>
      </c>
      <c r="Y118" s="22"/>
      <c r="Z118" s="144">
        <f t="shared" si="6"/>
        <v>10</v>
      </c>
      <c r="AA118" s="139">
        <f t="shared" si="7"/>
        <v>4</v>
      </c>
      <c r="AB118" s="8">
        <f t="shared" si="10"/>
        <v>2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8">
        <v>54</v>
      </c>
      <c r="I119" s="167">
        <v>54</v>
      </c>
      <c r="J119" s="20">
        <v>2</v>
      </c>
      <c r="K119" s="19"/>
      <c r="L119" s="167">
        <v>54</v>
      </c>
      <c r="M119" s="167">
        <v>54</v>
      </c>
      <c r="N119" s="20">
        <v>2</v>
      </c>
      <c r="O119" s="20"/>
      <c r="P119" s="8">
        <v>93</v>
      </c>
      <c r="Q119" s="8">
        <v>93</v>
      </c>
      <c r="R119" s="123"/>
      <c r="S119" s="123" t="s">
        <v>232</v>
      </c>
      <c r="T119" s="148">
        <v>21</v>
      </c>
      <c r="U119" s="8">
        <v>25</v>
      </c>
      <c r="V119" s="123">
        <v>2</v>
      </c>
      <c r="W119" s="123" t="s">
        <v>32</v>
      </c>
      <c r="X119" s="22"/>
      <c r="Y119" s="22"/>
      <c r="Z119" s="144">
        <f t="shared" si="6"/>
        <v>6</v>
      </c>
      <c r="AA119" s="139">
        <f t="shared" si="7"/>
        <v>5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8">
        <v>54</v>
      </c>
      <c r="I120" s="8"/>
      <c r="J120" s="20">
        <v>2</v>
      </c>
      <c r="K120" s="19"/>
      <c r="L120" s="167">
        <v>54</v>
      </c>
      <c r="M120" s="8"/>
      <c r="N120" s="20">
        <v>2</v>
      </c>
      <c r="O120" s="20"/>
      <c r="P120" s="8">
        <v>93</v>
      </c>
      <c r="Q120" s="8">
        <v>93</v>
      </c>
      <c r="R120" s="123"/>
      <c r="S120" s="123"/>
      <c r="T120" s="8">
        <v>25</v>
      </c>
      <c r="U120" s="8">
        <v>25</v>
      </c>
      <c r="V120" s="123"/>
      <c r="W120" s="123" t="s">
        <v>57</v>
      </c>
      <c r="X120" s="22"/>
      <c r="Y120" s="22"/>
      <c r="Z120" s="144">
        <f t="shared" si="6"/>
        <v>4</v>
      </c>
      <c r="AA120" s="139">
        <f t="shared" si="7"/>
        <v>3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93</v>
      </c>
      <c r="Q121" s="8"/>
      <c r="R121" s="123"/>
      <c r="S121" s="123"/>
      <c r="T121" s="8">
        <v>25</v>
      </c>
      <c r="U121" s="8">
        <v>25</v>
      </c>
      <c r="V121" s="123"/>
      <c r="W121" s="123"/>
      <c r="X121" s="22"/>
      <c r="Y121" s="22"/>
      <c r="Z121" s="144">
        <f t="shared" si="6"/>
        <v>0</v>
      </c>
      <c r="AA121" s="139">
        <f t="shared" si="7"/>
        <v>3</v>
      </c>
      <c r="AB121" s="8">
        <f t="shared" si="10"/>
        <v>1</v>
      </c>
      <c r="AC121" s="23">
        <f t="shared" si="11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23"/>
      <c r="S122" s="123"/>
      <c r="T122" s="8">
        <v>25</v>
      </c>
      <c r="U122" s="8">
        <v>25</v>
      </c>
      <c r="V122" s="123"/>
      <c r="W122" s="123"/>
      <c r="X122" s="22"/>
      <c r="Y122" s="22"/>
      <c r="Z122" s="144">
        <f t="shared" si="6"/>
        <v>1</v>
      </c>
      <c r="AA122" s="139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/>
      <c r="J123" s="123"/>
      <c r="K123" s="123"/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23"/>
      <c r="S123" s="123"/>
      <c r="T123" s="8">
        <v>25</v>
      </c>
      <c r="U123" s="8">
        <v>25</v>
      </c>
      <c r="V123" s="123"/>
      <c r="W123" s="123"/>
      <c r="X123" s="22"/>
      <c r="Y123" s="22"/>
      <c r="Z123" s="144">
        <f t="shared" si="6"/>
        <v>1</v>
      </c>
      <c r="AA123" s="139">
        <f t="shared" si="7"/>
        <v>4</v>
      </c>
      <c r="AB123" s="8">
        <f t="shared" si="10"/>
        <v>2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23">
        <v>2</v>
      </c>
      <c r="G124" s="142" t="s">
        <v>163</v>
      </c>
      <c r="H124" s="8"/>
      <c r="I124" s="8"/>
      <c r="J124" s="123"/>
      <c r="K124" s="123"/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23">
        <v>2</v>
      </c>
      <c r="S124" s="123" t="s">
        <v>163</v>
      </c>
      <c r="T124" s="8">
        <v>25</v>
      </c>
      <c r="U124" s="148">
        <v>35</v>
      </c>
      <c r="V124" s="123"/>
      <c r="W124" s="123"/>
      <c r="X124" s="22"/>
      <c r="Y124" s="22"/>
      <c r="Z124" s="144">
        <f t="shared" si="6"/>
        <v>5</v>
      </c>
      <c r="AA124" s="139">
        <f t="shared" si="7"/>
        <v>4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23">
        <v>2</v>
      </c>
      <c r="G125" s="142"/>
      <c r="H125" s="8"/>
      <c r="I125" s="8"/>
      <c r="J125" s="123"/>
      <c r="K125" s="123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23">
        <v>2</v>
      </c>
      <c r="S125" s="123"/>
      <c r="T125" s="148">
        <v>35</v>
      </c>
      <c r="U125" s="148">
        <v>35</v>
      </c>
      <c r="V125" s="123">
        <v>2</v>
      </c>
      <c r="W125" s="123" t="s">
        <v>233</v>
      </c>
      <c r="X125" s="22"/>
      <c r="Y125" s="22"/>
      <c r="Z125" s="144">
        <f t="shared" si="6"/>
        <v>7</v>
      </c>
      <c r="AA125" s="139">
        <f t="shared" si="7"/>
        <v>3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23">
        <v>2</v>
      </c>
      <c r="G126" s="142"/>
      <c r="H126" s="8"/>
      <c r="I126" s="8"/>
      <c r="J126" s="123"/>
      <c r="K126" s="123"/>
      <c r="L126" s="8"/>
      <c r="M126" s="8"/>
      <c r="N126" s="20"/>
      <c r="O126" s="20"/>
      <c r="P126" s="8">
        <v>78</v>
      </c>
      <c r="Q126" s="8">
        <v>78</v>
      </c>
      <c r="R126" s="123">
        <v>2</v>
      </c>
      <c r="S126" s="123"/>
      <c r="T126" s="148">
        <v>35</v>
      </c>
      <c r="U126" s="148">
        <v>35</v>
      </c>
      <c r="V126" s="123">
        <v>2</v>
      </c>
      <c r="W126" s="123"/>
      <c r="X126" s="22"/>
      <c r="Y126" s="22"/>
      <c r="Z126" s="144">
        <f t="shared" si="6"/>
        <v>6</v>
      </c>
      <c r="AA126" s="139">
        <f t="shared" si="7"/>
        <v>3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23">
        <v>2</v>
      </c>
      <c r="G127" s="142"/>
      <c r="H127" s="8"/>
      <c r="I127" s="8"/>
      <c r="J127" s="123"/>
      <c r="K127" s="123"/>
      <c r="L127" s="8"/>
      <c r="M127" s="8"/>
      <c r="N127" s="20"/>
      <c r="O127" s="20"/>
      <c r="P127" s="8">
        <v>78</v>
      </c>
      <c r="Q127" s="8">
        <v>78</v>
      </c>
      <c r="R127" s="123">
        <v>2</v>
      </c>
      <c r="S127" s="123"/>
      <c r="T127" s="148">
        <v>35</v>
      </c>
      <c r="U127" s="148">
        <v>35</v>
      </c>
      <c r="V127" s="123">
        <v>2</v>
      </c>
      <c r="W127" s="123"/>
      <c r="X127" s="22"/>
      <c r="Y127" s="22"/>
      <c r="Z127" s="144">
        <f t="shared" si="6"/>
        <v>6</v>
      </c>
      <c r="AA127" s="139">
        <f t="shared" si="7"/>
        <v>3</v>
      </c>
      <c r="AB127" s="8">
        <f t="shared" si="10"/>
        <v>0</v>
      </c>
      <c r="AC127" s="23">
        <f t="shared" si="11"/>
        <v>0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23">
        <v>2</v>
      </c>
      <c r="G128" s="142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23">
        <v>2</v>
      </c>
      <c r="S128" s="123"/>
      <c r="T128" s="148">
        <v>35</v>
      </c>
      <c r="U128" s="8"/>
      <c r="V128" s="123">
        <v>2</v>
      </c>
      <c r="W128" s="123"/>
      <c r="X128" s="22"/>
      <c r="Y128" s="22"/>
      <c r="Z128" s="144">
        <f t="shared" si="6"/>
        <v>6</v>
      </c>
      <c r="AA128" s="139">
        <f t="shared" si="7"/>
        <v>1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23">
        <v>2</v>
      </c>
      <c r="S129" s="123"/>
      <c r="T129" s="8"/>
      <c r="U129" s="8"/>
      <c r="V129" s="143"/>
      <c r="W129" s="123"/>
      <c r="X129" s="22"/>
      <c r="Y129" s="22"/>
      <c r="Z129" s="144">
        <f t="shared" si="6"/>
        <v>2</v>
      </c>
      <c r="AA129" s="139">
        <f t="shared" si="7"/>
        <v>1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23">
        <v>2</v>
      </c>
      <c r="S130" s="123"/>
      <c r="T130" s="8"/>
      <c r="U130" s="8"/>
      <c r="V130" s="123"/>
      <c r="W130" s="123"/>
      <c r="X130" s="22"/>
      <c r="Y130" s="22"/>
      <c r="Z130" s="144">
        <f t="shared" si="6"/>
        <v>2</v>
      </c>
      <c r="AA130" s="139">
        <f t="shared" si="7"/>
        <v>1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41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23">
        <v>2</v>
      </c>
      <c r="S131" s="123"/>
      <c r="T131" s="8"/>
      <c r="U131" s="8"/>
      <c r="V131" s="123"/>
      <c r="W131" s="123"/>
      <c r="X131" s="22"/>
      <c r="Y131" s="22"/>
      <c r="Z131" s="144">
        <f t="shared" ref="Z131:Z171" si="12">F131+J131+N131+R131+V131</f>
        <v>2</v>
      </c>
      <c r="AA131" s="139">
        <f t="shared" ref="AA131:AA171" si="13">COUNT(E131,I131,M131,Q131,U131)</f>
        <v>0</v>
      </c>
      <c r="AB131" s="8">
        <f t="shared" si="10"/>
        <v>0</v>
      </c>
      <c r="AC131" s="23">
        <f t="shared" si="11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41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3"/>
      <c r="S132" s="123"/>
      <c r="T132" s="8"/>
      <c r="U132" s="8"/>
      <c r="V132" s="123"/>
      <c r="W132" s="123"/>
      <c r="X132" s="22"/>
      <c r="Y132" s="22"/>
      <c r="Z132" s="144">
        <f t="shared" si="12"/>
        <v>0</v>
      </c>
      <c r="AA132" s="139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41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3"/>
      <c r="S133" s="123"/>
      <c r="T133" s="8"/>
      <c r="U133" s="8"/>
      <c r="V133" s="123"/>
      <c r="W133" s="123"/>
      <c r="X133" s="22"/>
      <c r="Y133" s="22"/>
      <c r="Z133" s="144">
        <f t="shared" si="12"/>
        <v>0</v>
      </c>
      <c r="AA133" s="139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41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3"/>
      <c r="S134" s="123"/>
      <c r="T134" s="8"/>
      <c r="U134" s="8">
        <v>22</v>
      </c>
      <c r="V134" s="123"/>
      <c r="W134" s="123"/>
      <c r="X134" s="22"/>
      <c r="Y134" s="22"/>
      <c r="Z134" s="144">
        <f t="shared" si="12"/>
        <v>0</v>
      </c>
      <c r="AA134" s="139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3"/>
      <c r="S135" s="123"/>
      <c r="T135" s="8">
        <v>22</v>
      </c>
      <c r="U135" s="8">
        <v>22</v>
      </c>
      <c r="V135" s="20">
        <v>2</v>
      </c>
      <c r="W135" s="20" t="s">
        <v>232</v>
      </c>
      <c r="X135" s="22"/>
      <c r="Y135" s="22"/>
      <c r="Z135" s="144">
        <f t="shared" si="12"/>
        <v>2</v>
      </c>
      <c r="AA135" s="139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3"/>
      <c r="S136" s="123"/>
      <c r="T136" s="8">
        <v>22</v>
      </c>
      <c r="U136" s="8">
        <v>22</v>
      </c>
      <c r="V136" s="20">
        <v>2</v>
      </c>
      <c r="W136" s="20"/>
      <c r="X136" s="22"/>
      <c r="Y136" s="22"/>
      <c r="Z136" s="144">
        <f t="shared" si="12"/>
        <v>2</v>
      </c>
      <c r="AA136" s="139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3"/>
      <c r="S137" s="123"/>
      <c r="T137" s="8">
        <v>22</v>
      </c>
      <c r="U137" s="8">
        <v>22</v>
      </c>
      <c r="V137" s="20">
        <v>2</v>
      </c>
      <c r="W137" s="20"/>
      <c r="X137" s="22"/>
      <c r="Y137" s="22"/>
      <c r="Z137" s="144">
        <f t="shared" si="12"/>
        <v>2</v>
      </c>
      <c r="AA137" s="139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3"/>
      <c r="S138" s="123"/>
      <c r="T138" s="8">
        <v>22</v>
      </c>
      <c r="U138" s="8">
        <v>22</v>
      </c>
      <c r="V138" s="20">
        <v>2</v>
      </c>
      <c r="W138" s="20"/>
      <c r="X138" s="22"/>
      <c r="Y138" s="22"/>
      <c r="Z138" s="144">
        <f t="shared" si="12"/>
        <v>2</v>
      </c>
      <c r="AA138" s="139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7">
        <v>89</v>
      </c>
      <c r="F139" s="20"/>
      <c r="G139" s="19"/>
      <c r="H139" s="10"/>
      <c r="I139" s="147">
        <v>89</v>
      </c>
      <c r="J139" s="20"/>
      <c r="K139" s="19"/>
      <c r="L139" s="8"/>
      <c r="M139" s="8"/>
      <c r="N139" s="20"/>
      <c r="O139" s="20"/>
      <c r="P139" s="8"/>
      <c r="Q139" s="8"/>
      <c r="R139" s="123"/>
      <c r="S139" s="123"/>
      <c r="T139" s="8">
        <v>22</v>
      </c>
      <c r="U139" s="8">
        <v>22</v>
      </c>
      <c r="V139" s="20">
        <v>2</v>
      </c>
      <c r="W139" s="20"/>
      <c r="X139" s="22"/>
      <c r="Y139" s="22"/>
      <c r="Z139" s="144">
        <f t="shared" si="12"/>
        <v>2</v>
      </c>
      <c r="AA139" s="139">
        <f t="shared" si="13"/>
        <v>3</v>
      </c>
      <c r="AB139" s="8">
        <f t="shared" si="10"/>
        <v>2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9">
        <v>89</v>
      </c>
      <c r="E140" s="147">
        <v>89</v>
      </c>
      <c r="F140" s="20">
        <v>1</v>
      </c>
      <c r="G140" s="19"/>
      <c r="H140" s="199">
        <v>89</v>
      </c>
      <c r="I140" s="147">
        <v>89</v>
      </c>
      <c r="J140" s="20">
        <v>2</v>
      </c>
      <c r="K140" s="19"/>
      <c r="L140" s="8"/>
      <c r="M140" s="162">
        <v>103</v>
      </c>
      <c r="N140" s="20"/>
      <c r="O140" s="20" t="s">
        <v>165</v>
      </c>
      <c r="P140" s="8"/>
      <c r="Q140" s="8"/>
      <c r="R140" s="123"/>
      <c r="S140" s="123"/>
      <c r="T140" s="8">
        <v>22</v>
      </c>
      <c r="U140" s="8">
        <v>22</v>
      </c>
      <c r="V140" s="20">
        <v>2</v>
      </c>
      <c r="W140" s="20"/>
      <c r="X140" s="22"/>
      <c r="Y140" s="22"/>
      <c r="Z140" s="144">
        <f t="shared" si="12"/>
        <v>5</v>
      </c>
      <c r="AA140" s="139">
        <f t="shared" si="13"/>
        <v>4</v>
      </c>
      <c r="AB140" s="8">
        <f t="shared" si="10"/>
        <v>1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9">
        <v>89</v>
      </c>
      <c r="E141" s="8"/>
      <c r="F141" s="20">
        <v>1</v>
      </c>
      <c r="G141" s="19"/>
      <c r="H141" s="199">
        <v>89</v>
      </c>
      <c r="I141" s="8"/>
      <c r="J141" s="20">
        <v>2</v>
      </c>
      <c r="K141" s="19"/>
      <c r="L141" s="162">
        <v>103</v>
      </c>
      <c r="M141" s="162">
        <v>103</v>
      </c>
      <c r="N141" s="20">
        <v>2</v>
      </c>
      <c r="O141" s="20"/>
      <c r="P141" s="8"/>
      <c r="Q141" s="8"/>
      <c r="R141" s="123"/>
      <c r="S141" s="123"/>
      <c r="T141" s="8">
        <v>22</v>
      </c>
      <c r="U141" s="8">
        <v>22</v>
      </c>
      <c r="V141" s="20">
        <v>2</v>
      </c>
      <c r="W141" s="20"/>
      <c r="X141" s="22"/>
      <c r="Y141" s="22"/>
      <c r="Z141" s="144">
        <f t="shared" si="12"/>
        <v>7</v>
      </c>
      <c r="AA141" s="139">
        <f t="shared" si="13"/>
        <v>2</v>
      </c>
      <c r="AB141" s="8">
        <f t="shared" si="10"/>
        <v>0</v>
      </c>
      <c r="AC141" s="23">
        <f t="shared" si="11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62">
        <v>103</v>
      </c>
      <c r="M142" s="162">
        <v>103</v>
      </c>
      <c r="N142" s="20">
        <v>2</v>
      </c>
      <c r="O142" s="20"/>
      <c r="P142" s="8"/>
      <c r="Q142" s="8">
        <v>101</v>
      </c>
      <c r="R142" s="123"/>
      <c r="S142" s="123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44">
        <f t="shared" si="12"/>
        <v>4</v>
      </c>
      <c r="AA142" s="139">
        <f t="shared" si="13"/>
        <v>4</v>
      </c>
      <c r="AB142" s="8">
        <f t="shared" si="10"/>
        <v>2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62">
        <v>103</v>
      </c>
      <c r="M143" s="162">
        <v>103</v>
      </c>
      <c r="N143" s="20">
        <v>2</v>
      </c>
      <c r="O143" s="20"/>
      <c r="P143" s="8">
        <v>101</v>
      </c>
      <c r="Q143" s="8">
        <v>101</v>
      </c>
      <c r="R143" s="123"/>
      <c r="S143" s="123"/>
      <c r="T143" s="8">
        <v>22</v>
      </c>
      <c r="U143" s="8">
        <v>22</v>
      </c>
      <c r="V143" s="20">
        <v>2</v>
      </c>
      <c r="W143" s="20"/>
      <c r="X143" s="22"/>
      <c r="Y143" s="22"/>
      <c r="Z143" s="144">
        <f t="shared" si="12"/>
        <v>4</v>
      </c>
      <c r="AA143" s="139">
        <f t="shared" si="13"/>
        <v>4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8">
        <v>47</v>
      </c>
      <c r="J144" s="20"/>
      <c r="K144" s="19" t="s">
        <v>165</v>
      </c>
      <c r="L144" s="162">
        <v>103</v>
      </c>
      <c r="M144" s="162">
        <v>103</v>
      </c>
      <c r="N144" s="20">
        <v>2</v>
      </c>
      <c r="O144" s="20"/>
      <c r="P144" s="8">
        <v>101</v>
      </c>
      <c r="Q144" s="8"/>
      <c r="R144" s="123"/>
      <c r="S144" s="123"/>
      <c r="T144" s="8">
        <v>22</v>
      </c>
      <c r="U144" s="8">
        <v>22</v>
      </c>
      <c r="V144" s="20">
        <v>2</v>
      </c>
      <c r="W144" s="20"/>
      <c r="X144" s="22"/>
      <c r="Y144" s="22"/>
      <c r="Z144" s="144">
        <f t="shared" si="12"/>
        <v>4</v>
      </c>
      <c r="AA144" s="139">
        <f t="shared" si="13"/>
        <v>3</v>
      </c>
      <c r="AB144" s="8">
        <f t="shared" si="14"/>
        <v>1</v>
      </c>
      <c r="AC144" s="23">
        <f t="shared" si="15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148">
        <v>47</v>
      </c>
      <c r="I145" s="148">
        <v>47</v>
      </c>
      <c r="J145" s="20">
        <v>2</v>
      </c>
      <c r="K145" s="19"/>
      <c r="L145" s="162">
        <v>103</v>
      </c>
      <c r="M145" s="162">
        <v>103</v>
      </c>
      <c r="N145" s="20">
        <v>2</v>
      </c>
      <c r="O145" s="20"/>
      <c r="P145" s="8"/>
      <c r="Q145" s="8">
        <v>42</v>
      </c>
      <c r="R145" s="123"/>
      <c r="S145" s="123" t="s">
        <v>32</v>
      </c>
      <c r="T145" s="8">
        <v>22</v>
      </c>
      <c r="U145" s="8"/>
      <c r="V145" s="20"/>
      <c r="W145" s="20"/>
      <c r="X145" s="22"/>
      <c r="Y145" s="22"/>
      <c r="Z145" s="144">
        <f t="shared" si="12"/>
        <v>4</v>
      </c>
      <c r="AA145" s="139">
        <f t="shared" si="13"/>
        <v>4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8">
        <v>47</v>
      </c>
      <c r="I146" s="148">
        <v>47</v>
      </c>
      <c r="J146" s="20">
        <v>2</v>
      </c>
      <c r="K146" s="19"/>
      <c r="L146" s="162">
        <v>103</v>
      </c>
      <c r="M146" s="162">
        <v>103</v>
      </c>
      <c r="N146" s="20">
        <v>2</v>
      </c>
      <c r="O146" s="20"/>
      <c r="P146" s="8">
        <v>42</v>
      </c>
      <c r="Q146" s="8">
        <v>42</v>
      </c>
      <c r="R146" s="123"/>
      <c r="S146" s="123"/>
      <c r="T146" s="8"/>
      <c r="U146" s="147">
        <v>3</v>
      </c>
      <c r="V146" s="20"/>
      <c r="W146" s="20"/>
      <c r="X146" s="22"/>
      <c r="Y146" s="22"/>
      <c r="Z146" s="144">
        <f t="shared" si="12"/>
        <v>4</v>
      </c>
      <c r="AA146" s="139">
        <f t="shared" si="13"/>
        <v>5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8">
        <v>47</v>
      </c>
      <c r="I147" s="148">
        <v>47</v>
      </c>
      <c r="J147" s="20">
        <v>2</v>
      </c>
      <c r="K147" s="19"/>
      <c r="L147" s="162">
        <v>103</v>
      </c>
      <c r="M147" s="8"/>
      <c r="N147" s="20">
        <v>2</v>
      </c>
      <c r="O147" s="20"/>
      <c r="P147" s="8">
        <v>42</v>
      </c>
      <c r="Q147" s="8">
        <v>42</v>
      </c>
      <c r="R147" s="123"/>
      <c r="S147" s="123"/>
      <c r="T147" s="147">
        <v>3</v>
      </c>
      <c r="U147" s="147">
        <v>3</v>
      </c>
      <c r="V147" s="20">
        <v>2</v>
      </c>
      <c r="W147" s="20"/>
      <c r="X147" s="22"/>
      <c r="Y147" s="22"/>
      <c r="Z147" s="144">
        <f t="shared" si="12"/>
        <v>6</v>
      </c>
      <c r="AA147" s="139">
        <f t="shared" si="13"/>
        <v>4</v>
      </c>
      <c r="AB147" s="8">
        <f t="shared" si="14"/>
        <v>0</v>
      </c>
      <c r="AC147" s="23">
        <f t="shared" si="15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8">
        <v>47</v>
      </c>
      <c r="I148" s="14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3"/>
      <c r="S148" s="123"/>
      <c r="T148" s="147">
        <v>3</v>
      </c>
      <c r="U148" s="8"/>
      <c r="V148" s="20">
        <v>2</v>
      </c>
      <c r="W148" s="20"/>
      <c r="X148" s="22"/>
      <c r="Y148" s="22"/>
      <c r="Z148" s="144">
        <f t="shared" si="12"/>
        <v>4</v>
      </c>
      <c r="AA148" s="139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3"/>
      <c r="S149" s="123"/>
      <c r="T149" s="8"/>
      <c r="U149" s="8"/>
      <c r="V149" s="20"/>
      <c r="W149" s="20"/>
      <c r="X149" s="22"/>
      <c r="Y149" s="22"/>
      <c r="Z149" s="144">
        <f t="shared" si="12"/>
        <v>2</v>
      </c>
      <c r="AA149" s="139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3"/>
      <c r="S150" s="123"/>
      <c r="T150" s="8"/>
      <c r="U150" s="8"/>
      <c r="V150" s="20"/>
      <c r="W150" s="20"/>
      <c r="X150" s="22"/>
      <c r="Y150" s="22"/>
      <c r="Z150" s="144">
        <f t="shared" si="12"/>
        <v>0</v>
      </c>
      <c r="AA150" s="139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3"/>
      <c r="S151" s="123"/>
      <c r="T151" s="8"/>
      <c r="U151" s="8"/>
      <c r="V151" s="20"/>
      <c r="W151" s="20"/>
      <c r="X151" s="22"/>
      <c r="Y151" s="22"/>
      <c r="Z151" s="144">
        <f t="shared" si="12"/>
        <v>0</v>
      </c>
      <c r="AA151" s="139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3"/>
      <c r="S152" s="123"/>
      <c r="T152" s="8"/>
      <c r="U152" s="8"/>
      <c r="V152" s="20"/>
      <c r="W152" s="20"/>
      <c r="X152" s="22"/>
      <c r="Y152" s="22"/>
      <c r="Z152" s="144">
        <f t="shared" si="12"/>
        <v>0</v>
      </c>
      <c r="AA152" s="139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3"/>
      <c r="S153" s="123"/>
      <c r="T153" s="8"/>
      <c r="U153" s="8"/>
      <c r="V153" s="20"/>
      <c r="W153" s="20"/>
      <c r="X153" s="22"/>
      <c r="Y153" s="22"/>
      <c r="Z153" s="144">
        <f t="shared" si="12"/>
        <v>0</v>
      </c>
      <c r="AA153" s="139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3"/>
      <c r="S154" s="123"/>
      <c r="T154" s="8"/>
      <c r="U154" s="8"/>
      <c r="V154" s="20"/>
      <c r="W154" s="20"/>
      <c r="X154" s="22"/>
      <c r="Y154" s="22"/>
      <c r="Z154" s="144">
        <f t="shared" si="12"/>
        <v>0</v>
      </c>
      <c r="AA154" s="139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3"/>
      <c r="S155" s="123"/>
      <c r="T155" s="8"/>
      <c r="U155" s="8"/>
      <c r="V155" s="20"/>
      <c r="W155" s="20"/>
      <c r="X155" s="22"/>
      <c r="Y155" s="22"/>
      <c r="Z155" s="144">
        <f t="shared" si="12"/>
        <v>0</v>
      </c>
      <c r="AA155" s="139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3"/>
      <c r="S156" s="123"/>
      <c r="T156" s="8"/>
      <c r="U156" s="8"/>
      <c r="V156" s="20"/>
      <c r="W156" s="20"/>
      <c r="X156" s="22"/>
      <c r="Y156" s="22"/>
      <c r="Z156" s="144">
        <f t="shared" si="12"/>
        <v>0</v>
      </c>
      <c r="AA156" s="139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3"/>
      <c r="S157" s="123"/>
      <c r="T157" s="8"/>
      <c r="U157" s="8"/>
      <c r="V157" s="20"/>
      <c r="W157" s="20"/>
      <c r="X157" s="22"/>
      <c r="Y157" s="22"/>
      <c r="Z157" s="144">
        <f t="shared" si="12"/>
        <v>0</v>
      </c>
      <c r="AA157" s="139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3"/>
      <c r="S158" s="123"/>
      <c r="T158" s="8"/>
      <c r="U158" s="8"/>
      <c r="V158" s="20"/>
      <c r="W158" s="20"/>
      <c r="X158" s="22"/>
      <c r="Y158" s="22"/>
      <c r="Z158" s="144">
        <f t="shared" si="12"/>
        <v>0</v>
      </c>
      <c r="AA158" s="139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3"/>
      <c r="S159" s="123"/>
      <c r="T159" s="8"/>
      <c r="U159" s="8"/>
      <c r="V159" s="20"/>
      <c r="W159" s="20"/>
      <c r="X159" s="22"/>
      <c r="Y159" s="22"/>
      <c r="Z159" s="144">
        <f t="shared" si="12"/>
        <v>0</v>
      </c>
      <c r="AA159" s="139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3"/>
      <c r="S160" s="123"/>
      <c r="T160" s="8"/>
      <c r="U160" s="8"/>
      <c r="V160" s="20"/>
      <c r="W160" s="20"/>
      <c r="X160" s="22"/>
      <c r="Y160" s="22"/>
      <c r="Z160" s="144">
        <f t="shared" si="12"/>
        <v>0</v>
      </c>
      <c r="AA160" s="139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3"/>
      <c r="S161" s="123"/>
      <c r="T161" s="8"/>
      <c r="U161" s="8"/>
      <c r="V161" s="20"/>
      <c r="W161" s="20"/>
      <c r="X161" s="22"/>
      <c r="Y161" s="22"/>
      <c r="Z161" s="144">
        <f t="shared" si="12"/>
        <v>0</v>
      </c>
      <c r="AA161" s="139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166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3"/>
      <c r="S162" s="123"/>
      <c r="T162" s="8"/>
      <c r="U162" s="8"/>
      <c r="V162" s="20"/>
      <c r="W162" s="20"/>
      <c r="X162" s="22"/>
      <c r="Y162" s="22"/>
      <c r="Z162" s="144">
        <f t="shared" si="12"/>
        <v>0</v>
      </c>
      <c r="AA162" s="139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3"/>
      <c r="S163" s="123"/>
      <c r="T163" s="8"/>
      <c r="U163" s="8"/>
      <c r="V163" s="20"/>
      <c r="W163" s="20"/>
      <c r="X163" s="22"/>
      <c r="Y163" s="22"/>
      <c r="Z163" s="144">
        <f t="shared" si="12"/>
        <v>0</v>
      </c>
      <c r="AA163" s="139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3"/>
      <c r="S164" s="123"/>
      <c r="T164" s="8"/>
      <c r="U164" s="8"/>
      <c r="V164" s="20"/>
      <c r="W164" s="20"/>
      <c r="X164" s="22"/>
      <c r="Y164" s="22"/>
      <c r="Z164" s="144">
        <f t="shared" si="12"/>
        <v>0</v>
      </c>
      <c r="AA164" s="139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3"/>
      <c r="S165" s="123"/>
      <c r="T165" s="8"/>
      <c r="U165" s="8"/>
      <c r="V165" s="20"/>
      <c r="W165" s="20"/>
      <c r="X165" s="22"/>
      <c r="Y165" s="22"/>
      <c r="Z165" s="144">
        <f t="shared" si="12"/>
        <v>0</v>
      </c>
      <c r="AA165" s="139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3"/>
      <c r="S166" s="123"/>
      <c r="T166" s="8"/>
      <c r="U166" s="8"/>
      <c r="V166" s="20"/>
      <c r="W166" s="20"/>
      <c r="X166" s="22"/>
      <c r="Y166" s="22"/>
      <c r="Z166" s="144">
        <f t="shared" si="12"/>
        <v>0</v>
      </c>
      <c r="AA166" s="139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3"/>
      <c r="S167" s="123"/>
      <c r="T167" s="8"/>
      <c r="U167" s="8"/>
      <c r="V167" s="20"/>
      <c r="W167" s="20"/>
      <c r="X167" s="22"/>
      <c r="Y167" s="22"/>
      <c r="Z167" s="144">
        <f t="shared" si="12"/>
        <v>0</v>
      </c>
      <c r="AA167" s="139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3"/>
      <c r="S168" s="123"/>
      <c r="T168" s="8"/>
      <c r="U168" s="8"/>
      <c r="V168" s="20"/>
      <c r="W168" s="20"/>
      <c r="X168" s="22"/>
      <c r="Y168" s="22"/>
      <c r="Z168" s="144">
        <f t="shared" si="12"/>
        <v>0</v>
      </c>
      <c r="AA168" s="139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3"/>
      <c r="S169" s="123"/>
      <c r="T169" s="8"/>
      <c r="U169" s="8"/>
      <c r="V169" s="20"/>
      <c r="W169" s="20"/>
      <c r="X169" s="22"/>
      <c r="Y169" s="22"/>
      <c r="Z169" s="144">
        <f t="shared" si="12"/>
        <v>0</v>
      </c>
      <c r="AA169" s="139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3"/>
      <c r="S170" s="123"/>
      <c r="T170" s="8"/>
      <c r="U170" s="8"/>
      <c r="V170" s="20"/>
      <c r="W170" s="20"/>
      <c r="X170" s="22"/>
      <c r="Y170" s="22"/>
      <c r="Z170" s="144">
        <f t="shared" si="12"/>
        <v>0</v>
      </c>
      <c r="AA170" s="139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3"/>
      <c r="S171" s="123"/>
      <c r="T171" s="8"/>
      <c r="U171" s="8"/>
      <c r="V171" s="20"/>
      <c r="W171" s="20"/>
      <c r="X171" s="22"/>
      <c r="Y171" s="22"/>
      <c r="Z171" s="144">
        <f t="shared" si="12"/>
        <v>0</v>
      </c>
      <c r="AA171" s="139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2:H8 I2:I9 I11:I57 D14 H9:H10 H12:H15 D16:H52 J2:N57 H53:H57 H58:M58 D53:G58 O2:Y33 D59:M115 F9:G15 D9:E13 D15:E15 O37:Y171 O34:S36 T35 V34:Y36 T34:U34 T36:U36 D116:N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46110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>
        <f>IFERROR(IF(AND(booking!AB18&gt;0,booking!D18&lt;&gt;booking!E18),VLOOKUP(booking!E18,Database!$A$1:'Database'!$L$175,9,FALSE),"-"),"-")</f>
        <v>0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udc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-</v>
      </c>
      <c r="J123" s="49" t="str">
        <f>IFERROR(IF(AND(booking!AB123&gt;0,booking!H123&lt;&gt;booking!I123),VLOOKUP(booking!I123,Database!$A$1:'Database'!$L$175,9,FALSE),"-"),"-")</f>
        <v>-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-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-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Enk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tabSelected="1" zoomScaleNormal="100"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79" t="str">
        <f>rengøring!A1</f>
        <v>dag</v>
      </c>
      <c r="B1" s="80" t="s">
        <v>116</v>
      </c>
      <c r="C1" s="79" t="str">
        <f>rengøring!C1</f>
        <v>dd</v>
      </c>
      <c r="D1" s="81">
        <f ca="1">TODAY()</f>
        <v>46110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4">
      <c r="A2" s="91" t="str">
        <f>rengøring!A2</f>
        <v>mandag</v>
      </c>
      <c r="B2" s="92">
        <v>46139</v>
      </c>
      <c r="C2" s="92"/>
      <c r="D2" s="93" t="str">
        <f>IF(booking!AB2&gt;0,"Y","-")</f>
        <v>-</v>
      </c>
      <c r="E2" s="101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8" t="str">
        <f>IFERROR(VLOOKUP(E2,Database!$A$2:$L$175,9,FALSE),"-")</f>
        <v>-</v>
      </c>
      <c r="I2" s="117" t="str">
        <f>IFERROR(VLOOKUP(E2,Database!$A$2:$S$175,19,FALSE),"-")</f>
        <v>-</v>
      </c>
      <c r="J2" s="102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8" t="str">
        <f>IFERROR(VLOOKUP(J2,Database!$A$2:$L$175,9,FALSE),"-")</f>
        <v>-</v>
      </c>
      <c r="N2" s="102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3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2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4">
      <c r="A3" s="94" t="str">
        <f>rengøring!A3</f>
        <v>tirsdag</v>
      </c>
      <c r="B3" s="90">
        <v>46140</v>
      </c>
      <c r="C3" s="9"/>
      <c r="D3" s="95" t="str">
        <f>IF(booking!AB3&gt;0,"Y","-")</f>
        <v>-</v>
      </c>
      <c r="E3" s="101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99" t="str">
        <f>IFERROR(VLOOKUP(E3,Database!$A$2:$L$175,9,FALSE),"-")</f>
        <v>-</v>
      </c>
      <c r="I3" s="117" t="str">
        <f>IFERROR(VLOOKUP(E3,Database!$A$2:$S$175,19,FALSE),"-")</f>
        <v>-</v>
      </c>
      <c r="J3" s="102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99" t="str">
        <f>IFERROR(VLOOKUP(J3,Database!$A$2:$L$175,9,FALSE),"-")</f>
        <v>-</v>
      </c>
      <c r="N3" s="102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3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2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4">
      <c r="A4" s="94" t="str">
        <f>rengøring!A4</f>
        <v>onsdag</v>
      </c>
      <c r="B4" s="92">
        <v>46141</v>
      </c>
      <c r="C4" s="9"/>
      <c r="D4" s="95" t="str">
        <f>IF(booking!AB4&gt;0,"Y","-")</f>
        <v>-</v>
      </c>
      <c r="E4" s="101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99" t="str">
        <f>IFERROR(VLOOKUP(E4,Database!$A$2:$L$175,9,FALSE),"-")</f>
        <v>-</v>
      </c>
      <c r="I4" s="118"/>
      <c r="J4" s="102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99" t="str">
        <f>IFERROR(VLOOKUP(J4,Database!$A$2:$L$175,9,FALSE),"-")</f>
        <v>-</v>
      </c>
      <c r="N4" s="102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3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2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4">
      <c r="A5" s="94" t="str">
        <f>rengøring!A5</f>
        <v>torsdag</v>
      </c>
      <c r="B5" s="92">
        <v>46142</v>
      </c>
      <c r="C5" s="9"/>
      <c r="D5" s="95" t="str">
        <f>IF(booking!AB5&gt;0,"Y","-")</f>
        <v>-</v>
      </c>
      <c r="E5" s="101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99" t="str">
        <f>IFERROR(VLOOKUP(E5,Database!$A$2:$L$175,9,FALSE),"-")</f>
        <v>-</v>
      </c>
      <c r="I5" s="118"/>
      <c r="J5" s="102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99" t="str">
        <f>IFERROR(VLOOKUP(J5,Database!$A$2:$L$175,9,FALSE),"-")</f>
        <v>-</v>
      </c>
      <c r="N5" s="102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3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2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4">
      <c r="A6" s="94" t="str">
        <f>rengøring!A6</f>
        <v>fredag</v>
      </c>
      <c r="B6" s="90">
        <v>46143</v>
      </c>
      <c r="C6" s="9"/>
      <c r="D6" s="95" t="str">
        <f>IF(booking!AB6&gt;0,"Y","-")</f>
        <v>Y</v>
      </c>
      <c r="E6" s="101">
        <f>IF(AND(D6="Y",booking!D6&lt;&gt;booking!E6,booking!E6&gt;0),booking!E6,"-")</f>
        <v>85</v>
      </c>
      <c r="F6" s="84">
        <f>IFERROR(VLOOKUP(E6,Database!$A$2:$L$175,8,FALSE),"-")</f>
        <v>0</v>
      </c>
      <c r="G6" s="84" t="str">
        <f>IFERROR(VLOOKUP(E6,Database!$A$2:$L$175,6,FALSE),"-")</f>
        <v>DK</v>
      </c>
      <c r="H6" s="99">
        <f>IFERROR(VLOOKUP(E6,Database!$A$2:$L$175,9,FALSE),"-")</f>
        <v>0</v>
      </c>
      <c r="I6" s="118"/>
      <c r="J6" s="102">
        <f>IF(AND(D6="Y",booking!H6&lt;&gt;booking!I6,booking!I6&gt;0),booking!I6,"-")</f>
        <v>82</v>
      </c>
      <c r="K6" s="84">
        <f>IFERROR(VLOOKUP(J6,Database!$A$2:$L$175,8,FALSE),"-")</f>
        <v>0</v>
      </c>
      <c r="L6" s="84" t="str">
        <f>IFERROR(VLOOKUP(J6,Database!$A$2:$L$175,6,FALSE),"-")</f>
        <v>DK</v>
      </c>
      <c r="M6" s="99">
        <f>IFERROR(VLOOKUP(J6,Database!$A$2:$L$175,9,FALSE),"-")</f>
        <v>0</v>
      </c>
      <c r="N6" s="102">
        <f>IF(AND(D6="Y",booking!L6&lt;&gt;booking!M6,booking!M6&gt;0),booking!M6,"-")</f>
        <v>68</v>
      </c>
      <c r="O6" s="84">
        <f>IFERROR(VLOOKUP(N6,Database!$A$2:$L$175,8,FALSE),"-")</f>
        <v>0</v>
      </c>
      <c r="P6" s="84" t="str">
        <f>IFERROR(VLOOKUP(N6,Database!$A$2:$L$175,6,FALSE),"-")</f>
        <v>DK</v>
      </c>
      <c r="Q6" s="88" t="str">
        <f>IFERROR(VLOOKUP(N6,Database!$A$2:$L$175,9,FALSE),"-")</f>
        <v>sing</v>
      </c>
      <c r="R6" s="103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2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4">
      <c r="A7" s="94" t="str">
        <f>rengøring!A7</f>
        <v>lørdag</v>
      </c>
      <c r="B7" s="92">
        <v>46144</v>
      </c>
      <c r="C7" s="9"/>
      <c r="D7" s="95" t="str">
        <f>IF(booking!AB7&gt;0,"Y","-")</f>
        <v>-</v>
      </c>
      <c r="E7" s="101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99" t="str">
        <f>IFERROR(VLOOKUP(E7,Database!$A$2:$L$175,9,FALSE),"-")</f>
        <v>-</v>
      </c>
      <c r="I7" s="118"/>
      <c r="J7" s="102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99" t="str">
        <f>IFERROR(VLOOKUP(J7,Database!$A$2:$L$175,9,FALSE),"-")</f>
        <v>-</v>
      </c>
      <c r="N7" s="102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3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2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4">
      <c r="A8" s="94" t="str">
        <f>rengøring!A8</f>
        <v>søndag</v>
      </c>
      <c r="B8" s="92">
        <v>46145</v>
      </c>
      <c r="C8" s="9"/>
      <c r="D8" s="95" t="str">
        <f>IF(booking!AB8&gt;0,"Y","-")</f>
        <v>Y</v>
      </c>
      <c r="E8" s="101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99" t="str">
        <f>IFERROR(VLOOKUP(E8,Database!$A$2:$L$175,9,FALSE),"-")</f>
        <v>-</v>
      </c>
      <c r="I8" s="118"/>
      <c r="J8" s="102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99" t="str">
        <f>IFERROR(VLOOKUP(J8,Database!$A$2:$L$175,9,FALSE),"-")</f>
        <v>-</v>
      </c>
      <c r="N8" s="102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3">
        <f>IF(AND(D8="Y",booking!P8&lt;&gt;booking!Q8,booking!Q8&gt;0),booking!Q8,"-")</f>
        <v>72</v>
      </c>
      <c r="S8" s="84" t="str">
        <f>IFERROR(VLOOKUP(R8,Database!$A$2:$L$175,8,FALSE),"-")</f>
        <v>1430</v>
      </c>
      <c r="T8" s="84" t="str">
        <f>IFERROR(VLOOKUP(R8,Database!$A$2:$L$175,6,FALSE),"-")</f>
        <v>DK</v>
      </c>
      <c r="U8" s="88">
        <f>IFERROR(VLOOKUP(R8,Database!$A$2:$L$175,9,FALSE),"-")</f>
        <v>0</v>
      </c>
      <c r="V8" s="102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4">
      <c r="A9" s="94" t="str">
        <f>rengøring!A9</f>
        <v>mandag</v>
      </c>
      <c r="B9" s="90">
        <v>46146</v>
      </c>
      <c r="C9" s="9"/>
      <c r="D9" s="95" t="str">
        <f>IF(booking!AB9&gt;0,"Y","-")</f>
        <v>-</v>
      </c>
      <c r="E9" s="101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99" t="str">
        <f>IFERROR(VLOOKUP(E9,Database!$A$2:$L$175,9,FALSE),"-")</f>
        <v>-</v>
      </c>
      <c r="I9" s="118"/>
      <c r="J9" s="102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99" t="str">
        <f>IFERROR(VLOOKUP(J9,Database!$A$2:$L$175,9,FALSE),"-")</f>
        <v>-</v>
      </c>
      <c r="N9" s="102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3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2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4">
      <c r="A10" s="94" t="str">
        <f>rengøring!A10</f>
        <v>tirsdag</v>
      </c>
      <c r="B10" s="92">
        <v>46147</v>
      </c>
      <c r="C10" s="9"/>
      <c r="D10" s="95" t="str">
        <f>IF(booking!AB10&gt;0,"Y","-")</f>
        <v>-</v>
      </c>
      <c r="E10" s="101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99" t="str">
        <f>IFERROR(VLOOKUP(E10,Database!$A$2:$L$175,9,FALSE),"-")</f>
        <v>-</v>
      </c>
      <c r="I10" s="118"/>
      <c r="J10" s="102" t="str">
        <f>IF(AND(D10="Y",booking!H10&lt;&gt;booking!I11,booking!I11&gt;0),booking!I11,"-")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99" t="str">
        <f>IFERROR(VLOOKUP(J10,Database!$A$2:$L$175,9,FALSE),"-")</f>
        <v>-</v>
      </c>
      <c r="N10" s="102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3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2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4">
      <c r="A11" s="94" t="str">
        <f>rengøring!A11</f>
        <v>onsdag</v>
      </c>
      <c r="B11" s="92">
        <v>46148</v>
      </c>
      <c r="C11" s="9"/>
      <c r="D11" s="95" t="str">
        <f>IF(booking!AB11&gt;0,"Y","-")</f>
        <v>Y</v>
      </c>
      <c r="E11" s="101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99" t="str">
        <f>IFERROR(VLOOKUP(E11,Database!$A$2:$L$175,9,FALSE),"-")</f>
        <v>-</v>
      </c>
      <c r="I11" s="118"/>
      <c r="J11" s="102">
        <f>IF(AND(D11="Y",booking!H11&lt;&gt;booking!I12,booking!I12&gt;0),booking!I12,"-")</f>
        <v>80</v>
      </c>
      <c r="K11" s="84">
        <f>IFERROR(VLOOKUP(J11,Database!$A$2:$L$175,8,FALSE),"-")</f>
        <v>0</v>
      </c>
      <c r="L11" s="84" t="str">
        <f>IFERROR(VLOOKUP(J11,Database!$A$2:$L$175,6,FALSE),"-")</f>
        <v>DK</v>
      </c>
      <c r="M11" s="99" t="str">
        <f>IFERROR(VLOOKUP(J11,Database!$A$2:$L$175,9,FALSE),"-")</f>
        <v>db</v>
      </c>
      <c r="N11" s="102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3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2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4">
      <c r="A12" s="94" t="str">
        <f>rengøring!A12</f>
        <v>torsdag</v>
      </c>
      <c r="B12" s="90">
        <v>46149</v>
      </c>
      <c r="C12" s="9"/>
      <c r="D12" s="95" t="str">
        <f>IF(booking!AB12&gt;0,"Y","-")</f>
        <v>Y</v>
      </c>
      <c r="E12" s="101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99" t="str">
        <f>IFERROR(VLOOKUP(E12,Database!$A$2:$L$175,9,FALSE),"-")</f>
        <v>-</v>
      </c>
      <c r="I12" s="118"/>
      <c r="J12" s="102">
        <f>IF(AND(D12="Y",booking!H12&lt;&gt;booking!I12,booking!I12&gt;0),booking!I12,"-")</f>
        <v>80</v>
      </c>
      <c r="K12" s="84">
        <f>IFERROR(VLOOKUP(J12,Database!$A$2:$L$175,8,FALSE),"-")</f>
        <v>0</v>
      </c>
      <c r="L12" s="84" t="str">
        <f>IFERROR(VLOOKUP(J12,Database!$A$2:$L$175,6,FALSE),"-")</f>
        <v>DK</v>
      </c>
      <c r="M12" s="99" t="str">
        <f>IFERROR(VLOOKUP(J12,Database!$A$2:$L$175,9,FALSE),"-")</f>
        <v>db</v>
      </c>
      <c r="N12" s="102">
        <f>IF(AND(D12="Y",booking!L12&lt;&gt;booking!M12,booking!M12&gt;0),booking!M12,"-")</f>
        <v>80</v>
      </c>
      <c r="O12" s="84">
        <f>IFERROR(VLOOKUP(N12,Database!$A$2:$L$175,8,FALSE),"-")</f>
        <v>0</v>
      </c>
      <c r="P12" s="84" t="str">
        <f>IFERROR(VLOOKUP(N12,Database!$A$2:$L$175,6,FALSE),"-")</f>
        <v>DK</v>
      </c>
      <c r="Q12" s="88" t="str">
        <f>IFERROR(VLOOKUP(N12,Database!$A$2:$L$175,9,FALSE),"-")</f>
        <v>db</v>
      </c>
      <c r="R12" s="103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2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4">
      <c r="A13" s="94" t="str">
        <f>rengøring!A13</f>
        <v>fredag</v>
      </c>
      <c r="B13" s="92">
        <v>46150</v>
      </c>
      <c r="C13" s="9"/>
      <c r="D13" s="95" t="str">
        <f>IF(booking!AB13&gt;0,"Y","-")</f>
        <v>-</v>
      </c>
      <c r="E13" s="101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99" t="str">
        <f>IFERROR(VLOOKUP(E13,Database!$A$2:$L$175,9,FALSE),"-")</f>
        <v>-</v>
      </c>
      <c r="I13" s="118"/>
      <c r="J13" s="102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99" t="str">
        <f>IFERROR(VLOOKUP(J13,Database!$A$2:$L$175,9,FALSE),"-")</f>
        <v>-</v>
      </c>
      <c r="N13" s="102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3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2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4">
      <c r="A14" s="94" t="str">
        <f>rengøring!A14</f>
        <v>lørdag</v>
      </c>
      <c r="B14" s="92">
        <v>46151</v>
      </c>
      <c r="C14" s="9"/>
      <c r="D14" s="95" t="str">
        <f>IF(booking!AB14&gt;0,"Y","-")</f>
        <v>-</v>
      </c>
      <c r="E14" s="101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99" t="str">
        <f>IFERROR(VLOOKUP(E14,Database!$A$2:$L$175,9,FALSE),"-")</f>
        <v>-</v>
      </c>
      <c r="I14" s="118"/>
      <c r="J14" s="102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99" t="str">
        <f>IFERROR(VLOOKUP(J14,Database!$A$2:$L$175,9,FALSE),"-")</f>
        <v>-</v>
      </c>
      <c r="N14" s="102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3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2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4">
      <c r="A15" s="94" t="str">
        <f>rengøring!A15</f>
        <v>søndag</v>
      </c>
      <c r="B15" s="90">
        <v>46152</v>
      </c>
      <c r="C15" s="9"/>
      <c r="D15" s="95" t="str">
        <f>IF(booking!AB15&gt;0,"Y","-")</f>
        <v>-</v>
      </c>
      <c r="E15" s="101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99" t="str">
        <f>IFERROR(VLOOKUP(E15,Database!$A$2:$L$175,9,FALSE),"-")</f>
        <v>-</v>
      </c>
      <c r="I15" s="118"/>
      <c r="J15" s="102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99" t="str">
        <f>IFERROR(VLOOKUP(J15,Database!$A$2:$L$175,9,FALSE),"-")</f>
        <v>-</v>
      </c>
      <c r="N15" s="102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3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2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4">
      <c r="A16" s="94" t="str">
        <f>rengøring!A16</f>
        <v>mandag</v>
      </c>
      <c r="B16" s="92">
        <v>46153</v>
      </c>
      <c r="C16" s="9"/>
      <c r="D16" s="95" t="str">
        <f>IF(booking!AB16&gt;0,"Y","-")</f>
        <v>Y</v>
      </c>
      <c r="E16" s="101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99" t="str">
        <f>IFERROR(VLOOKUP(E16,Database!$A$2:$L$175,9,FALSE),"-")</f>
        <v>-</v>
      </c>
      <c r="I16" s="118"/>
      <c r="J16" s="102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99" t="str">
        <f>IFERROR(VLOOKUP(J16,Database!$A$2:$L$175,9,FALSE),"-")</f>
        <v>-</v>
      </c>
      <c r="N16" s="102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3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2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4">
      <c r="A17" s="94" t="str">
        <f>rengøring!A17</f>
        <v>tirsdag</v>
      </c>
      <c r="B17" s="92">
        <v>46154</v>
      </c>
      <c r="C17" s="9"/>
      <c r="D17" s="95" t="str">
        <f>IF(booking!AB17&gt;0,"Y","-")</f>
        <v>-</v>
      </c>
      <c r="E17" s="101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99" t="str">
        <f>IFERROR(VLOOKUP(E17,Database!$A$2:$L$175,9,FALSE),"-")</f>
        <v>-</v>
      </c>
      <c r="I17" s="118"/>
      <c r="J17" s="102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99" t="str">
        <f>IFERROR(VLOOKUP(J17,Database!$A$2:$L$175,9,FALSE),"-")</f>
        <v>-</v>
      </c>
      <c r="N17" s="102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3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2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4">
      <c r="A18" s="94" t="str">
        <f>rengøring!A18</f>
        <v>onsdag</v>
      </c>
      <c r="B18" s="90">
        <v>46155</v>
      </c>
      <c r="C18" s="9"/>
      <c r="D18" s="95" t="str">
        <f>IF(booking!AB18&gt;0,"Y","-")</f>
        <v>Y</v>
      </c>
      <c r="E18" s="101">
        <f>IF(AND(D18="Y",booking!D18&lt;&gt;booking!E18,booking!E18&gt;0),booking!E18,"-")</f>
        <v>53</v>
      </c>
      <c r="F18" s="84">
        <f>IFERROR(VLOOKUP(E18,Database!$A$2:$L$175,8,FALSE),"-")</f>
        <v>0</v>
      </c>
      <c r="G18" s="84" t="str">
        <f>IFERROR(VLOOKUP(E18,Database!$A$2:$L$175,6,FALSE),"-")</f>
        <v>DK</v>
      </c>
      <c r="H18" s="99">
        <f>IFERROR(VLOOKUP(E18,Database!$A$2:$L$175,9,FALSE),"-")</f>
        <v>0</v>
      </c>
      <c r="I18" s="118"/>
      <c r="J18" s="102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99" t="str">
        <f>IFERROR(VLOOKUP(J18,Database!$A$2:$L$175,9,FALSE),"-")</f>
        <v>-</v>
      </c>
      <c r="N18" s="102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3" t="str">
        <f>IF(AND(D18="Y",booking!P18&lt;&gt;booking!Q18,booking!Q18&gt;0),booking!Q18,"-")</f>
        <v>-</v>
      </c>
      <c r="S18" s="84" t="str">
        <f>IFERROR(VLOOKUP(R18,Database!$A$2:$L$175,8,FALSE),"-")</f>
        <v>-</v>
      </c>
      <c r="T18" s="84" t="str">
        <f>IFERROR(VLOOKUP(R18,Database!$A$2:$L$175,6,FALSE),"-")</f>
        <v>-</v>
      </c>
      <c r="U18" s="88" t="str">
        <f>IFERROR(VLOOKUP(R18,Database!$A$2:$L$175,9,FALSE),"-")</f>
        <v>-</v>
      </c>
      <c r="V18" s="102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4">
      <c r="A19" s="94" t="str">
        <f>rengøring!A19</f>
        <v>torsdag</v>
      </c>
      <c r="B19" s="92">
        <v>46156</v>
      </c>
      <c r="C19" s="9"/>
      <c r="D19" s="95" t="str">
        <f>IF(booking!AB19&gt;0,"Y","-")</f>
        <v>Y</v>
      </c>
      <c r="E19" s="101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99" t="str">
        <f>IFERROR(VLOOKUP(E19,Database!$A$2:$L$175,9,FALSE),"-")</f>
        <v>-</v>
      </c>
      <c r="I19" s="118"/>
      <c r="J19" s="102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99" t="str">
        <f>IFERROR(VLOOKUP(J19,Database!$A$2:$L$175,9,FALSE),"-")</f>
        <v>-</v>
      </c>
      <c r="N19" s="102">
        <f>IF(AND(D19="Y",booking!L19&lt;&gt;booking!M19,booking!M19&gt;0),booking!M19,"-")</f>
        <v>95</v>
      </c>
      <c r="O19" s="84">
        <f>IFERROR(VLOOKUP(N19,Database!$A$2:$L$175,8,FALSE),"-")</f>
        <v>0</v>
      </c>
      <c r="P19" s="84" t="str">
        <f>IFERROR(VLOOKUP(N19,Database!$A$2:$L$175,6,FALSE),"-")</f>
        <v>S</v>
      </c>
      <c r="Q19" s="88">
        <f>IFERROR(VLOOKUP(N19,Database!$A$2:$L$175,9,FALSE),"-")</f>
        <v>0</v>
      </c>
      <c r="R19" s="103">
        <f>IF(AND(D19="Y",booking!P19&lt;&gt;booking!Q19,booking!Q19&gt;0),booking!Q19,"-")</f>
        <v>97</v>
      </c>
      <c r="S19" s="84">
        <f>IFERROR(VLOOKUP(R19,Database!$A$2:$L$175,8,FALSE),"-")</f>
        <v>0</v>
      </c>
      <c r="T19" s="84" t="str">
        <f>IFERROR(VLOOKUP(R19,Database!$A$2:$L$175,6,FALSE),"-")</f>
        <v>DK</v>
      </c>
      <c r="U19" s="88">
        <f>IFERROR(VLOOKUP(R19,Database!$A$2:$L$175,9,FALSE),"-")</f>
        <v>0</v>
      </c>
      <c r="V19" s="102">
        <f>IF(AND(D19="Y",booking!T19&lt;&gt;booking!U19,booking!U19&gt;0),booking!U19,"-")</f>
        <v>90</v>
      </c>
      <c r="W19" s="85" t="str">
        <f>IFERROR(VLOOKUP(V19,Database!$A$2:$L$175,8,FALSE),"-")</f>
        <v>1630</v>
      </c>
      <c r="X19" s="85" t="str">
        <f>IFERROR(VLOOKUP(V19,Database!$A$2:$L$175,6,FALSE),"-")</f>
        <v>S</v>
      </c>
      <c r="Y19" s="87" t="str">
        <f>IFERROR(VLOOKUP(V19,Database!$A$2:$L$175,9,FALSE),"-")</f>
        <v>dobb</v>
      </c>
    </row>
    <row r="20" spans="1:25" ht="15" customHeight="1" thickBot="1" x14ac:dyDescent="0.4">
      <c r="A20" s="94" t="str">
        <f>rengøring!A20</f>
        <v>fredag</v>
      </c>
      <c r="B20" s="92">
        <v>46157</v>
      </c>
      <c r="C20" s="9"/>
      <c r="D20" s="95" t="str">
        <f>IF(booking!AB20&gt;0,"Y","-")</f>
        <v>Y</v>
      </c>
      <c r="E20" s="101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99" t="str">
        <f>IFERROR(VLOOKUP(E20,Database!$A$2:$L$175,9,FALSE),"-")</f>
        <v>-</v>
      </c>
      <c r="I20" s="118"/>
      <c r="J20" s="102">
        <f>IF(AND(D20="Y",booking!H20&lt;&gt;booking!I20,booking!I20&gt;0),booking!I20,"-")</f>
        <v>91</v>
      </c>
      <c r="K20" s="84">
        <f>IFERROR(VLOOKUP(J20,Database!$A$2:$L$175,8,FALSE),"-")</f>
        <v>0</v>
      </c>
      <c r="L20" s="84" t="str">
        <f>IFERROR(VLOOKUP(J20,Database!$A$2:$L$175,6,FALSE),"-")</f>
        <v>DK</v>
      </c>
      <c r="M20" s="99">
        <f>IFERROR(VLOOKUP(J20,Database!$A$2:$L$175,9,FALSE),"-")</f>
        <v>0</v>
      </c>
      <c r="N20" s="102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3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2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4">
      <c r="A21" s="94" t="str">
        <f>rengøring!A21</f>
        <v>lørdag</v>
      </c>
      <c r="B21" s="90">
        <v>46158</v>
      </c>
      <c r="C21" s="9"/>
      <c r="D21" s="95" t="str">
        <f>IF(booking!AB21&gt;0,"Y","-")</f>
        <v>Y</v>
      </c>
      <c r="E21" s="101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99">
        <f>IFERROR(VLOOKUP(E21,Database!$A$2:$L$175,9,FALSE),"-")</f>
        <v>0</v>
      </c>
      <c r="I21" s="118"/>
      <c r="J21" s="102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99" t="str">
        <f>IFERROR(VLOOKUP(J21,Database!$A$2:$L$175,9,FALSE),"-")</f>
        <v>-</v>
      </c>
      <c r="N21" s="102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3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2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4">
      <c r="A22" s="94" t="str">
        <f>rengøring!A22</f>
        <v>søndag</v>
      </c>
      <c r="B22" s="92">
        <v>46159</v>
      </c>
      <c r="C22" s="9"/>
      <c r="D22" s="95" t="str">
        <f>IF(booking!AB22&gt;0,"Y","-")</f>
        <v>Y</v>
      </c>
      <c r="E22" s="101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99" t="str">
        <f>IFERROR(VLOOKUP(E22,Database!$A$2:$L$175,9,FALSE),"-")</f>
        <v>-</v>
      </c>
      <c r="I22" s="118"/>
      <c r="J22" s="102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99" t="str">
        <f>IFERROR(VLOOKUP(J22,Database!$A$2:$L$175,9,FALSE),"-")</f>
        <v>-</v>
      </c>
      <c r="N22" s="102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3">
        <f>IF(AND(D22="Y",booking!P22&lt;&gt;booking!Q22,booking!Q22&gt;0),booking!Q22,"-")</f>
        <v>96</v>
      </c>
      <c r="S22" s="84" t="str">
        <f>IFERROR(VLOOKUP(R22,Database!$A$2:$L$175,8,FALSE),"-")</f>
        <v>1700</v>
      </c>
      <c r="T22" s="84" t="str">
        <f>IFERROR(VLOOKUP(R22,Database!$A$2:$L$175,6,FALSE),"-")</f>
        <v>D</v>
      </c>
      <c r="U22" s="88" t="str">
        <f>IFERROR(VLOOKUP(R22,Database!$A$2:$L$175,9,FALSE),"-")</f>
        <v>dobb</v>
      </c>
      <c r="V22" s="102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4">
      <c r="A23" s="94" t="str">
        <f>rengøring!A23</f>
        <v>mandag</v>
      </c>
      <c r="B23" s="92">
        <v>46160</v>
      </c>
      <c r="C23" s="9"/>
      <c r="D23" s="95" t="str">
        <f>IF(booking!AB23&gt;0,"Y","-")</f>
        <v>-</v>
      </c>
      <c r="E23" s="101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99" t="str">
        <f>IFERROR(VLOOKUP(E23,Database!$A$2:$L$175,9,FALSE),"-")</f>
        <v>-</v>
      </c>
      <c r="I23" s="118"/>
      <c r="J23" s="102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99" t="str">
        <f>IFERROR(VLOOKUP(J23,Database!$A$2:$L$175,9,FALSE),"-")</f>
        <v>-</v>
      </c>
      <c r="N23" s="102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3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2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4">
      <c r="A24" s="94" t="str">
        <f>rengøring!A24</f>
        <v>tirsdag</v>
      </c>
      <c r="B24" s="90">
        <v>46161</v>
      </c>
      <c r="C24" s="9"/>
      <c r="D24" s="95" t="str">
        <f>IF(booking!AB24&gt;0,"Y","-")</f>
        <v>-</v>
      </c>
      <c r="E24" s="101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99" t="str">
        <f>IFERROR(VLOOKUP(E24,Database!$A$2:$L$175,9,FALSE),"-")</f>
        <v>-</v>
      </c>
      <c r="I24" s="118"/>
      <c r="J24" s="102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99" t="str">
        <f>IFERROR(VLOOKUP(J24,Database!$A$2:$L$175,9,FALSE),"-")</f>
        <v>-</v>
      </c>
      <c r="N24" s="102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3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2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4">
      <c r="A25" s="94" t="str">
        <f>rengøring!A25</f>
        <v>onsdag</v>
      </c>
      <c r="B25" s="92">
        <v>46162</v>
      </c>
      <c r="C25" s="9"/>
      <c r="D25" s="95" t="str">
        <f>IF(booking!AB25&gt;0,"Y","-")</f>
        <v>-</v>
      </c>
      <c r="E25" s="101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99" t="str">
        <f>IFERROR(VLOOKUP(E25,Database!$A$2:$L$175,9,FALSE),"-")</f>
        <v>-</v>
      </c>
      <c r="I25" s="118"/>
      <c r="J25" s="102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99" t="str">
        <f>IFERROR(VLOOKUP(J25,Database!$A$2:$L$175,9,FALSE),"-")</f>
        <v>-</v>
      </c>
      <c r="N25" s="102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3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2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4">
      <c r="A26" s="94" t="str">
        <f>rengøring!A26</f>
        <v>torsdag</v>
      </c>
      <c r="B26" s="92">
        <v>46163</v>
      </c>
      <c r="C26" s="9"/>
      <c r="D26" s="95" t="str">
        <f>IF(booking!AB26&gt;0,"Y","-")</f>
        <v>Y</v>
      </c>
      <c r="E26" s="101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99" t="str">
        <f>IFERROR(VLOOKUP(E26,Database!$A$2:$L$175,9,FALSE),"-")</f>
        <v>-</v>
      </c>
      <c r="I26" s="118"/>
      <c r="J26" s="102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99">
        <f>IFERROR(VLOOKUP(J26,Database!$A$2:$L$175,9,FALSE),"-")</f>
        <v>0</v>
      </c>
      <c r="N26" s="102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3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2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4">
      <c r="A27" s="94" t="str">
        <f>rengøring!A27</f>
        <v>fredag</v>
      </c>
      <c r="B27" s="90">
        <v>46164</v>
      </c>
      <c r="C27" s="9"/>
      <c r="D27" s="95" t="str">
        <f>IF(booking!AB27&gt;0,"Y","-")</f>
        <v>Y</v>
      </c>
      <c r="E27" s="101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99">
        <f>IFERROR(VLOOKUP(E27,Database!$A$2:$L$175,9,FALSE),"-")</f>
        <v>0</v>
      </c>
      <c r="I27" s="118"/>
      <c r="J27" s="102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99" t="str">
        <f>IFERROR(VLOOKUP(J27,Database!$A$2:$L$175,9,FALSE),"-")</f>
        <v>-</v>
      </c>
      <c r="N27" s="102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3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2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4">
      <c r="A28" s="94" t="str">
        <f>rengøring!A28</f>
        <v>lørdag</v>
      </c>
      <c r="B28" s="92">
        <v>46165</v>
      </c>
      <c r="C28" s="9"/>
      <c r="D28" s="95" t="str">
        <f>IF(booking!AB28&gt;0,"Y","-")</f>
        <v>-</v>
      </c>
      <c r="E28" s="101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99" t="str">
        <f>IFERROR(VLOOKUP(E28,Database!$A$2:$L$175,9,FALSE),"-")</f>
        <v>-</v>
      </c>
      <c r="I28" s="118"/>
      <c r="J28" s="102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99" t="str">
        <f>IFERROR(VLOOKUP(J28,Database!$A$2:$L$175,9,FALSE),"-")</f>
        <v>-</v>
      </c>
      <c r="N28" s="102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3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2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4">
      <c r="A29" s="94" t="str">
        <f>rengøring!A29</f>
        <v>søndag</v>
      </c>
      <c r="B29" s="92">
        <v>46166</v>
      </c>
      <c r="C29" s="9"/>
      <c r="D29" s="95" t="str">
        <f>IF(booking!AB29&gt;0,"Y","-")</f>
        <v>-</v>
      </c>
      <c r="E29" s="101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99" t="str">
        <f>IFERROR(VLOOKUP(E29,Database!$A$2:$L$175,9,FALSE),"-")</f>
        <v>-</v>
      </c>
      <c r="I29" s="118"/>
      <c r="J29" s="102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99" t="str">
        <f>IFERROR(VLOOKUP(J29,Database!$A$2:$L$175,9,FALSE),"-")</f>
        <v>-</v>
      </c>
      <c r="N29" s="102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3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2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4">
      <c r="A30" s="94" t="str">
        <f>rengøring!A30</f>
        <v>mandag</v>
      </c>
      <c r="B30" s="90">
        <v>46167</v>
      </c>
      <c r="C30" s="9"/>
      <c r="D30" s="95" t="str">
        <f>IF(booking!AB30&gt;0,"Y","-")</f>
        <v>-</v>
      </c>
      <c r="E30" s="101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99" t="str">
        <f>IFERROR(VLOOKUP(E30,Database!$A$2:$L$175,9,FALSE),"-")</f>
        <v>-</v>
      </c>
      <c r="I30" s="118"/>
      <c r="J30" s="102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99" t="str">
        <f>IFERROR(VLOOKUP(J30,Database!$A$2:$L$175,9,FALSE),"-")</f>
        <v>-</v>
      </c>
      <c r="N30" s="102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3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2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4">
      <c r="A31" s="94" t="str">
        <f>rengøring!A31</f>
        <v>tirsdag</v>
      </c>
      <c r="B31" s="92">
        <v>46168</v>
      </c>
      <c r="C31" s="9"/>
      <c r="D31" s="95" t="str">
        <f>IF(booking!AB31&gt;0,"Y","-")</f>
        <v>-</v>
      </c>
      <c r="E31" s="101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99" t="str">
        <f>IFERROR(VLOOKUP(E31,Database!$A$2:$L$175,9,FALSE),"-")</f>
        <v>-</v>
      </c>
      <c r="I31" s="118"/>
      <c r="J31" s="102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99" t="str">
        <f>IFERROR(VLOOKUP(J31,Database!$A$2:$L$175,9,FALSE),"-")</f>
        <v>-</v>
      </c>
      <c r="N31" s="102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3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2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4">
      <c r="A32" s="94" t="str">
        <f>rengøring!A32</f>
        <v>onsdag</v>
      </c>
      <c r="B32" s="92">
        <v>46169</v>
      </c>
      <c r="C32" s="9"/>
      <c r="D32" s="95" t="str">
        <f>IF(booking!AB32&gt;0,"Y","-")</f>
        <v>Y</v>
      </c>
      <c r="E32" s="101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99" t="str">
        <f>IFERROR(VLOOKUP(E32,Database!$A$2:$L$175,9,FALSE),"-")</f>
        <v>-</v>
      </c>
      <c r="I32" s="118"/>
      <c r="J32" s="102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99" t="str">
        <f>IFERROR(VLOOKUP(J32,Database!$A$2:$L$175,9,FALSE),"-")</f>
        <v>-</v>
      </c>
      <c r="N32" s="102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3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2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4">
      <c r="A33" s="94" t="str">
        <f>rengøring!A33</f>
        <v>torsdag</v>
      </c>
      <c r="B33" s="90">
        <v>46170</v>
      </c>
      <c r="C33" s="9"/>
      <c r="D33" s="95" t="str">
        <f>IF(booking!AB33&gt;0,"Y","-")</f>
        <v>-</v>
      </c>
      <c r="E33" s="101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99" t="str">
        <f>IFERROR(VLOOKUP(E33,Database!$A$2:$L$175,9,FALSE),"-")</f>
        <v>-</v>
      </c>
      <c r="I33" s="118"/>
      <c r="J33" s="102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99" t="str">
        <f>IFERROR(VLOOKUP(J33,Database!$A$2:$L$175,9,FALSE),"-")</f>
        <v>-</v>
      </c>
      <c r="N33" s="102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3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2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4">
      <c r="A34" s="94" t="str">
        <f>rengøring!A34</f>
        <v>fredag</v>
      </c>
      <c r="B34" s="92">
        <v>46171</v>
      </c>
      <c r="C34" s="9"/>
      <c r="D34" s="95" t="str">
        <f>IF(booking!AB34&gt;0,"Y","-")</f>
        <v>Y</v>
      </c>
      <c r="E34" s="101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99" t="str">
        <f>IFERROR(VLOOKUP(E34,Database!$A$2:$L$175,9,FALSE),"-")</f>
        <v>-</v>
      </c>
      <c r="I34" s="118"/>
      <c r="J34" s="102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99" t="str">
        <f>IFERROR(VLOOKUP(J34,Database!$A$2:$L$175,9,FALSE),"-")</f>
        <v>-</v>
      </c>
      <c r="N34" s="102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3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2">
        <f>IF(AND(D34="Y",booking!T34&lt;&gt;booking!U34,booking!U34&gt;0),booking!U34,"-")</f>
        <v>99</v>
      </c>
      <c r="W34" s="85">
        <f>IFERROR(VLOOKUP(V34,Database!$A$2:$L$175,8,FALSE),"-")</f>
        <v>0</v>
      </c>
      <c r="X34" s="85" t="str">
        <f>IFERROR(VLOOKUP(V34,Database!$A$2:$L$175,6,FALSE),"-")</f>
        <v>DK</v>
      </c>
      <c r="Y34" s="87">
        <f>IFERROR(VLOOKUP(V34,Database!$A$2:$L$175,9,FALSE),"-")</f>
        <v>0</v>
      </c>
    </row>
    <row r="35" spans="1:25" ht="15" customHeight="1" thickBot="1" x14ac:dyDescent="0.4">
      <c r="A35" s="94" t="str">
        <f>rengøring!A35</f>
        <v>lørdag</v>
      </c>
      <c r="B35" s="92">
        <v>46172</v>
      </c>
      <c r="C35" s="9"/>
      <c r="D35" s="95" t="str">
        <f>IF(booking!AB35&gt;0,"Y","-")</f>
        <v>Y</v>
      </c>
      <c r="E35" s="101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99" t="str">
        <f>IFERROR(VLOOKUP(E35,Database!$A$2:$L$175,9,FALSE),"-")</f>
        <v>-</v>
      </c>
      <c r="I35" s="118"/>
      <c r="J35" s="102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99" t="str">
        <f>IFERROR(VLOOKUP(J35,Database!$A$2:$L$175,9,FALSE),"-")</f>
        <v>-</v>
      </c>
      <c r="N35" s="102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3">
        <f>IF(AND(D35="Y",booking!P35&lt;&gt;booking!Q35,booking!Q35&gt;0),booking!Q35,"-")</f>
        <v>102</v>
      </c>
      <c r="S35" s="84">
        <f>IFERROR(VLOOKUP(R35,Database!$A$2:$L$175,8,FALSE),"-")</f>
        <v>0</v>
      </c>
      <c r="T35" s="84" t="str">
        <f>IFERROR(VLOOKUP(R35,Database!$A$2:$L$175,6,FALSE),"-")</f>
        <v>DK</v>
      </c>
      <c r="U35" s="88">
        <f>IFERROR(VLOOKUP(R35,Database!$A$2:$L$175,9,FALSE),"-")</f>
        <v>0</v>
      </c>
      <c r="V35" s="102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4">
      <c r="A36" s="94" t="str">
        <f>rengøring!A36</f>
        <v>søndag</v>
      </c>
      <c r="B36" s="90">
        <v>46173</v>
      </c>
      <c r="C36" s="9"/>
      <c r="D36" s="95" t="str">
        <f>IF(booking!AB36&gt;0,"Y","-")</f>
        <v>Y</v>
      </c>
      <c r="E36" s="101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99" t="str">
        <f>IFERROR(VLOOKUP(E36,Database!$A$2:$L$175,9,FALSE),"-")</f>
        <v>-</v>
      </c>
      <c r="I36" s="118"/>
      <c r="J36" s="102">
        <f>IF(AND(D36="Y",booking!H36&lt;&gt;booking!I36,booking!I36&gt;0),booking!I36,"-")</f>
        <v>79</v>
      </c>
      <c r="K36" s="84">
        <f>IFERROR(VLOOKUP(J36,Database!$A$2:$L$175,8,FALSE),"-")</f>
        <v>0</v>
      </c>
      <c r="L36" s="84" t="str">
        <f>IFERROR(VLOOKUP(J36,Database!$A$2:$L$175,6,FALSE),"-")</f>
        <v>DK</v>
      </c>
      <c r="M36" s="99">
        <f>IFERROR(VLOOKUP(J36,Database!$A$2:$L$175,9,FALSE),"-")</f>
        <v>0</v>
      </c>
      <c r="N36" s="102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3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2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4">
      <c r="A37" s="94" t="str">
        <f>rengøring!A37</f>
        <v>mandag</v>
      </c>
      <c r="B37" s="92">
        <v>46174</v>
      </c>
      <c r="C37" s="9"/>
      <c r="D37" s="95" t="str">
        <f>IF(booking!AB37&gt;0,"Y","-")</f>
        <v>-</v>
      </c>
      <c r="E37" s="101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99" t="str">
        <f>IFERROR(VLOOKUP(E37,Database!$A$2:$L$175,9,FALSE),"-")</f>
        <v>-</v>
      </c>
      <c r="I37" s="118"/>
      <c r="J37" s="102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99" t="str">
        <f>IFERROR(VLOOKUP(J37,Database!$A$2:$L$175,9,FALSE),"-")</f>
        <v>-</v>
      </c>
      <c r="N37" s="102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3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2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4">
      <c r="A38" s="94" t="str">
        <f>rengøring!A38</f>
        <v>tirsdag</v>
      </c>
      <c r="B38" s="92">
        <v>46175</v>
      </c>
      <c r="C38" s="9"/>
      <c r="D38" s="95" t="str">
        <f>IF(booking!AB38&gt;0,"Y","-")</f>
        <v>Y</v>
      </c>
      <c r="E38" s="101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99" t="str">
        <f>IFERROR(VLOOKUP(E38,Database!$A$2:$L$175,9,FALSE),"-")</f>
        <v>-</v>
      </c>
      <c r="I38" s="118"/>
      <c r="J38" s="102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99" t="str">
        <f>IFERROR(VLOOKUP(J38,Database!$A$2:$L$175,9,FALSE),"-")</f>
        <v>-</v>
      </c>
      <c r="N38" s="102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3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2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4">
      <c r="A39" s="94" t="str">
        <f>rengøring!A39</f>
        <v>onsdag</v>
      </c>
      <c r="B39" s="90">
        <v>46176</v>
      </c>
      <c r="C39" s="9"/>
      <c r="D39" s="95" t="str">
        <f>IF(booking!AB39&gt;0,"Y","-")</f>
        <v>Y</v>
      </c>
      <c r="E39" s="101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99" t="str">
        <f>IFERROR(VLOOKUP(E39,Database!$A$2:$L$175,9,FALSE),"-")</f>
        <v>-</v>
      </c>
      <c r="I39" s="118"/>
      <c r="J39" s="102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99" t="str">
        <f>IFERROR(VLOOKUP(J39,Database!$A$2:$L$175,9,FALSE),"-")</f>
        <v>-</v>
      </c>
      <c r="N39" s="102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3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2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4">
      <c r="A40" s="94" t="str">
        <f>rengøring!A40</f>
        <v>torsdag</v>
      </c>
      <c r="B40" s="92">
        <v>46177</v>
      </c>
      <c r="C40" s="9"/>
      <c r="D40" s="95" t="str">
        <f>IF(booking!AB40&gt;0,"Y","-")</f>
        <v>-</v>
      </c>
      <c r="E40" s="101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99" t="str">
        <f>IFERROR(VLOOKUP(E40,Database!$A$2:$L$175,9,FALSE),"-")</f>
        <v>-</v>
      </c>
      <c r="I40" s="118"/>
      <c r="J40" s="102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99" t="str">
        <f>IFERROR(VLOOKUP(J40,Database!$A$2:$L$175,9,FALSE),"-")</f>
        <v>-</v>
      </c>
      <c r="N40" s="102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3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2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4">
      <c r="A41" s="94" t="str">
        <f>rengøring!A41</f>
        <v>fredag</v>
      </c>
      <c r="B41" s="92">
        <v>46178</v>
      </c>
      <c r="C41" s="9"/>
      <c r="D41" s="95" t="str">
        <f>IF(booking!AB41&gt;0,"Y","-")</f>
        <v>Y</v>
      </c>
      <c r="E41" s="101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99">
        <f>IFERROR(VLOOKUP(E41,Database!$A$2:$L$175,9,FALSE),"-")</f>
        <v>0</v>
      </c>
      <c r="I41" s="118"/>
      <c r="J41" s="102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99">
        <f>IFERROR(VLOOKUP(J41,Database!$A$2:$L$175,9,FALSE),"-")</f>
        <v>0</v>
      </c>
      <c r="N41" s="102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3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2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4">
      <c r="A42" s="94" t="str">
        <f>rengøring!A42</f>
        <v>lørdag</v>
      </c>
      <c r="B42" s="90">
        <v>46179</v>
      </c>
      <c r="C42" s="9"/>
      <c r="D42" s="95" t="str">
        <f>IF(booking!AB42&gt;0,"Y","-")</f>
        <v>-</v>
      </c>
      <c r="E42" s="101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99" t="str">
        <f>IFERROR(VLOOKUP(E42,Database!$A$2:$L$175,9,FALSE),"-")</f>
        <v>-</v>
      </c>
      <c r="I42" s="118"/>
      <c r="J42" s="102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99" t="str">
        <f>IFERROR(VLOOKUP(J42,Database!$A$2:$L$175,9,FALSE),"-")</f>
        <v>-</v>
      </c>
      <c r="N42" s="102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3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2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4">
      <c r="A43" s="94" t="str">
        <f>rengøring!A43</f>
        <v>søndag</v>
      </c>
      <c r="B43" s="92">
        <v>46180</v>
      </c>
      <c r="C43" s="9"/>
      <c r="D43" s="95" t="str">
        <f>IF(booking!AB43&gt;0,"Y","-")</f>
        <v>-</v>
      </c>
      <c r="E43" s="101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99" t="str">
        <f>IFERROR(VLOOKUP(E43,Database!$A$2:$L$175,9,FALSE),"-")</f>
        <v>-</v>
      </c>
      <c r="I43" s="118"/>
      <c r="J43" s="102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99" t="str">
        <f>IFERROR(VLOOKUP(J43,Database!$A$2:$L$175,9,FALSE),"-")</f>
        <v>-</v>
      </c>
      <c r="N43" s="102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3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2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4">
      <c r="A44" s="94" t="str">
        <f>rengøring!A44</f>
        <v>mandag</v>
      </c>
      <c r="B44" s="92">
        <v>46181</v>
      </c>
      <c r="C44" s="9"/>
      <c r="D44" s="95" t="str">
        <f>IF(booking!AB44&gt;0,"Y","-")</f>
        <v>Y</v>
      </c>
      <c r="E44" s="101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99" t="str">
        <f>IFERROR(VLOOKUP(E44,Database!$A$2:$L$175,9,FALSE),"-")</f>
        <v>-</v>
      </c>
      <c r="I44" s="118"/>
      <c r="J44" s="102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99" t="str">
        <f>IFERROR(VLOOKUP(J44,Database!$A$2:$L$175,9,FALSE),"-")</f>
        <v>-</v>
      </c>
      <c r="N44" s="102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3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2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4">
      <c r="A45" s="94" t="str">
        <f>rengøring!A45</f>
        <v>tirsdag</v>
      </c>
      <c r="B45" s="90">
        <v>46182</v>
      </c>
      <c r="C45" s="9"/>
      <c r="D45" s="95" t="str">
        <f>IF(booking!AB45&gt;0,"Y","-")</f>
        <v>Y</v>
      </c>
      <c r="E45" s="101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99">
        <f>IFERROR(VLOOKUP(E45,Database!$A$2:$L$175,9,FALSE),"-")</f>
        <v>0</v>
      </c>
      <c r="I45" s="118"/>
      <c r="J45" s="102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99">
        <f>IFERROR(VLOOKUP(J45,Database!$A$2:$L$175,9,FALSE),"-")</f>
        <v>0</v>
      </c>
      <c r="N45" s="102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3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2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4">
      <c r="A46" s="94" t="str">
        <f>rengøring!A46</f>
        <v>onsdag</v>
      </c>
      <c r="B46" s="92">
        <v>46183</v>
      </c>
      <c r="C46" s="9"/>
      <c r="D46" s="95" t="str">
        <f>IF(booking!AB46&gt;0,"Y","-")</f>
        <v>-</v>
      </c>
      <c r="E46" s="101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99" t="str">
        <f>IFERROR(VLOOKUP(E46,Database!$A$2:$L$175,9,FALSE),"-")</f>
        <v>-</v>
      </c>
      <c r="I46" s="118"/>
      <c r="J46" s="102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99" t="str">
        <f>IFERROR(VLOOKUP(J46,Database!$A$2:$L$175,9,FALSE),"-")</f>
        <v>-</v>
      </c>
      <c r="N46" s="102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3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2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4">
      <c r="A47" s="94" t="str">
        <f>rengøring!A47</f>
        <v>torsdag</v>
      </c>
      <c r="B47" s="92">
        <v>46184</v>
      </c>
      <c r="C47" s="9"/>
      <c r="D47" s="95" t="str">
        <f>IF(booking!AB47&gt;0,"Y","-")</f>
        <v>-</v>
      </c>
      <c r="E47" s="101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99" t="str">
        <f>IFERROR(VLOOKUP(E47,Database!$A$2:$L$175,9,FALSE),"-")</f>
        <v>-</v>
      </c>
      <c r="I47" s="118"/>
      <c r="J47" s="102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99" t="str">
        <f>IFERROR(VLOOKUP(J47,Database!$A$2:$L$175,9,FALSE),"-")</f>
        <v>-</v>
      </c>
      <c r="N47" s="102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3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2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4">
      <c r="A48" s="94" t="str">
        <f>rengøring!A48</f>
        <v>fredag</v>
      </c>
      <c r="B48" s="90">
        <v>46185</v>
      </c>
      <c r="C48" s="9"/>
      <c r="D48" s="95" t="str">
        <f>IF(booking!AB48&gt;0,"Y","-")</f>
        <v>-</v>
      </c>
      <c r="E48" s="101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99" t="str">
        <f>IFERROR(VLOOKUP(E48,Database!$A$2:$L$175,9,FALSE),"-")</f>
        <v>-</v>
      </c>
      <c r="I48" s="118"/>
      <c r="J48" s="102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99" t="str">
        <f>IFERROR(VLOOKUP(J48,Database!$A$2:$L$175,9,FALSE),"-")</f>
        <v>-</v>
      </c>
      <c r="N48" s="102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3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2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4">
      <c r="A49" s="94" t="str">
        <f>rengøring!A49</f>
        <v>lørdag</v>
      </c>
      <c r="B49" s="92">
        <v>46186</v>
      </c>
      <c r="C49" s="9"/>
      <c r="D49" s="95" t="str">
        <f>IF(booking!AB49&gt;0,"Y","-")</f>
        <v>-</v>
      </c>
      <c r="E49" s="101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99" t="str">
        <f>IFERROR(VLOOKUP(E49,Database!$A$2:$L$175,9,FALSE),"-")</f>
        <v>-</v>
      </c>
      <c r="I49" s="118"/>
      <c r="J49" s="102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99" t="str">
        <f>IFERROR(VLOOKUP(J49,Database!$A$2:$L$175,9,FALSE),"-")</f>
        <v>-</v>
      </c>
      <c r="N49" s="102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3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2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4">
      <c r="A50" s="94" t="str">
        <f>rengøring!A50</f>
        <v>søndag</v>
      </c>
      <c r="B50" s="92">
        <v>46187</v>
      </c>
      <c r="C50" s="9"/>
      <c r="D50" s="95" t="str">
        <f>IF(booking!AB50&gt;0,"Y","-")</f>
        <v>Y</v>
      </c>
      <c r="E50" s="101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99" t="str">
        <f>IFERROR(VLOOKUP(E50,Database!$A$2:$L$175,9,FALSE),"-")</f>
        <v>-</v>
      </c>
      <c r="I50" s="118"/>
      <c r="J50" s="102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99" t="str">
        <f>IFERROR(VLOOKUP(J50,Database!$A$2:$L$175,9,FALSE),"-")</f>
        <v>-</v>
      </c>
      <c r="N50" s="102">
        <f>IF(AND(D50="Y",booking!L50&lt;&gt;booking!M50,booking!M50&gt;0),booking!M50,"-")</f>
        <v>83</v>
      </c>
      <c r="O50" s="84">
        <f>IFERROR(VLOOKUP(N50,Database!$A$2:$L$175,8,FALSE),"-")</f>
        <v>0</v>
      </c>
      <c r="P50" s="84" t="str">
        <f>IFERROR(VLOOKUP(N50,Database!$A$2:$L$175,6,FALSE),"-")</f>
        <v>DK</v>
      </c>
      <c r="Q50" s="88">
        <f>IFERROR(VLOOKUP(N50,Database!$A$2:$L$175,9,FALSE),"-")</f>
        <v>0</v>
      </c>
      <c r="R50" s="103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2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4">
      <c r="A51" s="94" t="str">
        <f>rengøring!A51</f>
        <v>mandag</v>
      </c>
      <c r="B51" s="90">
        <v>46188</v>
      </c>
      <c r="C51" s="9"/>
      <c r="D51" s="95" t="str">
        <f>IF(booking!AB51&gt;0,"Y","-")</f>
        <v>Y</v>
      </c>
      <c r="E51" s="101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99" t="str">
        <f>IFERROR(VLOOKUP(E51,Database!$A$2:$L$175,9,FALSE),"-")</f>
        <v>-</v>
      </c>
      <c r="I51" s="118"/>
      <c r="J51" s="102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99" t="str">
        <f>IFERROR(VLOOKUP(J51,Database!$A$2:$L$175,9,FALSE),"-")</f>
        <v>-</v>
      </c>
      <c r="N51" s="102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3">
        <f>IF(AND(D51="Y",booking!P51&lt;&gt;booking!Q51,booking!Q51&gt;0),booking!Q51,"-")</f>
        <v>70</v>
      </c>
      <c r="S51" s="84">
        <f>IFERROR(VLOOKUP(R51,Database!$A$2:$L$175,8,FALSE),"-")</f>
        <v>0</v>
      </c>
      <c r="T51" s="84" t="str">
        <f>IFERROR(VLOOKUP(R51,Database!$A$2:$L$175,6,FALSE),"-")</f>
        <v>DK</v>
      </c>
      <c r="U51" s="88">
        <f>IFERROR(VLOOKUP(R51,Database!$A$2:$L$175,9,FALSE),"-")</f>
        <v>0</v>
      </c>
      <c r="V51" s="102">
        <f>IF(AND(D51="Y",booking!T51&lt;&gt;booking!U51,booking!U51&gt;0),booking!U51,"-")</f>
        <v>86</v>
      </c>
      <c r="W51" s="85">
        <f>IFERROR(VLOOKUP(V51,Database!$A$2:$L$175,8,FALSE),"-")</f>
        <v>0</v>
      </c>
      <c r="X51" s="85" t="str">
        <f>IFERROR(VLOOKUP(V51,Database!$A$2:$L$175,6,FALSE),"-")</f>
        <v>D</v>
      </c>
      <c r="Y51" s="87">
        <f>IFERROR(VLOOKUP(V51,Database!$A$2:$L$175,9,FALSE),"-")</f>
        <v>0</v>
      </c>
    </row>
    <row r="52" spans="1:25" ht="15" customHeight="1" thickBot="1" x14ac:dyDescent="0.4">
      <c r="A52" s="94" t="str">
        <f>rengøring!A52</f>
        <v>tirsdag</v>
      </c>
      <c r="B52" s="92">
        <v>46189</v>
      </c>
      <c r="C52" s="9"/>
      <c r="D52" s="95" t="str">
        <f>IF(booking!AB52&gt;0,"Y","-")</f>
        <v>-</v>
      </c>
      <c r="E52" s="101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99" t="str">
        <f>IFERROR(VLOOKUP(E52,Database!$A$2:$L$175,9,FALSE),"-")</f>
        <v>-</v>
      </c>
      <c r="I52" s="118"/>
      <c r="J52" s="102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99" t="str">
        <f>IFERROR(VLOOKUP(J52,Database!$A$2:$L$175,9,FALSE),"-")</f>
        <v>-</v>
      </c>
      <c r="N52" s="102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3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2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4">
      <c r="A53" s="94" t="str">
        <f>rengøring!A53</f>
        <v>onsdag</v>
      </c>
      <c r="B53" s="92">
        <v>46190</v>
      </c>
      <c r="C53" s="9"/>
      <c r="D53" s="95" t="str">
        <f>IF(booking!AB53&gt;0,"Y","-")</f>
        <v>Y</v>
      </c>
      <c r="E53" s="101">
        <f>IF(AND(D53="Y",booking!D53&lt;&gt;booking!E53,booking!E53&gt;0),booking!E53,"-")</f>
        <v>31</v>
      </c>
      <c r="F53" s="84">
        <f>IFERROR(VLOOKUP(E53,Database!$A$2:$L$175,8,FALSE),"-")</f>
        <v>0</v>
      </c>
      <c r="G53" s="84" t="str">
        <f>IFERROR(VLOOKUP(E53,Database!$A$2:$L$175,6,FALSE),"-")</f>
        <v>DK</v>
      </c>
      <c r="H53" s="99">
        <f>IFERROR(VLOOKUP(E53,Database!$A$2:$L$175,9,FALSE),"-")</f>
        <v>0</v>
      </c>
      <c r="I53" s="118"/>
      <c r="J53" s="102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99" t="str">
        <f>IFERROR(VLOOKUP(J53,Database!$A$2:$L$175,9,FALSE),"-")</f>
        <v>-</v>
      </c>
      <c r="N53" s="102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3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2" t="str">
        <f>IF(AND(D53="Y",booking!T53&lt;&gt;booking!U53,booking!U53&gt;0),booking!U53,"-")</f>
        <v>-</v>
      </c>
      <c r="W53" s="85" t="str">
        <f>IFERROR(VLOOKUP(V53,Database!$A$2:$L$175,8,FALSE),"-")</f>
        <v>-</v>
      </c>
      <c r="X53" s="85" t="str">
        <f>IFERROR(VLOOKUP(V53,Database!$A$2:$L$175,6,FALSE),"-")</f>
        <v>-</v>
      </c>
      <c r="Y53" s="87" t="str">
        <f>IFERROR(VLOOKUP(V53,Database!$A$2:$L$175,9,FALSE),"-")</f>
        <v>-</v>
      </c>
    </row>
    <row r="54" spans="1:25" ht="15" customHeight="1" thickBot="1" x14ac:dyDescent="0.4">
      <c r="A54" s="94" t="str">
        <f>rengøring!A54</f>
        <v>torsdag</v>
      </c>
      <c r="B54" s="90">
        <v>46191</v>
      </c>
      <c r="C54" s="9"/>
      <c r="D54" s="95" t="str">
        <f>IF(booking!AB54&gt;0,"Y","-")</f>
        <v>-</v>
      </c>
      <c r="E54" s="101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99" t="str">
        <f>IFERROR(VLOOKUP(E54,Database!$A$2:$L$175,9,FALSE),"-")</f>
        <v>-</v>
      </c>
      <c r="I54" s="118"/>
      <c r="J54" s="102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99" t="str">
        <f>IFERROR(VLOOKUP(J54,Database!$A$2:$L$175,9,FALSE),"-")</f>
        <v>-</v>
      </c>
      <c r="N54" s="102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3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2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4">
      <c r="A55" s="94" t="str">
        <f>rengøring!A55</f>
        <v>fredag</v>
      </c>
      <c r="B55" s="92">
        <v>46192</v>
      </c>
      <c r="C55" s="9"/>
      <c r="D55" s="95" t="str">
        <f>IF(booking!AB55&gt;0,"Y","-")</f>
        <v>Y</v>
      </c>
      <c r="E55" s="101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99" t="str">
        <f>IFERROR(VLOOKUP(E55,Database!$A$2:$L$175,9,FALSE),"-")</f>
        <v>-</v>
      </c>
      <c r="I55" s="118"/>
      <c r="J55" s="102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99" t="str">
        <f>IFERROR(VLOOKUP(J55,Database!$A$2:$L$175,9,FALSE),"-")</f>
        <v>-</v>
      </c>
      <c r="N55" s="102">
        <f>IF(AND(D55="Y",booking!L55&lt;&gt;booking!M55,booking!M55&gt;0),booking!M55,"-")</f>
        <v>56</v>
      </c>
      <c r="O55" s="84" t="str">
        <f>IFERROR(VLOOKUP(N55,Database!$A$2:$L$175,8,FALSE),"-")</f>
        <v>2000</v>
      </c>
      <c r="P55" s="84" t="str">
        <f>IFERROR(VLOOKUP(N55,Database!$A$2:$L$175,6,FALSE),"-")</f>
        <v>DK</v>
      </c>
      <c r="Q55" s="88" t="str">
        <f>IFERROR(VLOOKUP(N55,Database!$A$2:$L$175,9,FALSE),"-")</f>
        <v>Dobb</v>
      </c>
      <c r="R55" s="103" t="str">
        <f>IF(AND(D55="Y",booking!P55&lt;&gt;booking!Q55,booking!Q55&gt;0),booking!Q55,"-")</f>
        <v>-</v>
      </c>
      <c r="S55" s="84" t="str">
        <f>IFERROR(VLOOKUP(R55,Database!$A$2:$L$175,8,FALSE),"-")</f>
        <v>-</v>
      </c>
      <c r="T55" s="84" t="str">
        <f>IFERROR(VLOOKUP(R55,Database!$A$2:$L$175,6,FALSE),"-")</f>
        <v>-</v>
      </c>
      <c r="U55" s="88" t="str">
        <f>IFERROR(VLOOKUP(R55,Database!$A$2:$L$175,9,FALSE),"-")</f>
        <v>-</v>
      </c>
      <c r="V55" s="102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4">
      <c r="A56" s="94" t="str">
        <f>rengøring!A56</f>
        <v>lørdag</v>
      </c>
      <c r="B56" s="92">
        <v>46193</v>
      </c>
      <c r="C56" s="9"/>
      <c r="D56" s="95" t="str">
        <f>IF(booking!AB56&gt;0,"Y","-")</f>
        <v>-</v>
      </c>
      <c r="E56" s="101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99" t="str">
        <f>IFERROR(VLOOKUP(E56,Database!$A$2:$L$175,9,FALSE),"-")</f>
        <v>-</v>
      </c>
      <c r="I56" s="118"/>
      <c r="J56" s="102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99" t="str">
        <f>IFERROR(VLOOKUP(J56,Database!$A$2:$L$175,9,FALSE),"-")</f>
        <v>-</v>
      </c>
      <c r="N56" s="102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3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2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4">
      <c r="A57" s="94" t="str">
        <f>rengøring!A57</f>
        <v>søndag</v>
      </c>
      <c r="B57" s="90">
        <v>46194</v>
      </c>
      <c r="C57" s="9"/>
      <c r="D57" s="95" t="str">
        <f>IF(booking!AB57&gt;0,"Y","-")</f>
        <v>-</v>
      </c>
      <c r="E57" s="101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99" t="str">
        <f>IFERROR(VLOOKUP(E57,Database!$A$2:$L$175,9,FALSE),"-")</f>
        <v>-</v>
      </c>
      <c r="I57" s="118"/>
      <c r="J57" s="102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99" t="str">
        <f>IFERROR(VLOOKUP(J57,Database!$A$2:$L$175,9,FALSE),"-")</f>
        <v>-</v>
      </c>
      <c r="N57" s="102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3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2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4">
      <c r="A58" s="94" t="str">
        <f>rengøring!A58</f>
        <v>mandag</v>
      </c>
      <c r="B58" s="92">
        <v>46195</v>
      </c>
      <c r="C58" s="9"/>
      <c r="D58" s="95" t="str">
        <f>IF(booking!AB58&gt;0,"Y","-")</f>
        <v>Y</v>
      </c>
      <c r="E58" s="101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99" t="str">
        <f>IFERROR(VLOOKUP(E58,Database!$A$2:$L$175,9,FALSE),"-")</f>
        <v>-</v>
      </c>
      <c r="I58" s="118"/>
      <c r="J58" s="102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99" t="str">
        <f>IFERROR(VLOOKUP(J58,Database!$A$2:$L$175,9,FALSE),"-")</f>
        <v>-</v>
      </c>
      <c r="N58" s="102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3">
        <f>IF(AND(D58="Y",booking!P58&lt;&gt;booking!Q58,booking!Q58&gt;0),booking!Q58,"-")</f>
        <v>37</v>
      </c>
      <c r="S58" s="84" t="str">
        <f>IFERROR(VLOOKUP(R58,Database!$A$2:$L$175,8,FALSE),"-")</f>
        <v>1430</v>
      </c>
      <c r="T58" s="84" t="str">
        <f>IFERROR(VLOOKUP(R58,Database!$A$2:$L$175,6,FALSE),"-")</f>
        <v>DK</v>
      </c>
      <c r="U58" s="88">
        <f>IFERROR(VLOOKUP(R58,Database!$A$2:$L$175,9,FALSE),"-")</f>
        <v>0</v>
      </c>
      <c r="V58" s="102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4">
      <c r="A59" s="94" t="str">
        <f>rengøring!A59</f>
        <v>tirsdag</v>
      </c>
      <c r="B59" s="92">
        <v>46196</v>
      </c>
      <c r="C59" s="9"/>
      <c r="D59" s="95" t="str">
        <f>IF(booking!AB59&gt;0,"Y","-")</f>
        <v>-</v>
      </c>
      <c r="E59" s="101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99" t="str">
        <f>IFERROR(VLOOKUP(E59,Database!$A$2:$L$175,9,FALSE),"-")</f>
        <v>-</v>
      </c>
      <c r="I59" s="118"/>
      <c r="J59" s="102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99" t="str">
        <f>IFERROR(VLOOKUP(J59,Database!$A$2:$L$175,9,FALSE),"-")</f>
        <v>-</v>
      </c>
      <c r="N59" s="102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3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2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4">
      <c r="A60" s="94" t="str">
        <f>rengøring!A60</f>
        <v>onsdag</v>
      </c>
      <c r="B60" s="90">
        <v>46197</v>
      </c>
      <c r="C60" s="9"/>
      <c r="D60" s="95" t="str">
        <f>IF(booking!AB60&gt;0,"Y","-")</f>
        <v>-</v>
      </c>
      <c r="E60" s="101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99" t="str">
        <f>IFERROR(VLOOKUP(E60,Database!$A$2:$L$175,9,FALSE),"-")</f>
        <v>-</v>
      </c>
      <c r="I60" s="118"/>
      <c r="J60" s="102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99" t="str">
        <f>IFERROR(VLOOKUP(J60,Database!$A$2:$L$175,9,FALSE),"-")</f>
        <v>-</v>
      </c>
      <c r="N60" s="102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3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2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4">
      <c r="A61" s="94" t="str">
        <f>rengøring!A61</f>
        <v>torsdag</v>
      </c>
      <c r="B61" s="92">
        <v>46198</v>
      </c>
      <c r="C61" s="9"/>
      <c r="D61" s="95" t="str">
        <f>IF(booking!AB61&gt;0,"Y","-")</f>
        <v>Y</v>
      </c>
      <c r="E61" s="101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99" t="str">
        <f>IFERROR(VLOOKUP(E61,Database!$A$2:$L$175,9,FALSE),"-")</f>
        <v>-</v>
      </c>
      <c r="I61" s="118"/>
      <c r="J61" s="102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99" t="str">
        <f>IFERROR(VLOOKUP(J61,Database!$A$2:$L$175,9,FALSE),"-")</f>
        <v>-</v>
      </c>
      <c r="N61" s="102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3">
        <f>IF(AND(D61="Y",booking!P61&lt;&gt;booking!Q61,booking!Q61&gt;0),booking!Q61,"-")</f>
        <v>64</v>
      </c>
      <c r="S61" s="84">
        <f>IFERROR(VLOOKUP(R61,Database!$A$2:$L$175,8,FALSE),"-")</f>
        <v>0</v>
      </c>
      <c r="T61" s="84" t="str">
        <f>IFERROR(VLOOKUP(R61,Database!$A$2:$L$175,6,FALSE),"-")</f>
        <v>S</v>
      </c>
      <c r="U61" s="88" t="str">
        <f>IFERROR(VLOOKUP(R61,Database!$A$2:$L$175,9,FALSE),"-")</f>
        <v>sing</v>
      </c>
      <c r="V61" s="102" t="str">
        <f>IF(AND(D61="Y",booking!T61&lt;&gt;booking!U61,booking!U61&gt;0),booking!U61,"-")</f>
        <v>-</v>
      </c>
      <c r="W61" s="85" t="str">
        <f>IFERROR(VLOOKUP(V61,Database!$A$2:$L$175,8,FALSE),"-")</f>
        <v>-</v>
      </c>
      <c r="X61" s="85" t="str">
        <f>IFERROR(VLOOKUP(V61,Database!$A$2:$L$175,6,FALSE),"-")</f>
        <v>-</v>
      </c>
      <c r="Y61" s="87" t="str">
        <f>IFERROR(VLOOKUP(V61,Database!$A$2:$L$175,9,FALSE),"-")</f>
        <v>-</v>
      </c>
    </row>
    <row r="62" spans="1:25" ht="15" customHeight="1" thickBot="1" x14ac:dyDescent="0.4">
      <c r="A62" s="94" t="str">
        <f>rengøring!A62</f>
        <v>fredag</v>
      </c>
      <c r="B62" s="92">
        <v>46199</v>
      </c>
      <c r="C62" s="9"/>
      <c r="D62" s="95" t="str">
        <f>IF(booking!AB62&gt;0,"Y","-")</f>
        <v>Y</v>
      </c>
      <c r="E62" s="101">
        <f>IF(AND(D62="Y",booking!D62&lt;&gt;booking!E62,booking!E62&gt;0),booking!E62,"-")</f>
        <v>87</v>
      </c>
      <c r="F62" s="84">
        <f>IFERROR(VLOOKUP(E62,Database!$A$2:$L$175,8,FALSE),"-")</f>
        <v>0</v>
      </c>
      <c r="G62" s="84" t="str">
        <f>IFERROR(VLOOKUP(E62,Database!$A$2:$L$175,6,FALSE),"-")</f>
        <v>D</v>
      </c>
      <c r="H62" s="99">
        <f>IFERROR(VLOOKUP(E62,Database!$A$2:$L$175,9,FALSE),"-")</f>
        <v>0</v>
      </c>
      <c r="I62" s="118"/>
      <c r="J62" s="102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99" t="str">
        <f>IFERROR(VLOOKUP(J62,Database!$A$2:$L$175,9,FALSE),"-")</f>
        <v>Dobb</v>
      </c>
      <c r="N62" s="102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3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2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4">
      <c r="A63" s="94" t="str">
        <f>rengøring!A63</f>
        <v>lørdag</v>
      </c>
      <c r="B63" s="90">
        <v>46200</v>
      </c>
      <c r="C63" s="9"/>
      <c r="D63" s="95" t="str">
        <f>IF(booking!AB63&gt;0,"Y","-")</f>
        <v>Y</v>
      </c>
      <c r="E63" s="101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99" t="str">
        <f>IFERROR(VLOOKUP(E63,Database!$A$2:$L$175,9,FALSE),"-")</f>
        <v>-</v>
      </c>
      <c r="I63" s="118"/>
      <c r="J63" s="102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99" t="str">
        <f>IFERROR(VLOOKUP(J63,Database!$A$2:$L$175,9,FALSE),"-")</f>
        <v>-</v>
      </c>
      <c r="N63" s="102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3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2">
        <f>IF(AND(D63="Y",booking!T63&lt;&gt;booking!U63,booking!U63&gt;0),booking!U63,"-")</f>
        <v>77</v>
      </c>
      <c r="W63" s="85">
        <f>IFERROR(VLOOKUP(V63,Database!$A$2:$L$175,8,FALSE),"-")</f>
        <v>0</v>
      </c>
      <c r="X63" s="85" t="str">
        <f>IFERROR(VLOOKUP(V63,Database!$A$2:$L$175,6,FALSE),"-")</f>
        <v>DK</v>
      </c>
      <c r="Y63" s="87">
        <f>IFERROR(VLOOKUP(V63,Database!$A$2:$L$175,9,FALSE),"-")</f>
        <v>0</v>
      </c>
    </row>
    <row r="64" spans="1:25" ht="15" customHeight="1" thickBot="1" x14ac:dyDescent="0.4">
      <c r="A64" s="94" t="str">
        <f>rengøring!A64</f>
        <v>søndag</v>
      </c>
      <c r="B64" s="92">
        <v>46201</v>
      </c>
      <c r="C64" s="9"/>
      <c r="D64" s="95" t="str">
        <f>IF(booking!AB64&gt;0,"Y","-")</f>
        <v>-</v>
      </c>
      <c r="E64" s="101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99" t="str">
        <f>IFERROR(VLOOKUP(E64,Database!$A$2:$L$175,9,FALSE),"-")</f>
        <v>-</v>
      </c>
      <c r="I64" s="118"/>
      <c r="J64" s="102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99" t="str">
        <f>IFERROR(VLOOKUP(J64,Database!$A$2:$L$175,9,FALSE),"-")</f>
        <v>-</v>
      </c>
      <c r="N64" s="102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3" t="str">
        <f>IF(AND(D64="Y",booking!P64&lt;&gt;booking!Q64,booking!Q64&gt;0),booking!Q64,"-")</f>
        <v>-</v>
      </c>
      <c r="S64" s="84" t="str">
        <f>IFERROR(VLOOKUP(R64,Database!$A$2:$L$175,8,FALSE),"-")</f>
        <v>-</v>
      </c>
      <c r="T64" s="84" t="str">
        <f>IFERROR(VLOOKUP(R64,Database!$A$2:$L$175,6,FALSE),"-")</f>
        <v>-</v>
      </c>
      <c r="U64" s="88" t="str">
        <f>IFERROR(VLOOKUP(R64,Database!$A$2:$L$175,9,FALSE),"-")</f>
        <v>-</v>
      </c>
      <c r="V64" s="102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4">
      <c r="A65" s="94" t="str">
        <f>rengøring!A65</f>
        <v>mandag</v>
      </c>
      <c r="B65" s="92">
        <v>46202</v>
      </c>
      <c r="C65" s="9"/>
      <c r="D65" s="95" t="str">
        <f>IF(booking!AB65&gt;0,"Y","-")</f>
        <v>Y</v>
      </c>
      <c r="E65" s="101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99" t="str">
        <f>IFERROR(VLOOKUP(E65,Database!$A$2:$L$175,9,FALSE),"-")</f>
        <v>-</v>
      </c>
      <c r="I65" s="118"/>
      <c r="J65" s="102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99" t="str">
        <f>IFERROR(VLOOKUP(J65,Database!$A$2:$L$175,9,FALSE),"-")</f>
        <v>-</v>
      </c>
      <c r="N65" s="102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3">
        <f>IF(AND(D65="Y",booking!P65&lt;&gt;booking!Q65,booking!Q65&gt;0),booking!Q65,"-")</f>
        <v>76</v>
      </c>
      <c r="S65" s="84">
        <f>IFERROR(VLOOKUP(R65,Database!$A$2:$L$175,8,FALSE),"-")</f>
        <v>0</v>
      </c>
      <c r="T65" s="84" t="str">
        <f>IFERROR(VLOOKUP(R65,Database!$A$2:$L$175,6,FALSE),"-")</f>
        <v>DK</v>
      </c>
      <c r="U65" s="88" t="str">
        <f>IFERROR(VLOOKUP(R65,Database!$A$2:$L$175,9,FALSE),"-")</f>
        <v>sing</v>
      </c>
      <c r="V65" s="102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4">
      <c r="A66" s="94" t="str">
        <f>rengøring!A66</f>
        <v>tirsdag</v>
      </c>
      <c r="B66" s="90">
        <v>46203</v>
      </c>
      <c r="C66" s="9"/>
      <c r="D66" s="95" t="str">
        <f>IF(booking!AB66&gt;0,"Y","-")</f>
        <v>-</v>
      </c>
      <c r="E66" s="101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99" t="str">
        <f>IFERROR(VLOOKUP(E66,Database!$A$2:$L$175,9,FALSE),"-")</f>
        <v>-</v>
      </c>
      <c r="I66" s="118"/>
      <c r="J66" s="102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99" t="str">
        <f>IFERROR(VLOOKUP(J66,Database!$A$2:$L$175,9,FALSE),"-")</f>
        <v>-</v>
      </c>
      <c r="N66" s="102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3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2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4">
      <c r="A67" s="94" t="str">
        <f>rengøring!A67</f>
        <v>onsdag</v>
      </c>
      <c r="B67" s="92">
        <v>46204</v>
      </c>
      <c r="C67" s="9"/>
      <c r="D67" s="95" t="str">
        <f>IF(booking!AB67&gt;0,"Y","-")</f>
        <v>Y</v>
      </c>
      <c r="E67" s="101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99" t="str">
        <f>IFERROR(VLOOKUP(E67,Database!$A$2:$L$175,9,FALSE),"-")</f>
        <v>-</v>
      </c>
      <c r="I67" s="118"/>
      <c r="J67" s="102">
        <f>IF(AND(D67="Y",booking!H67&lt;&gt;booking!I67,booking!I67&gt;0),booking!I67,"-")</f>
        <v>104</v>
      </c>
      <c r="K67" s="84">
        <f>IFERROR(VLOOKUP(J67,Database!$A$2:$L$175,8,FALSE),"-")</f>
        <v>0</v>
      </c>
      <c r="L67" s="84" t="str">
        <f>IFERROR(VLOOKUP(J67,Database!$A$2:$L$175,6,FALSE),"-")</f>
        <v>DK</v>
      </c>
      <c r="M67" s="99">
        <f>IFERROR(VLOOKUP(J67,Database!$A$2:$L$175,9,FALSE),"-")</f>
        <v>0</v>
      </c>
      <c r="N67" s="102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3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2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4">
      <c r="A68" s="94" t="str">
        <f>rengøring!A68</f>
        <v>torsdag</v>
      </c>
      <c r="B68" s="92">
        <v>46205</v>
      </c>
      <c r="C68" s="9"/>
      <c r="D68" s="95" t="str">
        <f>IF(booking!AB68&gt;0,"Y","-")</f>
        <v>Y</v>
      </c>
      <c r="E68" s="101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99">
        <f>IFERROR(VLOOKUP(E68,Database!$A$2:$L$175,9,FALSE),"-")</f>
        <v>0</v>
      </c>
      <c r="I68" s="118"/>
      <c r="J68" s="102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99" t="str">
        <f>IFERROR(VLOOKUP(J68,Database!$A$2:$L$175,9,FALSE),"-")</f>
        <v>-</v>
      </c>
      <c r="N68" s="102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3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2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4">
      <c r="A69" s="94" t="str">
        <f>rengøring!A69</f>
        <v>fredag</v>
      </c>
      <c r="B69" s="90">
        <v>46206</v>
      </c>
      <c r="C69" s="9"/>
      <c r="D69" s="95" t="str">
        <f>IF(booking!AB69&gt;0,"Y","-")</f>
        <v>Y</v>
      </c>
      <c r="E69" s="101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99" t="str">
        <f>IFERROR(VLOOKUP(E69,Database!$A$2:$L$175,9,FALSE),"-")</f>
        <v>-</v>
      </c>
      <c r="I69" s="118"/>
      <c r="J69" s="102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99" t="str">
        <f>IFERROR(VLOOKUP(J69,Database!$A$2:$L$175,9,FALSE),"-")</f>
        <v>-</v>
      </c>
      <c r="N69" s="102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3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2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4">
      <c r="A70" s="94" t="str">
        <f>rengøring!A70</f>
        <v>lørdag</v>
      </c>
      <c r="B70" s="92">
        <v>46207</v>
      </c>
      <c r="C70" s="9"/>
      <c r="D70" s="95" t="str">
        <f>IF(booking!AB70&gt;0,"Y","-")</f>
        <v>Y</v>
      </c>
      <c r="E70" s="101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99" t="str">
        <f>IFERROR(VLOOKUP(E70,Database!$A$2:$L$175,9,FALSE),"-")</f>
        <v>-</v>
      </c>
      <c r="I70" s="118"/>
      <c r="J70" s="102">
        <f>IF(AND(D70="Y",booking!H70&lt;&gt;booking!I70,booking!I70&gt;0),booking!I70,"-")</f>
        <v>98</v>
      </c>
      <c r="K70" s="84">
        <f>IFERROR(VLOOKUP(J70,Database!$A$2:$L$175,8,FALSE),"-")</f>
        <v>0</v>
      </c>
      <c r="L70" s="84" t="str">
        <f>IFERROR(VLOOKUP(J70,Database!$A$2:$L$175,6,FALSE),"-")</f>
        <v>DK</v>
      </c>
      <c r="M70" s="99">
        <f>IFERROR(VLOOKUP(J70,Database!$A$2:$L$175,9,FALSE),"-")</f>
        <v>0</v>
      </c>
      <c r="N70" s="102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3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2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4">
      <c r="A71" s="94" t="str">
        <f>rengøring!A71</f>
        <v>søndag</v>
      </c>
      <c r="B71" s="92">
        <v>46208</v>
      </c>
      <c r="C71" s="9"/>
      <c r="D71" s="95" t="str">
        <f>IF(booking!AB71&gt;0,"Y","-")</f>
        <v>-</v>
      </c>
      <c r="E71" s="101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99" t="str">
        <f>IFERROR(VLOOKUP(E71,Database!$A$2:$L$175,9,FALSE),"-")</f>
        <v>-</v>
      </c>
      <c r="I71" s="118"/>
      <c r="J71" s="102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99" t="str">
        <f>IFERROR(VLOOKUP(J71,Database!$A$2:$L$175,9,FALSE),"-")</f>
        <v>-</v>
      </c>
      <c r="N71" s="102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3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2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4">
      <c r="A72" s="94" t="str">
        <f>rengøring!A72</f>
        <v>mandag</v>
      </c>
      <c r="B72" s="90">
        <v>46209</v>
      </c>
      <c r="C72" s="9"/>
      <c r="D72" s="95" t="str">
        <f>IF(booking!AB72&gt;0,"Y","-")</f>
        <v>Y</v>
      </c>
      <c r="E72" s="101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99">
        <f>IFERROR(VLOOKUP(E72,Database!$A$2:$L$175,9,FALSE),"-")</f>
        <v>0</v>
      </c>
      <c r="I72" s="118"/>
      <c r="J72" s="102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99" t="str">
        <f>IFERROR(VLOOKUP(J72,Database!$A$2:$L$175,9,FALSE),"-")</f>
        <v>-</v>
      </c>
      <c r="N72" s="102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3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2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4">
      <c r="A73" s="94" t="str">
        <f>rengøring!A73</f>
        <v>tirsdag</v>
      </c>
      <c r="B73" s="92">
        <v>46210</v>
      </c>
      <c r="C73" s="9"/>
      <c r="D73" s="95" t="str">
        <f>IF(booking!AB73&gt;0,"Y","-")</f>
        <v>-</v>
      </c>
      <c r="E73" s="101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99" t="str">
        <f>IFERROR(VLOOKUP(E73,Database!$A$2:$L$175,9,FALSE),"-")</f>
        <v>-</v>
      </c>
      <c r="I73" s="118"/>
      <c r="J73" s="102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99" t="str">
        <f>IFERROR(VLOOKUP(J73,Database!$A$2:$L$175,9,FALSE),"-")</f>
        <v>-</v>
      </c>
      <c r="N73" s="102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3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2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4">
      <c r="A74" s="94" t="str">
        <f>rengøring!A74</f>
        <v>onsdag</v>
      </c>
      <c r="B74" s="92">
        <v>46211</v>
      </c>
      <c r="C74" s="9"/>
      <c r="D74" s="95" t="str">
        <f>IF(booking!AB74&gt;0,"Y","-")</f>
        <v>Y</v>
      </c>
      <c r="E74" s="101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99" t="str">
        <f>IFERROR(VLOOKUP(E74,Database!$A$2:$L$175,9,FALSE),"-")</f>
        <v>-</v>
      </c>
      <c r="I74" s="118"/>
      <c r="J74" s="102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99">
        <f>IFERROR(VLOOKUP(J74,Database!$A$2:$L$175,9,FALSE),"-")</f>
        <v>0</v>
      </c>
      <c r="N74" s="102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3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2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4">
      <c r="A75" s="94" t="str">
        <f>rengøring!A75</f>
        <v>torsdag</v>
      </c>
      <c r="B75" s="90">
        <v>46212</v>
      </c>
      <c r="C75" s="9"/>
      <c r="D75" s="95" t="str">
        <f>IF(booking!AB75&gt;0,"Y","-")</f>
        <v>Y</v>
      </c>
      <c r="E75" s="101">
        <f>IF(AND(D75="Y",booking!D75&lt;&gt;booking!E75,booking!E75&gt;0),booking!E75,"-")</f>
        <v>69</v>
      </c>
      <c r="F75" s="84">
        <f>IFERROR(VLOOKUP(E75,Database!$A$2:$L$175,8,FALSE),"-")</f>
        <v>0</v>
      </c>
      <c r="G75" s="84" t="str">
        <f>IFERROR(VLOOKUP(E75,Database!$A$2:$L$175,6,FALSE),"-")</f>
        <v>DK</v>
      </c>
      <c r="H75" s="99">
        <f>IFERROR(VLOOKUP(E75,Database!$A$2:$L$175,9,FALSE),"-")</f>
        <v>0</v>
      </c>
      <c r="I75" s="118"/>
      <c r="J75" s="102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99" t="str">
        <f>IFERROR(VLOOKUP(J75,Database!$A$2:$L$175,9,FALSE),"-")</f>
        <v>-</v>
      </c>
      <c r="N75" s="102">
        <f>IF(AND(D75="Y",booking!L75&lt;&gt;booking!M75,booking!M75&gt;0),booking!M75,"-")</f>
        <v>84</v>
      </c>
      <c r="O75" s="84">
        <f>IFERROR(VLOOKUP(N75,Database!$A$2:$L$175,8,FALSE),"-")</f>
        <v>0</v>
      </c>
      <c r="P75" s="84" t="str">
        <f>IFERROR(VLOOKUP(N75,Database!$A$2:$L$175,6,FALSE),"-")</f>
        <v>DK</v>
      </c>
      <c r="Q75" s="88">
        <f>IFERROR(VLOOKUP(N75,Database!$A$2:$L$175,9,FALSE),"-")</f>
        <v>0</v>
      </c>
      <c r="R75" s="103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2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4">
      <c r="A76" s="94" t="str">
        <f>rengøring!A76</f>
        <v>fredag</v>
      </c>
      <c r="B76" s="92">
        <v>46213</v>
      </c>
      <c r="C76" s="9"/>
      <c r="D76" s="95" t="str">
        <f>IF(booking!AB76&gt;0,"Y","-")</f>
        <v>-</v>
      </c>
      <c r="E76" s="101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99" t="str">
        <f>IFERROR(VLOOKUP(E76,Database!$A$2:$L$175,9,FALSE),"-")</f>
        <v>-</v>
      </c>
      <c r="I76" s="118"/>
      <c r="J76" s="102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99" t="str">
        <f>IFERROR(VLOOKUP(J76,Database!$A$2:$L$175,9,FALSE),"-")</f>
        <v>-</v>
      </c>
      <c r="N76" s="102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3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2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4">
      <c r="A77" s="94" t="str">
        <f>rengøring!A77</f>
        <v>lørdag</v>
      </c>
      <c r="B77" s="92">
        <v>46214</v>
      </c>
      <c r="C77" s="9"/>
      <c r="D77" s="95" t="str">
        <f>IF(booking!AB77&gt;0,"Y","-")</f>
        <v>Y</v>
      </c>
      <c r="E77" s="101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99" t="str">
        <f>IFERROR(VLOOKUP(E77,Database!$A$2:$L$175,9,FALSE),"-")</f>
        <v>-</v>
      </c>
      <c r="I77" s="118"/>
      <c r="J77" s="102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99" t="str">
        <f>IFERROR(VLOOKUP(J77,Database!$A$2:$L$175,9,FALSE),"-")</f>
        <v>-</v>
      </c>
      <c r="N77" s="102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3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2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 t="str">
        <f>IFERROR(VLOOKUP(V77,Database!$A$2:$L$175,9,FALSE),"-")</f>
        <v>Dobb</v>
      </c>
    </row>
    <row r="78" spans="1:25" ht="15" customHeight="1" thickBot="1" x14ac:dyDescent="0.4">
      <c r="A78" s="94" t="str">
        <f>rengøring!A78</f>
        <v>søndag</v>
      </c>
      <c r="B78" s="90">
        <v>46215</v>
      </c>
      <c r="C78" s="9"/>
      <c r="D78" s="95" t="str">
        <f>IF(booking!AB78&gt;0,"Y","-")</f>
        <v>Y</v>
      </c>
      <c r="E78" s="101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99" t="str">
        <f>IFERROR(VLOOKUP(E78,Database!$A$2:$L$175,9,FALSE),"-")</f>
        <v>sing</v>
      </c>
      <c r="I78" s="118"/>
      <c r="J78" s="102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99" t="str">
        <f>IFERROR(VLOOKUP(J78,Database!$A$2:$L$175,9,FALSE),"-")</f>
        <v>-</v>
      </c>
      <c r="N78" s="102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3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2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4">
      <c r="A79" s="94" t="str">
        <f>rengøring!A79</f>
        <v>mandag</v>
      </c>
      <c r="B79" s="92">
        <v>46216</v>
      </c>
      <c r="C79" s="9"/>
      <c r="D79" s="95" t="str">
        <f>IF(booking!AB79&gt;0,"Y","-")</f>
        <v>Y</v>
      </c>
      <c r="E79" s="101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99" t="str">
        <f>IFERROR(VLOOKUP(E79,Database!$A$2:$L$175,9,FALSE),"-")</f>
        <v>-</v>
      </c>
      <c r="I79" s="118"/>
      <c r="J79" s="102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99" t="str">
        <f>IFERROR(VLOOKUP(J79,Database!$A$2:$L$175,9,FALSE),"-")</f>
        <v>-</v>
      </c>
      <c r="N79" s="102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3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2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4">
      <c r="A80" s="94" t="str">
        <f>rengøring!A80</f>
        <v>tirsdag</v>
      </c>
      <c r="B80" s="92">
        <v>46217</v>
      </c>
      <c r="C80" s="9"/>
      <c r="D80" s="95" t="str">
        <f>IF(booking!AB80&gt;0,"Y","-")</f>
        <v>-</v>
      </c>
      <c r="E80" s="101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99" t="str">
        <f>IFERROR(VLOOKUP(E80,Database!$A$2:$L$175,9,FALSE),"-")</f>
        <v>-</v>
      </c>
      <c r="I80" s="118"/>
      <c r="J80" s="102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99" t="str">
        <f>IFERROR(VLOOKUP(J80,Database!$A$2:$L$175,9,FALSE),"-")</f>
        <v>-</v>
      </c>
      <c r="N80" s="102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3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2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4">
      <c r="A81" s="94" t="str">
        <f>rengøring!A81</f>
        <v>onsdag</v>
      </c>
      <c r="B81" s="90">
        <v>46218</v>
      </c>
      <c r="C81" s="9"/>
      <c r="D81" s="95" t="str">
        <f>IF(booking!AB81&gt;0,"Y","-")</f>
        <v>Y</v>
      </c>
      <c r="E81" s="101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99" t="str">
        <f>IFERROR(VLOOKUP(E81,Database!$A$2:$L$175,9,FALSE),"-")</f>
        <v>-</v>
      </c>
      <c r="I81" s="118"/>
      <c r="J81" s="102">
        <f>IF(AND(D81="Y",booking!H81&lt;&gt;booking!I81,booking!I81&gt;0),booking!I81,"-")</f>
        <v>81</v>
      </c>
      <c r="K81" s="84">
        <f>IFERROR(VLOOKUP(J81,Database!$A$2:$L$175,8,FALSE),"-")</f>
        <v>0</v>
      </c>
      <c r="L81" s="84" t="str">
        <f>IFERROR(VLOOKUP(J81,Database!$A$2:$L$175,6,FALSE),"-")</f>
        <v>DK</v>
      </c>
      <c r="M81" s="99">
        <f>IFERROR(VLOOKUP(J81,Database!$A$2:$L$175,9,FALSE),"-")</f>
        <v>0</v>
      </c>
      <c r="N81" s="102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3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2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4">
      <c r="A82" s="94" t="str">
        <f>rengøring!A82</f>
        <v>torsdag</v>
      </c>
      <c r="B82" s="92">
        <v>46219</v>
      </c>
      <c r="C82" s="9"/>
      <c r="D82" s="95" t="str">
        <f>IF(booking!AB82&gt;0,"Y","-")</f>
        <v>-</v>
      </c>
      <c r="E82" s="101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99" t="str">
        <f>IFERROR(VLOOKUP(E82,Database!$A$2:$L$175,9,FALSE),"-")</f>
        <v>-</v>
      </c>
      <c r="I82" s="118"/>
      <c r="J82" s="102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99" t="str">
        <f>IFERROR(VLOOKUP(J82,Database!$A$2:$L$175,9,FALSE),"-")</f>
        <v>-</v>
      </c>
      <c r="N82" s="102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3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2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4">
      <c r="A83" s="94" t="str">
        <f>rengøring!A83</f>
        <v>fredag</v>
      </c>
      <c r="B83" s="92">
        <v>46220</v>
      </c>
      <c r="C83" s="9"/>
      <c r="D83" s="95" t="str">
        <f>IF(booking!AB83&gt;0,"Y","-")</f>
        <v>-</v>
      </c>
      <c r="E83" s="101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99" t="str">
        <f>IFERROR(VLOOKUP(E83,Database!$A$2:$L$175,9,FALSE),"-")</f>
        <v>-</v>
      </c>
      <c r="I83" s="118"/>
      <c r="J83" s="102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99" t="str">
        <f>IFERROR(VLOOKUP(J83,Database!$A$2:$L$175,9,FALSE),"-")</f>
        <v>-</v>
      </c>
      <c r="N83" s="102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3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2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4">
      <c r="A84" s="94" t="str">
        <f>rengøring!A84</f>
        <v>lørdag</v>
      </c>
      <c r="B84" s="90">
        <v>46221</v>
      </c>
      <c r="C84" s="9"/>
      <c r="D84" s="95" t="str">
        <f>IF(booking!AB84&gt;0,"Y","-")</f>
        <v>Y</v>
      </c>
      <c r="E84" s="101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99" t="str">
        <f>IFERROR(VLOOKUP(E84,Database!$A$2:$L$175,9,FALSE),"-")</f>
        <v>-</v>
      </c>
      <c r="I84" s="118"/>
      <c r="J84" s="102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99" t="str">
        <f>IFERROR(VLOOKUP(J84,Database!$A$2:$L$175,9,FALSE),"-")</f>
        <v>-</v>
      </c>
      <c r="N84" s="102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3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2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4">
      <c r="A85" s="94" t="str">
        <f>rengøring!A85</f>
        <v>søndag</v>
      </c>
      <c r="B85" s="92">
        <v>46222</v>
      </c>
      <c r="C85" s="9"/>
      <c r="D85" s="95" t="str">
        <f>IF(booking!AB85&gt;0,"Y","-")</f>
        <v>Y</v>
      </c>
      <c r="E85" s="101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99" t="str">
        <f>IFERROR(VLOOKUP(E85,Database!$A$2:$L$175,9,FALSE),"-")</f>
        <v>-</v>
      </c>
      <c r="I85" s="118"/>
      <c r="J85" s="102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99" t="str">
        <f>IFERROR(VLOOKUP(J85,Database!$A$2:$L$175,9,FALSE),"-")</f>
        <v>dobb</v>
      </c>
      <c r="N85" s="102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3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2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4">
      <c r="A86" s="94" t="str">
        <f>rengøring!A86</f>
        <v>mandag</v>
      </c>
      <c r="B86" s="92">
        <v>46223</v>
      </c>
      <c r="C86" s="9"/>
      <c r="D86" s="95" t="str">
        <f>IF(booking!AB86&gt;0,"Y","-")</f>
        <v>-</v>
      </c>
      <c r="E86" s="101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99" t="str">
        <f>IFERROR(VLOOKUP(E86,Database!$A$2:$L$175,9,FALSE),"-")</f>
        <v>-</v>
      </c>
      <c r="I86" s="118"/>
      <c r="J86" s="102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99" t="str">
        <f>IFERROR(VLOOKUP(J86,Database!$A$2:$L$175,9,FALSE),"-")</f>
        <v>-</v>
      </c>
      <c r="N86" s="102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3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2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4">
      <c r="A87" s="94" t="str">
        <f>rengøring!A87</f>
        <v>tirsdag</v>
      </c>
      <c r="B87" s="90">
        <v>46224</v>
      </c>
      <c r="C87" s="9"/>
      <c r="D87" s="95" t="str">
        <f>IF(booking!AB87&gt;0,"Y","-")</f>
        <v>-</v>
      </c>
      <c r="E87" s="101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99" t="str">
        <f>IFERROR(VLOOKUP(E87,Database!$A$2:$L$175,9,FALSE),"-")</f>
        <v>-</v>
      </c>
      <c r="I87" s="118"/>
      <c r="J87" s="102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99" t="str">
        <f>IFERROR(VLOOKUP(J87,Database!$A$2:$L$175,9,FALSE),"-")</f>
        <v>-</v>
      </c>
      <c r="N87" s="102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3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2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4">
      <c r="A88" s="94" t="str">
        <f>rengøring!A88</f>
        <v>onsdag</v>
      </c>
      <c r="B88" s="92">
        <v>46225</v>
      </c>
      <c r="C88" s="9"/>
      <c r="D88" s="95" t="str">
        <f>IF(booking!AB88&gt;0,"Y","-")</f>
        <v>Y</v>
      </c>
      <c r="E88" s="101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99" t="str">
        <f>IFERROR(VLOOKUP(E88,Database!$A$2:$L$175,9,FALSE),"-")</f>
        <v>-</v>
      </c>
      <c r="I88" s="118"/>
      <c r="J88" s="102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99" t="str">
        <f>IFERROR(VLOOKUP(J88,Database!$A$2:$L$175,9,FALSE),"-")</f>
        <v>-</v>
      </c>
      <c r="N88" s="102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3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2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4">
      <c r="A89" s="94" t="str">
        <f>rengøring!A89</f>
        <v>torsdag</v>
      </c>
      <c r="B89" s="92">
        <v>46226</v>
      </c>
      <c r="C89" s="9"/>
      <c r="D89" s="95" t="str">
        <f>IF(booking!AB89&gt;0,"Y","-")</f>
        <v>-</v>
      </c>
      <c r="E89" s="101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99" t="str">
        <f>IFERROR(VLOOKUP(E89,Database!$A$2:$L$175,9,FALSE),"-")</f>
        <v>-</v>
      </c>
      <c r="I89" s="118"/>
      <c r="J89" s="102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99" t="str">
        <f>IFERROR(VLOOKUP(J89,Database!$A$2:$L$175,9,FALSE),"-")</f>
        <v>-</v>
      </c>
      <c r="N89" s="102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3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2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4">
      <c r="A90" s="94" t="str">
        <f>rengøring!A90</f>
        <v>fredag</v>
      </c>
      <c r="B90" s="90">
        <v>46227</v>
      </c>
      <c r="C90" s="9"/>
      <c r="D90" s="95" t="str">
        <f>IF(booking!AB90&gt;0,"Y","-")</f>
        <v>-</v>
      </c>
      <c r="E90" s="101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99" t="str">
        <f>IFERROR(VLOOKUP(E90,Database!$A$2:$L$175,9,FALSE),"-")</f>
        <v>-</v>
      </c>
      <c r="I90" s="118"/>
      <c r="J90" s="102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99" t="str">
        <f>IFERROR(VLOOKUP(J90,Database!$A$2:$L$175,9,FALSE),"-")</f>
        <v>-</v>
      </c>
      <c r="N90" s="102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3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2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4">
      <c r="A91" s="94" t="str">
        <f>rengøring!A91</f>
        <v>lørdag</v>
      </c>
      <c r="B91" s="92">
        <v>46228</v>
      </c>
      <c r="C91" s="9"/>
      <c r="D91" s="95" t="str">
        <f>IF(booking!AB91&gt;0,"Y","-")</f>
        <v>Y</v>
      </c>
      <c r="E91" s="101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99" t="str">
        <f>IFERROR(VLOOKUP(E91,Database!$A$2:$L$175,9,FALSE),"-")</f>
        <v>-</v>
      </c>
      <c r="I91" s="118"/>
      <c r="J91" s="102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99" t="str">
        <f>IFERROR(VLOOKUP(J91,Database!$A$2:$L$175,9,FALSE),"-")</f>
        <v>-</v>
      </c>
      <c r="N91" s="102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3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2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4">
      <c r="A92" s="94" t="str">
        <f>rengøring!A92</f>
        <v>søndag</v>
      </c>
      <c r="B92" s="92">
        <v>46229</v>
      </c>
      <c r="C92" s="9"/>
      <c r="D92" s="95" t="str">
        <f>IF(booking!AB92&gt;0,"Y","-")</f>
        <v>Y</v>
      </c>
      <c r="E92" s="101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99" t="str">
        <f>IFERROR(VLOOKUP(E92,Database!$A$2:$L$175,9,FALSE),"-")</f>
        <v>-</v>
      </c>
      <c r="I92" s="118"/>
      <c r="J92" s="102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99" t="str">
        <f>IFERROR(VLOOKUP(J92,Database!$A$2:$L$175,9,FALSE),"-")</f>
        <v>sing</v>
      </c>
      <c r="N92" s="102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3">
        <f>IF(AND(D92="Y",booking!P92&lt;&gt;booking!Q92,booking!Q92&gt;0),booking!Q92,"-")</f>
        <v>58</v>
      </c>
      <c r="S92" s="84">
        <f>IFERROR(VLOOKUP(R92,Database!$A$2:$L$175,8,FALSE),"-")</f>
        <v>0</v>
      </c>
      <c r="T92" s="84" t="str">
        <f>IFERROR(VLOOKUP(R92,Database!$A$2:$L$175,6,FALSE),"-")</f>
        <v>DK</v>
      </c>
      <c r="U92" s="88" t="str">
        <f>IFERROR(VLOOKUP(R92,Database!$A$2:$L$175,9,FALSE),"-")</f>
        <v>sing</v>
      </c>
      <c r="V92" s="102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4">
      <c r="A93" s="94" t="str">
        <f>rengøring!A93</f>
        <v>mandag</v>
      </c>
      <c r="B93" s="90">
        <v>46230</v>
      </c>
      <c r="C93" s="9"/>
      <c r="D93" s="95" t="str">
        <f>IF(booking!AB93&gt;0,"Y","-")</f>
        <v>Y</v>
      </c>
      <c r="E93" s="101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99">
        <f>IFERROR(VLOOKUP(E93,Database!$A$2:$L$175,9,FALSE),"-")</f>
        <v>0</v>
      </c>
      <c r="I93" s="118"/>
      <c r="J93" s="102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99" t="str">
        <f>IFERROR(VLOOKUP(J93,Database!$A$2:$L$175,9,FALSE),"-")</f>
        <v>-</v>
      </c>
      <c r="N93" s="102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3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2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4">
      <c r="A94" s="94" t="str">
        <f>rengøring!A94</f>
        <v>tirsdag</v>
      </c>
      <c r="B94" s="92">
        <v>46231</v>
      </c>
      <c r="C94" s="9"/>
      <c r="D94" s="95" t="str">
        <f>IF(booking!AB94&gt;0,"Y","-")</f>
        <v>-</v>
      </c>
      <c r="E94" s="101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99" t="str">
        <f>IFERROR(VLOOKUP(E94,Database!$A$2:$L$175,9,FALSE),"-")</f>
        <v>-</v>
      </c>
      <c r="I94" s="118"/>
      <c r="J94" s="102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99" t="str">
        <f>IFERROR(VLOOKUP(J94,Database!$A$2:$L$175,9,FALSE),"-")</f>
        <v>-</v>
      </c>
      <c r="N94" s="102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3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2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4">
      <c r="A95" s="94" t="str">
        <f>rengøring!A95</f>
        <v>onsdag</v>
      </c>
      <c r="B95" s="92">
        <v>46232</v>
      </c>
      <c r="C95" s="9"/>
      <c r="D95" s="95" t="str">
        <f>IF(booking!AB95&gt;0,"Y","-")</f>
        <v>Y</v>
      </c>
      <c r="E95" s="101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99" t="str">
        <f>IFERROR(VLOOKUP(E95,Database!$A$2:$L$175,9,FALSE),"-")</f>
        <v>-</v>
      </c>
      <c r="I95" s="118"/>
      <c r="J95" s="102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99" t="str">
        <f>IFERROR(VLOOKUP(J95,Database!$A$2:$L$175,9,FALSE),"-")</f>
        <v>-</v>
      </c>
      <c r="N95" s="102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3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2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4">
      <c r="A96" s="94" t="str">
        <f>rengøring!A96</f>
        <v>torsdag</v>
      </c>
      <c r="B96" s="90">
        <v>46233</v>
      </c>
      <c r="C96" s="9"/>
      <c r="D96" s="95" t="str">
        <f>IF(booking!AB96&gt;0,"Y","-")</f>
        <v>-</v>
      </c>
      <c r="E96" s="101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99" t="str">
        <f>IFERROR(VLOOKUP(E96,Database!$A$2:$L$175,9,FALSE),"-")</f>
        <v>-</v>
      </c>
      <c r="I96" s="118"/>
      <c r="J96" s="102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99" t="str">
        <f>IFERROR(VLOOKUP(J96,Database!$A$2:$L$175,9,FALSE),"-")</f>
        <v>-</v>
      </c>
      <c r="N96" s="102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3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2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4">
      <c r="A97" s="94" t="str">
        <f>rengøring!A97</f>
        <v>fredag</v>
      </c>
      <c r="B97" s="92">
        <v>46234</v>
      </c>
      <c r="C97" s="9"/>
      <c r="D97" s="95" t="str">
        <f>IF(booking!AB97&gt;0,"Y","-")</f>
        <v>Y</v>
      </c>
      <c r="E97" s="101">
        <f>IF(AND(D97="Y",booking!D97&lt;&gt;booking!E97,booking!E97&gt;0),booking!E97,"-")</f>
        <v>94</v>
      </c>
      <c r="F97" s="84">
        <f>IFERROR(VLOOKUP(E97,Database!$A$2:$L$175,8,FALSE),"-")</f>
        <v>0</v>
      </c>
      <c r="G97" s="84" t="str">
        <f>IFERROR(VLOOKUP(E97,Database!$A$2:$L$175,6,FALSE),"-")</f>
        <v>D</v>
      </c>
      <c r="H97" s="99">
        <f>IFERROR(VLOOKUP(E97,Database!$A$2:$L$175,9,FALSE),"-")</f>
        <v>0</v>
      </c>
      <c r="I97" s="118"/>
      <c r="J97" s="102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99" t="str">
        <f>IFERROR(VLOOKUP(J97,Database!$A$2:$L$175,9,FALSE),"-")</f>
        <v>-</v>
      </c>
      <c r="N97" s="102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3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2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4">
      <c r="A98" s="94" t="str">
        <f>rengøring!A98</f>
        <v>lørdag</v>
      </c>
      <c r="B98" s="92">
        <v>46235</v>
      </c>
      <c r="C98" s="9"/>
      <c r="D98" s="95" t="str">
        <f>IF(booking!AB98&gt;0,"Y","-")</f>
        <v>-</v>
      </c>
      <c r="E98" s="101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99" t="str">
        <f>IFERROR(VLOOKUP(E98,Database!$A$2:$L$175,9,FALSE),"-")</f>
        <v>-</v>
      </c>
      <c r="I98" s="118"/>
      <c r="J98" s="102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99" t="str">
        <f>IFERROR(VLOOKUP(J98,Database!$A$2:$L$175,9,FALSE),"-")</f>
        <v>-</v>
      </c>
      <c r="N98" s="102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3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2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4">
      <c r="A99" s="94" t="str">
        <f>rengøring!A99</f>
        <v>søndag</v>
      </c>
      <c r="B99" s="90">
        <v>46236</v>
      </c>
      <c r="C99" s="9"/>
      <c r="D99" s="95" t="str">
        <f>IF(booking!AB99&gt;0,"Y","-")</f>
        <v>Y</v>
      </c>
      <c r="E99" s="101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99" t="str">
        <f>IFERROR(VLOOKUP(E99,Database!$A$2:$L$175,9,FALSE),"-")</f>
        <v>-</v>
      </c>
      <c r="I99" s="118"/>
      <c r="J99" s="102">
        <f>IF(AND(D99="Y",booking!H99&lt;&gt;booking!I99,booking!I99&gt;0),booking!I99,"-")</f>
        <v>74</v>
      </c>
      <c r="K99" s="84">
        <f>IFERROR(VLOOKUP(J99,Database!$A$2:$L$175,8,FALSE),"-")</f>
        <v>0</v>
      </c>
      <c r="L99" s="84" t="str">
        <f>IFERROR(VLOOKUP(J99,Database!$A$2:$L$175,6,FALSE),"-")</f>
        <v>DK</v>
      </c>
      <c r="M99" s="99">
        <f>IFERROR(VLOOKUP(J99,Database!$A$2:$L$175,9,FALSE),"-")</f>
        <v>0</v>
      </c>
      <c r="N99" s="102">
        <f>IF(AND(D99="Y",booking!L99&lt;&gt;booking!M99,booking!M99&gt;0),booking!M99,"-")</f>
        <v>74</v>
      </c>
      <c r="O99" s="84">
        <f>IFERROR(VLOOKUP(N99,Database!$A$2:$L$175,8,FALSE),"-")</f>
        <v>0</v>
      </c>
      <c r="P99" s="84" t="str">
        <f>IFERROR(VLOOKUP(N99,Database!$A$2:$L$175,6,FALSE),"-")</f>
        <v>DK</v>
      </c>
      <c r="Q99" s="88">
        <f>IFERROR(VLOOKUP(N99,Database!$A$2:$L$175,9,FALSE),"-")</f>
        <v>0</v>
      </c>
      <c r="R99" s="103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2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4">
      <c r="A100" s="94" t="str">
        <f>rengøring!A100</f>
        <v>mandag</v>
      </c>
      <c r="B100" s="92">
        <v>46237</v>
      </c>
      <c r="C100" s="9"/>
      <c r="D100" s="95" t="str">
        <f>IF(booking!AB100&gt;0,"Y","-")</f>
        <v>Y</v>
      </c>
      <c r="E100" s="101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99">
        <f>IFERROR(VLOOKUP(E100,Database!$A$2:$L$175,9,FALSE),"-")</f>
        <v>0</v>
      </c>
      <c r="I100" s="118"/>
      <c r="J100" s="102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99" t="str">
        <f>IFERROR(VLOOKUP(J100,Database!$A$2:$L$175,9,FALSE),"-")</f>
        <v>-</v>
      </c>
      <c r="N100" s="102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3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2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4">
      <c r="A101" s="94" t="str">
        <f>rengøring!A101</f>
        <v>tirsdag</v>
      </c>
      <c r="B101" s="92">
        <v>46238</v>
      </c>
      <c r="C101" s="9"/>
      <c r="D101" s="95" t="str">
        <f>IF(booking!AB101&gt;0,"Y","-")</f>
        <v>-</v>
      </c>
      <c r="E101" s="101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99" t="str">
        <f>IFERROR(VLOOKUP(E101,Database!$A$2:$L$175,9,FALSE),"-")</f>
        <v>-</v>
      </c>
      <c r="I101" s="118"/>
      <c r="J101" s="102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99" t="str">
        <f>IFERROR(VLOOKUP(J101,Database!$A$2:$L$175,9,FALSE),"-")</f>
        <v>-</v>
      </c>
      <c r="N101" s="102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3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2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4">
      <c r="A102" s="94" t="str">
        <f>rengøring!A102</f>
        <v>onsdag</v>
      </c>
      <c r="B102" s="90">
        <v>46239</v>
      </c>
      <c r="C102" s="9"/>
      <c r="D102" s="95" t="str">
        <f>IF(booking!AB102&gt;0,"Y","-")</f>
        <v>-</v>
      </c>
      <c r="E102" s="101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99" t="str">
        <f>IFERROR(VLOOKUP(E102,Database!$A$2:$L$175,9,FALSE),"-")</f>
        <v>-</v>
      </c>
      <c r="I102" s="118"/>
      <c r="J102" s="102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99" t="str">
        <f>IFERROR(VLOOKUP(J102,Database!$A$2:$L$175,9,FALSE),"-")</f>
        <v>-</v>
      </c>
      <c r="N102" s="102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3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2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4">
      <c r="A103" s="94" t="str">
        <f>rengøring!A103</f>
        <v>torsdag</v>
      </c>
      <c r="B103" s="92">
        <v>46240</v>
      </c>
      <c r="C103" s="9"/>
      <c r="D103" s="95" t="str">
        <f>IF(booking!AB103&gt;0,"Y","-")</f>
        <v>Y</v>
      </c>
      <c r="E103" s="101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99" t="str">
        <f>IFERROR(VLOOKUP(E103,Database!$A$2:$L$175,9,FALSE),"-")</f>
        <v>-</v>
      </c>
      <c r="I103" s="118"/>
      <c r="J103" s="102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99">
        <f>IFERROR(VLOOKUP(J103,Database!$A$2:$L$175,9,FALSE),"-")</f>
        <v>0</v>
      </c>
      <c r="N103" s="102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3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2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4">
      <c r="A104" s="94" t="str">
        <f>rengøring!A104</f>
        <v>fredag</v>
      </c>
      <c r="B104" s="92">
        <v>46241</v>
      </c>
      <c r="C104" s="9"/>
      <c r="D104" s="95" t="str">
        <f>IF(booking!AB104&gt;0,"Y","-")</f>
        <v>Y</v>
      </c>
      <c r="E104" s="101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99" t="str">
        <f>IFERROR(VLOOKUP(E104,Database!$A$2:$L$175,9,FALSE),"-")</f>
        <v>-</v>
      </c>
      <c r="I104" s="118"/>
      <c r="J104" s="102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99" t="str">
        <f>IFERROR(VLOOKUP(J104,Database!$A$2:$L$175,9,FALSE),"-")</f>
        <v>-</v>
      </c>
      <c r="N104" s="102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3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2">
        <f>IF(AND(D104="Y",booking!T104&lt;&gt;booking!U104,booking!U104&gt;0),booking!U104,"-")</f>
        <v>92</v>
      </c>
      <c r="W104" s="85" t="str">
        <f>IFERROR(VLOOKUP(V104,Database!$A$2:$L$175,8,FALSE),"-")</f>
        <v>1400</v>
      </c>
      <c r="X104" s="85" t="str">
        <f>IFERROR(VLOOKUP(V104,Database!$A$2:$L$175,6,FALSE),"-")</f>
        <v>DK</v>
      </c>
      <c r="Y104" s="87" t="str">
        <f>IFERROR(VLOOKUP(V104,Database!$A$2:$L$175,9,FALSE),"-")</f>
        <v>sing</v>
      </c>
    </row>
    <row r="105" spans="1:25" ht="15" customHeight="1" thickBot="1" x14ac:dyDescent="0.4">
      <c r="A105" s="94" t="str">
        <f>rengøring!A105</f>
        <v>lørdag</v>
      </c>
      <c r="B105" s="90">
        <v>46242</v>
      </c>
      <c r="C105" s="9"/>
      <c r="D105" s="95" t="str">
        <f>IF(booking!AB105&gt;0,"Y","-")</f>
        <v>-</v>
      </c>
      <c r="E105" s="101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99" t="str">
        <f>IFERROR(VLOOKUP(E105,Database!$A$2:$L$175,9,FALSE),"-")</f>
        <v>-</v>
      </c>
      <c r="I105" s="118"/>
      <c r="J105" s="102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99" t="str">
        <f>IFERROR(VLOOKUP(J105,Database!$A$2:$L$175,9,FALSE),"-")</f>
        <v>-</v>
      </c>
      <c r="N105" s="102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3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2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4">
      <c r="A106" s="94" t="str">
        <f>rengøring!A106</f>
        <v>søndag</v>
      </c>
      <c r="B106" s="92">
        <v>46243</v>
      </c>
      <c r="C106" s="9"/>
      <c r="D106" s="95" t="str">
        <f>IF(booking!AB106&gt;0,"Y","-")</f>
        <v>-</v>
      </c>
      <c r="E106" s="101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99" t="str">
        <f>IFERROR(VLOOKUP(E106,Database!$A$2:$L$175,9,FALSE),"-")</f>
        <v>-</v>
      </c>
      <c r="I106" s="118"/>
      <c r="J106" s="102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99" t="str">
        <f>IFERROR(VLOOKUP(J106,Database!$A$2:$L$175,9,FALSE),"-")</f>
        <v>-</v>
      </c>
      <c r="N106" s="102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3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2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4">
      <c r="A107" s="94" t="str">
        <f>rengøring!A107</f>
        <v>mandag</v>
      </c>
      <c r="B107" s="92">
        <v>46244</v>
      </c>
      <c r="C107" s="9"/>
      <c r="D107" s="95" t="str">
        <f>IF(booking!AB107&gt;0,"Y","-")</f>
        <v>Y</v>
      </c>
      <c r="E107" s="101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99" t="str">
        <f>IFERROR(VLOOKUP(E107,Database!$A$2:$L$175,9,FALSE),"-")</f>
        <v>dobb</v>
      </c>
      <c r="I107" s="118"/>
      <c r="J107" s="102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99" t="str">
        <f>IFERROR(VLOOKUP(J107,Database!$A$2:$L$175,9,FALSE),"-")</f>
        <v>-</v>
      </c>
      <c r="N107" s="102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3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2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4">
      <c r="A108" s="94" t="str">
        <f>rengøring!A108</f>
        <v>tirsdag</v>
      </c>
      <c r="B108" s="90">
        <v>46245</v>
      </c>
      <c r="C108" s="9"/>
      <c r="D108" s="95" t="str">
        <f>IF(booking!AB108&gt;0,"Y","-")</f>
        <v>-</v>
      </c>
      <c r="E108" s="101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99" t="str">
        <f>IFERROR(VLOOKUP(E108,Database!$A$2:$L$175,9,FALSE),"-")</f>
        <v>-</v>
      </c>
      <c r="I108" s="118"/>
      <c r="J108" s="102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99" t="str">
        <f>IFERROR(VLOOKUP(J108,Database!$A$2:$L$175,9,FALSE),"-")</f>
        <v>-</v>
      </c>
      <c r="N108" s="102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3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2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4">
      <c r="A109" s="94" t="str">
        <f>rengøring!A109</f>
        <v>onsdag</v>
      </c>
      <c r="B109" s="92">
        <v>46246</v>
      </c>
      <c r="C109" s="9"/>
      <c r="D109" s="95" t="str">
        <f>IF(booking!AB109&gt;0,"Y","-")</f>
        <v>Y</v>
      </c>
      <c r="E109" s="101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99" t="str">
        <f>IFERROR(VLOOKUP(E109,Database!$A$2:$L$175,9,FALSE),"-")</f>
        <v>-</v>
      </c>
      <c r="I109" s="118"/>
      <c r="J109" s="102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99" t="str">
        <f>IFERROR(VLOOKUP(J109,Database!$A$2:$L$175,9,FALSE),"-")</f>
        <v>-</v>
      </c>
      <c r="N109" s="102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3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2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4">
      <c r="A110" s="94" t="str">
        <f>rengøring!A110</f>
        <v>torsdag</v>
      </c>
      <c r="B110" s="92">
        <v>46247</v>
      </c>
      <c r="C110" s="9"/>
      <c r="D110" s="95" t="str">
        <f>IF(booking!AB110&gt;0,"Y","-")</f>
        <v>Y</v>
      </c>
      <c r="E110" s="101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99" t="str">
        <f>IFERROR(VLOOKUP(E110,Database!$A$2:$L$175,9,FALSE),"-")</f>
        <v>-</v>
      </c>
      <c r="I110" s="118"/>
      <c r="J110" s="102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99">
        <f>IFERROR(VLOOKUP(J110,Database!$A$2:$L$175,9,FALSE),"-")</f>
        <v>0</v>
      </c>
      <c r="N110" s="102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3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2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4">
      <c r="A111" s="94" t="str">
        <f>rengøring!A111</f>
        <v>fredag</v>
      </c>
      <c r="B111" s="90">
        <v>46248</v>
      </c>
      <c r="C111" s="9"/>
      <c r="D111" s="95" t="str">
        <f>IF(booking!AB111&gt;0,"Y","-")</f>
        <v>-</v>
      </c>
      <c r="E111" s="101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99" t="str">
        <f>IFERROR(VLOOKUP(E111,Database!$A$2:$L$175,9,FALSE),"-")</f>
        <v>-</v>
      </c>
      <c r="I111" s="118"/>
      <c r="J111" s="102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99" t="str">
        <f>IFERROR(VLOOKUP(J111,Database!$A$2:$L$175,9,FALSE),"-")</f>
        <v>-</v>
      </c>
      <c r="N111" s="102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3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2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4">
      <c r="A112" s="94" t="str">
        <f>rengøring!A112</f>
        <v>lørdag</v>
      </c>
      <c r="B112" s="92">
        <v>46249</v>
      </c>
      <c r="C112" s="9"/>
      <c r="D112" s="95" t="str">
        <f>IF(booking!AB112&gt;0,"Y","-")</f>
        <v>-</v>
      </c>
      <c r="E112" s="101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99" t="str">
        <f>IFERROR(VLOOKUP(E112,Database!$A$2:$L$175,9,FALSE),"-")</f>
        <v>-</v>
      </c>
      <c r="I112" s="118"/>
      <c r="J112" s="102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99" t="str">
        <f>IFERROR(VLOOKUP(J112,Database!$A$2:$L$175,9,FALSE),"-")</f>
        <v>-</v>
      </c>
      <c r="N112" s="102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3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2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4">
      <c r="A113" s="94" t="str">
        <f>rengøring!A113</f>
        <v>søndag</v>
      </c>
      <c r="B113" s="92">
        <v>46250</v>
      </c>
      <c r="C113" s="9"/>
      <c r="D113" s="95" t="str">
        <f>IF(booking!AB113&gt;0,"Y","-")</f>
        <v>Y</v>
      </c>
      <c r="E113" s="101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99" t="str">
        <f>IFERROR(VLOOKUP(E113,Database!$A$2:$L$175,9,FALSE),"-")</f>
        <v>-</v>
      </c>
      <c r="I113" s="118"/>
      <c r="J113" s="102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99" t="str">
        <f>IFERROR(VLOOKUP(J113,Database!$A$2:$L$175,9,FALSE),"-")</f>
        <v>-</v>
      </c>
      <c r="N113" s="102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3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2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4">
      <c r="A114" s="94" t="str">
        <f>rengøring!A114</f>
        <v>mandag</v>
      </c>
      <c r="B114" s="90">
        <v>46251</v>
      </c>
      <c r="C114" s="9"/>
      <c r="D114" s="95" t="str">
        <f>IF(booking!AB114&gt;0,"Y","-")</f>
        <v>Y</v>
      </c>
      <c r="E114" s="101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99">
        <f>IFERROR(VLOOKUP(E114,Database!$A$2:$L$175,9,FALSE),"-")</f>
        <v>0</v>
      </c>
      <c r="I114" s="118"/>
      <c r="J114" s="102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99" t="str">
        <f>IFERROR(VLOOKUP(J114,Database!$A$2:$L$175,9,FALSE),"-")</f>
        <v>-</v>
      </c>
      <c r="N114" s="102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3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2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4">
      <c r="A115" s="94" t="str">
        <f>rengøring!A115</f>
        <v>tirsdag</v>
      </c>
      <c r="B115" s="92">
        <v>46252</v>
      </c>
      <c r="C115" s="9"/>
      <c r="D115" s="95" t="str">
        <f>IF(booking!AB115&gt;0,"Y","-")</f>
        <v>-</v>
      </c>
      <c r="E115" s="101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99" t="str">
        <f>IFERROR(VLOOKUP(E115,Database!$A$2:$L$175,9,FALSE),"-")</f>
        <v>-</v>
      </c>
      <c r="I115" s="118"/>
      <c r="J115" s="102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99" t="str">
        <f>IFERROR(VLOOKUP(J115,Database!$A$2:$L$175,9,FALSE),"-")</f>
        <v>-</v>
      </c>
      <c r="N115" s="102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3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2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4">
      <c r="A116" s="94" t="str">
        <f>rengøring!A116</f>
        <v>onsdag</v>
      </c>
      <c r="B116" s="92">
        <v>46253</v>
      </c>
      <c r="C116" s="9"/>
      <c r="D116" s="95" t="str">
        <f>IF(booking!AB116&gt;0,"Y","-")</f>
        <v>-</v>
      </c>
      <c r="E116" s="101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99" t="str">
        <f>IFERROR(VLOOKUP(E116,Database!$A$2:$L$175,9,FALSE),"-")</f>
        <v>-</v>
      </c>
      <c r="I116" s="118"/>
      <c r="J116" s="102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99" t="str">
        <f>IFERROR(VLOOKUP(J116,Database!$A$2:$L$175,9,FALSE),"-")</f>
        <v>-</v>
      </c>
      <c r="N116" s="102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3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2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4">
      <c r="A117" s="94" t="str">
        <f>rengøring!A117</f>
        <v>torsdag</v>
      </c>
      <c r="B117" s="90">
        <v>46254</v>
      </c>
      <c r="C117" s="9"/>
      <c r="D117" s="95" t="str">
        <f>IF(booking!AB117&gt;0,"Y","-")</f>
        <v>Y</v>
      </c>
      <c r="E117" s="101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99" t="str">
        <f>IFERROR(VLOOKUP(E117,Database!$A$2:$L$175,9,FALSE),"-")</f>
        <v>-</v>
      </c>
      <c r="I117" s="118"/>
      <c r="J117" s="102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99">
        <f>IFERROR(VLOOKUP(J117,Database!$A$2:$L$175,9,FALSE),"-")</f>
        <v>0</v>
      </c>
      <c r="N117" s="102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3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2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4">
      <c r="A118" s="94" t="str">
        <f>rengøring!A118</f>
        <v>fredag</v>
      </c>
      <c r="B118" s="92">
        <v>46255</v>
      </c>
      <c r="C118" s="9"/>
      <c r="D118" s="95" t="str">
        <f>IF(booking!AB118&gt;0,"Y","-")</f>
        <v>Y</v>
      </c>
      <c r="E118" s="101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99" t="str">
        <f>IFERROR(VLOOKUP(E118,Database!$A$2:$L$175,9,FALSE),"-")</f>
        <v>-</v>
      </c>
      <c r="I118" s="118"/>
      <c r="J118" s="102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99" t="str">
        <f>IFERROR(VLOOKUP(J118,Database!$A$2:$L$175,9,FALSE),"-")</f>
        <v>-</v>
      </c>
      <c r="N118" s="102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3">
        <f>IF(AND(D118="Y",booking!P118&lt;&gt;booking!Q118,booking!Q118&gt;0),booking!Q118,"-")</f>
        <v>93</v>
      </c>
      <c r="S118" s="84" t="str">
        <f>IFERROR(VLOOKUP(R118,Database!$A$2:$L$175,8,FALSE),"-")</f>
        <v>1530</v>
      </c>
      <c r="T118" s="84" t="str">
        <f>IFERROR(VLOOKUP(R118,Database!$A$2:$L$175,6,FALSE),"-")</f>
        <v>D</v>
      </c>
      <c r="U118" s="88" t="str">
        <f>IFERROR(VLOOKUP(R118,Database!$A$2:$L$175,9,FALSE),"-")</f>
        <v>sing</v>
      </c>
      <c r="V118" s="102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4">
      <c r="A119" s="94" t="str">
        <f>rengøring!A119</f>
        <v>lørdag</v>
      </c>
      <c r="B119" s="92">
        <v>46256</v>
      </c>
      <c r="C119" s="9"/>
      <c r="D119" s="95" t="str">
        <f>IF(booking!AB119&gt;0,"Y","-")</f>
        <v>Y</v>
      </c>
      <c r="E119" s="101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99" t="str">
        <f>IFERROR(VLOOKUP(E119,Database!$A$2:$L$175,9,FALSE),"-")</f>
        <v>Dobb</v>
      </c>
      <c r="I119" s="118"/>
      <c r="J119" s="102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99" t="str">
        <f>IFERROR(VLOOKUP(J119,Database!$A$2:$L$175,9,FALSE),"-")</f>
        <v>-</v>
      </c>
      <c r="N119" s="102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3" t="str">
        <f>IF(AND(D119="Y",booking!P119&lt;&gt;booking!Q119,booking!Q119&gt;0),booking!Q119,"-")</f>
        <v>-</v>
      </c>
      <c r="S119" s="84" t="str">
        <f>IFERROR(VLOOKUP(R119,Database!$A$2:$L$175,8,FALSE),"-")</f>
        <v>-</v>
      </c>
      <c r="T119" s="84" t="str">
        <f>IFERROR(VLOOKUP(R119,Database!$A$2:$L$175,6,FALSE),"-")</f>
        <v>-</v>
      </c>
      <c r="U119" s="88" t="str">
        <f>IFERROR(VLOOKUP(R119,Database!$A$2:$L$175,9,FALSE),"-")</f>
        <v>-</v>
      </c>
      <c r="V119" s="102">
        <f>IF(AND(D119="Y",booking!T119&lt;&gt;booking!U119,booking!U119&gt;0),booking!U119,"-")</f>
        <v>25</v>
      </c>
      <c r="W119" s="85">
        <f>IFERROR(VLOOKUP(V119,Database!$A$2:$L$175,8,FALSE),"-")</f>
        <v>0</v>
      </c>
      <c r="X119" s="85" t="str">
        <f>IFERROR(VLOOKUP(V119,Database!$A$2:$L$175,6,FALSE),"-")</f>
        <v>CH</v>
      </c>
      <c r="Y119" s="87" t="str">
        <f>IFERROR(VLOOKUP(V119,Database!$A$2:$L$175,9,FALSE),"-")</f>
        <v>sing</v>
      </c>
    </row>
    <row r="120" spans="1:25" ht="15" customHeight="1" thickBot="1" x14ac:dyDescent="0.4">
      <c r="A120" s="94" t="str">
        <f>rengøring!A120</f>
        <v>søndag</v>
      </c>
      <c r="B120" s="90">
        <v>46257</v>
      </c>
      <c r="C120" s="9"/>
      <c r="D120" s="95" t="str">
        <f>IF(booking!AB120&gt;0,"Y","-")</f>
        <v>-</v>
      </c>
      <c r="E120" s="101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99" t="str">
        <f>IFERROR(VLOOKUP(E120,Database!$A$2:$L$175,9,FALSE),"-")</f>
        <v>-</v>
      </c>
      <c r="I120" s="118"/>
      <c r="J120" s="102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99" t="str">
        <f>IFERROR(VLOOKUP(J120,Database!$A$2:$L$175,9,FALSE),"-")</f>
        <v>-</v>
      </c>
      <c r="N120" s="102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3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2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4">
      <c r="A121" s="94" t="str">
        <f>rengøring!A121</f>
        <v>mandag</v>
      </c>
      <c r="B121" s="92">
        <v>46258</v>
      </c>
      <c r="C121" s="9"/>
      <c r="D121" s="95" t="str">
        <f>IF(booking!AB121&gt;0,"Y","-")</f>
        <v>Y</v>
      </c>
      <c r="E121" s="101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99" t="str">
        <f>IFERROR(VLOOKUP(E121,Database!$A$2:$L$175,9,FALSE),"-")</f>
        <v>-</v>
      </c>
      <c r="I121" s="118"/>
      <c r="J121" s="102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99" t="str">
        <f>IFERROR(VLOOKUP(J121,Database!$A$2:$L$175,9,FALSE),"-")</f>
        <v>-</v>
      </c>
      <c r="N121" s="102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3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2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4">
      <c r="A122" s="94" t="str">
        <f>rengøring!A122</f>
        <v>tirsdag</v>
      </c>
      <c r="B122" s="92">
        <v>46259</v>
      </c>
      <c r="C122" s="9"/>
      <c r="D122" s="95" t="str">
        <f>IF(booking!AB122&gt;0,"Y","-")</f>
        <v>-</v>
      </c>
      <c r="E122" s="101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99" t="str">
        <f>IFERROR(VLOOKUP(E122,Database!$A$2:$L$175,9,FALSE),"-")</f>
        <v>-</v>
      </c>
      <c r="I122" s="118"/>
      <c r="J122" s="102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99" t="str">
        <f>IFERROR(VLOOKUP(J122,Database!$A$2:$L$175,9,FALSE),"-")</f>
        <v>-</v>
      </c>
      <c r="N122" s="102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3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2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4">
      <c r="A123" s="94" t="str">
        <f>rengøring!A123</f>
        <v>onsdag</v>
      </c>
      <c r="B123" s="90">
        <v>46260</v>
      </c>
      <c r="C123" s="9"/>
      <c r="D123" s="95" t="str">
        <f>IF(booking!AB123&gt;0,"Y","-")</f>
        <v>Y</v>
      </c>
      <c r="E123" s="101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99">
        <f>IFERROR(VLOOKUP(E123,Database!$A$2:$L$175,9,FALSE),"-")</f>
        <v>0</v>
      </c>
      <c r="I123" s="118"/>
      <c r="J123" s="102" t="str">
        <f>IF(AND(D123="Y",booking!H123&lt;&gt;booking!I123,booking!I123&gt;0),booking!I123,"-")</f>
        <v>-</v>
      </c>
      <c r="K123" s="84" t="str">
        <f>IFERROR(VLOOKUP(J123,Database!$A$2:$L$175,8,FALSE),"-")</f>
        <v>-</v>
      </c>
      <c r="L123" s="84" t="str">
        <f>IFERROR(VLOOKUP(J123,Database!$A$2:$L$175,6,FALSE),"-")</f>
        <v>-</v>
      </c>
      <c r="M123" s="99" t="str">
        <f>IFERROR(VLOOKUP(J123,Database!$A$2:$L$175,9,FALSE),"-")</f>
        <v>-</v>
      </c>
      <c r="N123" s="102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3">
        <f>IF(AND(D123="Y",booking!P123&lt;&gt;booking!Q123,booking!Q123&gt;0),booking!Q123,"-")</f>
        <v>78</v>
      </c>
      <c r="S123" s="84">
        <f>IFERROR(VLOOKUP(R123,Database!$A$2:$L$175,8,FALSE),"-")</f>
        <v>0</v>
      </c>
      <c r="T123" s="84" t="str">
        <f>IFERROR(VLOOKUP(R123,Database!$A$2:$L$175,6,FALSE),"-")</f>
        <v>D</v>
      </c>
      <c r="U123" s="88">
        <f>IFERROR(VLOOKUP(R123,Database!$A$2:$L$175,9,FALSE),"-")</f>
        <v>0</v>
      </c>
      <c r="V123" s="102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4">
      <c r="A124" s="94" t="str">
        <f>rengøring!A124</f>
        <v>torsdag</v>
      </c>
      <c r="B124" s="92">
        <v>46261</v>
      </c>
      <c r="C124" s="9"/>
      <c r="D124" s="95" t="str">
        <f>IF(booking!AB124&gt;0,"Y","-")</f>
        <v>Y</v>
      </c>
      <c r="E124" s="101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99" t="str">
        <f>IFERROR(VLOOKUP(E124,Database!$A$2:$L$175,9,FALSE),"-")</f>
        <v>-</v>
      </c>
      <c r="I124" s="118"/>
      <c r="J124" s="102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99" t="str">
        <f>IFERROR(VLOOKUP(J124,Database!$A$2:$L$175,9,FALSE),"-")</f>
        <v>-</v>
      </c>
      <c r="N124" s="102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3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2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4">
      <c r="A125" s="94" t="str">
        <f>rengøring!A125</f>
        <v>fredag</v>
      </c>
      <c r="B125" s="92">
        <v>46262</v>
      </c>
      <c r="C125" s="9"/>
      <c r="D125" s="95" t="str">
        <f>IF(booking!AB125&gt;0,"Y","-")</f>
        <v>-</v>
      </c>
      <c r="E125" s="101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99" t="str">
        <f>IFERROR(VLOOKUP(E125,Database!$A$2:$L$175,9,FALSE),"-")</f>
        <v>-</v>
      </c>
      <c r="I125" s="118"/>
      <c r="J125" s="102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99" t="str">
        <f>IFERROR(VLOOKUP(J125,Database!$A$2:$L$175,9,FALSE),"-")</f>
        <v>-</v>
      </c>
      <c r="N125" s="102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3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2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4">
      <c r="A126" s="94" t="str">
        <f>rengøring!A126</f>
        <v>lørdag</v>
      </c>
      <c r="B126" s="90">
        <v>46263</v>
      </c>
      <c r="C126" s="9"/>
      <c r="D126" s="95" t="str">
        <f>IF(booking!AB126&gt;0,"Y","-")</f>
        <v>-</v>
      </c>
      <c r="E126" s="101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99" t="str">
        <f>IFERROR(VLOOKUP(E126,Database!$A$2:$L$175,9,FALSE),"-")</f>
        <v>-</v>
      </c>
      <c r="I126" s="118"/>
      <c r="J126" s="102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99" t="str">
        <f>IFERROR(VLOOKUP(J126,Database!$A$2:$L$175,9,FALSE),"-")</f>
        <v>-</v>
      </c>
      <c r="N126" s="102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3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2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4">
      <c r="A127" s="94" t="str">
        <f>rengøring!A127</f>
        <v>søndag</v>
      </c>
      <c r="B127" s="92">
        <v>46264</v>
      </c>
      <c r="C127" s="9"/>
      <c r="D127" s="95" t="str">
        <f>IF(booking!AB127&gt;0,"Y","-")</f>
        <v>-</v>
      </c>
      <c r="E127" s="101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99" t="str">
        <f>IFERROR(VLOOKUP(E127,Database!$A$2:$L$175,9,FALSE),"-")</f>
        <v>-</v>
      </c>
      <c r="I127" s="118"/>
      <c r="J127" s="102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99" t="str">
        <f>IFERROR(VLOOKUP(J127,Database!$A$2:$L$175,9,FALSE),"-")</f>
        <v>-</v>
      </c>
      <c r="N127" s="102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3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2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4">
      <c r="A128" s="94" t="str">
        <f>rengøring!A128</f>
        <v>mandag</v>
      </c>
      <c r="B128" s="92">
        <v>46265</v>
      </c>
      <c r="C128" s="9"/>
      <c r="D128" s="95" t="str">
        <f>IF(booking!AB128&gt;0,"Y","-")</f>
        <v>-</v>
      </c>
      <c r="E128" s="101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99" t="str">
        <f>IFERROR(VLOOKUP(E128,Database!$A$2:$L$175,9,FALSE),"-")</f>
        <v>-</v>
      </c>
      <c r="I128" s="118"/>
      <c r="J128" s="102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99" t="str">
        <f>IFERROR(VLOOKUP(J128,Database!$A$2:$L$175,9,FALSE),"-")</f>
        <v>-</v>
      </c>
      <c r="N128" s="102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3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2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4">
      <c r="A129" s="94" t="str">
        <f>rengøring!A129</f>
        <v>tirsdag</v>
      </c>
      <c r="B129" s="90">
        <v>46266</v>
      </c>
      <c r="C129" s="9"/>
      <c r="D129" s="95" t="str">
        <f>IF(booking!AB129&gt;0,"Y","-")</f>
        <v>-</v>
      </c>
      <c r="E129" s="101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99" t="str">
        <f>IFERROR(VLOOKUP(E129,Database!$A$2:$L$175,9,FALSE),"-")</f>
        <v>-</v>
      </c>
      <c r="I129" s="118"/>
      <c r="J129" s="102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99" t="str">
        <f>IFERROR(VLOOKUP(J129,Database!$A$2:$L$175,9,FALSE),"-")</f>
        <v>-</v>
      </c>
      <c r="N129" s="102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3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2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4">
      <c r="A130" s="94" t="str">
        <f>rengøring!A130</f>
        <v>onsdag</v>
      </c>
      <c r="B130" s="92">
        <v>46267</v>
      </c>
      <c r="C130" s="9"/>
      <c r="D130" s="95" t="str">
        <f>IF(booking!AB130&gt;0,"Y","-")</f>
        <v>-</v>
      </c>
      <c r="E130" s="101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99" t="str">
        <f>IFERROR(VLOOKUP(E130,Database!$A$2:$L$175,9,FALSE),"-")</f>
        <v>-</v>
      </c>
      <c r="I130" s="118"/>
      <c r="J130" s="102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99" t="str">
        <f>IFERROR(VLOOKUP(J130,Database!$A$2:$L$175,9,FALSE),"-")</f>
        <v>-</v>
      </c>
      <c r="N130" s="102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3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2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4">
      <c r="A131" s="94" t="str">
        <f>rengøring!A131</f>
        <v>torsdag</v>
      </c>
      <c r="B131" s="92">
        <v>46268</v>
      </c>
      <c r="C131" s="9"/>
      <c r="D131" s="95" t="str">
        <f>IF(booking!AB131&gt;0,"Y","-")</f>
        <v>-</v>
      </c>
      <c r="E131" s="101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99" t="str">
        <f>IFERROR(VLOOKUP(E131,Database!$A$2:$L$175,9,FALSE),"-")</f>
        <v>-</v>
      </c>
      <c r="I131" s="118"/>
      <c r="J131" s="102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99" t="str">
        <f>IFERROR(VLOOKUP(J131,Database!$A$2:$L$175,9,FALSE),"-")</f>
        <v>-</v>
      </c>
      <c r="N131" s="102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3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2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4">
      <c r="A132" s="94" t="str">
        <f>rengøring!A132</f>
        <v>fredag</v>
      </c>
      <c r="B132" s="90">
        <v>46269</v>
      </c>
      <c r="C132" s="9"/>
      <c r="D132" s="95" t="str">
        <f>IF(booking!AB132&gt;0,"Y","-")</f>
        <v>-</v>
      </c>
      <c r="E132" s="101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99" t="str">
        <f>IFERROR(VLOOKUP(E132,Database!$A$2:$L$175,9,FALSE),"-")</f>
        <v>-</v>
      </c>
      <c r="I132" s="118"/>
      <c r="J132" s="102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99" t="str">
        <f>IFERROR(VLOOKUP(J132,Database!$A$2:$L$175,9,FALSE),"-")</f>
        <v>-</v>
      </c>
      <c r="N132" s="102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3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2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4">
      <c r="A133" s="94" t="str">
        <f>rengøring!A133</f>
        <v>lørdag</v>
      </c>
      <c r="B133" s="92">
        <v>46270</v>
      </c>
      <c r="C133" s="9"/>
      <c r="D133" s="95" t="str">
        <f>IF(booking!AB133&gt;0,"Y","-")</f>
        <v>-</v>
      </c>
      <c r="E133" s="101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99" t="str">
        <f>IFERROR(VLOOKUP(E133,Database!$A$2:$L$175,9,FALSE),"-")</f>
        <v>-</v>
      </c>
      <c r="I133" s="118"/>
      <c r="J133" s="102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99" t="str">
        <f>IFERROR(VLOOKUP(J133,Database!$A$2:$L$175,9,FALSE),"-")</f>
        <v>-</v>
      </c>
      <c r="N133" s="102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3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2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4">
      <c r="A134" s="94" t="str">
        <f>rengøring!A134</f>
        <v>søndag</v>
      </c>
      <c r="B134" s="92">
        <v>46271</v>
      </c>
      <c r="C134" s="9"/>
      <c r="D134" s="95" t="str">
        <f>IF(booking!AB134&gt;0,"Y","-")</f>
        <v>Y</v>
      </c>
      <c r="E134" s="101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99" t="str">
        <f>IFERROR(VLOOKUP(E134,Database!$A$2:$L$175,9,FALSE),"-")</f>
        <v>-</v>
      </c>
      <c r="I134" s="118"/>
      <c r="J134" s="102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99" t="str">
        <f>IFERROR(VLOOKUP(J134,Database!$A$2:$L$175,9,FALSE),"-")</f>
        <v>-</v>
      </c>
      <c r="N134" s="102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3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2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4">
      <c r="A135" s="94" t="str">
        <f>rengøring!A135</f>
        <v>mandag</v>
      </c>
      <c r="B135" s="90">
        <v>46272</v>
      </c>
      <c r="C135" s="9"/>
      <c r="D135" s="95" t="str">
        <f>IF(booking!AB135&gt;0,"Y","-")</f>
        <v>-</v>
      </c>
      <c r="E135" s="101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99" t="str">
        <f>IFERROR(VLOOKUP(E135,Database!$A$2:$L$175,9,FALSE),"-")</f>
        <v>-</v>
      </c>
      <c r="I135" s="118"/>
      <c r="J135" s="102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99" t="str">
        <f>IFERROR(VLOOKUP(J135,Database!$A$2:$L$175,9,FALSE),"-")</f>
        <v>-</v>
      </c>
      <c r="N135" s="102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3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2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4">
      <c r="A136" s="94" t="str">
        <f>rengøring!A136</f>
        <v>tirsdag</v>
      </c>
      <c r="B136" s="92">
        <v>46273</v>
      </c>
      <c r="C136" s="9"/>
      <c r="D136" s="95" t="str">
        <f>IF(booking!AB136&gt;0,"Y","-")</f>
        <v>-</v>
      </c>
      <c r="E136" s="101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99" t="str">
        <f>IFERROR(VLOOKUP(E136,Database!$A$2:$L$175,9,FALSE),"-")</f>
        <v>-</v>
      </c>
      <c r="I136" s="118"/>
      <c r="J136" s="102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99" t="str">
        <f>IFERROR(VLOOKUP(J136,Database!$A$2:$L$175,9,FALSE),"-")</f>
        <v>-</v>
      </c>
      <c r="N136" s="102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3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2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4">
      <c r="A137" s="94" t="str">
        <f>rengøring!A137</f>
        <v>onsdag</v>
      </c>
      <c r="B137" s="92">
        <v>46274</v>
      </c>
      <c r="C137" s="9"/>
      <c r="D137" s="95" t="str">
        <f>IF(booking!AB137&gt;0,"Y","-")</f>
        <v>-</v>
      </c>
      <c r="E137" s="101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99" t="str">
        <f>IFERROR(VLOOKUP(E137,Database!$A$2:$L$175,9,FALSE),"-")</f>
        <v>-</v>
      </c>
      <c r="I137" s="118"/>
      <c r="J137" s="102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99" t="str">
        <f>IFERROR(VLOOKUP(J137,Database!$A$2:$L$175,9,FALSE),"-")</f>
        <v>-</v>
      </c>
      <c r="N137" s="102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3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2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4">
      <c r="A138" s="94" t="str">
        <f>rengøring!A138</f>
        <v>torsdag</v>
      </c>
      <c r="B138" s="90">
        <v>46275</v>
      </c>
      <c r="C138" s="9"/>
      <c r="D138" s="95" t="str">
        <f>IF(booking!AB138&gt;0,"Y","-")</f>
        <v>-</v>
      </c>
      <c r="E138" s="101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99" t="str">
        <f>IFERROR(VLOOKUP(E138,Database!$A$2:$L$175,9,FALSE),"-")</f>
        <v>-</v>
      </c>
      <c r="I138" s="118"/>
      <c r="J138" s="102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99" t="str">
        <f>IFERROR(VLOOKUP(J138,Database!$A$2:$L$175,9,FALSE),"-")</f>
        <v>-</v>
      </c>
      <c r="N138" s="102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3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2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4">
      <c r="A139" s="94" t="str">
        <f>rengøring!A139</f>
        <v>fredag</v>
      </c>
      <c r="B139" s="92">
        <v>46276</v>
      </c>
      <c r="C139" s="9"/>
      <c r="D139" s="95" t="str">
        <f>IF(booking!AB139&gt;0,"Y","-")</f>
        <v>Y</v>
      </c>
      <c r="E139" s="101">
        <f>IF(AND(D139="Y",booking!D139&lt;&gt;booking!E139,booking!E139&gt;0),booking!E139,"-")</f>
        <v>89</v>
      </c>
      <c r="F139" s="84">
        <f>IFERROR(VLOOKUP(E139,Database!$A$2:$L$175,8,FALSE),"-")</f>
        <v>0</v>
      </c>
      <c r="G139" s="84" t="str">
        <f>IFERROR(VLOOKUP(E139,Database!$A$2:$L$175,6,FALSE),"-")</f>
        <v>DK</v>
      </c>
      <c r="H139" s="99" t="str">
        <f>IFERROR(VLOOKUP(E139,Database!$A$2:$L$175,9,FALSE),"-")</f>
        <v>sing</v>
      </c>
      <c r="I139" s="118"/>
      <c r="J139" s="102">
        <f>IF(AND(D139="Y",booking!H139&lt;&gt;booking!I139,booking!I139&gt;0),booking!I139,"-")</f>
        <v>89</v>
      </c>
      <c r="K139" s="84">
        <f>IFERROR(VLOOKUP(J139,Database!$A$2:$L$175,8,FALSE),"-")</f>
        <v>0</v>
      </c>
      <c r="L139" s="84" t="str">
        <f>IFERROR(VLOOKUP(J139,Database!$A$2:$L$175,6,FALSE),"-")</f>
        <v>DK</v>
      </c>
      <c r="M139" s="99" t="str">
        <f>IFERROR(VLOOKUP(J139,Database!$A$2:$L$175,9,FALSE),"-")</f>
        <v>sing</v>
      </c>
      <c r="N139" s="102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3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2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4">
      <c r="A140" s="94" t="str">
        <f>rengøring!A140</f>
        <v>lørdag</v>
      </c>
      <c r="B140" s="92">
        <v>46277</v>
      </c>
      <c r="C140" s="9"/>
      <c r="D140" s="95" t="str">
        <f>IF(booking!AB140&gt;0,"Y","-")</f>
        <v>Y</v>
      </c>
      <c r="E140" s="101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99" t="str">
        <f>IFERROR(VLOOKUP(E140,Database!$A$2:$L$175,9,FALSE),"-")</f>
        <v>-</v>
      </c>
      <c r="I140" s="118"/>
      <c r="J140" s="102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99" t="str">
        <f>IFERROR(VLOOKUP(J140,Database!$A$2:$L$175,9,FALSE),"-")</f>
        <v>-</v>
      </c>
      <c r="N140" s="102">
        <f>IF(AND(D140="Y",booking!L140&lt;&gt;booking!M140,booking!M140&gt;0),booking!M140,"-")</f>
        <v>103</v>
      </c>
      <c r="O140" s="84">
        <f>IFERROR(VLOOKUP(N140,Database!$A$2:$L$175,8,FALSE),"-")</f>
        <v>0</v>
      </c>
      <c r="P140" s="84" t="str">
        <f>IFERROR(VLOOKUP(N140,Database!$A$2:$L$175,6,FALSE),"-")</f>
        <v>DK</v>
      </c>
      <c r="Q140" s="88" t="str">
        <f>IFERROR(VLOOKUP(N140,Database!$A$2:$L$175,9,FALSE),"-")</f>
        <v>Enk</v>
      </c>
      <c r="R140" s="103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2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4">
      <c r="A141" s="94" t="str">
        <f>rengøring!A141</f>
        <v>søndag</v>
      </c>
      <c r="B141" s="90">
        <v>46278</v>
      </c>
      <c r="C141" s="9"/>
      <c r="D141" s="95" t="str">
        <f>IF(booking!AB141&gt;0,"Y","-")</f>
        <v>-</v>
      </c>
      <c r="E141" s="101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99" t="str">
        <f>IFERROR(VLOOKUP(E141,Database!$A$2:$L$175,9,FALSE),"-")</f>
        <v>-</v>
      </c>
      <c r="I141" s="118"/>
      <c r="J141" s="102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99" t="str">
        <f>IFERROR(VLOOKUP(J141,Database!$A$2:$L$175,9,FALSE),"-")</f>
        <v>-</v>
      </c>
      <c r="N141" s="102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3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2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4">
      <c r="A142" s="94" t="str">
        <f>rengøring!A142</f>
        <v>mandag</v>
      </c>
      <c r="B142" s="92">
        <v>46279</v>
      </c>
      <c r="C142" s="9"/>
      <c r="D142" s="95" t="str">
        <f>IF(booking!AB142&gt;0,"Y","-")</f>
        <v>Y</v>
      </c>
      <c r="E142" s="101">
        <f>IF(AND(D142="Y",booking!D142&lt;&gt;booking!E142,booking!E142&gt;0),booking!E142,"-")</f>
        <v>100</v>
      </c>
      <c r="F142" s="84">
        <f>IFERROR(VLOOKUP(E142,Database!$A$2:$L$175,8,FALSE),"-")</f>
        <v>0</v>
      </c>
      <c r="G142" s="84" t="str">
        <f>IFERROR(VLOOKUP(E142,Database!$A$2:$L$175,6,FALSE),"-")</f>
        <v>DK</v>
      </c>
      <c r="H142" s="99">
        <f>IFERROR(VLOOKUP(E142,Database!$A$2:$L$175,9,FALSE),"-")</f>
        <v>0</v>
      </c>
      <c r="I142" s="118"/>
      <c r="J142" s="102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99" t="str">
        <f>IFERROR(VLOOKUP(J142,Database!$A$2:$L$175,9,FALSE),"-")</f>
        <v>-</v>
      </c>
      <c r="N142" s="102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3">
        <f>IF(AND(D142="Y",booking!P142&lt;&gt;booking!Q142,booking!Q142&gt;0),booking!Q142,"-")</f>
        <v>101</v>
      </c>
      <c r="S142" s="84">
        <f>IFERROR(VLOOKUP(R142,Database!$A$2:$L$175,8,FALSE),"-")</f>
        <v>0</v>
      </c>
      <c r="T142" s="84" t="str">
        <f>IFERROR(VLOOKUP(R142,Database!$A$2:$L$175,6,FALSE),"-")</f>
        <v>DK</v>
      </c>
      <c r="U142" s="88" t="str">
        <f>IFERROR(VLOOKUP(R142,Database!$A$2:$L$175,9,FALSE),"-")</f>
        <v>Enk</v>
      </c>
      <c r="V142" s="102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4">
      <c r="A143" s="94" t="str">
        <f>rengøring!A143</f>
        <v>tirsdag</v>
      </c>
      <c r="B143" s="92">
        <v>46280</v>
      </c>
      <c r="C143" s="9"/>
      <c r="D143" s="95" t="str">
        <f>IF(booking!AB143&gt;0,"Y","-")</f>
        <v>-</v>
      </c>
      <c r="E143" s="101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99" t="str">
        <f>IFERROR(VLOOKUP(E143,Database!$A$2:$L$175,9,FALSE),"-")</f>
        <v>-</v>
      </c>
      <c r="I143" s="118"/>
      <c r="J143" s="102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99" t="str">
        <f>IFERROR(VLOOKUP(J143,Database!$A$2:$L$175,9,FALSE),"-")</f>
        <v>-</v>
      </c>
      <c r="N143" s="102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3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2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4">
      <c r="A144" s="94" t="str">
        <f>rengøring!A144</f>
        <v>onsdag</v>
      </c>
      <c r="B144" s="90">
        <v>46281</v>
      </c>
      <c r="C144" s="9"/>
      <c r="D144" s="95" t="str">
        <f>IF(booking!AB144&gt;0,"Y","-")</f>
        <v>Y</v>
      </c>
      <c r="E144" s="101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99" t="str">
        <f>IFERROR(VLOOKUP(E144,Database!$A$2:$L$175,9,FALSE),"-")</f>
        <v>-</v>
      </c>
      <c r="I144" s="118"/>
      <c r="J144" s="102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99">
        <f>IFERROR(VLOOKUP(J144,Database!$A$2:$L$175,9,FALSE),"-")</f>
        <v>0</v>
      </c>
      <c r="N144" s="102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3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2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4">
      <c r="A145" s="94" t="str">
        <f>rengøring!A145</f>
        <v>torsdag</v>
      </c>
      <c r="B145" s="92">
        <v>46282</v>
      </c>
      <c r="C145" s="9"/>
      <c r="D145" s="95" t="str">
        <f>IF(booking!AB145&gt;0,"Y","-")</f>
        <v>Y</v>
      </c>
      <c r="E145" s="101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99" t="str">
        <f>IFERROR(VLOOKUP(E145,Database!$A$2:$L$175,9,FALSE),"-")</f>
        <v>sing</v>
      </c>
      <c r="I145" s="118"/>
      <c r="J145" s="102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99" t="str">
        <f>IFERROR(VLOOKUP(J145,Database!$A$2:$L$175,9,FALSE),"-")</f>
        <v>-</v>
      </c>
      <c r="N145" s="102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3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2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4">
      <c r="A146" s="94" t="str">
        <f>rengøring!A146</f>
        <v>fredag</v>
      </c>
      <c r="B146" s="92">
        <v>46283</v>
      </c>
      <c r="C146" s="9"/>
      <c r="D146" s="95" t="str">
        <f>IF(booking!AB146&gt;0,"Y","-")</f>
        <v>Y</v>
      </c>
      <c r="E146" s="101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99" t="str">
        <f>IFERROR(VLOOKUP(E146,Database!$A$2:$L$175,9,FALSE),"-")</f>
        <v>-</v>
      </c>
      <c r="I146" s="118"/>
      <c r="J146" s="102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99" t="str">
        <f>IFERROR(VLOOKUP(J146,Database!$A$2:$L$175,9,FALSE),"-")</f>
        <v>-</v>
      </c>
      <c r="N146" s="102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3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2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4">
      <c r="A147" s="94" t="str">
        <f>rengøring!A147</f>
        <v>lørdag</v>
      </c>
      <c r="B147" s="90">
        <v>46284</v>
      </c>
      <c r="C147" s="9"/>
      <c r="D147" s="95" t="str">
        <f>IF(booking!AB147&gt;0,"Y","-")</f>
        <v>-</v>
      </c>
      <c r="E147" s="101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99" t="str">
        <f>IFERROR(VLOOKUP(E147,Database!$A$2:$L$175,9,FALSE),"-")</f>
        <v>-</v>
      </c>
      <c r="I147" s="118"/>
      <c r="J147" s="102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99" t="str">
        <f>IFERROR(VLOOKUP(J147,Database!$A$2:$L$175,9,FALSE),"-")</f>
        <v>-</v>
      </c>
      <c r="N147" s="102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3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2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4">
      <c r="A148" s="94" t="str">
        <f>rengøring!A148</f>
        <v>søndag</v>
      </c>
      <c r="B148" s="92">
        <v>46285</v>
      </c>
      <c r="C148" s="9"/>
      <c r="D148" s="95" t="str">
        <f>IF(booking!AB148&gt;0,"Y","-")</f>
        <v>-</v>
      </c>
      <c r="E148" s="101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99" t="str">
        <f>IFERROR(VLOOKUP(E148,Database!$A$2:$L$175,9,FALSE),"-")</f>
        <v>-</v>
      </c>
      <c r="I148" s="118"/>
      <c r="J148" s="102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99" t="str">
        <f>IFERROR(VLOOKUP(J148,Database!$A$2:$L$175,9,FALSE),"-")</f>
        <v>-</v>
      </c>
      <c r="N148" s="102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3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2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4">
      <c r="A149" s="94" t="str">
        <f>rengøring!A149</f>
        <v>mandag</v>
      </c>
      <c r="B149" s="92">
        <v>46286</v>
      </c>
      <c r="C149" s="9"/>
      <c r="D149" s="95" t="str">
        <f>IF(booking!AB149&gt;0,"Y","-")</f>
        <v>-</v>
      </c>
      <c r="E149" s="101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99" t="str">
        <f>IFERROR(VLOOKUP(E149,Database!$A$2:$L$175,9,FALSE),"-")</f>
        <v>-</v>
      </c>
      <c r="I149" s="118"/>
      <c r="J149" s="102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99" t="str">
        <f>IFERROR(VLOOKUP(J149,Database!$A$2:$L$175,9,FALSE),"-")</f>
        <v>-</v>
      </c>
      <c r="N149" s="102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3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2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4">
      <c r="A150" s="94" t="str">
        <f>rengøring!A150</f>
        <v>tirsdag</v>
      </c>
      <c r="B150" s="90">
        <v>46287</v>
      </c>
      <c r="C150" s="9"/>
      <c r="D150" s="95" t="str">
        <f>IF(booking!AB150&gt;0,"Y","-")</f>
        <v>-</v>
      </c>
      <c r="E150" s="101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99" t="str">
        <f>IFERROR(VLOOKUP(E150,Database!$A$2:$L$175,9,FALSE),"-")</f>
        <v>-</v>
      </c>
      <c r="I150" s="118"/>
      <c r="J150" s="102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99" t="str">
        <f>IFERROR(VLOOKUP(J150,Database!$A$2:$L$175,9,FALSE),"-")</f>
        <v>-</v>
      </c>
      <c r="N150" s="102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3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2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4">
      <c r="A151" s="94" t="str">
        <f>rengøring!A151</f>
        <v>onsdag</v>
      </c>
      <c r="B151" s="92">
        <v>46288</v>
      </c>
      <c r="C151" s="9"/>
      <c r="D151" s="95" t="str">
        <f>IF(booking!AB151&gt;0,"Y","-")</f>
        <v>-</v>
      </c>
      <c r="E151" s="101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99" t="str">
        <f>IFERROR(VLOOKUP(E151,Database!$A$2:$L$175,9,FALSE),"-")</f>
        <v>-</v>
      </c>
      <c r="I151" s="118"/>
      <c r="J151" s="102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99" t="str">
        <f>IFERROR(VLOOKUP(J151,Database!$A$2:$L$175,9,FALSE),"-")</f>
        <v>-</v>
      </c>
      <c r="N151" s="102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3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2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4">
      <c r="A152" s="94" t="str">
        <f>rengøring!A152</f>
        <v>torsdag</v>
      </c>
      <c r="B152" s="92">
        <v>46289</v>
      </c>
      <c r="C152" s="9"/>
      <c r="D152" s="95" t="str">
        <f>IF(booking!AB152&gt;0,"Y","-")</f>
        <v>-</v>
      </c>
      <c r="E152" s="101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99" t="str">
        <f>IFERROR(VLOOKUP(E152,Database!$A$2:$L$175,9,FALSE),"-")</f>
        <v>-</v>
      </c>
      <c r="I152" s="118"/>
      <c r="J152" s="102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99" t="str">
        <f>IFERROR(VLOOKUP(J152,Database!$A$2:$L$175,9,FALSE),"-")</f>
        <v>-</v>
      </c>
      <c r="N152" s="102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3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2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4">
      <c r="A153" s="94" t="str">
        <f>rengøring!A153</f>
        <v>fredag</v>
      </c>
      <c r="B153" s="90">
        <v>46290</v>
      </c>
      <c r="C153" s="9"/>
      <c r="D153" s="95" t="str">
        <f>IF(booking!AB153&gt;0,"Y","-")</f>
        <v>-</v>
      </c>
      <c r="E153" s="101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99" t="str">
        <f>IFERROR(VLOOKUP(E153,Database!$A$2:$L$175,9,FALSE),"-")</f>
        <v>-</v>
      </c>
      <c r="I153" s="118"/>
      <c r="J153" s="102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99" t="str">
        <f>IFERROR(VLOOKUP(J153,Database!$A$2:$L$175,9,FALSE),"-")</f>
        <v>-</v>
      </c>
      <c r="N153" s="102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3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2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4">
      <c r="A154" s="94" t="str">
        <f>rengøring!A154</f>
        <v>lørdag</v>
      </c>
      <c r="B154" s="92">
        <v>46291</v>
      </c>
      <c r="C154" s="9"/>
      <c r="D154" s="95" t="str">
        <f>IF(booking!AB154&gt;0,"Y","-")</f>
        <v>-</v>
      </c>
      <c r="E154" s="101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99" t="str">
        <f>IFERROR(VLOOKUP(E154,Database!$A$2:$L$175,9,FALSE),"-")</f>
        <v>-</v>
      </c>
      <c r="I154" s="118"/>
      <c r="J154" s="102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99" t="str">
        <f>IFERROR(VLOOKUP(J154,Database!$A$2:$L$175,9,FALSE),"-")</f>
        <v>-</v>
      </c>
      <c r="N154" s="102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3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2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4">
      <c r="A155" s="94" t="str">
        <f>rengøring!A155</f>
        <v>søndag</v>
      </c>
      <c r="B155" s="92">
        <v>46292</v>
      </c>
      <c r="C155" s="9"/>
      <c r="D155" s="95" t="str">
        <f>IF(booking!AB155&gt;0,"Y","-")</f>
        <v>-</v>
      </c>
      <c r="E155" s="101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99" t="str">
        <f>IFERROR(VLOOKUP(E155,Database!$A$2:$L$175,9,FALSE),"-")</f>
        <v>-</v>
      </c>
      <c r="I155" s="118"/>
      <c r="J155" s="102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99" t="str">
        <f>IFERROR(VLOOKUP(J155,Database!$A$2:$L$175,9,FALSE),"-")</f>
        <v>-</v>
      </c>
      <c r="N155" s="102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3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2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4">
      <c r="A156" s="94" t="str">
        <f>rengøring!A156</f>
        <v>mandag</v>
      </c>
      <c r="B156" s="90">
        <v>46293</v>
      </c>
      <c r="C156" s="9"/>
      <c r="D156" s="95" t="str">
        <f>IF(booking!AB156&gt;0,"Y","-")</f>
        <v>-</v>
      </c>
      <c r="E156" s="101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99" t="str">
        <f>IFERROR(VLOOKUP(E156,Database!$A$2:$L$175,9,FALSE),"-")</f>
        <v>-</v>
      </c>
      <c r="I156" s="118"/>
      <c r="J156" s="102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99" t="str">
        <f>IFERROR(VLOOKUP(J156,Database!$A$2:$L$175,9,FALSE),"-")</f>
        <v>-</v>
      </c>
      <c r="N156" s="102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3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2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4">
      <c r="A157" s="94" t="str">
        <f>rengøring!A157</f>
        <v>tirsdag</v>
      </c>
      <c r="B157" s="92">
        <v>46294</v>
      </c>
      <c r="C157" s="9"/>
      <c r="D157" s="95" t="str">
        <f>IF(booking!AB157&gt;0,"Y","-")</f>
        <v>-</v>
      </c>
      <c r="E157" s="101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99" t="str">
        <f>IFERROR(VLOOKUP(E157,Database!$A$2:$L$175,9,FALSE),"-")</f>
        <v>-</v>
      </c>
      <c r="I157" s="118"/>
      <c r="J157" s="102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99" t="str">
        <f>IFERROR(VLOOKUP(J157,Database!$A$2:$L$175,9,FALSE),"-")</f>
        <v>-</v>
      </c>
      <c r="N157" s="102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3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2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4">
      <c r="A158" s="94" t="str">
        <f>rengøring!A158</f>
        <v>onsdag</v>
      </c>
      <c r="B158" s="92">
        <v>46295</v>
      </c>
      <c r="C158" s="9"/>
      <c r="D158" s="95" t="str">
        <f>IF(booking!AB158&gt;0,"Y","-")</f>
        <v>-</v>
      </c>
      <c r="E158" s="101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99" t="str">
        <f>IFERROR(VLOOKUP(E158,Database!$A$2:$L$175,9,FALSE),"-")</f>
        <v>-</v>
      </c>
      <c r="I158" s="118"/>
      <c r="J158" s="102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99" t="str">
        <f>IFERROR(VLOOKUP(J158,Database!$A$2:$L$175,9,FALSE),"-")</f>
        <v>-</v>
      </c>
      <c r="N158" s="102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3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2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4">
      <c r="A159" s="94" t="str">
        <f>rengøring!A159</f>
        <v>torsdag</v>
      </c>
      <c r="B159" s="90">
        <v>46296</v>
      </c>
      <c r="C159" s="9"/>
      <c r="D159" s="95" t="str">
        <f>IF(booking!AB159&gt;0,"Y","-")</f>
        <v>-</v>
      </c>
      <c r="E159" s="101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99" t="str">
        <f>IFERROR(VLOOKUP(E159,Database!$A$2:$L$175,9,FALSE),"-")</f>
        <v>-</v>
      </c>
      <c r="I159" s="118"/>
      <c r="J159" s="102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99" t="str">
        <f>IFERROR(VLOOKUP(J159,Database!$A$2:$L$175,9,FALSE),"-")</f>
        <v>-</v>
      </c>
      <c r="N159" s="102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3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2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4">
      <c r="A160" s="94" t="str">
        <f>rengøring!A160</f>
        <v>fredag</v>
      </c>
      <c r="B160" s="92">
        <v>46297</v>
      </c>
      <c r="C160" s="9"/>
      <c r="D160" s="95" t="str">
        <f>IF(booking!AB160&gt;0,"Y","-")</f>
        <v>-</v>
      </c>
      <c r="E160" s="101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99" t="str">
        <f>IFERROR(VLOOKUP(E160,Database!$A$2:$L$175,9,FALSE),"-")</f>
        <v>-</v>
      </c>
      <c r="I160" s="118"/>
      <c r="J160" s="102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99" t="str">
        <f>IFERROR(VLOOKUP(J160,Database!$A$2:$L$175,9,FALSE),"-")</f>
        <v>-</v>
      </c>
      <c r="N160" s="102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3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2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4">
      <c r="A161" s="94" t="str">
        <f>rengøring!A161</f>
        <v>lørdag</v>
      </c>
      <c r="B161" s="92">
        <v>46298</v>
      </c>
      <c r="C161" s="9"/>
      <c r="D161" s="95" t="str">
        <f>IF(booking!AB161&gt;0,"Y","-")</f>
        <v>-</v>
      </c>
      <c r="E161" s="101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99" t="str">
        <f>IFERROR(VLOOKUP(E161,Database!$A$2:$L$175,9,FALSE),"-")</f>
        <v>-</v>
      </c>
      <c r="I161" s="118"/>
      <c r="J161" s="102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99" t="str">
        <f>IFERROR(VLOOKUP(J161,Database!$A$2:$L$175,9,FALSE),"-")</f>
        <v>-</v>
      </c>
      <c r="N161" s="102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3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2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4">
      <c r="A162" s="94" t="str">
        <f>rengøring!A162</f>
        <v>søndag</v>
      </c>
      <c r="B162" s="90">
        <v>46299</v>
      </c>
      <c r="C162" s="9"/>
      <c r="D162" s="95" t="str">
        <f>IF(booking!AB162&gt;0,"Y","-")</f>
        <v>-</v>
      </c>
      <c r="E162" s="101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99" t="str">
        <f>IFERROR(VLOOKUP(E162,Database!$A$2:$L$175,9,FALSE),"-")</f>
        <v>-</v>
      </c>
      <c r="I162" s="118"/>
      <c r="J162" s="102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99" t="str">
        <f>IFERROR(VLOOKUP(J162,Database!$A$2:$L$175,9,FALSE),"-")</f>
        <v>-</v>
      </c>
      <c r="N162" s="102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3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2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4">
      <c r="A163" s="94" t="str">
        <f>rengøring!A163</f>
        <v>mandag</v>
      </c>
      <c r="B163" s="92">
        <v>46300</v>
      </c>
      <c r="C163" s="9"/>
      <c r="D163" s="95" t="str">
        <f>IF(booking!AB163&gt;0,"Y","-")</f>
        <v>-</v>
      </c>
      <c r="E163" s="101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99" t="str">
        <f>IFERROR(VLOOKUP(E163,Database!$A$2:$L$175,9,FALSE),"-")</f>
        <v>-</v>
      </c>
      <c r="I163" s="118"/>
      <c r="J163" s="102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99" t="str">
        <f>IFERROR(VLOOKUP(J163,Database!$A$2:$L$175,9,FALSE),"-")</f>
        <v>-</v>
      </c>
      <c r="N163" s="102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3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2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4">
      <c r="A164" s="94" t="str">
        <f>rengøring!A164</f>
        <v>tirsdag</v>
      </c>
      <c r="B164" s="92">
        <v>46301</v>
      </c>
      <c r="C164" s="9"/>
      <c r="D164" s="95" t="str">
        <f>IF(booking!AB164&gt;0,"Y","-")</f>
        <v>-</v>
      </c>
      <c r="E164" s="101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99" t="str">
        <f>IFERROR(VLOOKUP(E164,Database!$A$2:$L$175,9,FALSE),"-")</f>
        <v>-</v>
      </c>
      <c r="I164" s="118"/>
      <c r="J164" s="102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99" t="str">
        <f>IFERROR(VLOOKUP(J164,Database!$A$2:$L$175,9,FALSE),"-")</f>
        <v>-</v>
      </c>
      <c r="N164" s="102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3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2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4">
      <c r="A165" s="94" t="str">
        <f>rengøring!A165</f>
        <v>onsdag</v>
      </c>
      <c r="B165" s="90">
        <v>46302</v>
      </c>
      <c r="C165" s="9"/>
      <c r="D165" s="95" t="str">
        <f>IF(booking!AB165&gt;0,"Y","-")</f>
        <v>-</v>
      </c>
      <c r="E165" s="101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99" t="str">
        <f>IFERROR(VLOOKUP(E165,Database!$A$2:$L$175,9,FALSE),"-")</f>
        <v>-</v>
      </c>
      <c r="I165" s="118"/>
      <c r="J165" s="102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99" t="str">
        <f>IFERROR(VLOOKUP(J165,Database!$A$2:$L$175,9,FALSE),"-")</f>
        <v>-</v>
      </c>
      <c r="N165" s="102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3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2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4">
      <c r="A166" s="94" t="str">
        <f>rengøring!A166</f>
        <v>torsdag</v>
      </c>
      <c r="B166" s="92">
        <v>46303</v>
      </c>
      <c r="C166" s="9"/>
      <c r="D166" s="95" t="str">
        <f>IF(booking!AB166&gt;0,"Y","-")</f>
        <v>-</v>
      </c>
      <c r="E166" s="101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99" t="str">
        <f>IFERROR(VLOOKUP(E166,Database!$A$2:$L$175,9,FALSE),"-")</f>
        <v>-</v>
      </c>
      <c r="I166" s="118"/>
      <c r="J166" s="102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99" t="str">
        <f>IFERROR(VLOOKUP(J166,Database!$A$2:$L$175,9,FALSE),"-")</f>
        <v>-</v>
      </c>
      <c r="N166" s="102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3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2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4">
      <c r="A167" s="94" t="str">
        <f>rengøring!A167</f>
        <v>fredag</v>
      </c>
      <c r="B167" s="92">
        <v>46304</v>
      </c>
      <c r="C167" s="9"/>
      <c r="D167" s="95" t="str">
        <f>IF(booking!AB167&gt;0,"Y","-")</f>
        <v>-</v>
      </c>
      <c r="E167" s="101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99" t="str">
        <f>IFERROR(VLOOKUP(E167,Database!$A$2:$L$175,9,FALSE),"-")</f>
        <v>-</v>
      </c>
      <c r="I167" s="118"/>
      <c r="J167" s="102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99" t="str">
        <f>IFERROR(VLOOKUP(J167,Database!$A$2:$L$175,9,FALSE),"-")</f>
        <v>-</v>
      </c>
      <c r="N167" s="102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3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2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4">
      <c r="A168" s="94" t="str">
        <f>rengøring!A168</f>
        <v>lørdag</v>
      </c>
      <c r="B168" s="90">
        <v>46305</v>
      </c>
      <c r="C168" s="9"/>
      <c r="D168" s="95" t="str">
        <f>IF(booking!AB168&gt;0,"Y","-")</f>
        <v>-</v>
      </c>
      <c r="E168" s="101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99" t="str">
        <f>IFERROR(VLOOKUP(E168,Database!$A$2:$L$175,9,FALSE),"-")</f>
        <v>-</v>
      </c>
      <c r="I168" s="118"/>
      <c r="J168" s="102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99" t="str">
        <f>IFERROR(VLOOKUP(J168,Database!$A$2:$L$175,9,FALSE),"-")</f>
        <v>-</v>
      </c>
      <c r="N168" s="102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3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2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4">
      <c r="A169" s="94" t="str">
        <f>rengøring!A169</f>
        <v>søndag</v>
      </c>
      <c r="B169" s="92">
        <v>46306</v>
      </c>
      <c r="C169" s="9"/>
      <c r="D169" s="95" t="str">
        <f>IF(booking!AB169&gt;0,"Y","-")</f>
        <v>-</v>
      </c>
      <c r="E169" s="101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99" t="str">
        <f>IFERROR(VLOOKUP(E169,Database!$A$2:$L$175,9,FALSE),"-")</f>
        <v>-</v>
      </c>
      <c r="I169" s="118"/>
      <c r="J169" s="102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99" t="str">
        <f>IFERROR(VLOOKUP(J169,Database!$A$2:$L$175,9,FALSE),"-")</f>
        <v>-</v>
      </c>
      <c r="N169" s="102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3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2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4">
      <c r="A170" s="94" t="str">
        <f>rengøring!A170</f>
        <v>mandag</v>
      </c>
      <c r="B170" s="92">
        <v>46307</v>
      </c>
      <c r="C170" s="9"/>
      <c r="D170" s="95" t="str">
        <f>IF(booking!AB170&gt;0,"Y","-")</f>
        <v>-</v>
      </c>
      <c r="E170" s="101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99" t="str">
        <f>IFERROR(VLOOKUP(E170,Database!$A$2:$L$175,9,FALSE),"-")</f>
        <v>-</v>
      </c>
      <c r="I170" s="118"/>
      <c r="J170" s="102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99" t="str">
        <f>IFERROR(VLOOKUP(J170,Database!$A$2:$L$175,9,FALSE),"-")</f>
        <v>-</v>
      </c>
      <c r="N170" s="102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3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2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4">
      <c r="A171" s="96" t="str">
        <f>rengøring!A171</f>
        <v>tirsdag</v>
      </c>
      <c r="B171" s="90">
        <v>46308</v>
      </c>
      <c r="C171" s="13"/>
      <c r="D171" s="97" t="str">
        <f>IF(booking!AB171&gt;0,"Y","-")</f>
        <v>-</v>
      </c>
      <c r="E171" s="101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0" t="str">
        <f>IFERROR(VLOOKUP(E171,Database!$A$2:$L$175,9,FALSE),"-")</f>
        <v>-</v>
      </c>
      <c r="I171" s="2"/>
      <c r="J171" s="102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0" t="str">
        <f>IFERROR(VLOOKUP(J171,Database!$A$2:$L$175,9,FALSE),"-")</f>
        <v>-</v>
      </c>
      <c r="N171" s="102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3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2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 t="str">
        <f>Database!Q83</f>
        <v>Y</v>
      </c>
      <c r="C83" s="2">
        <f t="shared" si="2"/>
        <v>2</v>
      </c>
      <c r="D83" s="2">
        <f>IF(B83="Y",Database!K83,"-")</f>
        <v>1</v>
      </c>
      <c r="E83" s="2">
        <f>IF(AND(D83&gt;1,B83="Y"),Database!L83/D83,Database!L83)</f>
        <v>2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 t="str">
        <f>Database!Q99</f>
        <v>N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2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 t="str">
        <f>Database!Q103</f>
        <v>N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2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143</v>
      </c>
      <c r="B1" t="s">
        <v>6</v>
      </c>
      <c r="C1" s="5" t="s">
        <v>354</v>
      </c>
      <c r="D1" s="5" t="s">
        <v>41</v>
      </c>
      <c r="E1" t="s">
        <v>355</v>
      </c>
      <c r="F1" t="s">
        <v>356</v>
      </c>
      <c r="G1" t="s">
        <v>357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360</v>
      </c>
      <c r="M2" t="s">
        <v>359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358</v>
      </c>
      <c r="L3">
        <f>SUM(I2:I200)</f>
        <v>235</v>
      </c>
      <c r="M3">
        <f>SUM(J2:J200)</f>
        <v>238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94" t="str">
        <f>Database!G16</f>
        <v>FM</v>
      </c>
      <c r="C16" s="195">
        <f>Database!C16</f>
        <v>46181</v>
      </c>
      <c r="D16" s="195">
        <f>Database!D16</f>
        <v>46188</v>
      </c>
      <c r="E16" s="194">
        <f t="shared" si="0"/>
        <v>7</v>
      </c>
      <c r="F16" s="194">
        <f>Database!K16</f>
        <v>1</v>
      </c>
      <c r="G16" s="194">
        <f t="shared" si="1"/>
        <v>7</v>
      </c>
      <c r="H16" s="194"/>
      <c r="I16" s="194">
        <f>G16</f>
        <v>7</v>
      </c>
      <c r="J16" s="194">
        <f t="shared" si="3"/>
        <v>0</v>
      </c>
    </row>
    <row r="17" spans="1:10" x14ac:dyDescent="0.35">
      <c r="A17">
        <f>Database!A17</f>
        <v>16</v>
      </c>
      <c r="B17" s="194" t="str">
        <f>Database!G17</f>
        <v>FM</v>
      </c>
      <c r="C17" s="195">
        <f>Database!C17</f>
        <v>46182</v>
      </c>
      <c r="D17" s="195">
        <f>Database!D17</f>
        <v>46188</v>
      </c>
      <c r="E17" s="194">
        <f t="shared" si="0"/>
        <v>6</v>
      </c>
      <c r="F17" s="194">
        <f>Database!K17</f>
        <v>2</v>
      </c>
      <c r="G17" s="194">
        <f t="shared" si="1"/>
        <v>12</v>
      </c>
      <c r="H17" s="194"/>
      <c r="I17" s="194">
        <f>G17</f>
        <v>12</v>
      </c>
      <c r="J17" s="194">
        <f t="shared" si="3"/>
        <v>0</v>
      </c>
    </row>
    <row r="18" spans="1:10" x14ac:dyDescent="0.35">
      <c r="A18">
        <f>Database!A18</f>
        <v>17</v>
      </c>
      <c r="B18" s="194" t="str">
        <f>Database!G18</f>
        <v>FM</v>
      </c>
      <c r="C18" s="195">
        <f>Database!C18</f>
        <v>46181</v>
      </c>
      <c r="D18" s="195">
        <f>Database!D18</f>
        <v>46188</v>
      </c>
      <c r="E18" s="194">
        <f t="shared" si="0"/>
        <v>7</v>
      </c>
      <c r="F18" s="194">
        <f>Database!K18</f>
        <v>1</v>
      </c>
      <c r="G18" s="194">
        <f t="shared" si="1"/>
        <v>7</v>
      </c>
      <c r="H18" s="194"/>
      <c r="I18" s="194">
        <f>G18</f>
        <v>7</v>
      </c>
      <c r="J18" s="194">
        <f t="shared" si="3"/>
        <v>0</v>
      </c>
    </row>
    <row r="19" spans="1:10" x14ac:dyDescent="0.35">
      <c r="A19">
        <f>Database!A19</f>
        <v>18</v>
      </c>
      <c r="B19" s="194" t="str">
        <f>Database!G19</f>
        <v>FM</v>
      </c>
      <c r="C19" s="195">
        <f>Database!C19</f>
        <v>46182</v>
      </c>
      <c r="D19" s="195">
        <f>Database!D19</f>
        <v>46187</v>
      </c>
      <c r="E19" s="194">
        <f t="shared" si="0"/>
        <v>5</v>
      </c>
      <c r="F19" s="194">
        <f>Database!K19</f>
        <v>1</v>
      </c>
      <c r="G19" s="194">
        <f t="shared" si="1"/>
        <v>5</v>
      </c>
      <c r="H19" s="194"/>
      <c r="I19" s="194">
        <f>G19</f>
        <v>5</v>
      </c>
      <c r="J19" s="194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bc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1</v>
      </c>
      <c r="G41">
        <f t="shared" si="1"/>
        <v>3</v>
      </c>
      <c r="I41">
        <f t="shared" si="2"/>
        <v>0</v>
      </c>
      <c r="J41">
        <f t="shared" si="3"/>
        <v>3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1</v>
      </c>
      <c r="G59">
        <f t="shared" si="1"/>
        <v>4</v>
      </c>
      <c r="I59">
        <f t="shared" si="2"/>
        <v>4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bc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1</v>
      </c>
      <c r="G72">
        <f t="shared" si="5"/>
        <v>4</v>
      </c>
      <c r="I72">
        <f t="shared" si="6"/>
        <v>0</v>
      </c>
      <c r="J72">
        <f t="shared" si="7"/>
        <v>4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46201</v>
      </c>
      <c r="D77" s="5">
        <f>Database!D77</f>
        <v>46205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bc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1</v>
      </c>
      <c r="G83">
        <f t="shared" si="5"/>
        <v>2</v>
      </c>
      <c r="I83">
        <f t="shared" si="6"/>
        <v>0</v>
      </c>
      <c r="J83">
        <f t="shared" si="7"/>
        <v>2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bc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1</v>
      </c>
      <c r="G99">
        <f t="shared" si="5"/>
        <v>3</v>
      </c>
      <c r="I99">
        <f t="shared" si="6"/>
        <v>0</v>
      </c>
      <c r="J99">
        <f t="shared" si="7"/>
        <v>3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bc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1</v>
      </c>
      <c r="G103">
        <f t="shared" si="5"/>
        <v>2</v>
      </c>
      <c r="I103">
        <f t="shared" si="6"/>
        <v>0</v>
      </c>
      <c r="J103">
        <f t="shared" si="7"/>
        <v>2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46278</v>
      </c>
      <c r="D104" s="5">
        <f>Database!D104</f>
        <v>46284</v>
      </c>
      <c r="E104">
        <f t="shared" si="4"/>
        <v>6</v>
      </c>
      <c r="F104">
        <f>Database!K104</f>
        <v>1</v>
      </c>
      <c r="G104">
        <f t="shared" si="5"/>
        <v>6</v>
      </c>
      <c r="I104">
        <f t="shared" si="6"/>
        <v>6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0</v>
      </c>
      <c r="B106">
        <f>Database!G106</f>
        <v>0</v>
      </c>
      <c r="C106" s="5">
        <f>Database!C106</f>
        <v>0</v>
      </c>
      <c r="D106" s="5">
        <f>Database!D106</f>
        <v>0</v>
      </c>
      <c r="E106">
        <f t="shared" si="4"/>
        <v>0</v>
      </c>
      <c r="F106">
        <f>Database!K106</f>
        <v>0</v>
      </c>
      <c r="G106">
        <f t="shared" si="5"/>
        <v>0</v>
      </c>
      <c r="I106">
        <f t="shared" si="6"/>
        <v>0</v>
      </c>
      <c r="J106">
        <f t="shared" si="7"/>
        <v>0</v>
      </c>
    </row>
    <row r="107" spans="1:10" x14ac:dyDescent="0.35">
      <c r="A107">
        <f>Database!A107</f>
        <v>0</v>
      </c>
      <c r="B107">
        <f>Database!G107</f>
        <v>0</v>
      </c>
      <c r="C107" s="5">
        <f>Database!C107</f>
        <v>0</v>
      </c>
      <c r="D107" s="5">
        <f>Database!D107</f>
        <v>0</v>
      </c>
      <c r="E107">
        <f t="shared" si="4"/>
        <v>0</v>
      </c>
      <c r="F107">
        <f>Database!K107</f>
        <v>0</v>
      </c>
      <c r="G107">
        <f t="shared" si="5"/>
        <v>0</v>
      </c>
      <c r="I107">
        <f t="shared" si="6"/>
        <v>0</v>
      </c>
      <c r="J107">
        <f t="shared" si="7"/>
        <v>0</v>
      </c>
    </row>
    <row r="108" spans="1:10" x14ac:dyDescent="0.35">
      <c r="A108">
        <f>Database!A108</f>
        <v>0</v>
      </c>
      <c r="B108">
        <f>Database!G108</f>
        <v>0</v>
      </c>
      <c r="C108" s="5">
        <f>Database!C108</f>
        <v>0</v>
      </c>
      <c r="D108" s="5">
        <f>Database!D108</f>
        <v>0</v>
      </c>
      <c r="E108">
        <f t="shared" si="4"/>
        <v>0</v>
      </c>
      <c r="F108">
        <f>Database!K108</f>
        <v>0</v>
      </c>
      <c r="G108">
        <f t="shared" si="5"/>
        <v>0</v>
      </c>
      <c r="I108">
        <f t="shared" si="6"/>
        <v>0</v>
      </c>
      <c r="J108">
        <f t="shared" si="7"/>
        <v>0</v>
      </c>
    </row>
    <row r="109" spans="1:10" x14ac:dyDescent="0.35">
      <c r="A109">
        <f>Database!A109</f>
        <v>0</v>
      </c>
      <c r="B109">
        <f>Database!G109</f>
        <v>0</v>
      </c>
      <c r="C109" s="5">
        <f>Database!C109</f>
        <v>0</v>
      </c>
      <c r="D109" s="5">
        <f>Database!D109</f>
        <v>0</v>
      </c>
      <c r="E109">
        <f t="shared" si="4"/>
        <v>0</v>
      </c>
      <c r="F109">
        <f>Database!K109</f>
        <v>0</v>
      </c>
      <c r="G109">
        <f t="shared" si="5"/>
        <v>0</v>
      </c>
      <c r="I109">
        <f t="shared" si="6"/>
        <v>0</v>
      </c>
      <c r="J109">
        <f t="shared" si="7"/>
        <v>0</v>
      </c>
    </row>
    <row r="110" spans="1:10" x14ac:dyDescent="0.35">
      <c r="A110">
        <f>Database!A110</f>
        <v>0</v>
      </c>
      <c r="B110">
        <f>Database!G110</f>
        <v>0</v>
      </c>
      <c r="C110" s="5">
        <f>Database!C110</f>
        <v>0</v>
      </c>
      <c r="D110" s="5">
        <f>Database!D110</f>
        <v>0</v>
      </c>
      <c r="E110">
        <f t="shared" si="4"/>
        <v>0</v>
      </c>
      <c r="F110">
        <f>Database!K110</f>
        <v>0</v>
      </c>
      <c r="G110">
        <f t="shared" si="5"/>
        <v>0</v>
      </c>
      <c r="I110">
        <f t="shared" si="6"/>
        <v>0</v>
      </c>
      <c r="J110">
        <f t="shared" si="7"/>
        <v>0</v>
      </c>
    </row>
    <row r="111" spans="1:10" x14ac:dyDescent="0.35">
      <c r="A111">
        <f>Database!A111</f>
        <v>0</v>
      </c>
      <c r="B111">
        <f>Database!G111</f>
        <v>0</v>
      </c>
      <c r="C111" s="5">
        <f>Database!C111</f>
        <v>0</v>
      </c>
      <c r="D111" s="5">
        <f>Database!D111</f>
        <v>0</v>
      </c>
      <c r="E111">
        <f t="shared" si="4"/>
        <v>0</v>
      </c>
      <c r="F111">
        <f>Database!K111</f>
        <v>0</v>
      </c>
      <c r="G111">
        <f t="shared" si="5"/>
        <v>0</v>
      </c>
      <c r="I111">
        <f t="shared" si="6"/>
        <v>0</v>
      </c>
      <c r="J111">
        <f t="shared" si="7"/>
        <v>0</v>
      </c>
    </row>
    <row r="112" spans="1:10" x14ac:dyDescent="0.35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5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5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5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5" t="s">
        <v>147</v>
      </c>
      <c r="C1" s="106" t="s">
        <v>148</v>
      </c>
      <c r="D1" s="107" t="s">
        <v>149</v>
      </c>
      <c r="E1" s="104" t="s">
        <v>150</v>
      </c>
      <c r="F1" s="107" t="s">
        <v>151</v>
      </c>
      <c r="G1" s="104" t="s">
        <v>152</v>
      </c>
      <c r="H1" s="107" t="s">
        <v>153</v>
      </c>
      <c r="I1" s="104" t="s">
        <v>154</v>
      </c>
      <c r="J1" s="107" t="s">
        <v>155</v>
      </c>
      <c r="K1" s="104" t="s">
        <v>156</v>
      </c>
      <c r="L1" s="107" t="s">
        <v>157</v>
      </c>
      <c r="M1" s="104" t="s">
        <v>158</v>
      </c>
    </row>
    <row r="2" spans="1:13" x14ac:dyDescent="0.35">
      <c r="A2" s="5">
        <f>booking!C2</f>
        <v>46139</v>
      </c>
      <c r="B2" s="136" t="str">
        <f>IF(booking!D2&gt;0,"oc","va")</f>
        <v>va</v>
      </c>
      <c r="C2" s="137" t="str">
        <f>IF(booking!E2&gt;0,"oc","va")</f>
        <v>va</v>
      </c>
      <c r="D2" s="136" t="str">
        <f>IF(booking!H2&gt;0,"oc","va")</f>
        <v>va</v>
      </c>
      <c r="E2" s="137" t="str">
        <f>IF(booking!I2&gt;0,"oc","va")</f>
        <v>va</v>
      </c>
      <c r="F2" s="136" t="str">
        <f>IF(booking!L2&gt;0,"oc","va")</f>
        <v>va</v>
      </c>
      <c r="G2" s="137" t="str">
        <f>IF(booking!M2&gt;0,"oc","va")</f>
        <v>va</v>
      </c>
      <c r="H2" s="136" t="str">
        <f>IF(booking!P2&gt;0,"oc","va")</f>
        <v>va</v>
      </c>
      <c r="I2" s="137" t="str">
        <f>IF(booking!Q2&gt;0,"oc","va")</f>
        <v>va</v>
      </c>
      <c r="J2" s="136" t="str">
        <f>IF(booking!T2&gt;0,"oc","va")</f>
        <v>va</v>
      </c>
      <c r="K2" s="137" t="str">
        <f>IF(booking!U2&gt;0,"oc","va")</f>
        <v>va</v>
      </c>
      <c r="L2" s="136" t="str">
        <f>IF(booking!X2&gt;0,"oc","va")</f>
        <v>va</v>
      </c>
      <c r="M2" s="137" t="str">
        <f>IF(booking!Y2&gt;0,"oc","va")</f>
        <v>va</v>
      </c>
    </row>
    <row r="3" spans="1:13" x14ac:dyDescent="0.35">
      <c r="A3" s="5">
        <f>booking!C3</f>
        <v>46140</v>
      </c>
      <c r="B3" s="136" t="str">
        <f>IF(booking!D3&gt;0,"oc","va")</f>
        <v>va</v>
      </c>
      <c r="C3" s="137" t="str">
        <f>IF(booking!E3&gt;0,"oc","va")</f>
        <v>va</v>
      </c>
      <c r="D3" s="136" t="str">
        <f>IF(booking!H3&gt;0,"oc","va")</f>
        <v>va</v>
      </c>
      <c r="E3" s="137" t="str">
        <f>IF(booking!I3&gt;0,"oc","va")</f>
        <v>va</v>
      </c>
      <c r="F3" s="136" t="str">
        <f>IF(booking!L3&gt;0,"oc","va")</f>
        <v>va</v>
      </c>
      <c r="G3" s="137" t="str">
        <f>IF(booking!M3&gt;0,"oc","va")</f>
        <v>va</v>
      </c>
      <c r="H3" s="136" t="str">
        <f>IF(booking!P3&gt;0,"oc","va")</f>
        <v>va</v>
      </c>
      <c r="I3" s="137" t="str">
        <f>IF(booking!Q3&gt;0,"oc","va")</f>
        <v>va</v>
      </c>
      <c r="J3" s="136" t="str">
        <f>IF(booking!T3&gt;0,"oc","va")</f>
        <v>va</v>
      </c>
      <c r="K3" s="137" t="str">
        <f>IF(booking!U3&gt;0,"oc","va")</f>
        <v>va</v>
      </c>
      <c r="L3" s="136" t="str">
        <f>IF(booking!X3&gt;0,"oc","va")</f>
        <v>va</v>
      </c>
      <c r="M3" s="137" t="str">
        <f>IF(booking!Y3&gt;0,"oc","va")</f>
        <v>va</v>
      </c>
    </row>
    <row r="4" spans="1:13" x14ac:dyDescent="0.35">
      <c r="A4" s="5">
        <f>booking!C4</f>
        <v>46141</v>
      </c>
      <c r="B4" s="136" t="str">
        <f>IF(booking!D4&gt;0,"oc","va")</f>
        <v>va</v>
      </c>
      <c r="C4" s="137" t="str">
        <f>IF(booking!E4&gt;0,"oc","va")</f>
        <v>va</v>
      </c>
      <c r="D4" s="136" t="str">
        <f>IF(booking!H4&gt;0,"oc","va")</f>
        <v>va</v>
      </c>
      <c r="E4" s="137" t="str">
        <f>IF(booking!I4&gt;0,"oc","va")</f>
        <v>va</v>
      </c>
      <c r="F4" s="136" t="str">
        <f>IF(booking!L4&gt;0,"oc","va")</f>
        <v>va</v>
      </c>
      <c r="G4" s="137" t="str">
        <f>IF(booking!M4&gt;0,"oc","va")</f>
        <v>va</v>
      </c>
      <c r="H4" s="136" t="str">
        <f>IF(booking!P4&gt;0,"oc","va")</f>
        <v>va</v>
      </c>
      <c r="I4" s="137" t="str">
        <f>IF(booking!Q4&gt;0,"oc","va")</f>
        <v>va</v>
      </c>
      <c r="J4" s="136" t="str">
        <f>IF(booking!T4&gt;0,"oc","va")</f>
        <v>va</v>
      </c>
      <c r="K4" s="137" t="str">
        <f>IF(booking!U4&gt;0,"oc","va")</f>
        <v>va</v>
      </c>
      <c r="L4" s="136" t="str">
        <f>IF(booking!X4&gt;0,"oc","va")</f>
        <v>va</v>
      </c>
      <c r="M4" s="137" t="str">
        <f>IF(booking!Y4&gt;0,"oc","va")</f>
        <v>va</v>
      </c>
    </row>
    <row r="5" spans="1:13" x14ac:dyDescent="0.35">
      <c r="A5" s="5">
        <f>booking!C5</f>
        <v>46142</v>
      </c>
      <c r="B5" s="136" t="str">
        <f>IF(booking!D5&gt;0,"oc","va")</f>
        <v>va</v>
      </c>
      <c r="C5" s="137" t="str">
        <f>IF(booking!E5&gt;0,"oc","va")</f>
        <v>va</v>
      </c>
      <c r="D5" s="136" t="str">
        <f>IF(booking!H5&gt;0,"oc","va")</f>
        <v>va</v>
      </c>
      <c r="E5" s="137" t="str">
        <f>IF(booking!I5&gt;0,"oc","va")</f>
        <v>va</v>
      </c>
      <c r="F5" s="136" t="str">
        <f>IF(booking!L5&gt;0,"oc","va")</f>
        <v>va</v>
      </c>
      <c r="G5" s="137" t="str">
        <f>IF(booking!M5&gt;0,"oc","va")</f>
        <v>va</v>
      </c>
      <c r="H5" s="136" t="str">
        <f>IF(booking!P5&gt;0,"oc","va")</f>
        <v>va</v>
      </c>
      <c r="I5" s="137" t="str">
        <f>IF(booking!Q5&gt;0,"oc","va")</f>
        <v>va</v>
      </c>
      <c r="J5" s="136" t="str">
        <f>IF(booking!T5&gt;0,"oc","va")</f>
        <v>va</v>
      </c>
      <c r="K5" s="137" t="str">
        <f>IF(booking!U5&gt;0,"oc","va")</f>
        <v>va</v>
      </c>
      <c r="L5" s="136" t="str">
        <f>IF(booking!X5&gt;0,"oc","va")</f>
        <v>va</v>
      </c>
      <c r="M5" s="137" t="str">
        <f>IF(booking!Y5&gt;0,"oc","va")</f>
        <v>va</v>
      </c>
    </row>
    <row r="6" spans="1:13" x14ac:dyDescent="0.35">
      <c r="A6" s="5">
        <f>booking!C6</f>
        <v>46143</v>
      </c>
      <c r="B6" s="136" t="str">
        <f>IF(booking!D6&gt;0,"oc","va")</f>
        <v>va</v>
      </c>
      <c r="C6" s="137" t="str">
        <f>IF(booking!E6&gt;0,"oc","va")</f>
        <v>oc</v>
      </c>
      <c r="D6" s="136" t="str">
        <f>IF(booking!H6&gt;0,"oc","va")</f>
        <v>va</v>
      </c>
      <c r="E6" s="137" t="str">
        <f>IF(booking!I6&gt;0,"oc","va")</f>
        <v>oc</v>
      </c>
      <c r="F6" s="136" t="str">
        <f>IF(booking!L6&gt;0,"oc","va")</f>
        <v>va</v>
      </c>
      <c r="G6" s="137" t="str">
        <f>IF(booking!M6&gt;0,"oc","va")</f>
        <v>oc</v>
      </c>
      <c r="H6" s="136" t="str">
        <f>IF(booking!P6&gt;0,"oc","va")</f>
        <v>va</v>
      </c>
      <c r="I6" s="137" t="str">
        <f>IF(booking!Q6&gt;0,"oc","va")</f>
        <v>oc</v>
      </c>
      <c r="J6" s="136" t="str">
        <f>IF(booking!T6&gt;0,"oc","va")</f>
        <v>va</v>
      </c>
      <c r="K6" s="137" t="str">
        <f>IF(booking!U6&gt;0,"oc","va")</f>
        <v>oc</v>
      </c>
      <c r="L6" s="136" t="str">
        <f>IF(booking!X6&gt;0,"oc","va")</f>
        <v>va</v>
      </c>
      <c r="M6" s="137" t="str">
        <f>IF(booking!Y6&gt;0,"oc","va")</f>
        <v>va</v>
      </c>
    </row>
    <row r="7" spans="1:13" x14ac:dyDescent="0.35">
      <c r="A7" s="5">
        <f>booking!C7</f>
        <v>46144</v>
      </c>
      <c r="B7" s="136" t="str">
        <f>IF(booking!D7&gt;0,"oc","va")</f>
        <v>oc</v>
      </c>
      <c r="C7" s="137" t="str">
        <f>IF(booking!E7&gt;0,"oc","va")</f>
        <v>oc</v>
      </c>
      <c r="D7" s="136" t="str">
        <f>IF(booking!H7&gt;0,"oc","va")</f>
        <v>oc</v>
      </c>
      <c r="E7" s="137" t="str">
        <f>IF(booking!I7&gt;0,"oc","va")</f>
        <v>oc</v>
      </c>
      <c r="F7" s="136" t="str">
        <f>IF(booking!L7&gt;0,"oc","va")</f>
        <v>oc</v>
      </c>
      <c r="G7" s="137" t="str">
        <f>IF(booking!M7&gt;0,"oc","va")</f>
        <v>oc</v>
      </c>
      <c r="H7" s="136" t="str">
        <f>IF(booking!P7&gt;0,"oc","va")</f>
        <v>oc</v>
      </c>
      <c r="I7" s="137" t="str">
        <f>IF(booking!Q7&gt;0,"oc","va")</f>
        <v>oc</v>
      </c>
      <c r="J7" s="136" t="str">
        <f>IF(booking!T7&gt;0,"oc","va")</f>
        <v>oc</v>
      </c>
      <c r="K7" s="137" t="str">
        <f>IF(booking!U7&gt;0,"oc","va")</f>
        <v>oc</v>
      </c>
      <c r="L7" s="136" t="str">
        <f>IF(booking!X7&gt;0,"oc","va")</f>
        <v>va</v>
      </c>
      <c r="M7" s="137" t="str">
        <f>IF(booking!Y7&gt;0,"oc","va")</f>
        <v>va</v>
      </c>
    </row>
    <row r="8" spans="1:13" x14ac:dyDescent="0.35">
      <c r="A8" s="5">
        <f>booking!C8</f>
        <v>46145</v>
      </c>
      <c r="B8" s="136" t="str">
        <f>IF(booking!D8&gt;0,"oc","va")</f>
        <v>oc</v>
      </c>
      <c r="C8" s="137" t="str">
        <f>IF(booking!E8&gt;0,"oc","va")</f>
        <v>va</v>
      </c>
      <c r="D8" s="136" t="str">
        <f>IF(booking!H8&gt;0,"oc","va")</f>
        <v>oc</v>
      </c>
      <c r="E8" s="137" t="str">
        <f>IF(booking!I8&gt;0,"oc","va")</f>
        <v>va</v>
      </c>
      <c r="F8" s="136" t="str">
        <f>IF(booking!L8&gt;0,"oc","va")</f>
        <v>oc</v>
      </c>
      <c r="G8" s="137" t="str">
        <f>IF(booking!M8&gt;0,"oc","va")</f>
        <v>va</v>
      </c>
      <c r="H8" s="136" t="str">
        <f>IF(booking!P8&gt;0,"oc","va")</f>
        <v>oc</v>
      </c>
      <c r="I8" s="137" t="str">
        <f>IF(booking!Q8&gt;0,"oc","va")</f>
        <v>oc</v>
      </c>
      <c r="J8" s="136" t="str">
        <f>IF(booking!T8&gt;0,"oc","va")</f>
        <v>oc</v>
      </c>
      <c r="K8" s="137" t="str">
        <f>IF(booking!U8&gt;0,"oc","va")</f>
        <v>va</v>
      </c>
      <c r="L8" s="136" t="str">
        <f>IF(booking!X8&gt;0,"oc","va")</f>
        <v>va</v>
      </c>
      <c r="M8" s="137" t="str">
        <f>IF(booking!Y8&gt;0,"oc","va")</f>
        <v>va</v>
      </c>
    </row>
    <row r="9" spans="1:13" x14ac:dyDescent="0.35">
      <c r="A9" s="5">
        <f>booking!C9</f>
        <v>46146</v>
      </c>
      <c r="B9" s="136" t="str">
        <f>IF(booking!D9&gt;0,"oc","va")</f>
        <v>va</v>
      </c>
      <c r="C9" s="137" t="str">
        <f>IF(booking!E9&gt;0,"oc","va")</f>
        <v>va</v>
      </c>
      <c r="D9" s="136" t="str">
        <f>IF(booking!H9&gt;0,"oc","va")</f>
        <v>va</v>
      </c>
      <c r="E9" s="137" t="str">
        <f>IF(booking!I9&gt;0,"oc","va")</f>
        <v>va</v>
      </c>
      <c r="F9" s="136" t="str">
        <f>IF(booking!L9&gt;0,"oc","va")</f>
        <v>va</v>
      </c>
      <c r="G9" s="137" t="str">
        <f>IF(booking!M9&gt;0,"oc","va")</f>
        <v>va</v>
      </c>
      <c r="H9" s="136" t="str">
        <f>IF(booking!P9&gt;0,"oc","va")</f>
        <v>oc</v>
      </c>
      <c r="I9" s="137" t="str">
        <f>IF(booking!Q9&gt;0,"oc","va")</f>
        <v>oc</v>
      </c>
      <c r="J9" s="136" t="str">
        <f>IF(booking!T9&gt;0,"oc","va")</f>
        <v>va</v>
      </c>
      <c r="K9" s="137" t="str">
        <f>IF(booking!U9&gt;0,"oc","va")</f>
        <v>va</v>
      </c>
      <c r="L9" s="136" t="str">
        <f>IF(booking!X9&gt;0,"oc","va")</f>
        <v>va</v>
      </c>
      <c r="M9" s="137" t="str">
        <f>IF(booking!Y9&gt;0,"oc","va")</f>
        <v>va</v>
      </c>
    </row>
    <row r="10" spans="1:13" x14ac:dyDescent="0.35">
      <c r="A10" s="5">
        <f>booking!C10</f>
        <v>46147</v>
      </c>
      <c r="B10" s="136" t="str">
        <f>IF(booking!D10&gt;0,"oc","va")</f>
        <v>va</v>
      </c>
      <c r="C10" s="137" t="str">
        <f>IF(booking!E10&gt;0,"oc","va")</f>
        <v>va</v>
      </c>
      <c r="D10" s="136" t="str">
        <f>IF(booking!H10&gt;0,"oc","va")</f>
        <v>va</v>
      </c>
      <c r="E10" s="137" t="str">
        <f>IF(booking!I11&gt;0,"oc","va")</f>
        <v>va</v>
      </c>
      <c r="F10" s="136" t="str">
        <f>IF(booking!L10&gt;0,"oc","va")</f>
        <v>va</v>
      </c>
      <c r="G10" s="137" t="str">
        <f>IF(booking!M10&gt;0,"oc","va")</f>
        <v>va</v>
      </c>
      <c r="H10" s="136" t="str">
        <f>IF(booking!P10&gt;0,"oc","va")</f>
        <v>oc</v>
      </c>
      <c r="I10" s="137" t="str">
        <f>IF(booking!Q10&gt;0,"oc","va")</f>
        <v>oc</v>
      </c>
      <c r="J10" s="136" t="str">
        <f>IF(booking!T10&gt;0,"oc","va")</f>
        <v>va</v>
      </c>
      <c r="K10" s="137" t="str">
        <f>IF(booking!U10&gt;0,"oc","va")</f>
        <v>va</v>
      </c>
      <c r="L10" s="136" t="str">
        <f>IF(booking!X10&gt;0,"oc","va")</f>
        <v>va</v>
      </c>
      <c r="M10" s="137" t="str">
        <f>IF(booking!Y10&gt;0,"oc","va")</f>
        <v>va</v>
      </c>
    </row>
    <row r="11" spans="1:13" x14ac:dyDescent="0.35">
      <c r="A11" s="5">
        <f>booking!C11</f>
        <v>46148</v>
      </c>
      <c r="B11" s="136" t="str">
        <f>IF(booking!D11&gt;0,"oc","va")</f>
        <v>va</v>
      </c>
      <c r="C11" s="137" t="str">
        <f>IF(booking!E11&gt;0,"oc","va")</f>
        <v>va</v>
      </c>
      <c r="D11" s="136" t="str">
        <f>IF(booking!H11&gt;0,"oc","va")</f>
        <v>va</v>
      </c>
      <c r="E11" s="137" t="e">
        <f>IF(booking!#REF!&gt;0,"oc","va")</f>
        <v>#REF!</v>
      </c>
      <c r="F11" s="136" t="str">
        <f>IF(booking!L11&gt;0,"oc","va")</f>
        <v>va</v>
      </c>
      <c r="G11" s="137" t="str">
        <f>IF(booking!M11&gt;0,"oc","va")</f>
        <v>va</v>
      </c>
      <c r="H11" s="136" t="str">
        <f>IF(booking!P11&gt;0,"oc","va")</f>
        <v>oc</v>
      </c>
      <c r="I11" s="137" t="str">
        <f>IF(booking!Q11&gt;0,"oc","va")</f>
        <v>oc</v>
      </c>
      <c r="J11" s="136" t="str">
        <f>IF(booking!T11&gt;0,"oc","va")</f>
        <v>va</v>
      </c>
      <c r="K11" s="137" t="str">
        <f>IF(booking!U11&gt;0,"oc","va")</f>
        <v>va</v>
      </c>
      <c r="L11" s="136" t="str">
        <f>IF(booking!X11&gt;0,"oc","va")</f>
        <v>va</v>
      </c>
      <c r="M11" s="137" t="str">
        <f>IF(booking!Y11&gt;0,"oc","va")</f>
        <v>va</v>
      </c>
    </row>
    <row r="12" spans="1:13" x14ac:dyDescent="0.35">
      <c r="A12" s="5">
        <f>booking!C12</f>
        <v>46149</v>
      </c>
      <c r="B12" s="136" t="str">
        <f>IF(booking!D12&gt;0,"oc","va")</f>
        <v>va</v>
      </c>
      <c r="C12" s="137" t="str">
        <f>IF(booking!E12&gt;0,"oc","va")</f>
        <v>va</v>
      </c>
      <c r="D12" s="136" t="str">
        <f>IF(booking!H12&gt;0,"oc","va")</f>
        <v>va</v>
      </c>
      <c r="E12" s="137" t="str">
        <f>IF(booking!I12&gt;0,"oc","va")</f>
        <v>oc</v>
      </c>
      <c r="F12" s="136" t="str">
        <f>IF(booking!L12&gt;0,"oc","va")</f>
        <v>va</v>
      </c>
      <c r="G12" s="137" t="str">
        <f>IF(booking!M12&gt;0,"oc","va")</f>
        <v>oc</v>
      </c>
      <c r="H12" s="136" t="str">
        <f>IF(booking!P12&gt;0,"oc","va")</f>
        <v>oc</v>
      </c>
      <c r="I12" s="137" t="str">
        <f>IF(booking!Q12&gt;0,"oc","va")</f>
        <v>oc</v>
      </c>
      <c r="J12" s="136" t="str">
        <f>IF(booking!T12&gt;0,"oc","va")</f>
        <v>va</v>
      </c>
      <c r="K12" s="137" t="str">
        <f>IF(booking!U12&gt;0,"oc","va")</f>
        <v>va</v>
      </c>
      <c r="L12" s="136" t="str">
        <f>IF(booking!X12&gt;0,"oc","va")</f>
        <v>va</v>
      </c>
      <c r="M12" s="137" t="str">
        <f>IF(booking!Y12&gt;0,"oc","va")</f>
        <v>va</v>
      </c>
    </row>
    <row r="13" spans="1:13" x14ac:dyDescent="0.35">
      <c r="A13" s="5">
        <f>booking!C13</f>
        <v>46150</v>
      </c>
      <c r="B13" s="136" t="str">
        <f>IF(booking!D13&gt;0,"oc","va")</f>
        <v>va</v>
      </c>
      <c r="C13" s="137" t="str">
        <f>IF(booking!E13&gt;0,"oc","va")</f>
        <v>va</v>
      </c>
      <c r="D13" s="136" t="str">
        <f>IF(booking!H13&gt;0,"oc","va")</f>
        <v>oc</v>
      </c>
      <c r="E13" s="137" t="str">
        <f>IF(booking!I13&gt;0,"oc","va")</f>
        <v>oc</v>
      </c>
      <c r="F13" s="136" t="str">
        <f>IF(booking!L13&gt;0,"oc","va")</f>
        <v>oc</v>
      </c>
      <c r="G13" s="137" t="str">
        <f>IF(booking!M13&gt;0,"oc","va")</f>
        <v>oc</v>
      </c>
      <c r="H13" s="136" t="str">
        <f>IF(booking!P13&gt;0,"oc","va")</f>
        <v>oc</v>
      </c>
      <c r="I13" s="137" t="str">
        <f>IF(booking!Q13&gt;0,"oc","va")</f>
        <v>oc</v>
      </c>
      <c r="J13" s="136" t="str">
        <f>IF(booking!T13&gt;0,"oc","va")</f>
        <v>va</v>
      </c>
      <c r="K13" s="137" t="str">
        <f>IF(booking!U13&gt;0,"oc","va")</f>
        <v>va</v>
      </c>
      <c r="L13" s="136" t="str">
        <f>IF(booking!X13&gt;0,"oc","va")</f>
        <v>va</v>
      </c>
      <c r="M13" s="137" t="str">
        <f>IF(booking!Y13&gt;0,"oc","va")</f>
        <v>va</v>
      </c>
    </row>
    <row r="14" spans="1:13" x14ac:dyDescent="0.35">
      <c r="A14" s="5">
        <f>booking!C14</f>
        <v>46151</v>
      </c>
      <c r="B14" s="136" t="e">
        <f>IF(booking!#REF!&gt;0,"oc","va")</f>
        <v>#REF!</v>
      </c>
      <c r="C14" s="137" t="str">
        <f>IF(booking!D14&gt;0,"oc","va")</f>
        <v>va</v>
      </c>
      <c r="D14" s="136" t="str">
        <f>IF(booking!H14&gt;0,"oc","va")</f>
        <v>oc</v>
      </c>
      <c r="E14" s="137" t="str">
        <f>IF(booking!I14&gt;0,"oc","va")</f>
        <v>oc</v>
      </c>
      <c r="F14" s="136" t="str">
        <f>IF(booking!L14&gt;0,"oc","va")</f>
        <v>oc</v>
      </c>
      <c r="G14" s="137" t="str">
        <f>IF(booking!M14&gt;0,"oc","va")</f>
        <v>oc</v>
      </c>
      <c r="H14" s="136" t="str">
        <f>IF(booking!P14&gt;0,"oc","va")</f>
        <v>oc</v>
      </c>
      <c r="I14" s="137" t="str">
        <f>IF(booking!Q14&gt;0,"oc","va")</f>
        <v>oc</v>
      </c>
      <c r="J14" s="136" t="str">
        <f>IF(booking!T14&gt;0,"oc","va")</f>
        <v>va</v>
      </c>
      <c r="K14" s="137" t="str">
        <f>IF(booking!U14&gt;0,"oc","va")</f>
        <v>va</v>
      </c>
      <c r="L14" s="136" t="str">
        <f>IF(booking!X14&gt;0,"oc","va")</f>
        <v>va</v>
      </c>
      <c r="M14" s="137" t="str">
        <f>IF(booking!Y14&gt;0,"oc","va")</f>
        <v>va</v>
      </c>
    </row>
    <row r="15" spans="1:13" x14ac:dyDescent="0.35">
      <c r="A15" s="5">
        <f>booking!C15</f>
        <v>46152</v>
      </c>
      <c r="B15" s="136" t="str">
        <f>IF(booking!D15&gt;0,"oc","va")</f>
        <v>va</v>
      </c>
      <c r="C15" s="137" t="str">
        <f>IF(booking!E15&gt;0,"oc","va")</f>
        <v>va</v>
      </c>
      <c r="D15" s="136" t="str">
        <f>IF(booking!H15&gt;0,"oc","va")</f>
        <v>oc</v>
      </c>
      <c r="E15" s="137" t="str">
        <f>IF(booking!I15&gt;0,"oc","va")</f>
        <v>va</v>
      </c>
      <c r="F15" s="136" t="str">
        <f>IF(booking!L15&gt;0,"oc","va")</f>
        <v>oc</v>
      </c>
      <c r="G15" s="137" t="str">
        <f>IF(booking!M15&gt;0,"oc","va")</f>
        <v>va</v>
      </c>
      <c r="H15" s="136" t="str">
        <f>IF(booking!P15&gt;0,"oc","va")</f>
        <v>oc</v>
      </c>
      <c r="I15" s="137" t="str">
        <f>IF(booking!Q15&gt;0,"oc","va")</f>
        <v>va</v>
      </c>
      <c r="J15" s="136" t="str">
        <f>IF(booking!T15&gt;0,"oc","va")</f>
        <v>va</v>
      </c>
      <c r="K15" s="137" t="str">
        <f>IF(booking!U15&gt;0,"oc","va")</f>
        <v>va</v>
      </c>
      <c r="L15" s="136" t="str">
        <f>IF(booking!X15&gt;0,"oc","va")</f>
        <v>va</v>
      </c>
      <c r="M15" s="137" t="str">
        <f>IF(booking!Y15&gt;0,"oc","va")</f>
        <v>va</v>
      </c>
    </row>
    <row r="16" spans="1:13" x14ac:dyDescent="0.35">
      <c r="A16" s="5">
        <f>booking!C16</f>
        <v>46153</v>
      </c>
      <c r="B16" s="136" t="str">
        <f>IF(booking!D16&gt;0,"oc","va")</f>
        <v>va</v>
      </c>
      <c r="C16" s="137" t="str">
        <f>IF(booking!E16&gt;0,"oc","va")</f>
        <v>va</v>
      </c>
      <c r="D16" s="136" t="str">
        <f>IF(booking!H16&gt;0,"oc","va")</f>
        <v>va</v>
      </c>
      <c r="E16" s="137" t="str">
        <f>IF(booking!I16&gt;0,"oc","va")</f>
        <v>va</v>
      </c>
      <c r="F16" s="136" t="str">
        <f>IF(booking!L16&gt;0,"oc","va")</f>
        <v>va</v>
      </c>
      <c r="G16" s="137" t="str">
        <f>IF(booking!M16&gt;0,"oc","va")</f>
        <v>va</v>
      </c>
      <c r="H16" s="136" t="str">
        <f>IF(booking!P16&gt;0,"oc","va")</f>
        <v>va</v>
      </c>
      <c r="I16" s="137" t="str">
        <f>IF(booking!Q16&gt;0,"oc","va")</f>
        <v>va</v>
      </c>
      <c r="J16" s="136" t="str">
        <f>IF(booking!T16&gt;0,"oc","va")</f>
        <v>va</v>
      </c>
      <c r="K16" s="137" t="str">
        <f>IF(booking!U16&gt;0,"oc","va")</f>
        <v>oc</v>
      </c>
      <c r="L16" s="136" t="str">
        <f>IF(booking!X16&gt;0,"oc","va")</f>
        <v>va</v>
      </c>
      <c r="M16" s="137" t="str">
        <f>IF(booking!Y16&gt;0,"oc","va")</f>
        <v>va</v>
      </c>
    </row>
    <row r="17" spans="1:13" x14ac:dyDescent="0.35">
      <c r="A17" s="5">
        <f>booking!C17</f>
        <v>46154</v>
      </c>
      <c r="B17" s="136" t="str">
        <f>IF(booking!D17&gt;0,"oc","va")</f>
        <v>va</v>
      </c>
      <c r="C17" s="137" t="str">
        <f>IF(booking!E17&gt;0,"oc","va")</f>
        <v>va</v>
      </c>
      <c r="D17" s="136" t="str">
        <f>IF(booking!H17&gt;0,"oc","va")</f>
        <v>va</v>
      </c>
      <c r="E17" s="137" t="str">
        <f>IF(booking!I17&gt;0,"oc","va")</f>
        <v>va</v>
      </c>
      <c r="F17" s="136" t="str">
        <f>IF(booking!L17&gt;0,"oc","va")</f>
        <v>va</v>
      </c>
      <c r="G17" s="137" t="str">
        <f>IF(booking!M17&gt;0,"oc","va")</f>
        <v>va</v>
      </c>
      <c r="H17" s="136" t="str">
        <f>IF(booking!P17&gt;0,"oc","va")</f>
        <v>va</v>
      </c>
      <c r="I17" s="137" t="str">
        <f>IF(booking!Q17&gt;0,"oc","va")</f>
        <v>va</v>
      </c>
      <c r="J17" s="136" t="str">
        <f>IF(booking!T17&gt;0,"oc","va")</f>
        <v>oc</v>
      </c>
      <c r="K17" s="137" t="str">
        <f>IF(booking!U17&gt;0,"oc","va")</f>
        <v>oc</v>
      </c>
      <c r="L17" s="136" t="str">
        <f>IF(booking!X17&gt;0,"oc","va")</f>
        <v>va</v>
      </c>
      <c r="M17" s="137" t="str">
        <f>IF(booking!Y17&gt;0,"oc","va")</f>
        <v>va</v>
      </c>
    </row>
    <row r="18" spans="1:13" x14ac:dyDescent="0.35">
      <c r="A18" s="5">
        <f>booking!C18</f>
        <v>46155</v>
      </c>
      <c r="B18" s="136" t="str">
        <f>IF(booking!D18&gt;0,"oc","va")</f>
        <v>va</v>
      </c>
      <c r="C18" s="137" t="str">
        <f>IF(booking!E18&gt;0,"oc","va")</f>
        <v>oc</v>
      </c>
      <c r="D18" s="136" t="str">
        <f>IF(booking!H18&gt;0,"oc","va")</f>
        <v>va</v>
      </c>
      <c r="E18" s="137" t="str">
        <f>IF(booking!I18&gt;0,"oc","va")</f>
        <v>va</v>
      </c>
      <c r="F18" s="136" t="str">
        <f>IF(booking!L18&gt;0,"oc","va")</f>
        <v>va</v>
      </c>
      <c r="G18" s="137" t="str">
        <f>IF(booking!M18&gt;0,"oc","va")</f>
        <v>va</v>
      </c>
      <c r="H18" s="136" t="str">
        <f>IF(booking!P18&gt;0,"oc","va")</f>
        <v>va</v>
      </c>
      <c r="I18" s="137" t="str">
        <f>IF(booking!Q18&gt;0,"oc","va")</f>
        <v>va</v>
      </c>
      <c r="J18" s="136" t="str">
        <f>IF(booking!T18&gt;0,"oc","va")</f>
        <v>oc</v>
      </c>
      <c r="K18" s="137" t="str">
        <f>IF(booking!U18&gt;0,"oc","va")</f>
        <v>va</v>
      </c>
      <c r="L18" s="136" t="str">
        <f>IF(booking!X18&gt;0,"oc","va")</f>
        <v>va</v>
      </c>
      <c r="M18" s="137" t="str">
        <f>IF(booking!Y18&gt;0,"oc","va")</f>
        <v>va</v>
      </c>
    </row>
    <row r="19" spans="1:13" x14ac:dyDescent="0.35">
      <c r="A19" s="5">
        <f>booking!C19</f>
        <v>46156</v>
      </c>
      <c r="B19" s="136" t="str">
        <f>IF(booking!D19&gt;0,"oc","va")</f>
        <v>oc</v>
      </c>
      <c r="C19" s="137" t="str">
        <f>IF(booking!E19&gt;0,"oc","va")</f>
        <v>oc</v>
      </c>
      <c r="D19" s="136" t="str">
        <f>IF(booking!H19&gt;0,"oc","va")</f>
        <v>va</v>
      </c>
      <c r="E19" s="137" t="str">
        <f>IF(booking!I19&gt;0,"oc","va")</f>
        <v>va</v>
      </c>
      <c r="F19" s="136" t="str">
        <f>IF(booking!L19&gt;0,"oc","va")</f>
        <v>va</v>
      </c>
      <c r="G19" s="137" t="str">
        <f>IF(booking!M19&gt;0,"oc","va")</f>
        <v>oc</v>
      </c>
      <c r="H19" s="136" t="str">
        <f>IF(booking!P19&gt;0,"oc","va")</f>
        <v>va</v>
      </c>
      <c r="I19" s="137" t="str">
        <f>IF(booking!Q19&gt;0,"oc","va")</f>
        <v>oc</v>
      </c>
      <c r="J19" s="136" t="str">
        <f>IF(booking!T19&gt;0,"oc","va")</f>
        <v>va</v>
      </c>
      <c r="K19" s="137" t="str">
        <f>IF(booking!U19&gt;0,"oc","va")</f>
        <v>oc</v>
      </c>
      <c r="L19" s="136" t="str">
        <f>IF(booking!X19&gt;0,"oc","va")</f>
        <v>va</v>
      </c>
      <c r="M19" s="137" t="str">
        <f>IF(booking!Y19&gt;0,"oc","va")</f>
        <v>va</v>
      </c>
    </row>
    <row r="20" spans="1:13" x14ac:dyDescent="0.35">
      <c r="A20" s="5">
        <f>booking!C20</f>
        <v>46157</v>
      </c>
      <c r="B20" s="136" t="str">
        <f>IF(booking!D20&gt;0,"oc","va")</f>
        <v>oc</v>
      </c>
      <c r="C20" s="137" t="str">
        <f>IF(booking!E20&gt;0,"oc","va")</f>
        <v>oc</v>
      </c>
      <c r="D20" s="136" t="str">
        <f>IF(booking!H20&gt;0,"oc","va")</f>
        <v>va</v>
      </c>
      <c r="E20" s="137" t="str">
        <f>IF(booking!I20&gt;0,"oc","va")</f>
        <v>oc</v>
      </c>
      <c r="F20" s="136" t="str">
        <f>IF(booking!L20&gt;0,"oc","va")</f>
        <v>oc</v>
      </c>
      <c r="G20" s="137" t="str">
        <f>IF(booking!M20&gt;0,"oc","va")</f>
        <v>oc</v>
      </c>
      <c r="H20" s="136" t="str">
        <f>IF(booking!P20&gt;0,"oc","va")</f>
        <v>oc</v>
      </c>
      <c r="I20" s="137" t="str">
        <f>IF(booking!Q20&gt;0,"oc","va")</f>
        <v>oc</v>
      </c>
      <c r="J20" s="136" t="str">
        <f>IF(booking!T20&gt;0,"oc","va")</f>
        <v>oc</v>
      </c>
      <c r="K20" s="137" t="str">
        <f>IF(booking!U20&gt;0,"oc","va")</f>
        <v>oc</v>
      </c>
      <c r="L20" s="136" t="str">
        <f>IF(booking!X20&gt;0,"oc","va")</f>
        <v>va</v>
      </c>
      <c r="M20" s="137" t="str">
        <f>IF(booking!Y20&gt;0,"oc","va")</f>
        <v>va</v>
      </c>
    </row>
    <row r="21" spans="1:13" x14ac:dyDescent="0.35">
      <c r="A21" s="5">
        <f>booking!C21</f>
        <v>46158</v>
      </c>
      <c r="B21" s="136" t="str">
        <f>IF(booking!D21&gt;0,"oc","va")</f>
        <v>oc</v>
      </c>
      <c r="C21" s="137" t="str">
        <f>IF(booking!E21&gt;0,"oc","va")</f>
        <v>oc</v>
      </c>
      <c r="D21" s="136" t="str">
        <f>IF(booking!H21&gt;0,"oc","va")</f>
        <v>oc</v>
      </c>
      <c r="E21" s="137" t="str">
        <f>IF(booking!I21&gt;0,"oc","va")</f>
        <v>oc</v>
      </c>
      <c r="F21" s="136" t="str">
        <f>IF(booking!L21&gt;0,"oc","va")</f>
        <v>oc</v>
      </c>
      <c r="G21" s="137" t="str">
        <f>IF(booking!M21&gt;0,"oc","va")</f>
        <v>oc</v>
      </c>
      <c r="H21" s="136" t="str">
        <f>IF(booking!P21&gt;0,"oc","va")</f>
        <v>oc</v>
      </c>
      <c r="I21" s="137" t="str">
        <f>IF(booking!Q21&gt;0,"oc","va")</f>
        <v>oc</v>
      </c>
      <c r="J21" s="136" t="str">
        <f>IF(booking!T21&gt;0,"oc","va")</f>
        <v>oc</v>
      </c>
      <c r="K21" s="137" t="str">
        <f>IF(booking!U21&gt;0,"oc","va")</f>
        <v>oc</v>
      </c>
      <c r="L21" s="136" t="str">
        <f>IF(booking!X21&gt;0,"oc","va")</f>
        <v>va</v>
      </c>
      <c r="M21" s="137" t="str">
        <f>IF(booking!Y21&gt;0,"oc","va")</f>
        <v>va</v>
      </c>
    </row>
    <row r="22" spans="1:13" x14ac:dyDescent="0.35">
      <c r="A22" s="5">
        <f>booking!C22</f>
        <v>46159</v>
      </c>
      <c r="B22" s="136" t="str">
        <f>IF(booking!D22&gt;0,"oc","va")</f>
        <v>oc</v>
      </c>
      <c r="C22" s="137" t="str">
        <f>IF(booking!E22&gt;0,"oc","va")</f>
        <v>oc</v>
      </c>
      <c r="D22" s="136" t="str">
        <f>IF(booking!H22&gt;0,"oc","va")</f>
        <v>oc</v>
      </c>
      <c r="E22" s="137" t="str">
        <f>IF(booking!I22&gt;0,"oc","va")</f>
        <v>va</v>
      </c>
      <c r="F22" s="136" t="str">
        <f>IF(booking!L22&gt;0,"oc","va")</f>
        <v>oc</v>
      </c>
      <c r="G22" s="137" t="str">
        <f>IF(booking!M22&gt;0,"oc","va")</f>
        <v>va</v>
      </c>
      <c r="H22" s="136" t="str">
        <f>IF(booking!P22&gt;0,"oc","va")</f>
        <v>oc</v>
      </c>
      <c r="I22" s="137" t="str">
        <f>IF(booking!Q22&gt;0,"oc","va")</f>
        <v>oc</v>
      </c>
      <c r="J22" s="136" t="str">
        <f>IF(booking!T22&gt;0,"oc","va")</f>
        <v>oc</v>
      </c>
      <c r="K22" s="137" t="str">
        <f>IF(booking!U22&gt;0,"oc","va")</f>
        <v>oc</v>
      </c>
      <c r="L22" s="136" t="str">
        <f>IF(booking!X22&gt;0,"oc","va")</f>
        <v>va</v>
      </c>
      <c r="M22" s="137" t="str">
        <f>IF(booking!Y22&gt;0,"oc","va")</f>
        <v>va</v>
      </c>
    </row>
    <row r="23" spans="1:13" x14ac:dyDescent="0.35">
      <c r="A23" s="5">
        <f>booking!C23</f>
        <v>46160</v>
      </c>
      <c r="B23" s="136" t="str">
        <f>IF(booking!D23&gt;0,"oc","va")</f>
        <v>oc</v>
      </c>
      <c r="C23" s="137" t="str">
        <f>IF(booking!E23&gt;0,"oc","va")</f>
        <v>oc</v>
      </c>
      <c r="D23" s="136" t="str">
        <f>IF(booking!H23&gt;0,"oc","va")</f>
        <v>va</v>
      </c>
      <c r="E23" s="137" t="str">
        <f>IF(booking!I23&gt;0,"oc","va")</f>
        <v>va</v>
      </c>
      <c r="F23" s="136" t="str">
        <f>IF(booking!L23&gt;0,"oc","va")</f>
        <v>va</v>
      </c>
      <c r="G23" s="137" t="str">
        <f>IF(booking!M23&gt;0,"oc","va")</f>
        <v>va</v>
      </c>
      <c r="H23" s="136" t="str">
        <f>IF(booking!P23&gt;0,"oc","va")</f>
        <v>oc</v>
      </c>
      <c r="I23" s="137" t="str">
        <f>IF(booking!Q23&gt;0,"oc","va")</f>
        <v>oc</v>
      </c>
      <c r="J23" s="136" t="str">
        <f>IF(booking!T23&gt;0,"oc","va")</f>
        <v>oc</v>
      </c>
      <c r="K23" s="137" t="str">
        <f>IF(booking!U23&gt;0,"oc","va")</f>
        <v>oc</v>
      </c>
      <c r="L23" s="136" t="str">
        <f>IF(booking!X23&gt;0,"oc","va")</f>
        <v>va</v>
      </c>
      <c r="M23" s="137" t="str">
        <f>IF(booking!Y23&gt;0,"oc","va")</f>
        <v>va</v>
      </c>
    </row>
    <row r="24" spans="1:13" x14ac:dyDescent="0.35">
      <c r="A24" s="5">
        <f>booking!C24</f>
        <v>46161</v>
      </c>
      <c r="B24" s="136" t="str">
        <f>IF(booking!D24&gt;0,"oc","va")</f>
        <v>oc</v>
      </c>
      <c r="C24" s="137" t="str">
        <f>IF(booking!E24&gt;0,"oc","va")</f>
        <v>oc</v>
      </c>
      <c r="D24" s="136" t="str">
        <f>IF(booking!H24&gt;0,"oc","va")</f>
        <v>va</v>
      </c>
      <c r="E24" s="137" t="str">
        <f>IF(booking!I24&gt;0,"oc","va")</f>
        <v>va</v>
      </c>
      <c r="F24" s="136" t="str">
        <f>IF(booking!L24&gt;0,"oc","va")</f>
        <v>va</v>
      </c>
      <c r="G24" s="137" t="str">
        <f>IF(booking!M24&gt;0,"oc","va")</f>
        <v>va</v>
      </c>
      <c r="H24" s="136" t="str">
        <f>IF(booking!P24&gt;0,"oc","va")</f>
        <v>oc</v>
      </c>
      <c r="I24" s="137" t="str">
        <f>IF(booking!Q24&gt;0,"oc","va")</f>
        <v>oc</v>
      </c>
      <c r="J24" s="136" t="str">
        <f>IF(booking!T24&gt;0,"oc","va")</f>
        <v>oc</v>
      </c>
      <c r="K24" s="137" t="str">
        <f>IF(booking!U24&gt;0,"oc","va")</f>
        <v>oc</v>
      </c>
      <c r="L24" s="136" t="str">
        <f>IF(booking!X24&gt;0,"oc","va")</f>
        <v>va</v>
      </c>
      <c r="M24" s="137" t="str">
        <f>IF(booking!Y24&gt;0,"oc","va")</f>
        <v>va</v>
      </c>
    </row>
    <row r="25" spans="1:13" x14ac:dyDescent="0.35">
      <c r="A25" s="5">
        <f>booking!C25</f>
        <v>46162</v>
      </c>
      <c r="B25" s="136" t="str">
        <f>IF(booking!D25&gt;0,"oc","va")</f>
        <v>oc</v>
      </c>
      <c r="C25" s="137" t="str">
        <f>IF(booking!E25&gt;0,"oc","va")</f>
        <v>oc</v>
      </c>
      <c r="D25" s="136" t="str">
        <f>IF(booking!H25&gt;0,"oc","va")</f>
        <v>va</v>
      </c>
      <c r="E25" s="137" t="str">
        <f>IF(booking!I25&gt;0,"oc","va")</f>
        <v>va</v>
      </c>
      <c r="F25" s="136" t="str">
        <f>IF(booking!L25&gt;0,"oc","va")</f>
        <v>va</v>
      </c>
      <c r="G25" s="137" t="str">
        <f>IF(booking!M25&gt;0,"oc","va")</f>
        <v>va</v>
      </c>
      <c r="H25" s="136" t="str">
        <f>IF(booking!P25&gt;0,"oc","va")</f>
        <v>oc</v>
      </c>
      <c r="I25" s="137" t="str">
        <f>IF(booking!Q25&gt;0,"oc","va")</f>
        <v>oc</v>
      </c>
      <c r="J25" s="136" t="str">
        <f>IF(booking!T25&gt;0,"oc","va")</f>
        <v>oc</v>
      </c>
      <c r="K25" s="137" t="str">
        <f>IF(booking!U25&gt;0,"oc","va")</f>
        <v>oc</v>
      </c>
      <c r="L25" s="136" t="str">
        <f>IF(booking!X25&gt;0,"oc","va")</f>
        <v>va</v>
      </c>
      <c r="M25" s="137" t="str">
        <f>IF(booking!Y25&gt;0,"oc","va")</f>
        <v>va</v>
      </c>
    </row>
    <row r="26" spans="1:13" x14ac:dyDescent="0.35">
      <c r="A26" s="5">
        <f>booking!C26</f>
        <v>46163</v>
      </c>
      <c r="B26" s="136" t="str">
        <f>IF(booking!D26&gt;0,"oc","va")</f>
        <v>oc</v>
      </c>
      <c r="C26" s="137" t="str">
        <f>IF(booking!E26&gt;0,"oc","va")</f>
        <v>va</v>
      </c>
      <c r="D26" s="136" t="str">
        <f>IF(booking!H26&gt;0,"oc","va")</f>
        <v>va</v>
      </c>
      <c r="E26" s="137" t="str">
        <f>IF(booking!I26&gt;0,"oc","va")</f>
        <v>oc</v>
      </c>
      <c r="F26" s="136" t="str">
        <f>IF(booking!L26&gt;0,"oc","va")</f>
        <v>va</v>
      </c>
      <c r="G26" s="137" t="str">
        <f>IF(booking!M26&gt;0,"oc","va")</f>
        <v>oc</v>
      </c>
      <c r="H26" s="136" t="str">
        <f>IF(booking!P26&gt;0,"oc","va")</f>
        <v>oc</v>
      </c>
      <c r="I26" s="137" t="str">
        <f>IF(booking!Q26&gt;0,"oc","va")</f>
        <v>oc</v>
      </c>
      <c r="J26" s="136" t="str">
        <f>IF(booking!T26&gt;0,"oc","va")</f>
        <v>oc</v>
      </c>
      <c r="K26" s="137" t="str">
        <f>IF(booking!U26&gt;0,"oc","va")</f>
        <v>oc</v>
      </c>
      <c r="L26" s="136" t="str">
        <f>IF(booking!X26&gt;0,"oc","va")</f>
        <v>va</v>
      </c>
      <c r="M26" s="137" t="str">
        <f>IF(booking!Y26&gt;0,"oc","va")</f>
        <v>va</v>
      </c>
    </row>
    <row r="27" spans="1:13" x14ac:dyDescent="0.35">
      <c r="A27" s="5">
        <f>booking!C27</f>
        <v>46164</v>
      </c>
      <c r="B27" s="136" t="str">
        <f>IF(booking!D27&gt;0,"oc","va")</f>
        <v>va</v>
      </c>
      <c r="C27" s="137" t="str">
        <f>IF(booking!E27&gt;0,"oc","va")</f>
        <v>oc</v>
      </c>
      <c r="D27" s="136" t="str">
        <f>IF(booking!H27&gt;0,"oc","va")</f>
        <v>oc</v>
      </c>
      <c r="E27" s="137" t="str">
        <f>IF(booking!I27&gt;0,"oc","va")</f>
        <v>oc</v>
      </c>
      <c r="F27" s="136" t="str">
        <f>IF(booking!L27&gt;0,"oc","va")</f>
        <v>oc</v>
      </c>
      <c r="G27" s="137" t="str">
        <f>IF(booking!M27&gt;0,"oc","va")</f>
        <v>oc</v>
      </c>
      <c r="H27" s="136" t="str">
        <f>IF(booking!P27&gt;0,"oc","va")</f>
        <v>oc</v>
      </c>
      <c r="I27" s="137" t="str">
        <f>IF(booking!Q27&gt;0,"oc","va")</f>
        <v>oc</v>
      </c>
      <c r="J27" s="136" t="str">
        <f>IF(booking!T27&gt;0,"oc","va")</f>
        <v>oc</v>
      </c>
      <c r="K27" s="137" t="str">
        <f>IF(booking!U27&gt;0,"oc","va")</f>
        <v>oc</v>
      </c>
      <c r="L27" s="136" t="str">
        <f>IF(booking!X27&gt;0,"oc","va")</f>
        <v>va</v>
      </c>
      <c r="M27" s="137" t="str">
        <f>IF(booking!Y27&gt;0,"oc","va")</f>
        <v>va</v>
      </c>
    </row>
    <row r="28" spans="1:13" x14ac:dyDescent="0.35">
      <c r="A28" s="5">
        <f>booking!C28</f>
        <v>46165</v>
      </c>
      <c r="B28" s="136" t="str">
        <f>IF(booking!D28&gt;0,"oc","va")</f>
        <v>oc</v>
      </c>
      <c r="C28" s="137" t="str">
        <f>IF(booking!E28&gt;0,"oc","va")</f>
        <v>oc</v>
      </c>
      <c r="D28" s="136" t="str">
        <f>IF(booking!H28&gt;0,"oc","va")</f>
        <v>oc</v>
      </c>
      <c r="E28" s="137" t="str">
        <f>IF(booking!I28&gt;0,"oc","va")</f>
        <v>oc</v>
      </c>
      <c r="F28" s="136" t="str">
        <f>IF(booking!L28&gt;0,"oc","va")</f>
        <v>oc</v>
      </c>
      <c r="G28" s="137" t="str">
        <f>IF(booking!M28&gt;0,"oc","va")</f>
        <v>oc</v>
      </c>
      <c r="H28" s="136" t="str">
        <f>IF(booking!P28&gt;0,"oc","va")</f>
        <v>oc</v>
      </c>
      <c r="I28" s="137" t="str">
        <f>IF(booking!Q28&gt;0,"oc","va")</f>
        <v>oc</v>
      </c>
      <c r="J28" s="136" t="str">
        <f>IF(booking!T28&gt;0,"oc","va")</f>
        <v>oc</v>
      </c>
      <c r="K28" s="137" t="str">
        <f>IF(booking!U28&gt;0,"oc","va")</f>
        <v>oc</v>
      </c>
      <c r="L28" s="136" t="str">
        <f>IF(booking!X28&gt;0,"oc","va")</f>
        <v>va</v>
      </c>
      <c r="M28" s="137" t="str">
        <f>IF(booking!Y28&gt;0,"oc","va")</f>
        <v>va</v>
      </c>
    </row>
    <row r="29" spans="1:13" x14ac:dyDescent="0.35">
      <c r="A29" s="5">
        <f>booking!C29</f>
        <v>46166</v>
      </c>
      <c r="B29" s="136" t="str">
        <f>IF(booking!D29&gt;0,"oc","va")</f>
        <v>oc</v>
      </c>
      <c r="C29" s="137" t="str">
        <f>IF(booking!E29&gt;0,"oc","va")</f>
        <v>oc</v>
      </c>
      <c r="D29" s="136" t="str">
        <f>IF(booking!H29&gt;0,"oc","va")</f>
        <v>oc</v>
      </c>
      <c r="E29" s="137" t="str">
        <f>IF(booking!I29&gt;0,"oc","va")</f>
        <v>oc</v>
      </c>
      <c r="F29" s="136" t="str">
        <f>IF(booking!L29&gt;0,"oc","va")</f>
        <v>oc</v>
      </c>
      <c r="G29" s="137" t="str">
        <f>IF(booking!M29&gt;0,"oc","va")</f>
        <v>oc</v>
      </c>
      <c r="H29" s="136" t="str">
        <f>IF(booking!P29&gt;0,"oc","va")</f>
        <v>oc</v>
      </c>
      <c r="I29" s="137" t="str">
        <f>IF(booking!Q29&gt;0,"oc","va")</f>
        <v>oc</v>
      </c>
      <c r="J29" s="136" t="str">
        <f>IF(booking!T29&gt;0,"oc","va")</f>
        <v>oc</v>
      </c>
      <c r="K29" s="137" t="str">
        <f>IF(booking!U29&gt;0,"oc","va")</f>
        <v>va</v>
      </c>
      <c r="L29" s="136" t="str">
        <f>IF(booking!X29&gt;0,"oc","va")</f>
        <v>va</v>
      </c>
      <c r="M29" s="137" t="str">
        <f>IF(booking!Y29&gt;0,"oc","va")</f>
        <v>va</v>
      </c>
    </row>
    <row r="30" spans="1:13" x14ac:dyDescent="0.35">
      <c r="A30" s="5">
        <f>booking!C30</f>
        <v>46167</v>
      </c>
      <c r="B30" s="136" t="str">
        <f>IF(booking!D30&gt;0,"oc","va")</f>
        <v>oc</v>
      </c>
      <c r="C30" s="137" t="str">
        <f>IF(booking!E30&gt;0,"oc","va")</f>
        <v>va</v>
      </c>
      <c r="D30" s="136" t="str">
        <f>IF(booking!H30&gt;0,"oc","va")</f>
        <v>oc</v>
      </c>
      <c r="E30" s="137" t="str">
        <f>IF(booking!I30&gt;0,"oc","va")</f>
        <v>va</v>
      </c>
      <c r="F30" s="136" t="str">
        <f>IF(booking!L30&gt;0,"oc","va")</f>
        <v>oc</v>
      </c>
      <c r="G30" s="137" t="str">
        <f>IF(booking!M30&gt;0,"oc","va")</f>
        <v>va</v>
      </c>
      <c r="H30" s="136" t="str">
        <f>IF(booking!P30&gt;0,"oc","va")</f>
        <v>oc</v>
      </c>
      <c r="I30" s="137" t="str">
        <f>IF(booking!Q30&gt;0,"oc","va")</f>
        <v>va</v>
      </c>
      <c r="J30" s="136" t="str">
        <f>IF(booking!T30&gt;0,"oc","va")</f>
        <v>va</v>
      </c>
      <c r="K30" s="137" t="str">
        <f>IF(booking!U30&gt;0,"oc","va")</f>
        <v>va</v>
      </c>
      <c r="L30" s="136" t="str">
        <f>IF(booking!X30&gt;0,"oc","va")</f>
        <v>va</v>
      </c>
      <c r="M30" s="137" t="str">
        <f>IF(booking!Y30&gt;0,"oc","va")</f>
        <v>va</v>
      </c>
    </row>
    <row r="31" spans="1:13" x14ac:dyDescent="0.35">
      <c r="A31" s="5">
        <f>booking!C31</f>
        <v>46168</v>
      </c>
      <c r="B31" s="136" t="str">
        <f>IF(booking!D31&gt;0,"oc","va")</f>
        <v>va</v>
      </c>
      <c r="C31" s="137" t="str">
        <f>IF(booking!E31&gt;0,"oc","va")</f>
        <v>va</v>
      </c>
      <c r="D31" s="136" t="str">
        <f>IF(booking!H31&gt;0,"oc","va")</f>
        <v>va</v>
      </c>
      <c r="E31" s="137" t="str">
        <f>IF(booking!I31&gt;0,"oc","va")</f>
        <v>va</v>
      </c>
      <c r="F31" s="136" t="str">
        <f>IF(booking!L31&gt;0,"oc","va")</f>
        <v>va</v>
      </c>
      <c r="G31" s="137" t="str">
        <f>IF(booking!M31&gt;0,"oc","va")</f>
        <v>va</v>
      </c>
      <c r="H31" s="136" t="str">
        <f>IF(booking!P31&gt;0,"oc","va")</f>
        <v>va</v>
      </c>
      <c r="I31" s="137" t="str">
        <f>IF(booking!Q31&gt;0,"oc","va")</f>
        <v>va</v>
      </c>
      <c r="J31" s="136" t="str">
        <f>IF(booking!T31&gt;0,"oc","va")</f>
        <v>va</v>
      </c>
      <c r="K31" s="137" t="str">
        <f>IF(booking!U31&gt;0,"oc","va")</f>
        <v>va</v>
      </c>
      <c r="L31" s="136" t="str">
        <f>IF(booking!X31&gt;0,"oc","va")</f>
        <v>va</v>
      </c>
      <c r="M31" s="137" t="str">
        <f>IF(booking!Y31&gt;0,"oc","va")</f>
        <v>va</v>
      </c>
    </row>
    <row r="32" spans="1:13" x14ac:dyDescent="0.35">
      <c r="A32" s="5">
        <f>booking!C32</f>
        <v>46169</v>
      </c>
      <c r="B32" s="136" t="str">
        <f>IF(booking!D32&gt;0,"oc","va")</f>
        <v>va</v>
      </c>
      <c r="C32" s="137" t="str">
        <f>IF(booking!E32&gt;0,"oc","va")</f>
        <v>va</v>
      </c>
      <c r="D32" s="136" t="str">
        <f>IF(booking!H32&gt;0,"oc","va")</f>
        <v>va</v>
      </c>
      <c r="E32" s="137" t="str">
        <f>IF(booking!I32&gt;0,"oc","va")</f>
        <v>va</v>
      </c>
      <c r="F32" s="136" t="str">
        <f>IF(booking!L32&gt;0,"oc","va")</f>
        <v>va</v>
      </c>
      <c r="G32" s="137" t="str">
        <f>IF(booking!M32&gt;0,"oc","va")</f>
        <v>oc</v>
      </c>
      <c r="H32" s="136" t="str">
        <f>IF(booking!P32&gt;0,"oc","va")</f>
        <v>va</v>
      </c>
      <c r="I32" s="137" t="str">
        <f>IF(booking!Q32&gt;0,"oc","va")</f>
        <v>va</v>
      </c>
      <c r="J32" s="136" t="str">
        <f>IF(booking!T32&gt;0,"oc","va")</f>
        <v>va</v>
      </c>
      <c r="K32" s="137" t="str">
        <f>IF(booking!U32&gt;0,"oc","va")</f>
        <v>va</v>
      </c>
      <c r="L32" s="136" t="str">
        <f>IF(booking!X32&gt;0,"oc","va")</f>
        <v>va</v>
      </c>
      <c r="M32" s="137" t="str">
        <f>IF(booking!Y32&gt;0,"oc","va")</f>
        <v>va</v>
      </c>
    </row>
    <row r="33" spans="1:13" x14ac:dyDescent="0.35">
      <c r="A33" s="5">
        <f>booking!C33</f>
        <v>46170</v>
      </c>
      <c r="B33" s="136" t="str">
        <f>IF(booking!D33&gt;0,"oc","va")</f>
        <v>va</v>
      </c>
      <c r="C33" s="137" t="str">
        <f>IF(booking!E33&gt;0,"oc","va")</f>
        <v>va</v>
      </c>
      <c r="D33" s="136" t="str">
        <f>IF(booking!H33&gt;0,"oc","va")</f>
        <v>va</v>
      </c>
      <c r="E33" s="137" t="str">
        <f>IF(booking!I33&gt;0,"oc","va")</f>
        <v>va</v>
      </c>
      <c r="F33" s="136" t="str">
        <f>IF(booking!L33&gt;0,"oc","va")</f>
        <v>oc</v>
      </c>
      <c r="G33" s="137" t="str">
        <f>IF(booking!M33&gt;0,"oc","va")</f>
        <v>oc</v>
      </c>
      <c r="H33" s="136" t="str">
        <f>IF(booking!P33&gt;0,"oc","va")</f>
        <v>va</v>
      </c>
      <c r="I33" s="137" t="str">
        <f>IF(booking!Q33&gt;0,"oc","va")</f>
        <v>va</v>
      </c>
      <c r="J33" s="136" t="str">
        <f>IF(booking!T33&gt;0,"oc","va")</f>
        <v>va</v>
      </c>
      <c r="K33" s="137" t="str">
        <f>IF(booking!U33&gt;0,"oc","va")</f>
        <v>va</v>
      </c>
      <c r="L33" s="136" t="str">
        <f>IF(booking!X33&gt;0,"oc","va")</f>
        <v>va</v>
      </c>
      <c r="M33" s="137" t="str">
        <f>IF(booking!Y33&gt;0,"oc","va")</f>
        <v>va</v>
      </c>
    </row>
    <row r="34" spans="1:13" x14ac:dyDescent="0.35">
      <c r="A34" s="5">
        <f>booking!C34</f>
        <v>46171</v>
      </c>
      <c r="B34" s="136" t="str">
        <f>IF(booking!D34&gt;0,"oc","va")</f>
        <v>va</v>
      </c>
      <c r="C34" s="137" t="str">
        <f>IF(booking!E34&gt;0,"oc","va")</f>
        <v>va</v>
      </c>
      <c r="D34" s="136" t="str">
        <f>IF(booking!H34&gt;0,"oc","va")</f>
        <v>va</v>
      </c>
      <c r="E34" s="137" t="str">
        <f>IF(booking!I34&gt;0,"oc","va")</f>
        <v>va</v>
      </c>
      <c r="F34" s="136" t="str">
        <f>IF(booking!L34&gt;0,"oc","va")</f>
        <v>oc</v>
      </c>
      <c r="G34" s="137" t="str">
        <f>IF(booking!M34&gt;0,"oc","va")</f>
        <v>oc</v>
      </c>
      <c r="H34" s="136" t="str">
        <f>IF(booking!P34&gt;0,"oc","va")</f>
        <v>va</v>
      </c>
      <c r="I34" s="137" t="str">
        <f>IF(booking!Q34&gt;0,"oc","va")</f>
        <v>va</v>
      </c>
      <c r="J34" s="136" t="str">
        <f>IF(booking!T34&gt;0,"oc","va")</f>
        <v>va</v>
      </c>
      <c r="K34" s="137" t="str">
        <f>IF(booking!U34&gt;0,"oc","va")</f>
        <v>oc</v>
      </c>
      <c r="L34" s="136" t="str">
        <f>IF(booking!X34&gt;0,"oc","va")</f>
        <v>va</v>
      </c>
      <c r="M34" s="137" t="str">
        <f>IF(booking!Y34&gt;0,"oc","va")</f>
        <v>va</v>
      </c>
    </row>
    <row r="35" spans="1:13" x14ac:dyDescent="0.35">
      <c r="A35" s="5">
        <f>booking!C35</f>
        <v>46172</v>
      </c>
      <c r="B35" s="136" t="str">
        <f>IF(booking!D35&gt;0,"oc","va")</f>
        <v>va</v>
      </c>
      <c r="C35" s="137" t="str">
        <f>IF(booking!E35&gt;0,"oc","va")</f>
        <v>va</v>
      </c>
      <c r="D35" s="136" t="str">
        <f>IF(booking!H35&gt;0,"oc","va")</f>
        <v>va</v>
      </c>
      <c r="E35" s="137" t="str">
        <f>IF(booking!I35&gt;0,"oc","va")</f>
        <v>va</v>
      </c>
      <c r="F35" s="136" t="str">
        <f>IF(booking!L35&gt;0,"oc","va")</f>
        <v>oc</v>
      </c>
      <c r="G35" s="137" t="str">
        <f>IF(booking!M35&gt;0,"oc","va")</f>
        <v>oc</v>
      </c>
      <c r="H35" s="136" t="str">
        <f>IF(booking!P35&gt;0,"oc","va")</f>
        <v>va</v>
      </c>
      <c r="I35" s="137" t="str">
        <f>IF(booking!Q35&gt;0,"oc","va")</f>
        <v>oc</v>
      </c>
      <c r="J35" s="136" t="str">
        <f>IF(booking!T35&gt;0,"oc","va")</f>
        <v>oc</v>
      </c>
      <c r="K35" s="137" t="str">
        <f>IF(booking!U35&gt;0,"oc","va")</f>
        <v>oc</v>
      </c>
      <c r="L35" s="136" t="str">
        <f>IF(booking!X35&gt;0,"oc","va")</f>
        <v>va</v>
      </c>
      <c r="M35" s="137" t="str">
        <f>IF(booking!Y35&gt;0,"oc","va")</f>
        <v>va</v>
      </c>
    </row>
    <row r="36" spans="1:13" x14ac:dyDescent="0.35">
      <c r="A36" s="5">
        <f>booking!C36</f>
        <v>46173</v>
      </c>
      <c r="B36" s="136" t="str">
        <f>IF(booking!D36&gt;0,"oc","va")</f>
        <v>va</v>
      </c>
      <c r="C36" s="137" t="str">
        <f>IF(booking!E36&gt;0,"oc","va")</f>
        <v>va</v>
      </c>
      <c r="D36" s="136" t="str">
        <f>IF(booking!H36&gt;0,"oc","va")</f>
        <v>va</v>
      </c>
      <c r="E36" s="137" t="str">
        <f>IF(booking!I36&gt;0,"oc","va")</f>
        <v>oc</v>
      </c>
      <c r="F36" s="136" t="str">
        <f>IF(booking!L36&gt;0,"oc","va")</f>
        <v>oc</v>
      </c>
      <c r="G36" s="137" t="str">
        <f>IF(booking!M36&gt;0,"oc","va")</f>
        <v>oc</v>
      </c>
      <c r="H36" s="136" t="str">
        <f>IF(booking!P36&gt;0,"oc","va")</f>
        <v>oc</v>
      </c>
      <c r="I36" s="137" t="str">
        <f>IF(booking!Q36&gt;0,"oc","va")</f>
        <v>oc</v>
      </c>
      <c r="J36" s="136" t="str">
        <f>IF(booking!T36&gt;0,"oc","va")</f>
        <v>oc</v>
      </c>
      <c r="K36" s="137" t="str">
        <f>IF(booking!U36&gt;0,"oc","va")</f>
        <v>va</v>
      </c>
      <c r="L36" s="136" t="str">
        <f>IF(booking!X36&gt;0,"oc","va")</f>
        <v>va</v>
      </c>
      <c r="M36" s="137" t="str">
        <f>IF(booking!Y36&gt;0,"oc","va")</f>
        <v>va</v>
      </c>
    </row>
    <row r="37" spans="1:13" x14ac:dyDescent="0.35">
      <c r="A37" s="5">
        <f>booking!C37</f>
        <v>46174</v>
      </c>
      <c r="B37" s="136" t="str">
        <f>IF(booking!D37&gt;0,"oc","va")</f>
        <v>va</v>
      </c>
      <c r="C37" s="137" t="str">
        <f>IF(booking!E37&gt;0,"oc","va")</f>
        <v>va</v>
      </c>
      <c r="D37" s="136" t="str">
        <f>IF(booking!H37&gt;0,"oc","va")</f>
        <v>oc</v>
      </c>
      <c r="E37" s="137" t="str">
        <f>IF(booking!I37&gt;0,"oc","va")</f>
        <v>oc</v>
      </c>
      <c r="F37" s="136" t="str">
        <f>IF(booking!L37&gt;0,"oc","va")</f>
        <v>oc</v>
      </c>
      <c r="G37" s="137" t="str">
        <f>IF(booking!M37&gt;0,"oc","va")</f>
        <v>va</v>
      </c>
      <c r="H37" s="136" t="str">
        <f>IF(booking!P37&gt;0,"oc","va")</f>
        <v>oc</v>
      </c>
      <c r="I37" s="137" t="str">
        <f>IF(booking!Q37&gt;0,"oc","va")</f>
        <v>va</v>
      </c>
      <c r="J37" s="136" t="str">
        <f>IF(booking!T37&gt;0,"oc","va")</f>
        <v>va</v>
      </c>
      <c r="K37" s="137" t="str">
        <f>IF(booking!U37&gt;0,"oc","va")</f>
        <v>va</v>
      </c>
      <c r="L37" s="136" t="str">
        <f>IF(booking!X37&gt;0,"oc","va")</f>
        <v>va</v>
      </c>
      <c r="M37" s="137" t="str">
        <f>IF(booking!Y37&gt;0,"oc","va")</f>
        <v>va</v>
      </c>
    </row>
    <row r="38" spans="1:13" x14ac:dyDescent="0.35">
      <c r="A38" s="5">
        <f>booking!C38</f>
        <v>46175</v>
      </c>
      <c r="B38" s="136" t="str">
        <f>IF(booking!D38&gt;0,"oc","va")</f>
        <v>va</v>
      </c>
      <c r="C38" s="137" t="str">
        <f>IF(booking!E38&gt;0,"oc","va")</f>
        <v>va</v>
      </c>
      <c r="D38" s="136" t="str">
        <f>IF(booking!H38&gt;0,"oc","va")</f>
        <v>oc</v>
      </c>
      <c r="E38" s="137" t="str">
        <f>IF(booking!I38&gt;0,"oc","va")</f>
        <v>oc</v>
      </c>
      <c r="F38" s="136" t="str">
        <f>IF(booking!L38&gt;0,"oc","va")</f>
        <v>va</v>
      </c>
      <c r="G38" s="137" t="str">
        <f>IF(booking!M38&gt;0,"oc","va")</f>
        <v>va</v>
      </c>
      <c r="H38" s="136" t="str">
        <f>IF(booking!P38&gt;0,"oc","va")</f>
        <v>va</v>
      </c>
      <c r="I38" s="137" t="str">
        <f>IF(booking!Q38&gt;0,"oc","va")</f>
        <v>va</v>
      </c>
      <c r="J38" s="136" t="str">
        <f>IF(booking!T38&gt;0,"oc","va")</f>
        <v>va</v>
      </c>
      <c r="K38" s="137" t="str">
        <f>IF(booking!U38&gt;0,"oc","va")</f>
        <v>oc</v>
      </c>
      <c r="L38" s="136" t="str">
        <f>IF(booking!X38&gt;0,"oc","va")</f>
        <v>va</v>
      </c>
      <c r="M38" s="137" t="str">
        <f>IF(booking!Y38&gt;0,"oc","va")</f>
        <v>va</v>
      </c>
    </row>
    <row r="39" spans="1:13" x14ac:dyDescent="0.35">
      <c r="A39" s="5">
        <f>booking!C39</f>
        <v>46176</v>
      </c>
      <c r="B39" s="136" t="str">
        <f>IF(booking!D39&gt;0,"oc","va")</f>
        <v>va</v>
      </c>
      <c r="C39" s="137" t="str">
        <f>IF(booking!E39&gt;0,"oc","va")</f>
        <v>va</v>
      </c>
      <c r="D39" s="136" t="str">
        <f>IF(booking!H39&gt;0,"oc","va")</f>
        <v>oc</v>
      </c>
      <c r="E39" s="137" t="str">
        <f>IF(booking!I39&gt;0,"oc","va")</f>
        <v>oc</v>
      </c>
      <c r="F39" s="136" t="str">
        <f>IF(booking!L39&gt;0,"oc","va")</f>
        <v>va</v>
      </c>
      <c r="G39" s="137" t="str">
        <f>IF(booking!M39&gt;0,"oc","va")</f>
        <v>oc</v>
      </c>
      <c r="H39" s="136" t="str">
        <f>IF(booking!P39&gt;0,"oc","va")</f>
        <v>va</v>
      </c>
      <c r="I39" s="137" t="str">
        <f>IF(booking!Q39&gt;0,"oc","va")</f>
        <v>va</v>
      </c>
      <c r="J39" s="136" t="str">
        <f>IF(booking!T39&gt;0,"oc","va")</f>
        <v>oc</v>
      </c>
      <c r="K39" s="137" t="str">
        <f>IF(booking!U39&gt;0,"oc","va")</f>
        <v>oc</v>
      </c>
      <c r="L39" s="136" t="str">
        <f>IF(booking!X39&gt;0,"oc","va")</f>
        <v>va</v>
      </c>
      <c r="M39" s="137" t="str">
        <f>IF(booking!Y39&gt;0,"oc","va")</f>
        <v>va</v>
      </c>
    </row>
    <row r="40" spans="1:13" x14ac:dyDescent="0.35">
      <c r="A40" s="5">
        <f>booking!C40</f>
        <v>46177</v>
      </c>
      <c r="B40" s="136" t="str">
        <f>IF(booking!D40&gt;0,"oc","va")</f>
        <v>va</v>
      </c>
      <c r="C40" s="137" t="str">
        <f>IF(booking!E40&gt;0,"oc","va")</f>
        <v>va</v>
      </c>
      <c r="D40" s="136" t="str">
        <f>IF(booking!H40&gt;0,"oc","va")</f>
        <v>oc</v>
      </c>
      <c r="E40" s="137" t="str">
        <f>IF(booking!I40&gt;0,"oc","va")</f>
        <v>oc</v>
      </c>
      <c r="F40" s="136" t="str">
        <f>IF(booking!L40&gt;0,"oc","va")</f>
        <v>oc</v>
      </c>
      <c r="G40" s="137" t="str">
        <f>IF(booking!M40&gt;0,"oc","va")</f>
        <v>oc</v>
      </c>
      <c r="H40" s="136" t="str">
        <f>IF(booking!P40&gt;0,"oc","va")</f>
        <v>va</v>
      </c>
      <c r="I40" s="137" t="str">
        <f>IF(booking!Q40&gt;0,"oc","va")</f>
        <v>va</v>
      </c>
      <c r="J40" s="136" t="str">
        <f>IF(booking!T40&gt;0,"oc","va")</f>
        <v>oc</v>
      </c>
      <c r="K40" s="137" t="str">
        <f>IF(booking!U40&gt;0,"oc","va")</f>
        <v>oc</v>
      </c>
      <c r="L40" s="136" t="str">
        <f>IF(booking!X40&gt;0,"oc","va")</f>
        <v>va</v>
      </c>
      <c r="M40" s="137" t="str">
        <f>IF(booking!Y40&gt;0,"oc","va")</f>
        <v>va</v>
      </c>
    </row>
    <row r="41" spans="1:13" x14ac:dyDescent="0.35">
      <c r="A41" s="5">
        <f>booking!C41</f>
        <v>46178</v>
      </c>
      <c r="B41" s="136" t="str">
        <f>IF(booking!D41&gt;0,"oc","va")</f>
        <v>va</v>
      </c>
      <c r="C41" s="137" t="str">
        <f>IF(booking!E41&gt;0,"oc","va")</f>
        <v>oc</v>
      </c>
      <c r="D41" s="136" t="str">
        <f>IF(booking!H41&gt;0,"oc","va")</f>
        <v>oc</v>
      </c>
      <c r="E41" s="137" t="str">
        <f>IF(booking!I41&gt;0,"oc","va")</f>
        <v>oc</v>
      </c>
      <c r="F41" s="136" t="str">
        <f>IF(booking!L41&gt;0,"oc","va")</f>
        <v>oc</v>
      </c>
      <c r="G41" s="137" t="str">
        <f>IF(booking!M41&gt;0,"oc","va")</f>
        <v>oc</v>
      </c>
      <c r="H41" s="136" t="str">
        <f>IF(booking!P41&gt;0,"oc","va")</f>
        <v>va</v>
      </c>
      <c r="I41" s="137" t="str">
        <f>IF(booking!Q41&gt;0,"oc","va")</f>
        <v>va</v>
      </c>
      <c r="J41" s="136" t="str">
        <f>IF(booking!T41&gt;0,"oc","va")</f>
        <v>oc</v>
      </c>
      <c r="K41" s="137" t="str">
        <f>IF(booking!U41&gt;0,"oc","va")</f>
        <v>oc</v>
      </c>
      <c r="L41" s="136" t="str">
        <f>IF(booking!X41&gt;0,"oc","va")</f>
        <v>va</v>
      </c>
      <c r="M41" s="137" t="str">
        <f>IF(booking!Y41&gt;0,"oc","va")</f>
        <v>va</v>
      </c>
    </row>
    <row r="42" spans="1:13" x14ac:dyDescent="0.35">
      <c r="A42" s="5">
        <f>booking!C42</f>
        <v>46179</v>
      </c>
      <c r="B42" s="136" t="str">
        <f>IF(booking!D42&gt;0,"oc","va")</f>
        <v>oc</v>
      </c>
      <c r="C42" s="137" t="str">
        <f>IF(booking!E42&gt;0,"oc","va")</f>
        <v>oc</v>
      </c>
      <c r="D42" s="136" t="str">
        <f>IF(booking!H42&gt;0,"oc","va")</f>
        <v>oc</v>
      </c>
      <c r="E42" s="137" t="str">
        <f>IF(booking!I42&gt;0,"oc","va")</f>
        <v>oc</v>
      </c>
      <c r="F42" s="136" t="str">
        <f>IF(booking!L42&gt;0,"oc","va")</f>
        <v>oc</v>
      </c>
      <c r="G42" s="137" t="str">
        <f>IF(booking!M42&gt;0,"oc","va")</f>
        <v>oc</v>
      </c>
      <c r="H42" s="136" t="str">
        <f>IF(booking!P42&gt;0,"oc","va")</f>
        <v>va</v>
      </c>
      <c r="I42" s="137" t="str">
        <f>IF(booking!Q42&gt;0,"oc","va")</f>
        <v>va</v>
      </c>
      <c r="J42" s="136" t="str">
        <f>IF(booking!T42&gt;0,"oc","va")</f>
        <v>oc</v>
      </c>
      <c r="K42" s="137" t="str">
        <f>IF(booking!U42&gt;0,"oc","va")</f>
        <v>va</v>
      </c>
      <c r="L42" s="136" t="str">
        <f>IF(booking!X42&gt;0,"oc","va")</f>
        <v>va</v>
      </c>
      <c r="M42" s="137" t="str">
        <f>IF(booking!Y42&gt;0,"oc","va")</f>
        <v>va</v>
      </c>
    </row>
    <row r="43" spans="1:13" x14ac:dyDescent="0.35">
      <c r="A43" s="5">
        <f>booking!C43</f>
        <v>46180</v>
      </c>
      <c r="B43" s="136" t="str">
        <f>IF(booking!D43&gt;0,"oc","va")</f>
        <v>oc</v>
      </c>
      <c r="C43" s="137" t="str">
        <f>IF(booking!E43&gt;0,"oc","va")</f>
        <v>va</v>
      </c>
      <c r="D43" s="136" t="str">
        <f>IF(booking!H43&gt;0,"oc","va")</f>
        <v>oc</v>
      </c>
      <c r="E43" s="137" t="str">
        <f>IF(booking!I43&gt;0,"oc","va")</f>
        <v>va</v>
      </c>
      <c r="F43" s="136" t="str">
        <f>IF(booking!L43&gt;0,"oc","va")</f>
        <v>oc</v>
      </c>
      <c r="G43" s="137" t="str">
        <f>IF(booking!M43&gt;0,"oc","va")</f>
        <v>oc</v>
      </c>
      <c r="H43" s="136" t="str">
        <f>IF(booking!P43&gt;0,"oc","va")</f>
        <v>va</v>
      </c>
      <c r="I43" s="137" t="str">
        <f>IF(booking!Q43&gt;0,"oc","va")</f>
        <v>va</v>
      </c>
      <c r="J43" s="136" t="str">
        <f>IF(booking!T43&gt;0,"oc","va")</f>
        <v>va</v>
      </c>
      <c r="K43" s="137" t="str">
        <f>IF(booking!U43&gt;0,"oc","va")</f>
        <v>va</v>
      </c>
      <c r="L43" s="136" t="str">
        <f>IF(booking!X43&gt;0,"oc","va")</f>
        <v>va</v>
      </c>
      <c r="M43" s="137" t="str">
        <f>IF(booking!Y43&gt;0,"oc","va")</f>
        <v>va</v>
      </c>
    </row>
    <row r="44" spans="1:13" x14ac:dyDescent="0.35">
      <c r="A44" s="5">
        <f>booking!C44</f>
        <v>46181</v>
      </c>
      <c r="B44" s="136" t="str">
        <f>IF(booking!D44&gt;0,"oc","va")</f>
        <v>va</v>
      </c>
      <c r="C44" s="137" t="str">
        <f>IF(booking!E44&gt;0,"oc","va")</f>
        <v>va</v>
      </c>
      <c r="D44" s="136" t="str">
        <f>IF(booking!H44&gt;0,"oc","va")</f>
        <v>va</v>
      </c>
      <c r="E44" s="137" t="str">
        <f>IF(booking!I44&gt;0,"oc","va")</f>
        <v>va</v>
      </c>
      <c r="F44" s="136" t="str">
        <f>IF(booking!L44&gt;0,"oc","va")</f>
        <v>oc</v>
      </c>
      <c r="G44" s="137" t="str">
        <f>IF(booking!M44&gt;0,"oc","va")</f>
        <v>oc</v>
      </c>
      <c r="H44" s="136" t="str">
        <f>IF(booking!P44&gt;0,"oc","va")</f>
        <v>va</v>
      </c>
      <c r="I44" s="137" t="str">
        <f>IF(booking!Q44&gt;0,"oc","va")</f>
        <v>oc</v>
      </c>
      <c r="J44" s="136" t="str">
        <f>IF(booking!T44&gt;0,"oc","va")</f>
        <v>va</v>
      </c>
      <c r="K44" s="137" t="str">
        <f>IF(booking!U44&gt;0,"oc","va")</f>
        <v>oc</v>
      </c>
      <c r="L44" s="136" t="str">
        <f>IF(booking!X44&gt;0,"oc","va")</f>
        <v>va</v>
      </c>
      <c r="M44" s="137" t="str">
        <f>IF(booking!Y44&gt;0,"oc","va")</f>
        <v>va</v>
      </c>
    </row>
    <row r="45" spans="1:13" x14ac:dyDescent="0.35">
      <c r="A45" s="5">
        <f>booking!C45</f>
        <v>46182</v>
      </c>
      <c r="B45" s="136" t="str">
        <f>IF(booking!D45&gt;0,"oc","va")</f>
        <v>va</v>
      </c>
      <c r="C45" s="137" t="str">
        <f>IF(booking!E45&gt;0,"oc","va")</f>
        <v>oc</v>
      </c>
      <c r="D45" s="136" t="str">
        <f>IF(booking!H45&gt;0,"oc","va")</f>
        <v>va</v>
      </c>
      <c r="E45" s="137" t="str">
        <f>IF(booking!I45&gt;0,"oc","va")</f>
        <v>oc</v>
      </c>
      <c r="F45" s="136" t="str">
        <f>IF(booking!L45&gt;0,"oc","va")</f>
        <v>oc</v>
      </c>
      <c r="G45" s="137" t="str">
        <f>IF(booking!M45&gt;0,"oc","va")</f>
        <v>oc</v>
      </c>
      <c r="H45" s="136" t="str">
        <f>IF(booking!P45&gt;0,"oc","va")</f>
        <v>oc</v>
      </c>
      <c r="I45" s="137" t="str">
        <f>IF(booking!Q45&gt;0,"oc","va")</f>
        <v>oc</v>
      </c>
      <c r="J45" s="136" t="str">
        <f>IF(booking!T45&gt;0,"oc","va")</f>
        <v>oc</v>
      </c>
      <c r="K45" s="137" t="str">
        <f>IF(booking!U45&gt;0,"oc","va")</f>
        <v>oc</v>
      </c>
      <c r="L45" s="136" t="str">
        <f>IF(booking!X45&gt;0,"oc","va")</f>
        <v>va</v>
      </c>
      <c r="M45" s="137" t="str">
        <f>IF(booking!Y45&gt;0,"oc","va")</f>
        <v>va</v>
      </c>
    </row>
    <row r="46" spans="1:13" x14ac:dyDescent="0.35">
      <c r="A46" s="5">
        <f>booking!C46</f>
        <v>46183</v>
      </c>
      <c r="B46" s="136" t="str">
        <f>IF(booking!D46&gt;0,"oc","va")</f>
        <v>oc</v>
      </c>
      <c r="C46" s="137" t="str">
        <f>IF(booking!E46&gt;0,"oc","va")</f>
        <v>oc</v>
      </c>
      <c r="D46" s="136" t="str">
        <f>IF(booking!H46&gt;0,"oc","va")</f>
        <v>oc</v>
      </c>
      <c r="E46" s="137" t="str">
        <f>IF(booking!I46&gt;0,"oc","va")</f>
        <v>oc</v>
      </c>
      <c r="F46" s="136" t="str">
        <f>IF(booking!L46&gt;0,"oc","va")</f>
        <v>oc</v>
      </c>
      <c r="G46" s="137" t="str">
        <f>IF(booking!M46&gt;0,"oc","va")</f>
        <v>oc</v>
      </c>
      <c r="H46" s="136" t="str">
        <f>IF(booking!P46&gt;0,"oc","va")</f>
        <v>oc</v>
      </c>
      <c r="I46" s="137" t="str">
        <f>IF(booking!Q46&gt;0,"oc","va")</f>
        <v>oc</v>
      </c>
      <c r="J46" s="136" t="str">
        <f>IF(booking!T46&gt;0,"oc","va")</f>
        <v>oc</v>
      </c>
      <c r="K46" s="137" t="str">
        <f>IF(booking!U46&gt;0,"oc","va")</f>
        <v>oc</v>
      </c>
      <c r="L46" s="136" t="str">
        <f>IF(booking!X46&gt;0,"oc","va")</f>
        <v>va</v>
      </c>
      <c r="M46" s="137" t="str">
        <f>IF(booking!Y46&gt;0,"oc","va")</f>
        <v>va</v>
      </c>
    </row>
    <row r="47" spans="1:13" x14ac:dyDescent="0.35">
      <c r="A47" s="5">
        <f>booking!C47</f>
        <v>46184</v>
      </c>
      <c r="B47" s="136" t="str">
        <f>IF(booking!D47&gt;0,"oc","va")</f>
        <v>oc</v>
      </c>
      <c r="C47" s="137" t="str">
        <f>IF(booking!E47&gt;0,"oc","va")</f>
        <v>oc</v>
      </c>
      <c r="D47" s="136" t="str">
        <f>IF(booking!H47&gt;0,"oc","va")</f>
        <v>oc</v>
      </c>
      <c r="E47" s="137" t="str">
        <f>IF(booking!I47&gt;0,"oc","va")</f>
        <v>oc</v>
      </c>
      <c r="F47" s="136" t="str">
        <f>IF(booking!L47&gt;0,"oc","va")</f>
        <v>oc</v>
      </c>
      <c r="G47" s="137" t="str">
        <f>IF(booking!M47&gt;0,"oc","va")</f>
        <v>oc</v>
      </c>
      <c r="H47" s="136" t="str">
        <f>IF(booking!P47&gt;0,"oc","va")</f>
        <v>oc</v>
      </c>
      <c r="I47" s="137" t="str">
        <f>IF(booking!Q47&gt;0,"oc","va")</f>
        <v>oc</v>
      </c>
      <c r="J47" s="136" t="str">
        <f>IF(booking!T47&gt;0,"oc","va")</f>
        <v>oc</v>
      </c>
      <c r="K47" s="137" t="str">
        <f>IF(booking!U47&gt;0,"oc","va")</f>
        <v>oc</v>
      </c>
      <c r="L47" s="136" t="str">
        <f>IF(booking!X47&gt;0,"oc","va")</f>
        <v>va</v>
      </c>
      <c r="M47" s="137" t="str">
        <f>IF(booking!Y47&gt;0,"oc","va")</f>
        <v>va</v>
      </c>
    </row>
    <row r="48" spans="1:13" x14ac:dyDescent="0.35">
      <c r="A48" s="5">
        <f>booking!C48</f>
        <v>46185</v>
      </c>
      <c r="B48" s="136" t="str">
        <f>IF(booking!D48&gt;0,"oc","va")</f>
        <v>oc</v>
      </c>
      <c r="C48" s="137" t="str">
        <f>IF(booking!E48&gt;0,"oc","va")</f>
        <v>oc</v>
      </c>
      <c r="D48" s="136" t="str">
        <f>IF(booking!H48&gt;0,"oc","va")</f>
        <v>oc</v>
      </c>
      <c r="E48" s="137" t="str">
        <f>IF(booking!I48&gt;0,"oc","va")</f>
        <v>oc</v>
      </c>
      <c r="F48" s="136" t="str">
        <f>IF(booking!L48&gt;0,"oc","va")</f>
        <v>oc</v>
      </c>
      <c r="G48" s="137" t="str">
        <f>IF(booking!M48&gt;0,"oc","va")</f>
        <v>oc</v>
      </c>
      <c r="H48" s="136" t="str">
        <f>IF(booking!P48&gt;0,"oc","va")</f>
        <v>oc</v>
      </c>
      <c r="I48" s="137" t="str">
        <f>IF(booking!Q48&gt;0,"oc","va")</f>
        <v>oc</v>
      </c>
      <c r="J48" s="136" t="str">
        <f>IF(booking!T48&gt;0,"oc","va")</f>
        <v>oc</v>
      </c>
      <c r="K48" s="137" t="str">
        <f>IF(booking!U48&gt;0,"oc","va")</f>
        <v>oc</v>
      </c>
      <c r="L48" s="136" t="str">
        <f>IF(booking!X48&gt;0,"oc","va")</f>
        <v>va</v>
      </c>
      <c r="M48" s="137" t="str">
        <f>IF(booking!Y48&gt;0,"oc","va")</f>
        <v>va</v>
      </c>
    </row>
    <row r="49" spans="1:13" x14ac:dyDescent="0.35">
      <c r="A49" s="5">
        <f>booking!C49</f>
        <v>46186</v>
      </c>
      <c r="B49" s="136" t="str">
        <f>IF(booking!D49&gt;0,"oc","va")</f>
        <v>oc</v>
      </c>
      <c r="C49" s="137" t="str">
        <f>IF(booking!E49&gt;0,"oc","va")</f>
        <v>oc</v>
      </c>
      <c r="D49" s="136" t="str">
        <f>IF(booking!H49&gt;0,"oc","va")</f>
        <v>oc</v>
      </c>
      <c r="E49" s="137" t="str">
        <f>IF(booking!I49&gt;0,"oc","va")</f>
        <v>oc</v>
      </c>
      <c r="F49" s="136" t="str">
        <f>IF(booking!L49&gt;0,"oc","va")</f>
        <v>oc</v>
      </c>
      <c r="G49" s="137" t="str">
        <f>IF(booking!M49&gt;0,"oc","va")</f>
        <v>oc</v>
      </c>
      <c r="H49" s="136" t="str">
        <f>IF(booking!P49&gt;0,"oc","va")</f>
        <v>oc</v>
      </c>
      <c r="I49" s="137" t="str">
        <f>IF(booking!Q49&gt;0,"oc","va")</f>
        <v>oc</v>
      </c>
      <c r="J49" s="136" t="str">
        <f>IF(booking!T49&gt;0,"oc","va")</f>
        <v>oc</v>
      </c>
      <c r="K49" s="137" t="str">
        <f>IF(booking!U49&gt;0,"oc","va")</f>
        <v>oc</v>
      </c>
      <c r="L49" s="136" t="str">
        <f>IF(booking!X49&gt;0,"oc","va")</f>
        <v>va</v>
      </c>
      <c r="M49" s="137" t="str">
        <f>IF(booking!Y49&gt;0,"oc","va")</f>
        <v>va</v>
      </c>
    </row>
    <row r="50" spans="1:13" x14ac:dyDescent="0.35">
      <c r="A50" s="5">
        <f>booking!C50</f>
        <v>46187</v>
      </c>
      <c r="B50" s="136" t="str">
        <f>IF(booking!D50&gt;0,"oc","va")</f>
        <v>oc</v>
      </c>
      <c r="C50" s="137" t="str">
        <f>IF(booking!E50&gt;0,"oc","va")</f>
        <v>oc</v>
      </c>
      <c r="D50" s="136" t="str">
        <f>IF(booking!H50&gt;0,"oc","va")</f>
        <v>oc</v>
      </c>
      <c r="E50" s="137" t="str">
        <f>IF(booking!I50&gt;0,"oc","va")</f>
        <v>oc</v>
      </c>
      <c r="F50" s="136" t="str">
        <f>IF(booking!L50&gt;0,"oc","va")</f>
        <v>oc</v>
      </c>
      <c r="G50" s="137" t="str">
        <f>IF(booking!M50&gt;0,"oc","va")</f>
        <v>oc</v>
      </c>
      <c r="H50" s="136" t="str">
        <f>IF(booking!P50&gt;0,"oc","va")</f>
        <v>oc</v>
      </c>
      <c r="I50" s="137" t="str">
        <f>IF(booking!Q50&gt;0,"oc","va")</f>
        <v>oc</v>
      </c>
      <c r="J50" s="136" t="str">
        <f>IF(booking!T50&gt;0,"oc","va")</f>
        <v>oc</v>
      </c>
      <c r="K50" s="137" t="str">
        <f>IF(booking!U50&gt;0,"oc","va")</f>
        <v>oc</v>
      </c>
      <c r="L50" s="136" t="str">
        <f>IF(booking!X50&gt;0,"oc","va")</f>
        <v>va</v>
      </c>
      <c r="M50" s="137" t="str">
        <f>IF(booking!Y50&gt;0,"oc","va")</f>
        <v>va</v>
      </c>
    </row>
    <row r="51" spans="1:13" x14ac:dyDescent="0.35">
      <c r="A51" s="5">
        <f>booking!C51</f>
        <v>46188</v>
      </c>
      <c r="B51" s="136" t="str">
        <f>IF(booking!D51&gt;0,"oc","va")</f>
        <v>oc</v>
      </c>
      <c r="C51" s="137" t="str">
        <f>IF(booking!E51&gt;0,"oc","va")</f>
        <v>va</v>
      </c>
      <c r="D51" s="136" t="str">
        <f>IF(booking!H51&gt;0,"oc","va")</f>
        <v>oc</v>
      </c>
      <c r="E51" s="137" t="str">
        <f>IF(booking!I51&gt;0,"oc","va")</f>
        <v>va</v>
      </c>
      <c r="F51" s="136" t="str">
        <f>IF(booking!L51&gt;0,"oc","va")</f>
        <v>oc</v>
      </c>
      <c r="G51" s="137" t="str">
        <f>IF(booking!M51&gt;0,"oc","va")</f>
        <v>oc</v>
      </c>
      <c r="H51" s="136" t="str">
        <f>IF(booking!P51&gt;0,"oc","va")</f>
        <v>oc</v>
      </c>
      <c r="I51" s="137" t="str">
        <f>IF(booking!Q51&gt;0,"oc","va")</f>
        <v>oc</v>
      </c>
      <c r="J51" s="136" t="str">
        <f>IF(booking!T51&gt;0,"oc","va")</f>
        <v>oc</v>
      </c>
      <c r="K51" s="137" t="str">
        <f>IF(booking!U51&gt;0,"oc","va")</f>
        <v>oc</v>
      </c>
      <c r="L51" s="136" t="str">
        <f>IF(booking!X51&gt;0,"oc","va")</f>
        <v>va</v>
      </c>
      <c r="M51" s="137" t="str">
        <f>IF(booking!Y51&gt;0,"oc","va")</f>
        <v>va</v>
      </c>
    </row>
    <row r="52" spans="1:13" x14ac:dyDescent="0.35">
      <c r="A52" s="5">
        <f>booking!C52</f>
        <v>46189</v>
      </c>
      <c r="B52" s="136" t="str">
        <f>IF(booking!D52&gt;0,"oc","va")</f>
        <v>va</v>
      </c>
      <c r="C52" s="137" t="str">
        <f>IF(booking!E52&gt;0,"oc","va")</f>
        <v>va</v>
      </c>
      <c r="D52" s="136" t="str">
        <f>IF(booking!H52&gt;0,"oc","va")</f>
        <v>va</v>
      </c>
      <c r="E52" s="137" t="str">
        <f>IF(booking!I52&gt;0,"oc","va")</f>
        <v>va</v>
      </c>
      <c r="F52" s="136" t="str">
        <f>IF(booking!L52&gt;0,"oc","va")</f>
        <v>oc</v>
      </c>
      <c r="G52" s="137" t="str">
        <f>IF(booking!M52&gt;0,"oc","va")</f>
        <v>oc</v>
      </c>
      <c r="H52" s="136" t="str">
        <f>IF(booking!P52&gt;0,"oc","va")</f>
        <v>oc</v>
      </c>
      <c r="I52" s="137" t="str">
        <f>IF(booking!Q52&gt;0,"oc","va")</f>
        <v>oc</v>
      </c>
      <c r="J52" s="136" t="str">
        <f>IF(booking!T52&gt;0,"oc","va")</f>
        <v>oc</v>
      </c>
      <c r="K52" s="137" t="str">
        <f>IF(booking!U52&gt;0,"oc","va")</f>
        <v>oc</v>
      </c>
      <c r="L52" s="136" t="str">
        <f>IF(booking!X52&gt;0,"oc","va")</f>
        <v>va</v>
      </c>
      <c r="M52" s="137" t="str">
        <f>IF(booking!Y52&gt;0,"oc","va")</f>
        <v>va</v>
      </c>
    </row>
    <row r="53" spans="1:13" x14ac:dyDescent="0.35">
      <c r="A53" s="5">
        <f>booking!C53</f>
        <v>46190</v>
      </c>
      <c r="B53" s="136" t="str">
        <f>IF(booking!D53&gt;0,"oc","va")</f>
        <v>va</v>
      </c>
      <c r="C53" s="137" t="str">
        <f>IF(booking!E53&gt;0,"oc","va")</f>
        <v>oc</v>
      </c>
      <c r="D53" s="136" t="str">
        <f>IF(booking!H53&gt;0,"oc","va")</f>
        <v>va</v>
      </c>
      <c r="E53" s="137" t="str">
        <f>IF(booking!I53&gt;0,"oc","va")</f>
        <v>va</v>
      </c>
      <c r="F53" s="136" t="str">
        <f>IF(booking!L53&gt;0,"oc","va")</f>
        <v>oc</v>
      </c>
      <c r="G53" s="137" t="str">
        <f>IF(booking!M53&gt;0,"oc","va")</f>
        <v>oc</v>
      </c>
      <c r="H53" s="136" t="str">
        <f>IF(booking!P53&gt;0,"oc","va")</f>
        <v>oc</v>
      </c>
      <c r="I53" s="137" t="str">
        <f>IF(booking!Q53&gt;0,"oc","va")</f>
        <v>oc</v>
      </c>
      <c r="J53" s="136" t="str">
        <f>IF(booking!T53&gt;0,"oc","va")</f>
        <v>oc</v>
      </c>
      <c r="K53" s="137" t="str">
        <f>IF(booking!U53&gt;0,"oc","va")</f>
        <v>oc</v>
      </c>
      <c r="L53" s="136" t="str">
        <f>IF(booking!X53&gt;0,"oc","va")</f>
        <v>va</v>
      </c>
      <c r="M53" s="137" t="str">
        <f>IF(booking!Y53&gt;0,"oc","va")</f>
        <v>va</v>
      </c>
    </row>
    <row r="54" spans="1:13" x14ac:dyDescent="0.35">
      <c r="A54" s="5">
        <f>booking!C54</f>
        <v>46191</v>
      </c>
      <c r="B54" s="136" t="str">
        <f>IF(booking!D54&gt;0,"oc","va")</f>
        <v>oc</v>
      </c>
      <c r="C54" s="137" t="str">
        <f>IF(booking!E54&gt;0,"oc","va")</f>
        <v>oc</v>
      </c>
      <c r="D54" s="136" t="str">
        <f>IF(booking!H54&gt;0,"oc","va")</f>
        <v>va</v>
      </c>
      <c r="E54" s="137" t="str">
        <f>IF(booking!I54&gt;0,"oc","va")</f>
        <v>va</v>
      </c>
      <c r="F54" s="136" t="str">
        <f>IF(booking!L54&gt;0,"oc","va")</f>
        <v>oc</v>
      </c>
      <c r="G54" s="137" t="str">
        <f>IF(booking!M54&gt;0,"oc","va")</f>
        <v>va</v>
      </c>
      <c r="H54" s="136" t="str">
        <f>IF(booking!P54&gt;0,"oc","va")</f>
        <v>oc</v>
      </c>
      <c r="I54" s="137" t="str">
        <f>IF(booking!Q54&gt;0,"oc","va")</f>
        <v>oc</v>
      </c>
      <c r="J54" s="136" t="str">
        <f>IF(booking!T54&gt;0,"oc","va")</f>
        <v>oc</v>
      </c>
      <c r="K54" s="137" t="str">
        <f>IF(booking!U54&gt;0,"oc","va")</f>
        <v>oc</v>
      </c>
      <c r="L54" s="136" t="str">
        <f>IF(booking!X54&gt;0,"oc","va")</f>
        <v>va</v>
      </c>
      <c r="M54" s="137" t="str">
        <f>IF(booking!Y54&gt;0,"oc","va")</f>
        <v>va</v>
      </c>
    </row>
    <row r="55" spans="1:13" x14ac:dyDescent="0.35">
      <c r="A55" s="5">
        <f>booking!C55</f>
        <v>46192</v>
      </c>
      <c r="B55" s="136" t="str">
        <f>IF(booking!D55&gt;0,"oc","va")</f>
        <v>oc</v>
      </c>
      <c r="C55" s="137" t="str">
        <f>IF(booking!E55&gt;0,"oc","va")</f>
        <v>oc</v>
      </c>
      <c r="D55" s="136" t="str">
        <f>IF(booking!H55&gt;0,"oc","va")</f>
        <v>va</v>
      </c>
      <c r="E55" s="137" t="str">
        <f>IF(booking!I55&gt;0,"oc","va")</f>
        <v>va</v>
      </c>
      <c r="F55" s="136" t="str">
        <f>IF(booking!L55&gt;0,"oc","va")</f>
        <v>va</v>
      </c>
      <c r="G55" s="137" t="str">
        <f>IF(booking!M55&gt;0,"oc","va")</f>
        <v>oc</v>
      </c>
      <c r="H55" s="136" t="str">
        <f>IF(booking!P55&gt;0,"oc","va")</f>
        <v>oc</v>
      </c>
      <c r="I55" s="137" t="str">
        <f>IF(booking!Q55&gt;0,"oc","va")</f>
        <v>oc</v>
      </c>
      <c r="J55" s="136" t="str">
        <f>IF(booking!T55&gt;0,"oc","va")</f>
        <v>oc</v>
      </c>
      <c r="K55" s="137" t="str">
        <f>IF(booking!U55&gt;0,"oc","va")</f>
        <v>oc</v>
      </c>
      <c r="L55" s="136" t="str">
        <f>IF(booking!X55&gt;0,"oc","va")</f>
        <v>va</v>
      </c>
      <c r="M55" s="137" t="str">
        <f>IF(booking!Y55&gt;0,"oc","va")</f>
        <v>va</v>
      </c>
    </row>
    <row r="56" spans="1:13" x14ac:dyDescent="0.35">
      <c r="A56" s="5">
        <f>booking!C56</f>
        <v>46193</v>
      </c>
      <c r="B56" s="136" t="str">
        <f>IF(booking!D56&gt;0,"oc","va")</f>
        <v>oc</v>
      </c>
      <c r="C56" s="137" t="str">
        <f>IF(booking!E56&gt;0,"oc","va")</f>
        <v>oc</v>
      </c>
      <c r="D56" s="136" t="str">
        <f>IF(booking!H56&gt;0,"oc","va")</f>
        <v>va</v>
      </c>
      <c r="E56" s="137" t="str">
        <f>IF(booking!I56&gt;0,"oc","va")</f>
        <v>va</v>
      </c>
      <c r="F56" s="136" t="str">
        <f>IF(booking!L56&gt;0,"oc","va")</f>
        <v>oc</v>
      </c>
      <c r="G56" s="137" t="str">
        <f>IF(booking!M56&gt;0,"oc","va")</f>
        <v>oc</v>
      </c>
      <c r="H56" s="136" t="str">
        <f>IF(booking!P56&gt;0,"oc","va")</f>
        <v>oc</v>
      </c>
      <c r="I56" s="137" t="str">
        <f>IF(booking!Q56&gt;0,"oc","va")</f>
        <v>va</v>
      </c>
      <c r="J56" s="136" t="str">
        <f>IF(booking!T56&gt;0,"oc","va")</f>
        <v>oc</v>
      </c>
      <c r="K56" s="137" t="str">
        <f>IF(booking!U56&gt;0,"oc","va")</f>
        <v>oc</v>
      </c>
      <c r="L56" s="136" t="str">
        <f>IF(booking!X56&gt;0,"oc","va")</f>
        <v>va</v>
      </c>
      <c r="M56" s="137" t="str">
        <f>IF(booking!Y56&gt;0,"oc","va")</f>
        <v>va</v>
      </c>
    </row>
    <row r="57" spans="1:13" x14ac:dyDescent="0.35">
      <c r="A57" s="5">
        <f>booking!C57</f>
        <v>46194</v>
      </c>
      <c r="B57" s="136" t="str">
        <f>IF(booking!D57&gt;0,"oc","va")</f>
        <v>oc</v>
      </c>
      <c r="C57" s="137" t="str">
        <f>IF(booking!E57&gt;0,"oc","va")</f>
        <v>oc</v>
      </c>
      <c r="D57" s="136" t="str">
        <f>IF(booking!H57&gt;0,"oc","va")</f>
        <v>va</v>
      </c>
      <c r="E57" s="137" t="str">
        <f>IF(booking!I57&gt;0,"oc","va")</f>
        <v>va</v>
      </c>
      <c r="F57" s="136" t="str">
        <f>IF(booking!L57&gt;0,"oc","va")</f>
        <v>oc</v>
      </c>
      <c r="G57" s="137" t="str">
        <f>IF(booking!M57&gt;0,"oc","va")</f>
        <v>va</v>
      </c>
      <c r="H57" s="136" t="str">
        <f>IF(booking!P57&gt;0,"oc","va")</f>
        <v>va</v>
      </c>
      <c r="I57" s="137" t="str">
        <f>IF(booking!Q57&gt;0,"oc","va")</f>
        <v>va</v>
      </c>
      <c r="J57" s="136" t="str">
        <f>IF(booking!T57&gt;0,"oc","va")</f>
        <v>oc</v>
      </c>
      <c r="K57" s="137" t="str">
        <f>IF(booking!U57&gt;0,"oc","va")</f>
        <v>oc</v>
      </c>
      <c r="L57" s="136" t="str">
        <f>IF(booking!X57&gt;0,"oc","va")</f>
        <v>va</v>
      </c>
      <c r="M57" s="137" t="str">
        <f>IF(booking!Y57&gt;0,"oc","va")</f>
        <v>va</v>
      </c>
    </row>
    <row r="58" spans="1:13" x14ac:dyDescent="0.35">
      <c r="A58" s="5">
        <f>booking!C58</f>
        <v>46195</v>
      </c>
      <c r="B58" s="136" t="str">
        <f>IF(booking!D58&gt;0,"oc","va")</f>
        <v>oc</v>
      </c>
      <c r="C58" s="137" t="str">
        <f>IF(booking!E58&gt;0,"oc","va")</f>
        <v>va</v>
      </c>
      <c r="D58" s="136" t="str">
        <f>IF(booking!H58&gt;0,"oc","va")</f>
        <v>va</v>
      </c>
      <c r="E58" s="137" t="str">
        <f>IF(booking!I58&gt;0,"oc","va")</f>
        <v>va</v>
      </c>
      <c r="F58" s="136" t="str">
        <f>IF(booking!L58&gt;0,"oc","va")</f>
        <v>va</v>
      </c>
      <c r="G58" s="137" t="str">
        <f>IF(booking!M58&gt;0,"oc","va")</f>
        <v>va</v>
      </c>
      <c r="H58" s="136" t="str">
        <f>IF(booking!P58&gt;0,"oc","va")</f>
        <v>va</v>
      </c>
      <c r="I58" s="137" t="str">
        <f>IF(booking!Q58&gt;0,"oc","va")</f>
        <v>oc</v>
      </c>
      <c r="J58" s="136" t="str">
        <f>IF(booking!T58&gt;0,"oc","va")</f>
        <v>oc</v>
      </c>
      <c r="K58" s="137" t="str">
        <f>IF(booking!U58&gt;0,"oc","va")</f>
        <v>va</v>
      </c>
      <c r="L58" s="136" t="str">
        <f>IF(booking!X58&gt;0,"oc","va")</f>
        <v>va</v>
      </c>
      <c r="M58" s="137" t="str">
        <f>IF(booking!Y58&gt;0,"oc","va")</f>
        <v>va</v>
      </c>
    </row>
    <row r="59" spans="1:13" x14ac:dyDescent="0.35">
      <c r="A59" s="5">
        <f>booking!C59</f>
        <v>46196</v>
      </c>
      <c r="B59" s="136" t="str">
        <f>IF(booking!D59&gt;0,"oc","va")</f>
        <v>va</v>
      </c>
      <c r="C59" s="137" t="str">
        <f>IF(booking!E59&gt;0,"oc","va")</f>
        <v>va</v>
      </c>
      <c r="D59" s="136" t="str">
        <f>IF(booking!H59&gt;0,"oc","va")</f>
        <v>va</v>
      </c>
      <c r="E59" s="137" t="str">
        <f>IF(booking!I59&gt;0,"oc","va")</f>
        <v>va</v>
      </c>
      <c r="F59" s="136" t="str">
        <f>IF(booking!L59&gt;0,"oc","va")</f>
        <v>va</v>
      </c>
      <c r="G59" s="137" t="str">
        <f>IF(booking!M59&gt;0,"oc","va")</f>
        <v>va</v>
      </c>
      <c r="H59" s="136" t="str">
        <f>IF(booking!P59&gt;0,"oc","va")</f>
        <v>oc</v>
      </c>
      <c r="I59" s="137" t="str">
        <f>IF(booking!Q59&gt;0,"oc","va")</f>
        <v>oc</v>
      </c>
      <c r="J59" s="136" t="str">
        <f>IF(booking!T59&gt;0,"oc","va")</f>
        <v>va</v>
      </c>
      <c r="K59" s="137" t="str">
        <f>IF(booking!U59&gt;0,"oc","va")</f>
        <v>va</v>
      </c>
      <c r="L59" s="136" t="str">
        <f>IF(booking!X59&gt;0,"oc","va")</f>
        <v>va</v>
      </c>
      <c r="M59" s="137" t="str">
        <f>IF(booking!Y59&gt;0,"oc","va")</f>
        <v>va</v>
      </c>
    </row>
    <row r="60" spans="1:13" x14ac:dyDescent="0.35">
      <c r="A60" s="5">
        <f>booking!C60</f>
        <v>46197</v>
      </c>
      <c r="B60" s="136" t="str">
        <f>IF(booking!D60&gt;0,"oc","va")</f>
        <v>va</v>
      </c>
      <c r="C60" s="137" t="str">
        <f>IF(booking!E60&gt;0,"oc","va")</f>
        <v>va</v>
      </c>
      <c r="D60" s="136" t="str">
        <f>IF(booking!H60&gt;0,"oc","va")</f>
        <v>va</v>
      </c>
      <c r="E60" s="137" t="str">
        <f>IF(booking!I60&gt;0,"oc","va")</f>
        <v>va</v>
      </c>
      <c r="F60" s="136" t="str">
        <f>IF(booking!L60&gt;0,"oc","va")</f>
        <v>va</v>
      </c>
      <c r="G60" s="137" t="str">
        <f>IF(booking!M60&gt;0,"oc","va")</f>
        <v>va</v>
      </c>
      <c r="H60" s="136" t="str">
        <f>IF(booking!P60&gt;0,"oc","va")</f>
        <v>oc</v>
      </c>
      <c r="I60" s="137" t="str">
        <f>IF(booking!Q60&gt;0,"oc","va")</f>
        <v>oc</v>
      </c>
      <c r="J60" s="136" t="str">
        <f>IF(booking!T60&gt;0,"oc","va")</f>
        <v>va</v>
      </c>
      <c r="K60" s="137" t="str">
        <f>IF(booking!U60&gt;0,"oc","va")</f>
        <v>va</v>
      </c>
      <c r="L60" s="136" t="str">
        <f>IF(booking!X60&gt;0,"oc","va")</f>
        <v>va</v>
      </c>
      <c r="M60" s="137" t="str">
        <f>IF(booking!Y60&gt;0,"oc","va")</f>
        <v>va</v>
      </c>
    </row>
    <row r="61" spans="1:13" x14ac:dyDescent="0.35">
      <c r="A61" s="5">
        <f>booking!C61</f>
        <v>46198</v>
      </c>
      <c r="B61" s="136" t="str">
        <f>IF(booking!D61&gt;0,"oc","va")</f>
        <v>va</v>
      </c>
      <c r="C61" s="137" t="str">
        <f>IF(booking!E61&gt;0,"oc","va")</f>
        <v>va</v>
      </c>
      <c r="D61" s="136" t="str">
        <f>IF(booking!H61&gt;0,"oc","va")</f>
        <v>va</v>
      </c>
      <c r="E61" s="137" t="str">
        <f>IF(booking!I61&gt;0,"oc","va")</f>
        <v>va</v>
      </c>
      <c r="F61" s="136" t="str">
        <f>IF(booking!L61&gt;0,"oc","va")</f>
        <v>va</v>
      </c>
      <c r="G61" s="137" t="str">
        <f>IF(booking!M61&gt;0,"oc","va")</f>
        <v>oc</v>
      </c>
      <c r="H61" s="136" t="str">
        <f>IF(booking!P61&gt;0,"oc","va")</f>
        <v>oc</v>
      </c>
      <c r="I61" s="137" t="str">
        <f>IF(booking!Q61&gt;0,"oc","va")</f>
        <v>oc</v>
      </c>
      <c r="J61" s="136" t="str">
        <f>IF(booking!T61&gt;0,"oc","va")</f>
        <v>va</v>
      </c>
      <c r="K61" s="137" t="str">
        <f>IF(booking!U61&gt;0,"oc","va")</f>
        <v>va</v>
      </c>
      <c r="L61" s="136" t="str">
        <f>IF(booking!X61&gt;0,"oc","va")</f>
        <v>va</v>
      </c>
      <c r="M61" s="137" t="str">
        <f>IF(booking!Y61&gt;0,"oc","va")</f>
        <v>va</v>
      </c>
    </row>
    <row r="62" spans="1:13" x14ac:dyDescent="0.35">
      <c r="A62" s="5">
        <f>booking!C62</f>
        <v>46199</v>
      </c>
      <c r="B62" s="136" t="str">
        <f>IF(booking!D62&gt;0,"oc","va")</f>
        <v>va</v>
      </c>
      <c r="C62" s="137" t="str">
        <f>IF(booking!E62&gt;0,"oc","va")</f>
        <v>oc</v>
      </c>
      <c r="D62" s="136" t="str">
        <f>IF(booking!H62&gt;0,"oc","va")</f>
        <v>va</v>
      </c>
      <c r="E62" s="137" t="str">
        <f>IF(booking!I62&gt;0,"oc","va")</f>
        <v>oc</v>
      </c>
      <c r="F62" s="136" t="str">
        <f>IF(booking!L62&gt;0,"oc","va")</f>
        <v>oc</v>
      </c>
      <c r="G62" s="137" t="str">
        <f>IF(booking!M62&gt;0,"oc","va")</f>
        <v>oc</v>
      </c>
      <c r="H62" s="136" t="str">
        <f>IF(booking!P62&gt;0,"oc","va")</f>
        <v>oc</v>
      </c>
      <c r="I62" s="137" t="str">
        <f>IF(booking!Q62&gt;0,"oc","va")</f>
        <v>oc</v>
      </c>
      <c r="J62" s="136" t="str">
        <f>IF(booking!T62&gt;0,"oc","va")</f>
        <v>va</v>
      </c>
      <c r="K62" s="137" t="str">
        <f>IF(booking!U62&gt;0,"oc","va")</f>
        <v>va</v>
      </c>
      <c r="L62" s="136" t="str">
        <f>IF(booking!X62&gt;0,"oc","va")</f>
        <v>va</v>
      </c>
      <c r="M62" s="137" t="str">
        <f>IF(booking!Y62&gt;0,"oc","va")</f>
        <v>va</v>
      </c>
    </row>
    <row r="63" spans="1:13" x14ac:dyDescent="0.35">
      <c r="A63" s="5">
        <f>booking!C63</f>
        <v>46200</v>
      </c>
      <c r="B63" s="136" t="str">
        <f>IF(booking!D63&gt;0,"oc","va")</f>
        <v>oc</v>
      </c>
      <c r="C63" s="137" t="str">
        <f>IF(booking!E63&gt;0,"oc","va")</f>
        <v>oc</v>
      </c>
      <c r="D63" s="136" t="str">
        <f>IF(booking!H63&gt;0,"oc","va")</f>
        <v>oc</v>
      </c>
      <c r="E63" s="137" t="str">
        <f>IF(booking!I63&gt;0,"oc","va")</f>
        <v>oc</v>
      </c>
      <c r="F63" s="136" t="str">
        <f>IF(booking!L63&gt;0,"oc","va")</f>
        <v>oc</v>
      </c>
      <c r="G63" s="137" t="str">
        <f>IF(booking!M63&gt;0,"oc","va")</f>
        <v>oc</v>
      </c>
      <c r="H63" s="136" t="str">
        <f>IF(booking!P63&gt;0,"oc","va")</f>
        <v>oc</v>
      </c>
      <c r="I63" s="137" t="str">
        <f>IF(booking!Q63&gt;0,"oc","va")</f>
        <v>oc</v>
      </c>
      <c r="J63" s="136" t="str">
        <f>IF(booking!T63&gt;0,"oc","va")</f>
        <v>va</v>
      </c>
      <c r="K63" s="137" t="str">
        <f>IF(booking!U63&gt;0,"oc","va")</f>
        <v>oc</v>
      </c>
      <c r="L63" s="136" t="str">
        <f>IF(booking!X63&gt;0,"oc","va")</f>
        <v>va</v>
      </c>
      <c r="M63" s="137" t="str">
        <f>IF(booking!Y63&gt;0,"oc","va")</f>
        <v>va</v>
      </c>
    </row>
    <row r="64" spans="1:13" x14ac:dyDescent="0.35">
      <c r="A64" s="5">
        <f>booking!C64</f>
        <v>46201</v>
      </c>
      <c r="B64" s="136" t="str">
        <f>IF(booking!D64&gt;0,"oc","va")</f>
        <v>oc</v>
      </c>
      <c r="C64" s="137" t="str">
        <f>IF(booking!E64&gt;0,"oc","va")</f>
        <v>oc</v>
      </c>
      <c r="D64" s="136" t="str">
        <f>IF(booking!H64&gt;0,"oc","va")</f>
        <v>oc</v>
      </c>
      <c r="E64" s="137" t="str">
        <f>IF(booking!I64&gt;0,"oc","va")</f>
        <v>oc</v>
      </c>
      <c r="F64" s="136" t="str">
        <f>IF(booking!L64&gt;0,"oc","va")</f>
        <v>oc</v>
      </c>
      <c r="G64" s="137" t="str">
        <f>IF(booking!M64&gt;0,"oc","va")</f>
        <v>oc</v>
      </c>
      <c r="H64" s="136" t="str">
        <f>IF(booking!P64&gt;0,"oc","va")</f>
        <v>oc</v>
      </c>
      <c r="I64" s="137" t="str">
        <f>IF(booking!Q64&gt;0,"oc","va")</f>
        <v>va</v>
      </c>
      <c r="J64" s="136" t="str">
        <f>IF(booking!T64&gt;0,"oc","va")</f>
        <v>oc</v>
      </c>
      <c r="K64" s="137" t="str">
        <f>IF(booking!U64&gt;0,"oc","va")</f>
        <v>oc</v>
      </c>
      <c r="L64" s="136" t="str">
        <f>IF(booking!X64&gt;0,"oc","va")</f>
        <v>va</v>
      </c>
      <c r="M64" s="137" t="str">
        <f>IF(booking!Y64&gt;0,"oc","va")</f>
        <v>va</v>
      </c>
    </row>
    <row r="65" spans="1:13" x14ac:dyDescent="0.35">
      <c r="A65" s="5">
        <f>booking!C65</f>
        <v>46202</v>
      </c>
      <c r="B65" s="136" t="str">
        <f>IF(booking!D65&gt;0,"oc","va")</f>
        <v>oc</v>
      </c>
      <c r="C65" s="137" t="str">
        <f>IF(booking!E65&gt;0,"oc","va")</f>
        <v>va</v>
      </c>
      <c r="D65" s="136" t="str">
        <f>IF(booking!H65&gt;0,"oc","va")</f>
        <v>oc</v>
      </c>
      <c r="E65" s="137" t="str">
        <f>IF(booking!I65&gt;0,"oc","va")</f>
        <v>va</v>
      </c>
      <c r="F65" s="136" t="str">
        <f>IF(booking!L65&gt;0,"oc","va")</f>
        <v>oc</v>
      </c>
      <c r="G65" s="137" t="str">
        <f>IF(booking!M65&gt;0,"oc","va")</f>
        <v>oc</v>
      </c>
      <c r="H65" s="136" t="str">
        <f>IF(booking!P65&gt;0,"oc","va")</f>
        <v>va</v>
      </c>
      <c r="I65" s="137" t="str">
        <f>IF(booking!Q65&gt;0,"oc","va")</f>
        <v>oc</v>
      </c>
      <c r="J65" s="136" t="str">
        <f>IF(booking!T65&gt;0,"oc","va")</f>
        <v>oc</v>
      </c>
      <c r="K65" s="137" t="str">
        <f>IF(booking!U65&gt;0,"oc","va")</f>
        <v>oc</v>
      </c>
      <c r="L65" s="136" t="str">
        <f>IF(booking!X65&gt;0,"oc","va")</f>
        <v>va</v>
      </c>
      <c r="M65" s="137" t="str">
        <f>IF(booking!Y65&gt;0,"oc","va")</f>
        <v>va</v>
      </c>
    </row>
    <row r="66" spans="1:13" x14ac:dyDescent="0.35">
      <c r="A66" s="5">
        <f>booking!C66</f>
        <v>46203</v>
      </c>
      <c r="B66" s="136" t="str">
        <f>IF(booking!D66&gt;0,"oc","va")</f>
        <v>va</v>
      </c>
      <c r="C66" s="137" t="str">
        <f>IF(booking!E66&gt;0,"oc","va")</f>
        <v>va</v>
      </c>
      <c r="D66" s="136" t="str">
        <f>IF(booking!H66&gt;0,"oc","va")</f>
        <v>va</v>
      </c>
      <c r="E66" s="137" t="str">
        <f>IF(booking!I66&gt;0,"oc","va")</f>
        <v>va</v>
      </c>
      <c r="F66" s="136" t="str">
        <f>IF(booking!L66&gt;0,"oc","va")</f>
        <v>oc</v>
      </c>
      <c r="G66" s="137" t="str">
        <f>IF(booking!M66&gt;0,"oc","va")</f>
        <v>oc</v>
      </c>
      <c r="H66" s="136" t="str">
        <f>IF(booking!P66&gt;0,"oc","va")</f>
        <v>oc</v>
      </c>
      <c r="I66" s="137" t="str">
        <f>IF(booking!Q66&gt;0,"oc","va")</f>
        <v>oc</v>
      </c>
      <c r="J66" s="136" t="str">
        <f>IF(booking!T66&gt;0,"oc","va")</f>
        <v>oc</v>
      </c>
      <c r="K66" s="137" t="str">
        <f>IF(booking!U66&gt;0,"oc","va")</f>
        <v>oc</v>
      </c>
      <c r="L66" s="136" t="str">
        <f>IF(booking!X66&gt;0,"oc","va")</f>
        <v>va</v>
      </c>
      <c r="M66" s="137" t="str">
        <f>IF(booking!Y66&gt;0,"oc","va")</f>
        <v>va</v>
      </c>
    </row>
    <row r="67" spans="1:13" x14ac:dyDescent="0.35">
      <c r="A67" s="5">
        <f>booking!C67</f>
        <v>46204</v>
      </c>
      <c r="B67" s="136" t="str">
        <f>IF(booking!D67&gt;0,"oc","va")</f>
        <v>va</v>
      </c>
      <c r="C67" s="137" t="str">
        <f>IF(booking!E67&gt;0,"oc","va")</f>
        <v>va</v>
      </c>
      <c r="D67" s="136" t="str">
        <f>IF(booking!H67&gt;0,"oc","va")</f>
        <v>va</v>
      </c>
      <c r="E67" s="137" t="str">
        <f>IF(booking!I67&gt;0,"oc","va")</f>
        <v>oc</v>
      </c>
      <c r="F67" s="136" t="str">
        <f>IF(booking!L67&gt;0,"oc","va")</f>
        <v>oc</v>
      </c>
      <c r="G67" s="137" t="str">
        <f>IF(booking!M67&gt;0,"oc","va")</f>
        <v>oc</v>
      </c>
      <c r="H67" s="136" t="str">
        <f>IF(booking!P67&gt;0,"oc","va")</f>
        <v>oc</v>
      </c>
      <c r="I67" s="137" t="str">
        <f>IF(booking!Q67&gt;0,"oc","va")</f>
        <v>oc</v>
      </c>
      <c r="J67" s="136" t="str">
        <f>IF(booking!T67&gt;0,"oc","va")</f>
        <v>oc</v>
      </c>
      <c r="K67" s="137" t="str">
        <f>IF(booking!U67&gt;0,"oc","va")</f>
        <v>oc</v>
      </c>
      <c r="L67" s="136" t="str">
        <f>IF(booking!X67&gt;0,"oc","va")</f>
        <v>va</v>
      </c>
      <c r="M67" s="137" t="str">
        <f>IF(booking!Y67&gt;0,"oc","va")</f>
        <v>va</v>
      </c>
    </row>
    <row r="68" spans="1:13" x14ac:dyDescent="0.35">
      <c r="A68" s="5">
        <f>booking!C68</f>
        <v>46205</v>
      </c>
      <c r="B68" s="136" t="str">
        <f>IF(booking!D68&gt;0,"oc","va")</f>
        <v>va</v>
      </c>
      <c r="C68" s="137" t="str">
        <f>IF(booking!E68&gt;0,"oc","va")</f>
        <v>oc</v>
      </c>
      <c r="D68" s="136" t="str">
        <f>IF(booking!H68&gt;0,"oc","va")</f>
        <v>oc</v>
      </c>
      <c r="E68" s="137" t="str">
        <f>IF(booking!I68&gt;0,"oc","va")</f>
        <v>oc</v>
      </c>
      <c r="F68" s="136" t="str">
        <f>IF(booking!L68&gt;0,"oc","va")</f>
        <v>oc</v>
      </c>
      <c r="G68" s="137" t="str">
        <f>IF(booking!M68&gt;0,"oc","va")</f>
        <v>oc</v>
      </c>
      <c r="H68" s="136" t="str">
        <f>IF(booking!P68&gt;0,"oc","va")</f>
        <v>oc</v>
      </c>
      <c r="I68" s="137" t="str">
        <f>IF(booking!Q68&gt;0,"oc","va")</f>
        <v>oc</v>
      </c>
      <c r="J68" s="136" t="str">
        <f>IF(booking!T68&gt;0,"oc","va")</f>
        <v>oc</v>
      </c>
      <c r="K68" s="137" t="str">
        <f>IF(booking!U68&gt;0,"oc","va")</f>
        <v>oc</v>
      </c>
      <c r="L68" s="136" t="str">
        <f>IF(booking!X68&gt;0,"oc","va")</f>
        <v>va</v>
      </c>
      <c r="M68" s="137" t="str">
        <f>IF(booking!Y68&gt;0,"oc","va")</f>
        <v>va</v>
      </c>
    </row>
    <row r="69" spans="1:13" x14ac:dyDescent="0.35">
      <c r="A69" s="5">
        <f>booking!C69</f>
        <v>46206</v>
      </c>
      <c r="B69" s="136" t="str">
        <f>IF(booking!D69&gt;0,"oc","va")</f>
        <v>oc</v>
      </c>
      <c r="C69" s="137" t="str">
        <f>IF(booking!E69&gt;0,"oc","va")</f>
        <v>oc</v>
      </c>
      <c r="D69" s="136" t="str">
        <f>IF(booking!H69&gt;0,"oc","va")</f>
        <v>oc</v>
      </c>
      <c r="E69" s="137" t="str">
        <f>IF(booking!I69&gt;0,"oc","va")</f>
        <v>oc</v>
      </c>
      <c r="F69" s="136" t="str">
        <f>IF(booking!L69&gt;0,"oc","va")</f>
        <v>oc</v>
      </c>
      <c r="G69" s="137" t="str">
        <f>IF(booking!M69&gt;0,"oc","va")</f>
        <v>oc</v>
      </c>
      <c r="H69" s="136" t="str">
        <f>IF(booking!P69&gt;0,"oc","va")</f>
        <v>oc</v>
      </c>
      <c r="I69" s="137" t="str">
        <f>IF(booking!Q69&gt;0,"oc","va")</f>
        <v>oc</v>
      </c>
      <c r="J69" s="136" t="str">
        <f>IF(booking!T69&gt;0,"oc","va")</f>
        <v>oc</v>
      </c>
      <c r="K69" s="137" t="str">
        <f>IF(booking!U69&gt;0,"oc","va")</f>
        <v>oc</v>
      </c>
      <c r="L69" s="136" t="str">
        <f>IF(booking!X69&gt;0,"oc","va")</f>
        <v>va</v>
      </c>
      <c r="M69" s="137" t="str">
        <f>IF(booking!Y69&gt;0,"oc","va")</f>
        <v>va</v>
      </c>
    </row>
    <row r="70" spans="1:13" x14ac:dyDescent="0.35">
      <c r="A70" s="5">
        <f>booking!C70</f>
        <v>46207</v>
      </c>
      <c r="B70" s="136" t="str">
        <f>IF(booking!D70&gt;0,"oc","va")</f>
        <v>oc</v>
      </c>
      <c r="C70" s="137" t="str">
        <f>IF(booking!E70&gt;0,"oc","va")</f>
        <v>oc</v>
      </c>
      <c r="D70" s="136" t="str">
        <f>IF(booking!H70&gt;0,"oc","va")</f>
        <v>oc</v>
      </c>
      <c r="E70" s="137" t="str">
        <f>IF(booking!I70&gt;0,"oc","va")</f>
        <v>oc</v>
      </c>
      <c r="F70" s="136" t="str">
        <f>IF(booking!L70&gt;0,"oc","va")</f>
        <v>oc</v>
      </c>
      <c r="G70" s="137" t="str">
        <f>IF(booking!M70&gt;0,"oc","va")</f>
        <v>oc</v>
      </c>
      <c r="H70" s="136" t="str">
        <f>IF(booking!P70&gt;0,"oc","va")</f>
        <v>oc</v>
      </c>
      <c r="I70" s="137" t="str">
        <f>IF(booking!Q70&gt;0,"oc","va")</f>
        <v>oc</v>
      </c>
      <c r="J70" s="136" t="str">
        <f>IF(booking!T70&gt;0,"oc","va")</f>
        <v>oc</v>
      </c>
      <c r="K70" s="137" t="str">
        <f>IF(booking!U70&gt;0,"oc","va")</f>
        <v>oc</v>
      </c>
      <c r="L70" s="136" t="str">
        <f>IF(booking!X70&gt;0,"oc","va")</f>
        <v>va</v>
      </c>
      <c r="M70" s="137" t="str">
        <f>IF(booking!Y70&gt;0,"oc","va")</f>
        <v>va</v>
      </c>
    </row>
    <row r="71" spans="1:13" x14ac:dyDescent="0.35">
      <c r="A71" s="5">
        <f>booking!C71</f>
        <v>46208</v>
      </c>
      <c r="B71" s="136" t="str">
        <f>IF(booking!D71&gt;0,"oc","va")</f>
        <v>oc</v>
      </c>
      <c r="C71" s="137" t="str">
        <f>IF(booking!E71&gt;0,"oc","va")</f>
        <v>va</v>
      </c>
      <c r="D71" s="136" t="str">
        <f>IF(booking!H71&gt;0,"oc","va")</f>
        <v>oc</v>
      </c>
      <c r="E71" s="137" t="str">
        <f>IF(booking!I71&gt;0,"oc","va")</f>
        <v>oc</v>
      </c>
      <c r="F71" s="136" t="str">
        <f>IF(booking!L71&gt;0,"oc","va")</f>
        <v>oc</v>
      </c>
      <c r="G71" s="137" t="str">
        <f>IF(booking!M71&gt;0,"oc","va")</f>
        <v>va</v>
      </c>
      <c r="H71" s="136" t="str">
        <f>IF(booking!P71&gt;0,"oc","va")</f>
        <v>oc</v>
      </c>
      <c r="I71" s="137" t="str">
        <f>IF(booking!Q71&gt;0,"oc","va")</f>
        <v>oc</v>
      </c>
      <c r="J71" s="136" t="str">
        <f>IF(booking!T71&gt;0,"oc","va")</f>
        <v>oc</v>
      </c>
      <c r="K71" s="137" t="str">
        <f>IF(booking!U71&gt;0,"oc","va")</f>
        <v>oc</v>
      </c>
      <c r="L71" s="136" t="str">
        <f>IF(booking!X71&gt;0,"oc","va")</f>
        <v>va</v>
      </c>
      <c r="M71" s="137" t="str">
        <f>IF(booking!Y71&gt;0,"oc","va")</f>
        <v>va</v>
      </c>
    </row>
    <row r="72" spans="1:13" x14ac:dyDescent="0.35">
      <c r="A72" s="5">
        <f>booking!C72</f>
        <v>46209</v>
      </c>
      <c r="B72" s="136" t="str">
        <f>IF(booking!D72&gt;0,"oc","va")</f>
        <v>va</v>
      </c>
      <c r="C72" s="137" t="str">
        <f>IF(booking!E72&gt;0,"oc","va")</f>
        <v>oc</v>
      </c>
      <c r="D72" s="136" t="str">
        <f>IF(booking!H72&gt;0,"oc","va")</f>
        <v>oc</v>
      </c>
      <c r="E72" s="137" t="str">
        <f>IF(booking!I72&gt;0,"oc","va")</f>
        <v>oc</v>
      </c>
      <c r="F72" s="136" t="str">
        <f>IF(booking!L72&gt;0,"oc","va")</f>
        <v>va</v>
      </c>
      <c r="G72" s="137" t="str">
        <f>IF(booking!M72&gt;0,"oc","va")</f>
        <v>oc</v>
      </c>
      <c r="H72" s="136" t="str">
        <f>IF(booking!P72&gt;0,"oc","va")</f>
        <v>oc</v>
      </c>
      <c r="I72" s="137" t="str">
        <f>IF(booking!Q72&gt;0,"oc","va")</f>
        <v>oc</v>
      </c>
      <c r="J72" s="136" t="str">
        <f>IF(booking!T72&gt;0,"oc","va")</f>
        <v>oc</v>
      </c>
      <c r="K72" s="137" t="str">
        <f>IF(booking!U72&gt;0,"oc","va")</f>
        <v>oc</v>
      </c>
      <c r="L72" s="136" t="str">
        <f>IF(booking!X72&gt;0,"oc","va")</f>
        <v>va</v>
      </c>
      <c r="M72" s="137" t="str">
        <f>IF(booking!Y72&gt;0,"oc","va")</f>
        <v>va</v>
      </c>
    </row>
    <row r="73" spans="1:13" x14ac:dyDescent="0.35">
      <c r="A73" s="5">
        <f>booking!C73</f>
        <v>46210</v>
      </c>
      <c r="B73" s="136" t="str">
        <f>IF(booking!D73&gt;0,"oc","va")</f>
        <v>oc</v>
      </c>
      <c r="C73" s="137" t="str">
        <f>IF(booking!E73&gt;0,"oc","va")</f>
        <v>oc</v>
      </c>
      <c r="D73" s="136" t="str">
        <f>IF(booking!H73&gt;0,"oc","va")</f>
        <v>oc</v>
      </c>
      <c r="E73" s="137" t="str">
        <f>IF(booking!I73&gt;0,"oc","va")</f>
        <v>va</v>
      </c>
      <c r="F73" s="136" t="str">
        <f>IF(booking!L73&gt;0,"oc","va")</f>
        <v>oc</v>
      </c>
      <c r="G73" s="137" t="str">
        <f>IF(booking!M73&gt;0,"oc","va")</f>
        <v>oc</v>
      </c>
      <c r="H73" s="136" t="str">
        <f>IF(booking!P73&gt;0,"oc","va")</f>
        <v>oc</v>
      </c>
      <c r="I73" s="137" t="str">
        <f>IF(booking!Q73&gt;0,"oc","va")</f>
        <v>oc</v>
      </c>
      <c r="J73" s="136" t="str">
        <f>IF(booking!T73&gt;0,"oc","va")</f>
        <v>oc</v>
      </c>
      <c r="K73" s="137" t="str">
        <f>IF(booking!U73&gt;0,"oc","va")</f>
        <v>oc</v>
      </c>
      <c r="L73" s="136" t="str">
        <f>IF(booking!X73&gt;0,"oc","va")</f>
        <v>va</v>
      </c>
      <c r="M73" s="137" t="str">
        <f>IF(booking!Y73&gt;0,"oc","va")</f>
        <v>va</v>
      </c>
    </row>
    <row r="74" spans="1:13" x14ac:dyDescent="0.35">
      <c r="A74" s="5">
        <f>booking!C74</f>
        <v>46211</v>
      </c>
      <c r="B74" s="136" t="str">
        <f>IF(booking!D74&gt;0,"oc","va")</f>
        <v>oc</v>
      </c>
      <c r="C74" s="137" t="str">
        <f>IF(booking!E74&gt;0,"oc","va")</f>
        <v>oc</v>
      </c>
      <c r="D74" s="136" t="str">
        <f>IF(booking!H74&gt;0,"oc","va")</f>
        <v>va</v>
      </c>
      <c r="E74" s="137" t="str">
        <f>IF(booking!I74&gt;0,"oc","va")</f>
        <v>oc</v>
      </c>
      <c r="F74" s="136" t="str">
        <f>IF(booking!L74&gt;0,"oc","va")</f>
        <v>oc</v>
      </c>
      <c r="G74" s="137" t="str">
        <f>IF(booking!M74&gt;0,"oc","va")</f>
        <v>oc</v>
      </c>
      <c r="H74" s="136" t="str">
        <f>IF(booking!P74&gt;0,"oc","va")</f>
        <v>oc</v>
      </c>
      <c r="I74" s="137" t="str">
        <f>IF(booking!Q74&gt;0,"oc","va")</f>
        <v>oc</v>
      </c>
      <c r="J74" s="136" t="str">
        <f>IF(booking!T74&gt;0,"oc","va")</f>
        <v>oc</v>
      </c>
      <c r="K74" s="137" t="str">
        <f>IF(booking!U74&gt;0,"oc","va")</f>
        <v>oc</v>
      </c>
      <c r="L74" s="136" t="str">
        <f>IF(booking!X74&gt;0,"oc","va")</f>
        <v>va</v>
      </c>
      <c r="M74" s="137" t="str">
        <f>IF(booking!Y74&gt;0,"oc","va")</f>
        <v>va</v>
      </c>
    </row>
    <row r="75" spans="1:13" x14ac:dyDescent="0.35">
      <c r="A75" s="5">
        <f>booking!C75</f>
        <v>46212</v>
      </c>
      <c r="B75" s="136" t="str">
        <f>IF(booking!D75&gt;0,"oc","va")</f>
        <v>oc</v>
      </c>
      <c r="C75" s="137" t="str">
        <f>IF(booking!E75&gt;0,"oc","va")</f>
        <v>oc</v>
      </c>
      <c r="D75" s="136" t="str">
        <f>IF(booking!H75&gt;0,"oc","va")</f>
        <v>oc</v>
      </c>
      <c r="E75" s="137" t="str">
        <f>IF(booking!I75&gt;0,"oc","va")</f>
        <v>oc</v>
      </c>
      <c r="F75" s="136" t="str">
        <f>IF(booking!L75&gt;0,"oc","va")</f>
        <v>oc</v>
      </c>
      <c r="G75" s="137" t="str">
        <f>IF(booking!M75&gt;0,"oc","va")</f>
        <v>oc</v>
      </c>
      <c r="H75" s="136" t="str">
        <f>IF(booking!P75&gt;0,"oc","va")</f>
        <v>oc</v>
      </c>
      <c r="I75" s="137" t="str">
        <f>IF(booking!Q75&gt;0,"oc","va")</f>
        <v>oc</v>
      </c>
      <c r="J75" s="136" t="str">
        <f>IF(booking!T75&gt;0,"oc","va")</f>
        <v>oc</v>
      </c>
      <c r="K75" s="137" t="str">
        <f>IF(booking!U75&gt;0,"oc","va")</f>
        <v>oc</v>
      </c>
      <c r="L75" s="136" t="str">
        <f>IF(booking!X75&gt;0,"oc","va")</f>
        <v>va</v>
      </c>
      <c r="M75" s="137" t="str">
        <f>IF(booking!Y75&gt;0,"oc","va")</f>
        <v>va</v>
      </c>
    </row>
    <row r="76" spans="1:13" x14ac:dyDescent="0.35">
      <c r="A76" s="5">
        <f>booking!C76</f>
        <v>46213</v>
      </c>
      <c r="B76" s="136" t="str">
        <f>IF(booking!D76&gt;0,"oc","va")</f>
        <v>oc</v>
      </c>
      <c r="C76" s="137" t="str">
        <f>IF(booking!E76&gt;0,"oc","va")</f>
        <v>oc</v>
      </c>
      <c r="D76" s="136" t="str">
        <f>IF(booking!H76&gt;0,"oc","va")</f>
        <v>oc</v>
      </c>
      <c r="E76" s="137" t="str">
        <f>IF(booking!I76&gt;0,"oc","va")</f>
        <v>oc</v>
      </c>
      <c r="F76" s="136" t="str">
        <f>IF(booking!L76&gt;0,"oc","va")</f>
        <v>oc</v>
      </c>
      <c r="G76" s="137" t="str">
        <f>IF(booking!M76&gt;0,"oc","va")</f>
        <v>oc</v>
      </c>
      <c r="H76" s="136" t="str">
        <f>IF(booking!P76&gt;0,"oc","va")</f>
        <v>oc</v>
      </c>
      <c r="I76" s="137" t="str">
        <f>IF(booking!Q76&gt;0,"oc","va")</f>
        <v>va</v>
      </c>
      <c r="J76" s="136" t="str">
        <f>IF(booking!T76&gt;0,"oc","va")</f>
        <v>oc</v>
      </c>
      <c r="K76" s="137" t="str">
        <f>IF(booking!U76&gt;0,"oc","va")</f>
        <v>oc</v>
      </c>
      <c r="L76" s="136" t="str">
        <f>IF(booking!X76&gt;0,"oc","va")</f>
        <v>va</v>
      </c>
      <c r="M76" s="137" t="str">
        <f>IF(booking!Y76&gt;0,"oc","va")</f>
        <v>va</v>
      </c>
    </row>
    <row r="77" spans="1:13" x14ac:dyDescent="0.35">
      <c r="A77" s="5">
        <f>booking!C77</f>
        <v>46214</v>
      </c>
      <c r="B77" s="136" t="str">
        <f>IF(booking!D77&gt;0,"oc","va")</f>
        <v>oc</v>
      </c>
      <c r="C77" s="137" t="str">
        <f>IF(booking!E77&gt;0,"oc","va")</f>
        <v>oc</v>
      </c>
      <c r="D77" s="136" t="str">
        <f>IF(booking!H77&gt;0,"oc","va")</f>
        <v>oc</v>
      </c>
      <c r="E77" s="137" t="str">
        <f>IF(booking!I77&gt;0,"oc","va")</f>
        <v>oc</v>
      </c>
      <c r="F77" s="136" t="str">
        <f>IF(booking!L77&gt;0,"oc","va")</f>
        <v>oc</v>
      </c>
      <c r="G77" s="137" t="str">
        <f>IF(booking!M77&gt;0,"oc","va")</f>
        <v>oc</v>
      </c>
      <c r="H77" s="136" t="str">
        <f>IF(booking!P77&gt;0,"oc","va")</f>
        <v>va</v>
      </c>
      <c r="I77" s="137" t="str">
        <f>IF(booking!Q77&gt;0,"oc","va")</f>
        <v>oc</v>
      </c>
      <c r="J77" s="136" t="str">
        <f>IF(booking!T77&gt;0,"oc","va")</f>
        <v>oc</v>
      </c>
      <c r="K77" s="137" t="str">
        <f>IF(booking!U77&gt;0,"oc","va")</f>
        <v>oc</v>
      </c>
      <c r="L77" s="136" t="str">
        <f>IF(booking!X77&gt;0,"oc","va")</f>
        <v>va</v>
      </c>
      <c r="M77" s="137" t="str">
        <f>IF(booking!Y77&gt;0,"oc","va")</f>
        <v>va</v>
      </c>
    </row>
    <row r="78" spans="1:13" x14ac:dyDescent="0.35">
      <c r="A78" s="5">
        <f>booking!C78</f>
        <v>46215</v>
      </c>
      <c r="B78" s="136" t="str">
        <f>IF(booking!D78&gt;0,"oc","va")</f>
        <v>oc</v>
      </c>
      <c r="C78" s="137" t="str">
        <f>IF(booking!E78&gt;0,"oc","va")</f>
        <v>oc</v>
      </c>
      <c r="D78" s="136" t="str">
        <f>IF(booking!H78&gt;0,"oc","va")</f>
        <v>oc</v>
      </c>
      <c r="E78" s="137" t="str">
        <f>IF(booking!I78&gt;0,"oc","va")</f>
        <v>oc</v>
      </c>
      <c r="F78" s="136" t="str">
        <f>IF(booking!L78&gt;0,"oc","va")</f>
        <v>oc</v>
      </c>
      <c r="G78" s="137" t="str">
        <f>IF(booking!M78&gt;0,"oc","va")</f>
        <v>oc</v>
      </c>
      <c r="H78" s="136" t="str">
        <f>IF(booking!P78&gt;0,"oc","va")</f>
        <v>oc</v>
      </c>
      <c r="I78" s="137" t="str">
        <f>IF(booking!Q78&gt;0,"oc","va")</f>
        <v>oc</v>
      </c>
      <c r="J78" s="136" t="str">
        <f>IF(booking!T78&gt;0,"oc","va")</f>
        <v>oc</v>
      </c>
      <c r="K78" s="137" t="str">
        <f>IF(booking!U78&gt;0,"oc","va")</f>
        <v>oc</v>
      </c>
      <c r="L78" s="136" t="str">
        <f>IF(booking!X78&gt;0,"oc","va")</f>
        <v>va</v>
      </c>
      <c r="M78" s="137" t="str">
        <f>IF(booking!Y78&gt;0,"oc","va")</f>
        <v>va</v>
      </c>
    </row>
    <row r="79" spans="1:13" x14ac:dyDescent="0.35">
      <c r="A79" s="5">
        <f>booking!C79</f>
        <v>46216</v>
      </c>
      <c r="B79" s="136" t="str">
        <f>IF(booking!D79&gt;0,"oc","va")</f>
        <v>oc</v>
      </c>
      <c r="C79" s="137" t="str">
        <f>IF(booking!E79&gt;0,"oc","va")</f>
        <v>oc</v>
      </c>
      <c r="D79" s="136" t="str">
        <f>IF(booking!H79&gt;0,"oc","va")</f>
        <v>oc</v>
      </c>
      <c r="E79" s="137" t="str">
        <f>IF(booking!I79&gt;0,"oc","va")</f>
        <v>oc</v>
      </c>
      <c r="F79" s="136" t="str">
        <f>IF(booking!L79&gt;0,"oc","va")</f>
        <v>oc</v>
      </c>
      <c r="G79" s="137" t="str">
        <f>IF(booking!M79&gt;0,"oc","va")</f>
        <v>oc</v>
      </c>
      <c r="H79" s="136" t="str">
        <f>IF(booking!P79&gt;0,"oc","va")</f>
        <v>oc</v>
      </c>
      <c r="I79" s="137" t="str">
        <f>IF(booking!Q79&gt;0,"oc","va")</f>
        <v>oc</v>
      </c>
      <c r="J79" s="136" t="str">
        <f>IF(booking!T79&gt;0,"oc","va")</f>
        <v>oc</v>
      </c>
      <c r="K79" s="137" t="str">
        <f>IF(booking!U79&gt;0,"oc","va")</f>
        <v>oc</v>
      </c>
      <c r="L79" s="136" t="str">
        <f>IF(booking!X79&gt;0,"oc","va")</f>
        <v>va</v>
      </c>
      <c r="M79" s="137" t="str">
        <f>IF(booking!Y79&gt;0,"oc","va")</f>
        <v>va</v>
      </c>
    </row>
    <row r="80" spans="1:13" x14ac:dyDescent="0.35">
      <c r="A80" s="5">
        <f>booking!C80</f>
        <v>46217</v>
      </c>
      <c r="B80" s="136" t="str">
        <f>IF(booking!D80&gt;0,"oc","va")</f>
        <v>oc</v>
      </c>
      <c r="C80" s="137" t="str">
        <f>IF(booking!E80&gt;0,"oc","va")</f>
        <v>oc</v>
      </c>
      <c r="D80" s="136" t="str">
        <f>IF(booking!H80&gt;0,"oc","va")</f>
        <v>oc</v>
      </c>
      <c r="E80" s="137" t="str">
        <f>IF(booking!I80&gt;0,"oc","va")</f>
        <v>oc</v>
      </c>
      <c r="F80" s="136" t="str">
        <f>IF(booking!L80&gt;0,"oc","va")</f>
        <v>oc</v>
      </c>
      <c r="G80" s="137" t="str">
        <f>IF(booking!M80&gt;0,"oc","va")</f>
        <v>oc</v>
      </c>
      <c r="H80" s="136" t="str">
        <f>IF(booking!P80&gt;0,"oc","va")</f>
        <v>oc</v>
      </c>
      <c r="I80" s="137" t="str">
        <f>IF(booking!Q80&gt;0,"oc","va")</f>
        <v>oc</v>
      </c>
      <c r="J80" s="136" t="str">
        <f>IF(booking!T80&gt;0,"oc","va")</f>
        <v>oc</v>
      </c>
      <c r="K80" s="137" t="str">
        <f>IF(booking!U80&gt;0,"oc","va")</f>
        <v>oc</v>
      </c>
      <c r="L80" s="136" t="str">
        <f>IF(booking!X80&gt;0,"oc","va")</f>
        <v>va</v>
      </c>
      <c r="M80" s="137" t="str">
        <f>IF(booking!Y80&gt;0,"oc","va")</f>
        <v>va</v>
      </c>
    </row>
    <row r="81" spans="1:13" x14ac:dyDescent="0.35">
      <c r="A81" s="5">
        <f>booking!C81</f>
        <v>46218</v>
      </c>
      <c r="B81" s="136" t="str">
        <f>IF(booking!D81&gt;0,"oc","va")</f>
        <v>oc</v>
      </c>
      <c r="C81" s="137" t="str">
        <f>IF(booking!E81&gt;0,"oc","va")</f>
        <v>oc</v>
      </c>
      <c r="D81" s="136" t="str">
        <f>IF(booking!H81&gt;0,"oc","va")</f>
        <v>oc</v>
      </c>
      <c r="E81" s="137" t="str">
        <f>IF(booking!I81&gt;0,"oc","va")</f>
        <v>oc</v>
      </c>
      <c r="F81" s="136" t="str">
        <f>IF(booking!L81&gt;0,"oc","va")</f>
        <v>oc</v>
      </c>
      <c r="G81" s="137" t="str">
        <f>IF(booking!M81&gt;0,"oc","va")</f>
        <v>oc</v>
      </c>
      <c r="H81" s="136" t="str">
        <f>IF(booking!P81&gt;0,"oc","va")</f>
        <v>oc</v>
      </c>
      <c r="I81" s="137" t="str">
        <f>IF(booking!Q81&gt;0,"oc","va")</f>
        <v>oc</v>
      </c>
      <c r="J81" s="136" t="str">
        <f>IF(booking!T81&gt;0,"oc","va")</f>
        <v>oc</v>
      </c>
      <c r="K81" s="137" t="str">
        <f>IF(booking!U81&gt;0,"oc","va")</f>
        <v>oc</v>
      </c>
      <c r="L81" s="136" t="str">
        <f>IF(booking!X81&gt;0,"oc","va")</f>
        <v>va</v>
      </c>
      <c r="M81" s="137" t="str">
        <f>IF(booking!Y81&gt;0,"oc","va")</f>
        <v>va</v>
      </c>
    </row>
    <row r="82" spans="1:13" x14ac:dyDescent="0.35">
      <c r="A82" s="5">
        <f>booking!C82</f>
        <v>46219</v>
      </c>
      <c r="B82" s="136" t="str">
        <f>IF(booking!D82&gt;0,"oc","va")</f>
        <v>oc</v>
      </c>
      <c r="C82" s="137" t="str">
        <f>IF(booking!E82&gt;0,"oc","va")</f>
        <v>oc</v>
      </c>
      <c r="D82" s="136" t="str">
        <f>IF(booking!H82&gt;0,"oc","va")</f>
        <v>oc</v>
      </c>
      <c r="E82" s="137" t="str">
        <f>IF(booking!I82&gt;0,"oc","va")</f>
        <v>oc</v>
      </c>
      <c r="F82" s="136" t="str">
        <f>IF(booking!L82&gt;0,"oc","va")</f>
        <v>oc</v>
      </c>
      <c r="G82" s="137" t="str">
        <f>IF(booking!M82&gt;0,"oc","va")</f>
        <v>va</v>
      </c>
      <c r="H82" s="136" t="str">
        <f>IF(booking!P82&gt;0,"oc","va")</f>
        <v>oc</v>
      </c>
      <c r="I82" s="137" t="str">
        <f>IF(booking!Q82&gt;0,"oc","va")</f>
        <v>oc</v>
      </c>
      <c r="J82" s="136" t="str">
        <f>IF(booking!T82&gt;0,"oc","va")</f>
        <v>oc</v>
      </c>
      <c r="K82" s="137" t="str">
        <f>IF(booking!U82&gt;0,"oc","va")</f>
        <v>oc</v>
      </c>
      <c r="L82" s="136" t="str">
        <f>IF(booking!X82&gt;0,"oc","va")</f>
        <v>va</v>
      </c>
      <c r="M82" s="137" t="str">
        <f>IF(booking!Y82&gt;0,"oc","va")</f>
        <v>va</v>
      </c>
    </row>
    <row r="83" spans="1:13" x14ac:dyDescent="0.35">
      <c r="A83" s="5">
        <f>booking!C83</f>
        <v>46220</v>
      </c>
      <c r="B83" s="136" t="str">
        <f>IF(booking!D83&gt;0,"oc","va")</f>
        <v>oc</v>
      </c>
      <c r="C83" s="137" t="str">
        <f>IF(booking!E83&gt;0,"oc","va")</f>
        <v>oc</v>
      </c>
      <c r="D83" s="136" t="str">
        <f>IF(booking!H83&gt;0,"oc","va")</f>
        <v>oc</v>
      </c>
      <c r="E83" s="137" t="str">
        <f>IF(booking!I83&gt;0,"oc","va")</f>
        <v>oc</v>
      </c>
      <c r="F83" s="136" t="str">
        <f>IF(booking!L83&gt;0,"oc","va")</f>
        <v>va</v>
      </c>
      <c r="G83" s="137" t="str">
        <f>IF(booking!M83&gt;0,"oc","va")</f>
        <v>va</v>
      </c>
      <c r="H83" s="136" t="str">
        <f>IF(booking!P83&gt;0,"oc","va")</f>
        <v>oc</v>
      </c>
      <c r="I83" s="137" t="str">
        <f>IF(booking!Q83&gt;0,"oc","va")</f>
        <v>oc</v>
      </c>
      <c r="J83" s="136" t="str">
        <f>IF(booking!T83&gt;0,"oc","va")</f>
        <v>oc</v>
      </c>
      <c r="K83" s="137" t="str">
        <f>IF(booking!U83&gt;0,"oc","va")</f>
        <v>oc</v>
      </c>
      <c r="L83" s="136" t="str">
        <f>IF(booking!X83&gt;0,"oc","va")</f>
        <v>va</v>
      </c>
      <c r="M83" s="137" t="str">
        <f>IF(booking!Y83&gt;0,"oc","va")</f>
        <v>va</v>
      </c>
    </row>
    <row r="84" spans="1:13" x14ac:dyDescent="0.35">
      <c r="A84" s="5">
        <f>booking!C84</f>
        <v>46221</v>
      </c>
      <c r="B84" s="136" t="str">
        <f>IF(booking!D84&gt;0,"oc","va")</f>
        <v>oc</v>
      </c>
      <c r="C84" s="137" t="str">
        <f>IF(booking!E84&gt;0,"oc","va")</f>
        <v>oc</v>
      </c>
      <c r="D84" s="136" t="str">
        <f>IF(booking!H84&gt;0,"oc","va")</f>
        <v>oc</v>
      </c>
      <c r="E84" s="137" t="str">
        <f>IF(booking!I84&gt;0,"oc","va")</f>
        <v>va</v>
      </c>
      <c r="F84" s="136" t="str">
        <f>IF(booking!L84&gt;0,"oc","va")</f>
        <v>va</v>
      </c>
      <c r="G84" s="137" t="str">
        <f>IF(booking!M84&gt;0,"oc","va")</f>
        <v>oc</v>
      </c>
      <c r="H84" s="136" t="str">
        <f>IF(booking!P84&gt;0,"oc","va")</f>
        <v>oc</v>
      </c>
      <c r="I84" s="137" t="str">
        <f>IF(booking!Q84&gt;0,"oc","va")</f>
        <v>oc</v>
      </c>
      <c r="J84" s="136" t="str">
        <f>IF(booking!T84&gt;0,"oc","va")</f>
        <v>oc</v>
      </c>
      <c r="K84" s="137" t="str">
        <f>IF(booking!U84&gt;0,"oc","va")</f>
        <v>oc</v>
      </c>
      <c r="L84" s="136" t="str">
        <f>IF(booking!X84&gt;0,"oc","va")</f>
        <v>va</v>
      </c>
      <c r="M84" s="137" t="str">
        <f>IF(booking!Y84&gt;0,"oc","va")</f>
        <v>va</v>
      </c>
    </row>
    <row r="85" spans="1:13" x14ac:dyDescent="0.35">
      <c r="A85" s="5">
        <f>booking!C85</f>
        <v>46222</v>
      </c>
      <c r="B85" s="136" t="str">
        <f>IF(booking!D85&gt;0,"oc","va")</f>
        <v>oc</v>
      </c>
      <c r="C85" s="137" t="str">
        <f>IF(booking!E85&gt;0,"oc","va")</f>
        <v>oc</v>
      </c>
      <c r="D85" s="136" t="str">
        <f>IF(booking!H85&gt;0,"oc","va")</f>
        <v>va</v>
      </c>
      <c r="E85" s="137" t="str">
        <f>IF(booking!I85&gt;0,"oc","va")</f>
        <v>oc</v>
      </c>
      <c r="F85" s="136" t="str">
        <f>IF(booking!L85&gt;0,"oc","va")</f>
        <v>oc</v>
      </c>
      <c r="G85" s="137" t="str">
        <f>IF(booking!M85&gt;0,"oc","va")</f>
        <v>oc</v>
      </c>
      <c r="H85" s="136" t="str">
        <f>IF(booking!P85&gt;0,"oc","va")</f>
        <v>oc</v>
      </c>
      <c r="I85" s="137" t="str">
        <f>IF(booking!Q85&gt;0,"oc","va")</f>
        <v>oc</v>
      </c>
      <c r="J85" s="136" t="str">
        <f>IF(booking!T85&gt;0,"oc","va")</f>
        <v>oc</v>
      </c>
      <c r="K85" s="137" t="str">
        <f>IF(booking!U85&gt;0,"oc","va")</f>
        <v>oc</v>
      </c>
      <c r="L85" s="136" t="str">
        <f>IF(booking!X85&gt;0,"oc","va")</f>
        <v>va</v>
      </c>
      <c r="M85" s="137" t="str">
        <f>IF(booking!Y85&gt;0,"oc","va")</f>
        <v>va</v>
      </c>
    </row>
    <row r="86" spans="1:13" x14ac:dyDescent="0.35">
      <c r="A86" s="5">
        <f>booking!C86</f>
        <v>46223</v>
      </c>
      <c r="B86" s="136" t="str">
        <f>IF(booking!D86&gt;0,"oc","va")</f>
        <v>oc</v>
      </c>
      <c r="C86" s="137" t="str">
        <f>IF(booking!E86&gt;0,"oc","va")</f>
        <v>oc</v>
      </c>
      <c r="D86" s="136" t="str">
        <f>IF(booking!H86&gt;0,"oc","va")</f>
        <v>oc</v>
      </c>
      <c r="E86" s="137" t="str">
        <f>IF(booking!I86&gt;0,"oc","va")</f>
        <v>oc</v>
      </c>
      <c r="F86" s="136" t="str">
        <f>IF(booking!L86&gt;0,"oc","va")</f>
        <v>oc</v>
      </c>
      <c r="G86" s="137" t="str">
        <f>IF(booking!M86&gt;0,"oc","va")</f>
        <v>oc</v>
      </c>
      <c r="H86" s="136" t="str">
        <f>IF(booking!P86&gt;0,"oc","va")</f>
        <v>oc</v>
      </c>
      <c r="I86" s="137" t="str">
        <f>IF(booking!Q86&gt;0,"oc","va")</f>
        <v>oc</v>
      </c>
      <c r="J86" s="136" t="str">
        <f>IF(booking!T86&gt;0,"oc","va")</f>
        <v>oc</v>
      </c>
      <c r="K86" s="137" t="str">
        <f>IF(booking!U86&gt;0,"oc","va")</f>
        <v>oc</v>
      </c>
      <c r="L86" s="136" t="str">
        <f>IF(booking!X86&gt;0,"oc","va")</f>
        <v>va</v>
      </c>
      <c r="M86" s="137" t="str">
        <f>IF(booking!Y86&gt;0,"oc","va")</f>
        <v>va</v>
      </c>
    </row>
    <row r="87" spans="1:13" x14ac:dyDescent="0.35">
      <c r="A87" s="5">
        <f>booking!C87</f>
        <v>46224</v>
      </c>
      <c r="B87" s="136" t="str">
        <f>IF(booking!D87&gt;0,"oc","va")</f>
        <v>oc</v>
      </c>
      <c r="C87" s="137" t="str">
        <f>IF(booking!E87&gt;0,"oc","va")</f>
        <v>oc</v>
      </c>
      <c r="D87" s="136" t="str">
        <f>IF(booking!H87&gt;0,"oc","va")</f>
        <v>oc</v>
      </c>
      <c r="E87" s="137" t="str">
        <f>IF(booking!I87&gt;0,"oc","va")</f>
        <v>oc</v>
      </c>
      <c r="F87" s="136" t="str">
        <f>IF(booking!L87&gt;0,"oc","va")</f>
        <v>oc</v>
      </c>
      <c r="G87" s="137" t="str">
        <f>IF(booking!M87&gt;0,"oc","va")</f>
        <v>oc</v>
      </c>
      <c r="H87" s="136" t="str">
        <f>IF(booking!P87&gt;0,"oc","va")</f>
        <v>oc</v>
      </c>
      <c r="I87" s="137" t="str">
        <f>IF(booking!Q87&gt;0,"oc","va")</f>
        <v>oc</v>
      </c>
      <c r="J87" s="136" t="str">
        <f>IF(booking!T87&gt;0,"oc","va")</f>
        <v>oc</v>
      </c>
      <c r="K87" s="137" t="str">
        <f>IF(booking!U87&gt;0,"oc","va")</f>
        <v>oc</v>
      </c>
      <c r="L87" s="136" t="str">
        <f>IF(booking!X87&gt;0,"oc","va")</f>
        <v>va</v>
      </c>
      <c r="M87" s="137" t="str">
        <f>IF(booking!Y87&gt;0,"oc","va")</f>
        <v>va</v>
      </c>
    </row>
    <row r="88" spans="1:13" x14ac:dyDescent="0.35">
      <c r="A88" s="5">
        <f>booking!C88</f>
        <v>46225</v>
      </c>
      <c r="B88" s="136" t="str">
        <f>IF(booking!D88&gt;0,"oc","va")</f>
        <v>oc</v>
      </c>
      <c r="C88" s="137" t="str">
        <f>IF(booking!E88&gt;0,"oc","va")</f>
        <v>oc</v>
      </c>
      <c r="D88" s="136" t="str">
        <f>IF(booking!H88&gt;0,"oc","va")</f>
        <v>oc</v>
      </c>
      <c r="E88" s="137" t="str">
        <f>IF(booking!I88&gt;0,"oc","va")</f>
        <v>oc</v>
      </c>
      <c r="F88" s="136" t="str">
        <f>IF(booking!L88&gt;0,"oc","va")</f>
        <v>oc</v>
      </c>
      <c r="G88" s="137" t="str">
        <f>IF(booking!M88&gt;0,"oc","va")</f>
        <v>oc</v>
      </c>
      <c r="H88" s="136" t="str">
        <f>IF(booking!P88&gt;0,"oc","va")</f>
        <v>oc</v>
      </c>
      <c r="I88" s="137" t="str">
        <f>IF(booking!Q88&gt;0,"oc","va")</f>
        <v>oc</v>
      </c>
      <c r="J88" s="136" t="str">
        <f>IF(booking!T88&gt;0,"oc","va")</f>
        <v>oc</v>
      </c>
      <c r="K88" s="137" t="str">
        <f>IF(booking!U88&gt;0,"oc","va")</f>
        <v>oc</v>
      </c>
      <c r="L88" s="136" t="str">
        <f>IF(booking!X88&gt;0,"oc","va")</f>
        <v>va</v>
      </c>
      <c r="M88" s="137" t="str">
        <f>IF(booking!Y88&gt;0,"oc","va")</f>
        <v>va</v>
      </c>
    </row>
    <row r="89" spans="1:13" x14ac:dyDescent="0.35">
      <c r="A89" s="5">
        <f>booking!C89</f>
        <v>46226</v>
      </c>
      <c r="B89" s="136" t="str">
        <f>IF(booking!D89&gt;0,"oc","va")</f>
        <v>oc</v>
      </c>
      <c r="C89" s="137" t="str">
        <f>IF(booking!E89&gt;0,"oc","va")</f>
        <v>oc</v>
      </c>
      <c r="D89" s="136" t="str">
        <f>IF(booking!H89&gt;0,"oc","va")</f>
        <v>oc</v>
      </c>
      <c r="E89" s="137" t="str">
        <f>IF(booking!I89&gt;0,"oc","va")</f>
        <v>oc</v>
      </c>
      <c r="F89" s="136" t="str">
        <f>IF(booking!L89&gt;0,"oc","va")</f>
        <v>oc</v>
      </c>
      <c r="G89" s="137" t="str">
        <f>IF(booking!M89&gt;0,"oc","va")</f>
        <v>oc</v>
      </c>
      <c r="H89" s="136" t="str">
        <f>IF(booking!P89&gt;0,"oc","va")</f>
        <v>oc</v>
      </c>
      <c r="I89" s="137" t="str">
        <f>IF(booking!Q89&gt;0,"oc","va")</f>
        <v>oc</v>
      </c>
      <c r="J89" s="136" t="str">
        <f>IF(booking!T89&gt;0,"oc","va")</f>
        <v>oc</v>
      </c>
      <c r="K89" s="137" t="str">
        <f>IF(booking!U89&gt;0,"oc","va")</f>
        <v>oc</v>
      </c>
      <c r="L89" s="136" t="str">
        <f>IF(booking!X89&gt;0,"oc","va")</f>
        <v>va</v>
      </c>
      <c r="M89" s="137" t="str">
        <f>IF(booking!Y89&gt;0,"oc","va")</f>
        <v>va</v>
      </c>
    </row>
    <row r="90" spans="1:13" x14ac:dyDescent="0.35">
      <c r="A90" s="5">
        <f>booking!C90</f>
        <v>46227</v>
      </c>
      <c r="B90" s="136" t="str">
        <f>IF(booking!D90&gt;0,"oc","va")</f>
        <v>oc</v>
      </c>
      <c r="C90" s="137" t="str">
        <f>IF(booking!E90&gt;0,"oc","va")</f>
        <v>oc</v>
      </c>
      <c r="D90" s="136" t="str">
        <f>IF(booking!H90&gt;0,"oc","va")</f>
        <v>oc</v>
      </c>
      <c r="E90" s="137" t="str">
        <f>IF(booking!I90&gt;0,"oc","va")</f>
        <v>va</v>
      </c>
      <c r="F90" s="136" t="str">
        <f>IF(booking!L90&gt;0,"oc","va")</f>
        <v>oc</v>
      </c>
      <c r="G90" s="137" t="str">
        <f>IF(booking!M90&gt;0,"oc","va")</f>
        <v>oc</v>
      </c>
      <c r="H90" s="136" t="str">
        <f>IF(booking!P90&gt;0,"oc","va")</f>
        <v>oc</v>
      </c>
      <c r="I90" s="137" t="str">
        <f>IF(booking!Q90&gt;0,"oc","va")</f>
        <v>oc</v>
      </c>
      <c r="J90" s="136" t="str">
        <f>IF(booking!T90&gt;0,"oc","va")</f>
        <v>oc</v>
      </c>
      <c r="K90" s="137" t="str">
        <f>IF(booking!U90&gt;0,"oc","va")</f>
        <v>oc</v>
      </c>
      <c r="L90" s="136" t="str">
        <f>IF(booking!X90&gt;0,"oc","va")</f>
        <v>va</v>
      </c>
      <c r="M90" s="137" t="str">
        <f>IF(booking!Y90&gt;0,"oc","va")</f>
        <v>va</v>
      </c>
    </row>
    <row r="91" spans="1:13" x14ac:dyDescent="0.35">
      <c r="A91" s="5">
        <f>booking!C91</f>
        <v>46228</v>
      </c>
      <c r="B91" s="136" t="str">
        <f>IF(booking!D91&gt;0,"oc","va")</f>
        <v>oc</v>
      </c>
      <c r="C91" s="137" t="str">
        <f>IF(booking!E91&gt;0,"oc","va")</f>
        <v>oc</v>
      </c>
      <c r="D91" s="136" t="str">
        <f>IF(booking!H91&gt;0,"oc","va")</f>
        <v>va</v>
      </c>
      <c r="E91" s="137" t="str">
        <f>IF(booking!I91&gt;0,"oc","va")</f>
        <v>va</v>
      </c>
      <c r="F91" s="136" t="str">
        <f>IF(booking!L91&gt;0,"oc","va")</f>
        <v>oc</v>
      </c>
      <c r="G91" s="137" t="str">
        <f>IF(booking!M91&gt;0,"oc","va")</f>
        <v>va</v>
      </c>
      <c r="H91" s="136" t="str">
        <f>IF(booking!P91&gt;0,"oc","va")</f>
        <v>oc</v>
      </c>
      <c r="I91" s="137" t="str">
        <f>IF(booking!Q91&gt;0,"oc","va")</f>
        <v>va</v>
      </c>
      <c r="J91" s="136" t="str">
        <f>IF(booking!T91&gt;0,"oc","va")</f>
        <v>oc</v>
      </c>
      <c r="K91" s="137" t="str">
        <f>IF(booking!U91&gt;0,"oc","va")</f>
        <v>oc</v>
      </c>
      <c r="L91" s="136" t="str">
        <f>IF(booking!X91&gt;0,"oc","va")</f>
        <v>va</v>
      </c>
      <c r="M91" s="137" t="str">
        <f>IF(booking!Y91&gt;0,"oc","va")</f>
        <v>va</v>
      </c>
    </row>
    <row r="92" spans="1:13" x14ac:dyDescent="0.35">
      <c r="A92" s="5">
        <f>booking!C92</f>
        <v>46229</v>
      </c>
      <c r="B92" s="136" t="str">
        <f>IF(booking!D92&gt;0,"oc","va")</f>
        <v>oc</v>
      </c>
      <c r="C92" s="137" t="str">
        <f>IF(booking!E92&gt;0,"oc","va")</f>
        <v>va</v>
      </c>
      <c r="D92" s="136" t="str">
        <f>IF(booking!H92&gt;0,"oc","va")</f>
        <v>va</v>
      </c>
      <c r="E92" s="137" t="str">
        <f>IF(booking!I92&gt;0,"oc","va")</f>
        <v>oc</v>
      </c>
      <c r="F92" s="136" t="str">
        <f>IF(booking!L92&gt;0,"oc","va")</f>
        <v>va</v>
      </c>
      <c r="G92" s="137" t="str">
        <f>IF(booking!M92&gt;0,"oc","va")</f>
        <v>va</v>
      </c>
      <c r="H92" s="136" t="str">
        <f>IF(booking!P92&gt;0,"oc","va")</f>
        <v>va</v>
      </c>
      <c r="I92" s="137" t="str">
        <f>IF(booking!Q92&gt;0,"oc","va")</f>
        <v>oc</v>
      </c>
      <c r="J92" s="136" t="str">
        <f>IF(booking!T92&gt;0,"oc","va")</f>
        <v>oc</v>
      </c>
      <c r="K92" s="137" t="str">
        <f>IF(booking!U92&gt;0,"oc","va")</f>
        <v>oc</v>
      </c>
      <c r="L92" s="136" t="str">
        <f>IF(booking!X92&gt;0,"oc","va")</f>
        <v>va</v>
      </c>
      <c r="M92" s="137" t="str">
        <f>IF(booking!Y92&gt;0,"oc","va")</f>
        <v>va</v>
      </c>
    </row>
    <row r="93" spans="1:13" x14ac:dyDescent="0.35">
      <c r="A93" s="5">
        <f>booking!C93</f>
        <v>46230</v>
      </c>
      <c r="B93" s="136" t="str">
        <f>IF(booking!D93&gt;0,"oc","va")</f>
        <v>va</v>
      </c>
      <c r="C93" s="137" t="str">
        <f>IF(booking!E93&gt;0,"oc","va")</f>
        <v>oc</v>
      </c>
      <c r="D93" s="136" t="str">
        <f>IF(booking!H93&gt;0,"oc","va")</f>
        <v>oc</v>
      </c>
      <c r="E93" s="137" t="str">
        <f>IF(booking!I93&gt;0,"oc","va")</f>
        <v>oc</v>
      </c>
      <c r="F93" s="136" t="str">
        <f>IF(booking!L93&gt;0,"oc","va")</f>
        <v>va</v>
      </c>
      <c r="G93" s="137" t="str">
        <f>IF(booking!M93&gt;0,"oc","va")</f>
        <v>oc</v>
      </c>
      <c r="H93" s="136" t="str">
        <f>IF(booking!P93&gt;0,"oc","va")</f>
        <v>oc</v>
      </c>
      <c r="I93" s="137" t="str">
        <f>IF(booking!Q93&gt;0,"oc","va")</f>
        <v>oc</v>
      </c>
      <c r="J93" s="136" t="str">
        <f>IF(booking!T93&gt;0,"oc","va")</f>
        <v>oc</v>
      </c>
      <c r="K93" s="137" t="str">
        <f>IF(booking!U93&gt;0,"oc","va")</f>
        <v>oc</v>
      </c>
      <c r="L93" s="136" t="str">
        <f>IF(booking!X93&gt;0,"oc","va")</f>
        <v>va</v>
      </c>
      <c r="M93" s="137" t="str">
        <f>IF(booking!Y93&gt;0,"oc","va")</f>
        <v>va</v>
      </c>
    </row>
    <row r="94" spans="1:13" x14ac:dyDescent="0.35">
      <c r="A94" s="5">
        <f>booking!C94</f>
        <v>46231</v>
      </c>
      <c r="B94" s="136" t="str">
        <f>IF(booking!D94&gt;0,"oc","va")</f>
        <v>oc</v>
      </c>
      <c r="C94" s="137" t="str">
        <f>IF(booking!E94&gt;0,"oc","va")</f>
        <v>oc</v>
      </c>
      <c r="D94" s="136" t="str">
        <f>IF(booking!H94&gt;0,"oc","va")</f>
        <v>oc</v>
      </c>
      <c r="E94" s="137" t="str">
        <f>IF(booking!I94&gt;0,"oc","va")</f>
        <v>oc</v>
      </c>
      <c r="F94" s="136" t="str">
        <f>IF(booking!L94&gt;0,"oc","va")</f>
        <v>oc</v>
      </c>
      <c r="G94" s="137" t="str">
        <f>IF(booking!M94&gt;0,"oc","va")</f>
        <v>oc</v>
      </c>
      <c r="H94" s="136" t="str">
        <f>IF(booking!P94&gt;0,"oc","va")</f>
        <v>oc</v>
      </c>
      <c r="I94" s="137" t="str">
        <f>IF(booking!Q94&gt;0,"oc","va")</f>
        <v>oc</v>
      </c>
      <c r="J94" s="136" t="str">
        <f>IF(booking!T94&gt;0,"oc","va")</f>
        <v>oc</v>
      </c>
      <c r="K94" s="137" t="str">
        <f>IF(booking!U94&gt;0,"oc","va")</f>
        <v>oc</v>
      </c>
      <c r="L94" s="136" t="str">
        <f>IF(booking!X94&gt;0,"oc","va")</f>
        <v>va</v>
      </c>
      <c r="M94" s="137" t="str">
        <f>IF(booking!Y94&gt;0,"oc","va")</f>
        <v>va</v>
      </c>
    </row>
    <row r="95" spans="1:13" x14ac:dyDescent="0.35">
      <c r="A95" s="5">
        <f>booking!C95</f>
        <v>46232</v>
      </c>
      <c r="B95" s="136" t="str">
        <f>IF(booking!D95&gt;0,"oc","va")</f>
        <v>oc</v>
      </c>
      <c r="C95" s="137" t="str">
        <f>IF(booking!E95&gt;0,"oc","va")</f>
        <v>oc</v>
      </c>
      <c r="D95" s="136" t="str">
        <f>IF(booking!H95&gt;0,"oc","va")</f>
        <v>oc</v>
      </c>
      <c r="E95" s="137" t="str">
        <f>IF(booking!I95&gt;0,"oc","va")</f>
        <v>oc</v>
      </c>
      <c r="F95" s="136" t="str">
        <f>IF(booking!L95&gt;0,"oc","va")</f>
        <v>oc</v>
      </c>
      <c r="G95" s="137" t="str">
        <f>IF(booking!M95&gt;0,"oc","va")</f>
        <v>oc</v>
      </c>
      <c r="H95" s="136" t="str">
        <f>IF(booking!P95&gt;0,"oc","va")</f>
        <v>oc</v>
      </c>
      <c r="I95" s="137" t="str">
        <f>IF(booking!Q95&gt;0,"oc","va")</f>
        <v>oc</v>
      </c>
      <c r="J95" s="136" t="str">
        <f>IF(booking!T95&gt;0,"oc","va")</f>
        <v>oc</v>
      </c>
      <c r="K95" s="137" t="str">
        <f>IF(booking!U95&gt;0,"oc","va")</f>
        <v>oc</v>
      </c>
      <c r="L95" s="136" t="str">
        <f>IF(booking!X95&gt;0,"oc","va")</f>
        <v>va</v>
      </c>
      <c r="M95" s="137" t="str">
        <f>IF(booking!Y95&gt;0,"oc","va")</f>
        <v>oc</v>
      </c>
    </row>
    <row r="96" spans="1:13" x14ac:dyDescent="0.35">
      <c r="A96" s="5">
        <f>booking!C96</f>
        <v>46233</v>
      </c>
      <c r="B96" s="136" t="str">
        <f>IF(booking!D96&gt;0,"oc","va")</f>
        <v>oc</v>
      </c>
      <c r="C96" s="137" t="str">
        <f>IF(booking!E96&gt;0,"oc","va")</f>
        <v>oc</v>
      </c>
      <c r="D96" s="136" t="str">
        <f>IF(booking!H96&gt;0,"oc","va")</f>
        <v>oc</v>
      </c>
      <c r="E96" s="137" t="str">
        <f>IF(booking!I96&gt;0,"oc","va")</f>
        <v>va</v>
      </c>
      <c r="F96" s="136" t="str">
        <f>IF(booking!L96&gt;0,"oc","va")</f>
        <v>oc</v>
      </c>
      <c r="G96" s="137" t="str">
        <f>IF(booking!M96&gt;0,"oc","va")</f>
        <v>oc</v>
      </c>
      <c r="H96" s="136" t="str">
        <f>IF(booking!P96&gt;0,"oc","va")</f>
        <v>oc</v>
      </c>
      <c r="I96" s="137" t="str">
        <f>IF(booking!Q96&gt;0,"oc","va")</f>
        <v>oc</v>
      </c>
      <c r="J96" s="136" t="str">
        <f>IF(booking!T96&gt;0,"oc","va")</f>
        <v>oc</v>
      </c>
      <c r="K96" s="137" t="str">
        <f>IF(booking!U96&gt;0,"oc","va")</f>
        <v>oc</v>
      </c>
      <c r="L96" s="136" t="str">
        <f>IF(booking!X96&gt;0,"oc","va")</f>
        <v>oc</v>
      </c>
      <c r="M96" s="137" t="str">
        <f>IF(booking!Y96&gt;0,"oc","va")</f>
        <v>va</v>
      </c>
    </row>
    <row r="97" spans="1:13" x14ac:dyDescent="0.35">
      <c r="A97" s="5">
        <f>booking!C97</f>
        <v>46234</v>
      </c>
      <c r="B97" s="136" t="str">
        <f>IF(booking!D97&gt;0,"oc","va")</f>
        <v>oc</v>
      </c>
      <c r="C97" s="137" t="str">
        <f>IF(booking!E97&gt;0,"oc","va")</f>
        <v>oc</v>
      </c>
      <c r="D97" s="136" t="str">
        <f>IF(booking!H97&gt;0,"oc","va")</f>
        <v>va</v>
      </c>
      <c r="E97" s="137" t="str">
        <f>IF(booking!I97&gt;0,"oc","va")</f>
        <v>va</v>
      </c>
      <c r="F97" s="136" t="str">
        <f>IF(booking!L97&gt;0,"oc","va")</f>
        <v>oc</v>
      </c>
      <c r="G97" s="137" t="str">
        <f>IF(booking!M97&gt;0,"oc","va")</f>
        <v>va</v>
      </c>
      <c r="H97" s="136" t="str">
        <f>IF(booking!P97&gt;0,"oc","va")</f>
        <v>oc</v>
      </c>
      <c r="I97" s="137" t="str">
        <f>IF(booking!Q97&gt;0,"oc","va")</f>
        <v>oc</v>
      </c>
      <c r="J97" s="136" t="str">
        <f>IF(booking!T97&gt;0,"oc","va")</f>
        <v>oc</v>
      </c>
      <c r="K97" s="137" t="str">
        <f>IF(booking!U97&gt;0,"oc","va")</f>
        <v>oc</v>
      </c>
      <c r="L97" s="136" t="str">
        <f>IF(booking!X97&gt;0,"oc","va")</f>
        <v>va</v>
      </c>
      <c r="M97" s="137" t="str">
        <f>IF(booking!Y97&gt;0,"oc","va")</f>
        <v>va</v>
      </c>
    </row>
    <row r="98" spans="1:13" x14ac:dyDescent="0.35">
      <c r="A98" s="5">
        <f>booking!C98</f>
        <v>46235</v>
      </c>
      <c r="B98" s="136" t="str">
        <f>IF(booking!D98&gt;0,"oc","va")</f>
        <v>oc</v>
      </c>
      <c r="C98" s="137" t="str">
        <f>IF(booking!E98&gt;0,"oc","va")</f>
        <v>oc</v>
      </c>
      <c r="D98" s="136" t="str">
        <f>IF(booking!H98&gt;0,"oc","va")</f>
        <v>va</v>
      </c>
      <c r="E98" s="137" t="str">
        <f>IF(booking!I98&gt;0,"oc","va")</f>
        <v>va</v>
      </c>
      <c r="F98" s="136" t="str">
        <f>IF(booking!L98&gt;0,"oc","va")</f>
        <v>va</v>
      </c>
      <c r="G98" s="137" t="str">
        <f>IF(booking!M98&gt;0,"oc","va")</f>
        <v>va</v>
      </c>
      <c r="H98" s="136" t="str">
        <f>IF(booking!P98&gt;0,"oc","va")</f>
        <v>oc</v>
      </c>
      <c r="I98" s="137" t="str">
        <f>IF(booking!Q98&gt;0,"oc","va")</f>
        <v>oc</v>
      </c>
      <c r="J98" s="136" t="str">
        <f>IF(booking!T98&gt;0,"oc","va")</f>
        <v>oc</v>
      </c>
      <c r="K98" s="137" t="str">
        <f>IF(booking!U98&gt;0,"oc","va")</f>
        <v>va</v>
      </c>
      <c r="L98" s="136" t="str">
        <f>IF(booking!X98&gt;0,"oc","va")</f>
        <v>va</v>
      </c>
      <c r="M98" s="137" t="str">
        <f>IF(booking!Y98&gt;0,"oc","va")</f>
        <v>va</v>
      </c>
    </row>
    <row r="99" spans="1:13" x14ac:dyDescent="0.35">
      <c r="A99" s="5">
        <f>booking!C99</f>
        <v>46236</v>
      </c>
      <c r="B99" s="136" t="str">
        <f>IF(booking!D99&gt;0,"oc","va")</f>
        <v>oc</v>
      </c>
      <c r="C99" s="137" t="str">
        <f>IF(booking!E99&gt;0,"oc","va")</f>
        <v>oc</v>
      </c>
      <c r="D99" s="136" t="str">
        <f>IF(booking!H99&gt;0,"oc","va")</f>
        <v>va</v>
      </c>
      <c r="E99" s="137" t="str">
        <f>IF(booking!I99&gt;0,"oc","va")</f>
        <v>oc</v>
      </c>
      <c r="F99" s="136" t="str">
        <f>IF(booking!L99&gt;0,"oc","va")</f>
        <v>va</v>
      </c>
      <c r="G99" s="137" t="str">
        <f>IF(booking!M99&gt;0,"oc","va")</f>
        <v>oc</v>
      </c>
      <c r="H99" s="136" t="str">
        <f>IF(booking!P99&gt;0,"oc","va")</f>
        <v>oc</v>
      </c>
      <c r="I99" s="137" t="str">
        <f>IF(booking!Q99&gt;0,"oc","va")</f>
        <v>oc</v>
      </c>
      <c r="J99" s="136" t="str">
        <f>IF(booking!T99&gt;0,"oc","va")</f>
        <v>va</v>
      </c>
      <c r="K99" s="137" t="str">
        <f>IF(booking!U99&gt;0,"oc","va")</f>
        <v>va</v>
      </c>
      <c r="L99" s="136" t="str">
        <f>IF(booking!X99&gt;0,"oc","va")</f>
        <v>va</v>
      </c>
      <c r="M99" s="137" t="str">
        <f>IF(booking!Y99&gt;0,"oc","va")</f>
        <v>va</v>
      </c>
    </row>
    <row r="100" spans="1:13" x14ac:dyDescent="0.35">
      <c r="A100" s="5">
        <f>booking!C100</f>
        <v>46237</v>
      </c>
      <c r="B100" s="136" t="str">
        <f>IF(booking!D100&gt;0,"oc","va")</f>
        <v>oc</v>
      </c>
      <c r="C100" s="137" t="str">
        <f>IF(booking!E100&gt;0,"oc","va")</f>
        <v>oc</v>
      </c>
      <c r="D100" s="136" t="str">
        <f>IF(booking!H100&gt;0,"oc","va")</f>
        <v>oc</v>
      </c>
      <c r="E100" s="137" t="str">
        <f>IF(booking!I100&gt;0,"oc","va")</f>
        <v>oc</v>
      </c>
      <c r="F100" s="136" t="str">
        <f>IF(booking!L100&gt;0,"oc","va")</f>
        <v>oc</v>
      </c>
      <c r="G100" s="137" t="str">
        <f>IF(booking!M100&gt;0,"oc","va")</f>
        <v>oc</v>
      </c>
      <c r="H100" s="136" t="str">
        <f>IF(booking!P100&gt;0,"oc","va")</f>
        <v>oc</v>
      </c>
      <c r="I100" s="137" t="str">
        <f>IF(booking!Q100&gt;0,"oc","va")</f>
        <v>oc</v>
      </c>
      <c r="J100" s="136" t="str">
        <f>IF(booking!T100&gt;0,"oc","va")</f>
        <v>va</v>
      </c>
      <c r="K100" s="137" t="str">
        <f>IF(booking!U100&gt;0,"oc","va")</f>
        <v>oc</v>
      </c>
      <c r="L100" s="136" t="str">
        <f>IF(booking!X100&gt;0,"oc","va")</f>
        <v>va</v>
      </c>
      <c r="M100" s="137" t="str">
        <f>IF(booking!Y100&gt;0,"oc","va")</f>
        <v>va</v>
      </c>
    </row>
    <row r="101" spans="1:13" x14ac:dyDescent="0.35">
      <c r="A101" s="5">
        <f>booking!C101</f>
        <v>46238</v>
      </c>
      <c r="B101" s="136" t="str">
        <f>IF(booking!D101&gt;0,"oc","va")</f>
        <v>oc</v>
      </c>
      <c r="C101" s="137" t="str">
        <f>IF(booking!E101&gt;0,"oc","va")</f>
        <v>oc</v>
      </c>
      <c r="D101" s="136" t="str">
        <f>IF(booking!H101&gt;0,"oc","va")</f>
        <v>oc</v>
      </c>
      <c r="E101" s="137" t="str">
        <f>IF(booking!I101&gt;0,"oc","va")</f>
        <v>oc</v>
      </c>
      <c r="F101" s="136" t="str">
        <f>IF(booking!L101&gt;0,"oc","va")</f>
        <v>oc</v>
      </c>
      <c r="G101" s="137" t="str">
        <f>IF(booking!M101&gt;0,"oc","va")</f>
        <v>oc</v>
      </c>
      <c r="H101" s="136" t="str">
        <f>IF(booking!P101&gt;0,"oc","va")</f>
        <v>oc</v>
      </c>
      <c r="I101" s="137" t="str">
        <f>IF(booking!Q101&gt;0,"oc","va")</f>
        <v>va</v>
      </c>
      <c r="J101" s="136" t="str">
        <f>IF(booking!T101&gt;0,"oc","va")</f>
        <v>oc</v>
      </c>
      <c r="K101" s="137" t="str">
        <f>IF(booking!U101&gt;0,"oc","va")</f>
        <v>oc</v>
      </c>
      <c r="L101" s="136" t="str">
        <f>IF(booking!X101&gt;0,"oc","va")</f>
        <v>va</v>
      </c>
      <c r="M101" s="137" t="str">
        <f>IF(booking!Y101&gt;0,"oc","va")</f>
        <v>va</v>
      </c>
    </row>
    <row r="102" spans="1:13" x14ac:dyDescent="0.35">
      <c r="A102" s="5">
        <f>booking!C102</f>
        <v>46239</v>
      </c>
      <c r="B102" s="136" t="str">
        <f>IF(booking!D102&gt;0,"oc","va")</f>
        <v>oc</v>
      </c>
      <c r="C102" s="137" t="str">
        <f>IF(booking!E102&gt;0,"oc","va")</f>
        <v>oc</v>
      </c>
      <c r="D102" s="136" t="str">
        <f>IF(booking!H102&gt;0,"oc","va")</f>
        <v>oc</v>
      </c>
      <c r="E102" s="137" t="str">
        <f>IF(booking!I102&gt;0,"oc","va")</f>
        <v>oc</v>
      </c>
      <c r="F102" s="136" t="str">
        <f>IF(booking!L102&gt;0,"oc","va")</f>
        <v>oc</v>
      </c>
      <c r="G102" s="137" t="str">
        <f>IF(booking!M102&gt;0,"oc","va")</f>
        <v>oc</v>
      </c>
      <c r="H102" s="136" t="str">
        <f>IF(booking!P102&gt;0,"oc","va")</f>
        <v>va</v>
      </c>
      <c r="I102" s="137" t="str">
        <f>IF(booking!Q102&gt;0,"oc","va")</f>
        <v>va</v>
      </c>
      <c r="J102" s="136" t="str">
        <f>IF(booking!T102&gt;0,"oc","va")</f>
        <v>oc</v>
      </c>
      <c r="K102" s="137" t="str">
        <f>IF(booking!U102&gt;0,"oc","va")</f>
        <v>oc</v>
      </c>
      <c r="L102" s="136" t="str">
        <f>IF(booking!X102&gt;0,"oc","va")</f>
        <v>va</v>
      </c>
      <c r="M102" s="137" t="str">
        <f>IF(booking!Y102&gt;0,"oc","va")</f>
        <v>va</v>
      </c>
    </row>
    <row r="103" spans="1:13" x14ac:dyDescent="0.35">
      <c r="A103" s="5">
        <f>booking!C103</f>
        <v>46240</v>
      </c>
      <c r="B103" s="136" t="str">
        <f>IF(booking!D103&gt;0,"oc","va")</f>
        <v>oc</v>
      </c>
      <c r="C103" s="137" t="str">
        <f>IF(booking!E103&gt;0,"oc","va")</f>
        <v>oc</v>
      </c>
      <c r="D103" s="136" t="str">
        <f>IF(booking!H103&gt;0,"oc","va")</f>
        <v>oc</v>
      </c>
      <c r="E103" s="137" t="str">
        <f>IF(booking!I103&gt;0,"oc","va")</f>
        <v>oc</v>
      </c>
      <c r="F103" s="136" t="str">
        <f>IF(booking!L103&gt;0,"oc","va")</f>
        <v>oc</v>
      </c>
      <c r="G103" s="137" t="str">
        <f>IF(booking!M103&gt;0,"oc","va")</f>
        <v>oc</v>
      </c>
      <c r="H103" s="136" t="str">
        <f>IF(booking!P103&gt;0,"oc","va")</f>
        <v>va</v>
      </c>
      <c r="I103" s="137" t="str">
        <f>IF(booking!Q103&gt;0,"oc","va")</f>
        <v>oc</v>
      </c>
      <c r="J103" s="136" t="str">
        <f>IF(booking!T103&gt;0,"oc","va")</f>
        <v>oc</v>
      </c>
      <c r="K103" s="137" t="str">
        <f>IF(booking!U103&gt;0,"oc","va")</f>
        <v>oc</v>
      </c>
      <c r="L103" s="136" t="str">
        <f>IF(booking!X103&gt;0,"oc","va")</f>
        <v>va</v>
      </c>
      <c r="M103" s="137" t="str">
        <f>IF(booking!Y103&gt;0,"oc","va")</f>
        <v>va</v>
      </c>
    </row>
    <row r="104" spans="1:13" x14ac:dyDescent="0.35">
      <c r="A104" s="5">
        <f>booking!C104</f>
        <v>46241</v>
      </c>
      <c r="B104" s="136" t="str">
        <f>IF(booking!D104&gt;0,"oc","va")</f>
        <v>oc</v>
      </c>
      <c r="C104" s="137" t="str">
        <f>IF(booking!E104&gt;0,"oc","va")</f>
        <v>oc</v>
      </c>
      <c r="D104" s="136" t="str">
        <f>IF(booking!H104&gt;0,"oc","va")</f>
        <v>oc</v>
      </c>
      <c r="E104" s="137" t="str">
        <f>IF(booking!I104&gt;0,"oc","va")</f>
        <v>oc</v>
      </c>
      <c r="F104" s="136" t="str">
        <f>IF(booking!L104&gt;0,"oc","va")</f>
        <v>oc</v>
      </c>
      <c r="G104" s="137" t="str">
        <f>IF(booking!M104&gt;0,"oc","va")</f>
        <v>oc</v>
      </c>
      <c r="H104" s="136" t="str">
        <f>IF(booking!P104&gt;0,"oc","va")</f>
        <v>oc</v>
      </c>
      <c r="I104" s="137" t="str">
        <f>IF(booking!Q104&gt;0,"oc","va")</f>
        <v>oc</v>
      </c>
      <c r="J104" s="136" t="str">
        <f>IF(booking!T104&gt;0,"oc","va")</f>
        <v>oc</v>
      </c>
      <c r="K104" s="137" t="str">
        <f>IF(booking!U104&gt;0,"oc","va")</f>
        <v>oc</v>
      </c>
      <c r="L104" s="136" t="str">
        <f>IF(booking!X104&gt;0,"oc","va")</f>
        <v>va</v>
      </c>
      <c r="M104" s="137" t="str">
        <f>IF(booking!Y104&gt;0,"oc","va")</f>
        <v>va</v>
      </c>
    </row>
    <row r="105" spans="1:13" x14ac:dyDescent="0.35">
      <c r="A105" s="5">
        <f>booking!C105</f>
        <v>46242</v>
      </c>
      <c r="B105" s="136" t="str">
        <f>IF(booking!D105&gt;0,"oc","va")</f>
        <v>oc</v>
      </c>
      <c r="C105" s="137" t="str">
        <f>IF(booking!E105&gt;0,"oc","va")</f>
        <v>va</v>
      </c>
      <c r="D105" s="136" t="str">
        <f>IF(booking!H105&gt;0,"oc","va")</f>
        <v>oc</v>
      </c>
      <c r="E105" s="137" t="str">
        <f>IF(booking!I105&gt;0,"oc","va")</f>
        <v>oc</v>
      </c>
      <c r="F105" s="136" t="str">
        <f>IF(booking!L105&gt;0,"oc","va")</f>
        <v>oc</v>
      </c>
      <c r="G105" s="137" t="str">
        <f>IF(booking!M105&gt;0,"oc","va")</f>
        <v>oc</v>
      </c>
      <c r="H105" s="136" t="str">
        <f>IF(booking!P105&gt;0,"oc","va")</f>
        <v>oc</v>
      </c>
      <c r="I105" s="137" t="str">
        <f>IF(booking!Q105&gt;0,"oc","va")</f>
        <v>oc</v>
      </c>
      <c r="J105" s="136" t="str">
        <f>IF(booking!T105&gt;0,"oc","va")</f>
        <v>oc</v>
      </c>
      <c r="K105" s="137" t="str">
        <f>IF(booking!U105&gt;0,"oc","va")</f>
        <v>oc</v>
      </c>
      <c r="L105" s="136" t="str">
        <f>IF(booking!X105&gt;0,"oc","va")</f>
        <v>va</v>
      </c>
      <c r="M105" s="137" t="str">
        <f>IF(booking!Y105&gt;0,"oc","va")</f>
        <v>va</v>
      </c>
    </row>
    <row r="106" spans="1:13" x14ac:dyDescent="0.35">
      <c r="A106" s="5">
        <f>booking!C106</f>
        <v>46243</v>
      </c>
      <c r="B106" s="136" t="str">
        <f>IF(booking!D106&gt;0,"oc","va")</f>
        <v>va</v>
      </c>
      <c r="C106" s="137" t="str">
        <f>IF(booking!E106&gt;0,"oc","va")</f>
        <v>va</v>
      </c>
      <c r="D106" s="136" t="str">
        <f>IF(booking!H106&gt;0,"oc","va")</f>
        <v>oc</v>
      </c>
      <c r="E106" s="137" t="str">
        <f>IF(booking!I106&gt;0,"oc","va")</f>
        <v>oc</v>
      </c>
      <c r="F106" s="136" t="str">
        <f>IF(booking!L106&gt;0,"oc","va")</f>
        <v>oc</v>
      </c>
      <c r="G106" s="137" t="str">
        <f>IF(booking!M106&gt;0,"oc","va")</f>
        <v>oc</v>
      </c>
      <c r="H106" s="136" t="str">
        <f>IF(booking!P106&gt;0,"oc","va")</f>
        <v>oc</v>
      </c>
      <c r="I106" s="137" t="str">
        <f>IF(booking!Q106&gt;0,"oc","va")</f>
        <v>va</v>
      </c>
      <c r="J106" s="136" t="str">
        <f>IF(booking!T106&gt;0,"oc","va")</f>
        <v>oc</v>
      </c>
      <c r="K106" s="137" t="str">
        <f>IF(booking!U106&gt;0,"oc","va")</f>
        <v>oc</v>
      </c>
      <c r="L106" s="136" t="str">
        <f>IF(booking!X106&gt;0,"oc","va")</f>
        <v>va</v>
      </c>
      <c r="M106" s="137" t="str">
        <f>IF(booking!Y106&gt;0,"oc","va")</f>
        <v>va</v>
      </c>
    </row>
    <row r="107" spans="1:13" x14ac:dyDescent="0.35">
      <c r="A107" s="5">
        <f>booking!C107</f>
        <v>46244</v>
      </c>
      <c r="B107" s="136" t="str">
        <f>IF(booking!D107&gt;0,"oc","va")</f>
        <v>va</v>
      </c>
      <c r="C107" s="137" t="str">
        <f>IF(booking!E107&gt;0,"oc","va")</f>
        <v>oc</v>
      </c>
      <c r="D107" s="136" t="str">
        <f>IF(booking!H107&gt;0,"oc","va")</f>
        <v>oc</v>
      </c>
      <c r="E107" s="137" t="str">
        <f>IF(booking!I107&gt;0,"oc","va")</f>
        <v>oc</v>
      </c>
      <c r="F107" s="136" t="str">
        <f>IF(booking!L107&gt;0,"oc","va")</f>
        <v>oc</v>
      </c>
      <c r="G107" s="137" t="str">
        <f>IF(booking!M107&gt;0,"oc","va")</f>
        <v>oc</v>
      </c>
      <c r="H107" s="136" t="str">
        <f>IF(booking!P107&gt;0,"oc","va")</f>
        <v>va</v>
      </c>
      <c r="I107" s="137" t="str">
        <f>IF(booking!Q107&gt;0,"oc","va")</f>
        <v>va</v>
      </c>
      <c r="J107" s="136" t="str">
        <f>IF(booking!T107&gt;0,"oc","va")</f>
        <v>oc</v>
      </c>
      <c r="K107" s="137" t="str">
        <f>IF(booking!U107&gt;0,"oc","va")</f>
        <v>oc</v>
      </c>
      <c r="L107" s="136" t="str">
        <f>IF(booking!X107&gt;0,"oc","va")</f>
        <v>va</v>
      </c>
      <c r="M107" s="137" t="str">
        <f>IF(booking!Y107&gt;0,"oc","va")</f>
        <v>va</v>
      </c>
    </row>
    <row r="108" spans="1:13" x14ac:dyDescent="0.35">
      <c r="A108" s="5">
        <f>booking!C108</f>
        <v>46245</v>
      </c>
      <c r="B108" s="136" t="str">
        <f>IF(booking!D108&gt;0,"oc","va")</f>
        <v>oc</v>
      </c>
      <c r="C108" s="137" t="str">
        <f>IF(booking!E108&gt;0,"oc","va")</f>
        <v>oc</v>
      </c>
      <c r="D108" s="136" t="str">
        <f>IF(booking!H108&gt;0,"oc","va")</f>
        <v>oc</v>
      </c>
      <c r="E108" s="137" t="str">
        <f>IF(booking!I108&gt;0,"oc","va")</f>
        <v>oc</v>
      </c>
      <c r="F108" s="136" t="str">
        <f>IF(booking!L108&gt;0,"oc","va")</f>
        <v>oc</v>
      </c>
      <c r="G108" s="137" t="str">
        <f>IF(booking!M108&gt;0,"oc","va")</f>
        <v>oc</v>
      </c>
      <c r="H108" s="136" t="str">
        <f>IF(booking!P108&gt;0,"oc","va")</f>
        <v>va</v>
      </c>
      <c r="I108" s="137" t="str">
        <f>IF(booking!Q108&gt;0,"oc","va")</f>
        <v>va</v>
      </c>
      <c r="J108" s="136" t="str">
        <f>IF(booking!T108&gt;0,"oc","va")</f>
        <v>oc</v>
      </c>
      <c r="K108" s="137" t="str">
        <f>IF(booking!U108&gt;0,"oc","va")</f>
        <v>oc</v>
      </c>
      <c r="L108" s="136" t="str">
        <f>IF(booking!X108&gt;0,"oc","va")</f>
        <v>va</v>
      </c>
      <c r="M108" s="137" t="str">
        <f>IF(booking!Y108&gt;0,"oc","va")</f>
        <v>va</v>
      </c>
    </row>
    <row r="109" spans="1:13" x14ac:dyDescent="0.35">
      <c r="A109" s="5">
        <f>booking!C109</f>
        <v>46246</v>
      </c>
      <c r="B109" s="136" t="str">
        <f>IF(booking!D109&gt;0,"oc","va")</f>
        <v>oc</v>
      </c>
      <c r="C109" s="137" t="str">
        <f>IF(booking!E109&gt;0,"oc","va")</f>
        <v>oc</v>
      </c>
      <c r="D109" s="136" t="str">
        <f>IF(booking!H109&gt;0,"oc","va")</f>
        <v>oc</v>
      </c>
      <c r="E109" s="137" t="str">
        <f>IF(booking!I109&gt;0,"oc","va")</f>
        <v>oc</v>
      </c>
      <c r="F109" s="136" t="str">
        <f>IF(booking!L109&gt;0,"oc","va")</f>
        <v>oc</v>
      </c>
      <c r="G109" s="137" t="str">
        <f>IF(booking!M109&gt;0,"oc","va")</f>
        <v>oc</v>
      </c>
      <c r="H109" s="136" t="str">
        <f>IF(booking!P109&gt;0,"oc","va")</f>
        <v>va</v>
      </c>
      <c r="I109" s="137" t="str">
        <f>IF(booking!Q109&gt;0,"oc","va")</f>
        <v>oc</v>
      </c>
      <c r="J109" s="136" t="str">
        <f>IF(booking!T109&gt;0,"oc","va")</f>
        <v>oc</v>
      </c>
      <c r="K109" s="137" t="str">
        <f>IF(booking!U109&gt;0,"oc","va")</f>
        <v>oc</v>
      </c>
      <c r="L109" s="136" t="str">
        <f>IF(booking!X109&gt;0,"oc","va")</f>
        <v>va</v>
      </c>
      <c r="M109" s="137" t="str">
        <f>IF(booking!Y109&gt;0,"oc","va")</f>
        <v>va</v>
      </c>
    </row>
    <row r="110" spans="1:13" x14ac:dyDescent="0.35">
      <c r="A110" s="5">
        <f>booking!C110</f>
        <v>46247</v>
      </c>
      <c r="B110" s="136" t="str">
        <f>IF(booking!D110&gt;0,"oc","va")</f>
        <v>oc</v>
      </c>
      <c r="C110" s="137" t="str">
        <f>IF(booking!E110&gt;0,"oc","va")</f>
        <v>oc</v>
      </c>
      <c r="D110" s="136" t="str">
        <f>IF(booking!H110&gt;0,"oc","va")</f>
        <v>oc</v>
      </c>
      <c r="E110" s="137" t="str">
        <f>IF(booking!I110&gt;0,"oc","va")</f>
        <v>oc</v>
      </c>
      <c r="F110" s="136" t="str">
        <f>IF(booking!L110&gt;0,"oc","va")</f>
        <v>oc</v>
      </c>
      <c r="G110" s="137" t="str">
        <f>IF(booking!M110&gt;0,"oc","va")</f>
        <v>oc</v>
      </c>
      <c r="H110" s="136" t="str">
        <f>IF(booking!P110&gt;0,"oc","va")</f>
        <v>oc</v>
      </c>
      <c r="I110" s="137" t="str">
        <f>IF(booking!Q110&gt;0,"oc","va")</f>
        <v>oc</v>
      </c>
      <c r="J110" s="136" t="str">
        <f>IF(booking!T110&gt;0,"oc","va")</f>
        <v>oc</v>
      </c>
      <c r="K110" s="137" t="str">
        <f>IF(booking!U110&gt;0,"oc","va")</f>
        <v>oc</v>
      </c>
      <c r="L110" s="136" t="str">
        <f>IF(booking!X110&gt;0,"oc","va")</f>
        <v>va</v>
      </c>
      <c r="M110" s="137" t="str">
        <f>IF(booking!Y110&gt;0,"oc","va")</f>
        <v>va</v>
      </c>
    </row>
    <row r="111" spans="1:13" x14ac:dyDescent="0.35">
      <c r="A111" s="5">
        <f>booking!C111</f>
        <v>46248</v>
      </c>
      <c r="B111" s="136" t="str">
        <f>IF(booking!D111&gt;0,"oc","va")</f>
        <v>oc</v>
      </c>
      <c r="C111" s="137" t="str">
        <f>IF(booking!E111&gt;0,"oc","va")</f>
        <v>va</v>
      </c>
      <c r="D111" s="136" t="str">
        <f>IF(booking!H111&gt;0,"oc","va")</f>
        <v>oc</v>
      </c>
      <c r="E111" s="137" t="str">
        <f>IF(booking!I111&gt;0,"oc","va")</f>
        <v>oc</v>
      </c>
      <c r="F111" s="136" t="str">
        <f>IF(booking!L111&gt;0,"oc","va")</f>
        <v>oc</v>
      </c>
      <c r="G111" s="137" t="str">
        <f>IF(booking!M111&gt;0,"oc","va")</f>
        <v>oc</v>
      </c>
      <c r="H111" s="136" t="str">
        <f>IF(booking!P111&gt;0,"oc","va")</f>
        <v>oc</v>
      </c>
      <c r="I111" s="137" t="str">
        <f>IF(booking!Q111&gt;0,"oc","va")</f>
        <v>oc</v>
      </c>
      <c r="J111" s="136" t="str">
        <f>IF(booking!T111&gt;0,"oc","va")</f>
        <v>oc</v>
      </c>
      <c r="K111" s="137" t="str">
        <f>IF(booking!U111&gt;0,"oc","va")</f>
        <v>oc</v>
      </c>
      <c r="L111" s="136" t="str">
        <f>IF(booking!X111&gt;0,"oc","va")</f>
        <v>va</v>
      </c>
      <c r="M111" s="137" t="str">
        <f>IF(booking!Y111&gt;0,"oc","va")</f>
        <v>va</v>
      </c>
    </row>
    <row r="112" spans="1:13" x14ac:dyDescent="0.35">
      <c r="A112" s="5">
        <f>booking!C112</f>
        <v>46249</v>
      </c>
      <c r="B112" s="136" t="str">
        <f>IF(booking!D112&gt;0,"oc","va")</f>
        <v>va</v>
      </c>
      <c r="C112" s="137" t="str">
        <f>IF(booking!E112&gt;0,"oc","va")</f>
        <v>va</v>
      </c>
      <c r="D112" s="136" t="str">
        <f>IF(booking!H112&gt;0,"oc","va")</f>
        <v>oc</v>
      </c>
      <c r="E112" s="137" t="str">
        <f>IF(booking!I112&gt;0,"oc","va")</f>
        <v>oc</v>
      </c>
      <c r="F112" s="136" t="str">
        <f>IF(booking!L112&gt;0,"oc","va")</f>
        <v>oc</v>
      </c>
      <c r="G112" s="137" t="str">
        <f>IF(booking!M112&gt;0,"oc","va")</f>
        <v>oc</v>
      </c>
      <c r="H112" s="136" t="str">
        <f>IF(booking!P112&gt;0,"oc","va")</f>
        <v>oc</v>
      </c>
      <c r="I112" s="137" t="str">
        <f>IF(booking!Q112&gt;0,"oc","va")</f>
        <v>oc</v>
      </c>
      <c r="J112" s="136" t="str">
        <f>IF(booking!T112&gt;0,"oc","va")</f>
        <v>oc</v>
      </c>
      <c r="K112" s="137" t="str">
        <f>IF(booking!U112&gt;0,"oc","va")</f>
        <v>oc</v>
      </c>
      <c r="L112" s="136" t="str">
        <f>IF(booking!X112&gt;0,"oc","va")</f>
        <v>va</v>
      </c>
      <c r="M112" s="137" t="str">
        <f>IF(booking!Y112&gt;0,"oc","va")</f>
        <v>va</v>
      </c>
    </row>
    <row r="113" spans="1:13" x14ac:dyDescent="0.35">
      <c r="A113" s="5">
        <f>booking!C113</f>
        <v>46250</v>
      </c>
      <c r="B113" s="136" t="str">
        <f>IF(booking!D113&gt;0,"oc","va")</f>
        <v>va</v>
      </c>
      <c r="C113" s="137" t="str">
        <f>IF(booking!E113&gt;0,"oc","va")</f>
        <v>va</v>
      </c>
      <c r="D113" s="136" t="str">
        <f>IF(booking!H113&gt;0,"oc","va")</f>
        <v>oc</v>
      </c>
      <c r="E113" s="137" t="str">
        <f>IF(booking!I113&gt;0,"oc","va")</f>
        <v>oc</v>
      </c>
      <c r="F113" s="136" t="str">
        <f>IF(booking!L113&gt;0,"oc","va")</f>
        <v>oc</v>
      </c>
      <c r="G113" s="137" t="str">
        <f>IF(booking!M113&gt;0,"oc","va")</f>
        <v>va</v>
      </c>
      <c r="H113" s="136" t="str">
        <f>IF(booking!P113&gt;0,"oc","va")</f>
        <v>oc</v>
      </c>
      <c r="I113" s="137" t="str">
        <f>IF(booking!Q113&gt;0,"oc","va")</f>
        <v>oc</v>
      </c>
      <c r="J113" s="136" t="str">
        <f>IF(booking!T113&gt;0,"oc","va")</f>
        <v>oc</v>
      </c>
      <c r="K113" s="137" t="str">
        <f>IF(booking!U113&gt;0,"oc","va")</f>
        <v>va</v>
      </c>
      <c r="L113" s="136" t="str">
        <f>IF(booking!X113&gt;0,"oc","va")</f>
        <v>va</v>
      </c>
      <c r="M113" s="137" t="str">
        <f>IF(booking!Y113&gt;0,"oc","va")</f>
        <v>va</v>
      </c>
    </row>
    <row r="114" spans="1:13" x14ac:dyDescent="0.35">
      <c r="A114" s="5">
        <f>booking!C114</f>
        <v>46251</v>
      </c>
      <c r="B114" s="136" t="str">
        <f>IF(booking!D114&gt;0,"oc","va")</f>
        <v>va</v>
      </c>
      <c r="C114" s="137" t="str">
        <f>IF(booking!E114&gt;0,"oc","va")</f>
        <v>oc</v>
      </c>
      <c r="D114" s="136" t="str">
        <f>IF(booking!H114&gt;0,"oc","va")</f>
        <v>oc</v>
      </c>
      <c r="E114" s="137" t="str">
        <f>IF(booking!I114&gt;0,"oc","va")</f>
        <v>oc</v>
      </c>
      <c r="F114" s="136" t="str">
        <f>IF(booking!L114&gt;0,"oc","va")</f>
        <v>va</v>
      </c>
      <c r="G114" s="137" t="str">
        <f>IF(booking!M114&gt;0,"oc","va")</f>
        <v>oc</v>
      </c>
      <c r="H114" s="136" t="str">
        <f>IF(booking!P114&gt;0,"oc","va")</f>
        <v>oc</v>
      </c>
      <c r="I114" s="137" t="str">
        <f>IF(booking!Q114&gt;0,"oc","va")</f>
        <v>oc</v>
      </c>
      <c r="J114" s="136" t="str">
        <f>IF(booking!T114&gt;0,"oc","va")</f>
        <v>va</v>
      </c>
      <c r="K114" s="137" t="str">
        <f>IF(booking!U114&gt;0,"oc","va")</f>
        <v>oc</v>
      </c>
      <c r="L114" s="136" t="str">
        <f>IF(booking!X114&gt;0,"oc","va")</f>
        <v>va</v>
      </c>
      <c r="M114" s="137" t="str">
        <f>IF(booking!Y114&gt;0,"oc","va")</f>
        <v>va</v>
      </c>
    </row>
    <row r="115" spans="1:13" x14ac:dyDescent="0.35">
      <c r="A115" s="5">
        <f>booking!C115</f>
        <v>46252</v>
      </c>
      <c r="B115" s="136" t="str">
        <f>IF(booking!D115&gt;0,"oc","va")</f>
        <v>oc</v>
      </c>
      <c r="C115" s="137" t="str">
        <f>IF(booking!E115&gt;0,"oc","va")</f>
        <v>oc</v>
      </c>
      <c r="D115" s="136" t="str">
        <f>IF(booking!H115&gt;0,"oc","va")</f>
        <v>oc</v>
      </c>
      <c r="E115" s="137" t="str">
        <f>IF(booking!I115&gt;0,"oc","va")</f>
        <v>va</v>
      </c>
      <c r="F115" s="136" t="str">
        <f>IF(booking!L115&gt;0,"oc","va")</f>
        <v>oc</v>
      </c>
      <c r="G115" s="137" t="str">
        <f>IF(booking!M115&gt;0,"oc","va")</f>
        <v>oc</v>
      </c>
      <c r="H115" s="136" t="str">
        <f>IF(booking!P115&gt;0,"oc","va")</f>
        <v>oc</v>
      </c>
      <c r="I115" s="137" t="str">
        <f>IF(booking!Q115&gt;0,"oc","va")</f>
        <v>oc</v>
      </c>
      <c r="J115" s="136" t="str">
        <f>IF(booking!T115&gt;0,"oc","va")</f>
        <v>oc</v>
      </c>
      <c r="K115" s="137" t="str">
        <f>IF(booking!U115&gt;0,"oc","va")</f>
        <v>oc</v>
      </c>
      <c r="L115" s="136" t="str">
        <f>IF(booking!X115&gt;0,"oc","va")</f>
        <v>va</v>
      </c>
      <c r="M115" s="137" t="str">
        <f>IF(booking!Y115&gt;0,"oc","va")</f>
        <v>va</v>
      </c>
    </row>
    <row r="116" spans="1:13" x14ac:dyDescent="0.35">
      <c r="A116" s="5">
        <f>booking!C116</f>
        <v>46253</v>
      </c>
      <c r="B116" s="136" t="str">
        <f>IF(booking!D116&gt;0,"oc","va")</f>
        <v>oc</v>
      </c>
      <c r="C116" s="137" t="str">
        <f>IF(booking!E116&gt;0,"oc","va")</f>
        <v>oc</v>
      </c>
      <c r="D116" s="136" t="str">
        <f>IF(booking!H116&gt;0,"oc","va")</f>
        <v>va</v>
      </c>
      <c r="E116" s="137" t="str">
        <f>IF(booking!I116&gt;0,"oc","va")</f>
        <v>va</v>
      </c>
      <c r="F116" s="136" t="str">
        <f>IF(booking!L116&gt;0,"oc","va")</f>
        <v>oc</v>
      </c>
      <c r="G116" s="137" t="str">
        <f>IF(booking!M116&gt;0,"oc","va")</f>
        <v>oc</v>
      </c>
      <c r="H116" s="136" t="str">
        <f>IF(booking!P116&gt;0,"oc","va")</f>
        <v>oc</v>
      </c>
      <c r="I116" s="137" t="str">
        <f>IF(booking!Q116&gt;0,"oc","va")</f>
        <v>oc</v>
      </c>
      <c r="J116" s="136" t="str">
        <f>IF(booking!T116&gt;0,"oc","va")</f>
        <v>oc</v>
      </c>
      <c r="K116" s="137" t="str">
        <f>IF(booking!U116&gt;0,"oc","va")</f>
        <v>oc</v>
      </c>
      <c r="L116" s="136" t="str">
        <f>IF(booking!X116&gt;0,"oc","va")</f>
        <v>va</v>
      </c>
      <c r="M116" s="137" t="str">
        <f>IF(booking!Y116&gt;0,"oc","va")</f>
        <v>va</v>
      </c>
    </row>
    <row r="117" spans="1:13" x14ac:dyDescent="0.35">
      <c r="A117" s="5">
        <f>booking!C117</f>
        <v>46254</v>
      </c>
      <c r="B117" s="136" t="str">
        <f>IF(booking!D117&gt;0,"oc","va")</f>
        <v>oc</v>
      </c>
      <c r="C117" s="137" t="str">
        <f>IF(booking!E117&gt;0,"oc","va")</f>
        <v>oc</v>
      </c>
      <c r="D117" s="136" t="str">
        <f>IF(booking!H117&gt;0,"oc","va")</f>
        <v>va</v>
      </c>
      <c r="E117" s="137" t="str">
        <f>IF(booking!I117&gt;0,"oc","va")</f>
        <v>oc</v>
      </c>
      <c r="F117" s="136" t="str">
        <f>IF(booking!L117&gt;0,"oc","va")</f>
        <v>oc</v>
      </c>
      <c r="G117" s="137" t="str">
        <f>IF(booking!M117&gt;0,"oc","va")</f>
        <v>oc</v>
      </c>
      <c r="H117" s="136" t="str">
        <f>IF(booking!P117&gt;0,"oc","va")</f>
        <v>oc</v>
      </c>
      <c r="I117" s="137" t="str">
        <f>IF(booking!Q117&gt;0,"oc","va")</f>
        <v>oc</v>
      </c>
      <c r="J117" s="136" t="str">
        <f>IF(booking!T117&gt;0,"oc","va")</f>
        <v>oc</v>
      </c>
      <c r="K117" s="137" t="str">
        <f>IF(booking!U117&gt;0,"oc","va")</f>
        <v>oc</v>
      </c>
      <c r="L117" s="136" t="str">
        <f>IF(booking!X117&gt;0,"oc","va")</f>
        <v>va</v>
      </c>
      <c r="M117" s="137" t="str">
        <f>IF(booking!Y117&gt;0,"oc","va")</f>
        <v>oc</v>
      </c>
    </row>
    <row r="118" spans="1:13" x14ac:dyDescent="0.35">
      <c r="A118" s="5">
        <f>booking!C118</f>
        <v>46255</v>
      </c>
      <c r="B118" s="136" t="str">
        <f>IF(booking!D118&gt;0,"oc","va")</f>
        <v>oc</v>
      </c>
      <c r="C118" s="137" t="str">
        <f>IF(booking!E118&gt;0,"oc","va")</f>
        <v>va</v>
      </c>
      <c r="D118" s="136" t="str">
        <f>IF(booking!H118&gt;0,"oc","va")</f>
        <v>oc</v>
      </c>
      <c r="E118" s="137" t="str">
        <f>IF(booking!I118&gt;0,"oc","va")</f>
        <v>oc</v>
      </c>
      <c r="F118" s="136" t="str">
        <f>IF(booking!L118&gt;0,"oc","va")</f>
        <v>oc</v>
      </c>
      <c r="G118" s="137" t="str">
        <f>IF(booking!M118&gt;0,"oc","va")</f>
        <v>oc</v>
      </c>
      <c r="H118" s="136" t="str">
        <f>IF(booking!P118&gt;0,"oc","va")</f>
        <v>oc</v>
      </c>
      <c r="I118" s="137" t="str">
        <f>IF(booking!Q118&gt;0,"oc","va")</f>
        <v>oc</v>
      </c>
      <c r="J118" s="136" t="str">
        <f>IF(booking!T118&gt;0,"oc","va")</f>
        <v>oc</v>
      </c>
      <c r="K118" s="137" t="str">
        <f>IF(booking!U118&gt;0,"oc","va")</f>
        <v>oc</v>
      </c>
      <c r="L118" s="136" t="str">
        <f>IF(booking!X118&gt;0,"oc","va")</f>
        <v>oc</v>
      </c>
      <c r="M118" s="137" t="str">
        <f>IF(booking!Y118&gt;0,"oc","va")</f>
        <v>va</v>
      </c>
    </row>
    <row r="119" spans="1:13" x14ac:dyDescent="0.35">
      <c r="A119" s="5">
        <f>booking!C119</f>
        <v>46256</v>
      </c>
      <c r="B119" s="136" t="str">
        <f>IF(booking!D119&gt;0,"oc","va")</f>
        <v>va</v>
      </c>
      <c r="C119" s="137" t="str">
        <f>IF(booking!E119&gt;0,"oc","va")</f>
        <v>oc</v>
      </c>
      <c r="D119" s="136" t="str">
        <f>IF(booking!H119&gt;0,"oc","va")</f>
        <v>oc</v>
      </c>
      <c r="E119" s="137" t="str">
        <f>IF(booking!I119&gt;0,"oc","va")</f>
        <v>oc</v>
      </c>
      <c r="F119" s="136" t="str">
        <f>IF(booking!L119&gt;0,"oc","va")</f>
        <v>oc</v>
      </c>
      <c r="G119" s="137" t="str">
        <f>IF(booking!M119&gt;0,"oc","va")</f>
        <v>oc</v>
      </c>
      <c r="H119" s="136" t="str">
        <f>IF(booking!P119&gt;0,"oc","va")</f>
        <v>oc</v>
      </c>
      <c r="I119" s="137" t="str">
        <f>IF(booking!Q119&gt;0,"oc","va")</f>
        <v>oc</v>
      </c>
      <c r="J119" s="136" t="str">
        <f>IF(booking!T119&gt;0,"oc","va")</f>
        <v>oc</v>
      </c>
      <c r="K119" s="137" t="str">
        <f>IF(booking!U119&gt;0,"oc","va")</f>
        <v>oc</v>
      </c>
      <c r="L119" s="136" t="str">
        <f>IF(booking!X119&gt;0,"oc","va")</f>
        <v>va</v>
      </c>
      <c r="M119" s="137" t="str">
        <f>IF(booking!Y119&gt;0,"oc","va")</f>
        <v>va</v>
      </c>
    </row>
    <row r="120" spans="1:13" x14ac:dyDescent="0.35">
      <c r="A120" s="5">
        <f>booking!C120</f>
        <v>46257</v>
      </c>
      <c r="B120" s="136" t="str">
        <f>IF(booking!D120&gt;0,"oc","va")</f>
        <v>oc</v>
      </c>
      <c r="C120" s="137" t="str">
        <f>IF(booking!E120&gt;0,"oc","va")</f>
        <v>oc</v>
      </c>
      <c r="D120" s="136" t="str">
        <f>IF(booking!H120&gt;0,"oc","va")</f>
        <v>oc</v>
      </c>
      <c r="E120" s="137" t="str">
        <f>IF(booking!I120&gt;0,"oc","va")</f>
        <v>va</v>
      </c>
      <c r="F120" s="136" t="str">
        <f>IF(booking!L120&gt;0,"oc","va")</f>
        <v>oc</v>
      </c>
      <c r="G120" s="137" t="str">
        <f>IF(booking!M120&gt;0,"oc","va")</f>
        <v>va</v>
      </c>
      <c r="H120" s="136" t="str">
        <f>IF(booking!P120&gt;0,"oc","va")</f>
        <v>oc</v>
      </c>
      <c r="I120" s="137" t="str">
        <f>IF(booking!Q120&gt;0,"oc","va")</f>
        <v>oc</v>
      </c>
      <c r="J120" s="136" t="str">
        <f>IF(booking!T120&gt;0,"oc","va")</f>
        <v>oc</v>
      </c>
      <c r="K120" s="137" t="str">
        <f>IF(booking!U120&gt;0,"oc","va")</f>
        <v>oc</v>
      </c>
      <c r="L120" s="136" t="str">
        <f>IF(booking!X120&gt;0,"oc","va")</f>
        <v>va</v>
      </c>
      <c r="M120" s="137" t="str">
        <f>IF(booking!Y120&gt;0,"oc","va")</f>
        <v>va</v>
      </c>
    </row>
    <row r="121" spans="1:13" x14ac:dyDescent="0.35">
      <c r="A121" s="5">
        <f>booking!C121</f>
        <v>46258</v>
      </c>
      <c r="B121" s="136" t="str">
        <f>IF(booking!D121&gt;0,"oc","va")</f>
        <v>oc</v>
      </c>
      <c r="C121" s="137" t="str">
        <f>IF(booking!E121&gt;0,"oc","va")</f>
        <v>oc</v>
      </c>
      <c r="D121" s="136" t="str">
        <f>IF(booking!H121&gt;0,"oc","va")</f>
        <v>va</v>
      </c>
      <c r="E121" s="137" t="str">
        <f>IF(booking!I121&gt;0,"oc","va")</f>
        <v>va</v>
      </c>
      <c r="F121" s="136" t="str">
        <f>IF(booking!L121&gt;0,"oc","va")</f>
        <v>va</v>
      </c>
      <c r="G121" s="137" t="str">
        <f>IF(booking!M121&gt;0,"oc","va")</f>
        <v>oc</v>
      </c>
      <c r="H121" s="136" t="str">
        <f>IF(booking!P121&gt;0,"oc","va")</f>
        <v>oc</v>
      </c>
      <c r="I121" s="137" t="str">
        <f>IF(booking!Q121&gt;0,"oc","va")</f>
        <v>va</v>
      </c>
      <c r="J121" s="136" t="str">
        <f>IF(booking!T121&gt;0,"oc","va")</f>
        <v>oc</v>
      </c>
      <c r="K121" s="137" t="str">
        <f>IF(booking!U121&gt;0,"oc","va")</f>
        <v>oc</v>
      </c>
      <c r="L121" s="136" t="str">
        <f>IF(booking!X121&gt;0,"oc","va")</f>
        <v>va</v>
      </c>
      <c r="M121" s="137" t="str">
        <f>IF(booking!Y121&gt;0,"oc","va")</f>
        <v>va</v>
      </c>
    </row>
    <row r="122" spans="1:13" x14ac:dyDescent="0.35">
      <c r="A122" s="5">
        <f>booking!C122</f>
        <v>46259</v>
      </c>
      <c r="B122" s="136" t="str">
        <f>IF(booking!D122&gt;0,"oc","va")</f>
        <v>oc</v>
      </c>
      <c r="C122" s="137" t="str">
        <f>IF(booking!E122&gt;0,"oc","va")</f>
        <v>va</v>
      </c>
      <c r="D122" s="136" t="str">
        <f>IF(booking!H122&gt;0,"oc","va")</f>
        <v>va</v>
      </c>
      <c r="E122" s="137" t="str">
        <f>IF(booking!I122&gt;0,"oc","va")</f>
        <v>va</v>
      </c>
      <c r="F122" s="136" t="str">
        <f>IF(booking!L122&gt;0,"oc","va")</f>
        <v>oc</v>
      </c>
      <c r="G122" s="137" t="str">
        <f>IF(booking!M122&gt;0,"oc","va")</f>
        <v>oc</v>
      </c>
      <c r="H122" s="136" t="str">
        <f>IF(booking!P122&gt;0,"oc","va")</f>
        <v>va</v>
      </c>
      <c r="I122" s="137" t="str">
        <f>IF(booking!Q122&gt;0,"oc","va")</f>
        <v>va</v>
      </c>
      <c r="J122" s="136" t="str">
        <f>IF(booking!T122&gt;0,"oc","va")</f>
        <v>oc</v>
      </c>
      <c r="K122" s="137" t="str">
        <f>IF(booking!U122&gt;0,"oc","va")</f>
        <v>oc</v>
      </c>
      <c r="L122" s="136" t="str">
        <f>IF(booking!X122&gt;0,"oc","va")</f>
        <v>va</v>
      </c>
      <c r="M122" s="137" t="str">
        <f>IF(booking!Y122&gt;0,"oc","va")</f>
        <v>va</v>
      </c>
    </row>
    <row r="123" spans="1:13" x14ac:dyDescent="0.35">
      <c r="A123" s="5">
        <f>booking!C123</f>
        <v>46260</v>
      </c>
      <c r="B123" s="136" t="str">
        <f>IF(booking!D123&gt;0,"oc","va")</f>
        <v>va</v>
      </c>
      <c r="C123" s="137" t="str">
        <f>IF(booking!E123&gt;0,"oc","va")</f>
        <v>oc</v>
      </c>
      <c r="D123" s="136" t="str">
        <f>IF(booking!H123&gt;0,"oc","va")</f>
        <v>va</v>
      </c>
      <c r="E123" s="137" t="str">
        <f>IF(booking!I123&gt;0,"oc","va")</f>
        <v>va</v>
      </c>
      <c r="F123" s="136" t="str">
        <f>IF(booking!L123&gt;0,"oc","va")</f>
        <v>oc</v>
      </c>
      <c r="G123" s="137" t="str">
        <f>IF(booking!M123&gt;0,"oc","va")</f>
        <v>oc</v>
      </c>
      <c r="H123" s="136" t="str">
        <f>IF(booking!P123&gt;0,"oc","va")</f>
        <v>va</v>
      </c>
      <c r="I123" s="137" t="str">
        <f>IF(booking!Q123&gt;0,"oc","va")</f>
        <v>oc</v>
      </c>
      <c r="J123" s="136" t="str">
        <f>IF(booking!T123&gt;0,"oc","va")</f>
        <v>oc</v>
      </c>
      <c r="K123" s="137" t="str">
        <f>IF(booking!U123&gt;0,"oc","va")</f>
        <v>oc</v>
      </c>
      <c r="L123" s="136" t="str">
        <f>IF(booking!X123&gt;0,"oc","va")</f>
        <v>va</v>
      </c>
      <c r="M123" s="137" t="str">
        <f>IF(booking!Y123&gt;0,"oc","va")</f>
        <v>va</v>
      </c>
    </row>
    <row r="124" spans="1:13" x14ac:dyDescent="0.35">
      <c r="A124" s="5">
        <f>booking!C124</f>
        <v>46261</v>
      </c>
      <c r="B124" s="136" t="str">
        <f>IF(booking!D124&gt;0,"oc","va")</f>
        <v>oc</v>
      </c>
      <c r="C124" s="137" t="str">
        <f>IF(booking!E124&gt;0,"oc","va")</f>
        <v>oc</v>
      </c>
      <c r="D124" s="136" t="str">
        <f>IF(booking!H124&gt;0,"oc","va")</f>
        <v>va</v>
      </c>
      <c r="E124" s="137" t="str">
        <f>IF(booking!I124&gt;0,"oc","va")</f>
        <v>va</v>
      </c>
      <c r="F124" s="136" t="str">
        <f>IF(booking!L124&gt;0,"oc","va")</f>
        <v>oc</v>
      </c>
      <c r="G124" s="137" t="str">
        <f>IF(booking!M124&gt;0,"oc","va")</f>
        <v>oc</v>
      </c>
      <c r="H124" s="136" t="str">
        <f>IF(booking!P124&gt;0,"oc","va")</f>
        <v>oc</v>
      </c>
      <c r="I124" s="137" t="str">
        <f>IF(booking!Q124&gt;0,"oc","va")</f>
        <v>oc</v>
      </c>
      <c r="J124" s="136" t="str">
        <f>IF(booking!T124&gt;0,"oc","va")</f>
        <v>oc</v>
      </c>
      <c r="K124" s="137" t="str">
        <f>IF(booking!U124&gt;0,"oc","va")</f>
        <v>oc</v>
      </c>
      <c r="L124" s="136" t="str">
        <f>IF(booking!X124&gt;0,"oc","va")</f>
        <v>va</v>
      </c>
      <c r="M124" s="137" t="str">
        <f>IF(booking!Y124&gt;0,"oc","va")</f>
        <v>va</v>
      </c>
    </row>
    <row r="125" spans="1:13" x14ac:dyDescent="0.35">
      <c r="A125" s="5">
        <f>booking!C125</f>
        <v>46262</v>
      </c>
      <c r="B125" s="136" t="str">
        <f>IF(booking!D125&gt;0,"oc","va")</f>
        <v>oc</v>
      </c>
      <c r="C125" s="137" t="str">
        <f>IF(booking!E125&gt;0,"oc","va")</f>
        <v>oc</v>
      </c>
      <c r="D125" s="136" t="str">
        <f>IF(booking!H125&gt;0,"oc","va")</f>
        <v>va</v>
      </c>
      <c r="E125" s="137" t="str">
        <f>IF(booking!I125&gt;0,"oc","va")</f>
        <v>va</v>
      </c>
      <c r="F125" s="136" t="str">
        <f>IF(booking!L125&gt;0,"oc","va")</f>
        <v>oc</v>
      </c>
      <c r="G125" s="137" t="str">
        <f>IF(booking!M125&gt;0,"oc","va")</f>
        <v>va</v>
      </c>
      <c r="H125" s="136" t="str">
        <f>IF(booking!P125&gt;0,"oc","va")</f>
        <v>oc</v>
      </c>
      <c r="I125" s="137" t="str">
        <f>IF(booking!Q125&gt;0,"oc","va")</f>
        <v>oc</v>
      </c>
      <c r="J125" s="136" t="str">
        <f>IF(booking!T125&gt;0,"oc","va")</f>
        <v>oc</v>
      </c>
      <c r="K125" s="137" t="str">
        <f>IF(booking!U125&gt;0,"oc","va")</f>
        <v>oc</v>
      </c>
      <c r="L125" s="136" t="str">
        <f>IF(booking!X125&gt;0,"oc","va")</f>
        <v>va</v>
      </c>
      <c r="M125" s="137" t="str">
        <f>IF(booking!Y125&gt;0,"oc","va")</f>
        <v>va</v>
      </c>
    </row>
    <row r="126" spans="1:13" x14ac:dyDescent="0.35">
      <c r="A126" s="5">
        <f>booking!C126</f>
        <v>46263</v>
      </c>
      <c r="B126" s="136" t="str">
        <f>IF(booking!D126&gt;0,"oc","va")</f>
        <v>oc</v>
      </c>
      <c r="C126" s="137" t="str">
        <f>IF(booking!E126&gt;0,"oc","va")</f>
        <v>oc</v>
      </c>
      <c r="D126" s="136" t="str">
        <f>IF(booking!H126&gt;0,"oc","va")</f>
        <v>va</v>
      </c>
      <c r="E126" s="137" t="str">
        <f>IF(booking!I126&gt;0,"oc","va")</f>
        <v>va</v>
      </c>
      <c r="F126" s="136" t="str">
        <f>IF(booking!L126&gt;0,"oc","va")</f>
        <v>va</v>
      </c>
      <c r="G126" s="137" t="str">
        <f>IF(booking!M126&gt;0,"oc","va")</f>
        <v>va</v>
      </c>
      <c r="H126" s="136" t="str">
        <f>IF(booking!P126&gt;0,"oc","va")</f>
        <v>oc</v>
      </c>
      <c r="I126" s="137" t="str">
        <f>IF(booking!Q126&gt;0,"oc","va")</f>
        <v>oc</v>
      </c>
      <c r="J126" s="136" t="str">
        <f>IF(booking!T126&gt;0,"oc","va")</f>
        <v>oc</v>
      </c>
      <c r="K126" s="137" t="str">
        <f>IF(booking!U126&gt;0,"oc","va")</f>
        <v>oc</v>
      </c>
      <c r="L126" s="136" t="str">
        <f>IF(booking!X126&gt;0,"oc","va")</f>
        <v>va</v>
      </c>
      <c r="M126" s="137" t="str">
        <f>IF(booking!Y126&gt;0,"oc","va")</f>
        <v>va</v>
      </c>
    </row>
    <row r="127" spans="1:13" x14ac:dyDescent="0.35">
      <c r="A127" s="5">
        <f>booking!C127</f>
        <v>46264</v>
      </c>
      <c r="B127" s="136" t="str">
        <f>IF(booking!D127&gt;0,"oc","va")</f>
        <v>oc</v>
      </c>
      <c r="C127" s="137" t="str">
        <f>IF(booking!E127&gt;0,"oc","va")</f>
        <v>oc</v>
      </c>
      <c r="D127" s="136" t="str">
        <f>IF(booking!H127&gt;0,"oc","va")</f>
        <v>va</v>
      </c>
      <c r="E127" s="137" t="str">
        <f>IF(booking!I127&gt;0,"oc","va")</f>
        <v>va</v>
      </c>
      <c r="F127" s="136" t="str">
        <f>IF(booking!L127&gt;0,"oc","va")</f>
        <v>va</v>
      </c>
      <c r="G127" s="137" t="str">
        <f>IF(booking!M127&gt;0,"oc","va")</f>
        <v>va</v>
      </c>
      <c r="H127" s="136" t="str">
        <f>IF(booking!P127&gt;0,"oc","va")</f>
        <v>oc</v>
      </c>
      <c r="I127" s="137" t="str">
        <f>IF(booking!Q127&gt;0,"oc","va")</f>
        <v>oc</v>
      </c>
      <c r="J127" s="136" t="str">
        <f>IF(booking!T127&gt;0,"oc","va")</f>
        <v>oc</v>
      </c>
      <c r="K127" s="137" t="str">
        <f>IF(booking!U127&gt;0,"oc","va")</f>
        <v>oc</v>
      </c>
      <c r="L127" s="136" t="str">
        <f>IF(booking!X127&gt;0,"oc","va")</f>
        <v>va</v>
      </c>
      <c r="M127" s="137" t="str">
        <f>IF(booking!Y127&gt;0,"oc","va")</f>
        <v>va</v>
      </c>
    </row>
    <row r="128" spans="1:13" x14ac:dyDescent="0.35">
      <c r="A128" s="5">
        <f>booking!C128</f>
        <v>46265</v>
      </c>
      <c r="B128" s="136" t="str">
        <f>IF(booking!D128&gt;0,"oc","va")</f>
        <v>oc</v>
      </c>
      <c r="C128" s="137" t="str">
        <f>IF(booking!E128&gt;0,"oc","va")</f>
        <v>va</v>
      </c>
      <c r="D128" s="136" t="str">
        <f>IF(booking!H128&gt;0,"oc","va")</f>
        <v>va</v>
      </c>
      <c r="E128" s="137" t="str">
        <f>IF(booking!I128&gt;0,"oc","va")</f>
        <v>va</v>
      </c>
      <c r="F128" s="136" t="str">
        <f>IF(booking!L128&gt;0,"oc","va")</f>
        <v>va</v>
      </c>
      <c r="G128" s="137" t="str">
        <f>IF(booking!M128&gt;0,"oc","va")</f>
        <v>va</v>
      </c>
      <c r="H128" s="136" t="str">
        <f>IF(booking!P128&gt;0,"oc","va")</f>
        <v>oc</v>
      </c>
      <c r="I128" s="137" t="str">
        <f>IF(booking!Q128&gt;0,"oc","va")</f>
        <v>oc</v>
      </c>
      <c r="J128" s="136" t="str">
        <f>IF(booking!T128&gt;0,"oc","va")</f>
        <v>oc</v>
      </c>
      <c r="K128" s="137" t="str">
        <f>IF(booking!U128&gt;0,"oc","va")</f>
        <v>va</v>
      </c>
      <c r="L128" s="136" t="str">
        <f>IF(booking!X128&gt;0,"oc","va")</f>
        <v>va</v>
      </c>
      <c r="M128" s="137" t="str">
        <f>IF(booking!Y128&gt;0,"oc","va")</f>
        <v>va</v>
      </c>
    </row>
    <row r="129" spans="1:13" x14ac:dyDescent="0.35">
      <c r="A129" s="5">
        <f>booking!C129</f>
        <v>46266</v>
      </c>
      <c r="B129" s="136" t="str">
        <f>IF(booking!D129&gt;0,"oc","va")</f>
        <v>va</v>
      </c>
      <c r="C129" s="137" t="str">
        <f>IF(booking!E129&gt;0,"oc","va")</f>
        <v>va</v>
      </c>
      <c r="D129" s="136" t="str">
        <f>IF(booking!H129&gt;0,"oc","va")</f>
        <v>va</v>
      </c>
      <c r="E129" s="137" t="str">
        <f>IF(booking!I129&gt;0,"oc","va")</f>
        <v>va</v>
      </c>
      <c r="F129" s="136" t="str">
        <f>IF(booking!L129&gt;0,"oc","va")</f>
        <v>va</v>
      </c>
      <c r="G129" s="137" t="str">
        <f>IF(booking!M129&gt;0,"oc","va")</f>
        <v>va</v>
      </c>
      <c r="H129" s="136" t="str">
        <f>IF(booking!P129&gt;0,"oc","va")</f>
        <v>oc</v>
      </c>
      <c r="I129" s="137" t="str">
        <f>IF(booking!Q129&gt;0,"oc","va")</f>
        <v>oc</v>
      </c>
      <c r="J129" s="136" t="str">
        <f>IF(booking!T129&gt;0,"oc","va")</f>
        <v>va</v>
      </c>
      <c r="K129" s="137" t="str">
        <f>IF(booking!U129&gt;0,"oc","va")</f>
        <v>va</v>
      </c>
      <c r="L129" s="136" t="str">
        <f>IF(booking!X129&gt;0,"oc","va")</f>
        <v>va</v>
      </c>
      <c r="M129" s="137" t="str">
        <f>IF(booking!Y129&gt;0,"oc","va")</f>
        <v>va</v>
      </c>
    </row>
    <row r="130" spans="1:13" x14ac:dyDescent="0.35">
      <c r="A130" s="5">
        <f>booking!C130</f>
        <v>46267</v>
      </c>
      <c r="B130" s="136" t="str">
        <f>IF(booking!D130&gt;0,"oc","va")</f>
        <v>va</v>
      </c>
      <c r="C130" s="137" t="str">
        <f>IF(booking!E130&gt;0,"oc","va")</f>
        <v>va</v>
      </c>
      <c r="D130" s="136" t="str">
        <f>IF(booking!H130&gt;0,"oc","va")</f>
        <v>va</v>
      </c>
      <c r="E130" s="137" t="str">
        <f>IF(booking!I130&gt;0,"oc","va")</f>
        <v>va</v>
      </c>
      <c r="F130" s="136" t="str">
        <f>IF(booking!L130&gt;0,"oc","va")</f>
        <v>va</v>
      </c>
      <c r="G130" s="137" t="str">
        <f>IF(booking!M130&gt;0,"oc","va")</f>
        <v>va</v>
      </c>
      <c r="H130" s="136" t="str">
        <f>IF(booking!P130&gt;0,"oc","va")</f>
        <v>oc</v>
      </c>
      <c r="I130" s="137" t="str">
        <f>IF(booking!Q130&gt;0,"oc","va")</f>
        <v>oc</v>
      </c>
      <c r="J130" s="136" t="str">
        <f>IF(booking!T130&gt;0,"oc","va")</f>
        <v>va</v>
      </c>
      <c r="K130" s="137" t="str">
        <f>IF(booking!U130&gt;0,"oc","va")</f>
        <v>va</v>
      </c>
      <c r="L130" s="136" t="str">
        <f>IF(booking!X130&gt;0,"oc","va")</f>
        <v>va</v>
      </c>
      <c r="M130" s="137" t="str">
        <f>IF(booking!Y130&gt;0,"oc","va")</f>
        <v>va</v>
      </c>
    </row>
    <row r="131" spans="1:13" x14ac:dyDescent="0.35">
      <c r="A131" s="5">
        <f>booking!C131</f>
        <v>46268</v>
      </c>
      <c r="B131" s="136" t="str">
        <f>IF(booking!D131&gt;0,"oc","va")</f>
        <v>va</v>
      </c>
      <c r="C131" s="137" t="str">
        <f>IF(booking!E131&gt;0,"oc","va")</f>
        <v>va</v>
      </c>
      <c r="D131" s="136" t="str">
        <f>IF(booking!H131&gt;0,"oc","va")</f>
        <v>va</v>
      </c>
      <c r="E131" s="137" t="str">
        <f>IF(booking!I131&gt;0,"oc","va")</f>
        <v>va</v>
      </c>
      <c r="F131" s="136" t="str">
        <f>IF(booking!L131&gt;0,"oc","va")</f>
        <v>va</v>
      </c>
      <c r="G131" s="137" t="str">
        <f>IF(booking!M131&gt;0,"oc","va")</f>
        <v>va</v>
      </c>
      <c r="H131" s="136" t="str">
        <f>IF(booking!P131&gt;0,"oc","va")</f>
        <v>oc</v>
      </c>
      <c r="I131" s="137" t="str">
        <f>IF(booking!Q131&gt;0,"oc","va")</f>
        <v>va</v>
      </c>
      <c r="J131" s="136" t="str">
        <f>IF(booking!T131&gt;0,"oc","va")</f>
        <v>va</v>
      </c>
      <c r="K131" s="137" t="str">
        <f>IF(booking!U131&gt;0,"oc","va")</f>
        <v>va</v>
      </c>
      <c r="L131" s="136" t="str">
        <f>IF(booking!X131&gt;0,"oc","va")</f>
        <v>va</v>
      </c>
      <c r="M131" s="137" t="str">
        <f>IF(booking!Y131&gt;0,"oc","va")</f>
        <v>va</v>
      </c>
    </row>
    <row r="132" spans="1:13" x14ac:dyDescent="0.35">
      <c r="A132" s="5">
        <f>booking!C132</f>
        <v>46269</v>
      </c>
      <c r="B132" s="136" t="str">
        <f>IF(booking!D132&gt;0,"oc","va")</f>
        <v>va</v>
      </c>
      <c r="C132" s="137" t="str">
        <f>IF(booking!E132&gt;0,"oc","va")</f>
        <v>va</v>
      </c>
      <c r="D132" s="136" t="str">
        <f>IF(booking!H132&gt;0,"oc","va")</f>
        <v>va</v>
      </c>
      <c r="E132" s="137" t="str">
        <f>IF(booking!I132&gt;0,"oc","va")</f>
        <v>va</v>
      </c>
      <c r="F132" s="136" t="str">
        <f>IF(booking!L132&gt;0,"oc","va")</f>
        <v>va</v>
      </c>
      <c r="G132" s="137" t="str">
        <f>IF(booking!M132&gt;0,"oc","va")</f>
        <v>va</v>
      </c>
      <c r="H132" s="136" t="str">
        <f>IF(booking!P132&gt;0,"oc","va")</f>
        <v>va</v>
      </c>
      <c r="I132" s="137" t="str">
        <f>IF(booking!Q132&gt;0,"oc","va")</f>
        <v>va</v>
      </c>
      <c r="J132" s="136" t="str">
        <f>IF(booking!T132&gt;0,"oc","va")</f>
        <v>va</v>
      </c>
      <c r="K132" s="137" t="str">
        <f>IF(booking!U132&gt;0,"oc","va")</f>
        <v>va</v>
      </c>
      <c r="L132" s="136" t="str">
        <f>IF(booking!X132&gt;0,"oc","va")</f>
        <v>va</v>
      </c>
      <c r="M132" s="137" t="str">
        <f>IF(booking!Y132&gt;0,"oc","va")</f>
        <v>va</v>
      </c>
    </row>
    <row r="133" spans="1:13" x14ac:dyDescent="0.35">
      <c r="A133" s="5">
        <f>booking!C133</f>
        <v>46270</v>
      </c>
      <c r="B133" s="136" t="str">
        <f>IF(booking!D133&gt;0,"oc","va")</f>
        <v>va</v>
      </c>
      <c r="C133" s="137" t="str">
        <f>IF(booking!E133&gt;0,"oc","va")</f>
        <v>va</v>
      </c>
      <c r="D133" s="136" t="str">
        <f>IF(booking!H133&gt;0,"oc","va")</f>
        <v>va</v>
      </c>
      <c r="E133" s="137" t="str">
        <f>IF(booking!I133&gt;0,"oc","va")</f>
        <v>va</v>
      </c>
      <c r="F133" s="136" t="str">
        <f>IF(booking!L133&gt;0,"oc","va")</f>
        <v>va</v>
      </c>
      <c r="G133" s="137" t="str">
        <f>IF(booking!M133&gt;0,"oc","va")</f>
        <v>va</v>
      </c>
      <c r="H133" s="136" t="str">
        <f>IF(booking!P133&gt;0,"oc","va")</f>
        <v>va</v>
      </c>
      <c r="I133" s="137" t="str">
        <f>IF(booking!Q133&gt;0,"oc","va")</f>
        <v>va</v>
      </c>
      <c r="J133" s="136" t="str">
        <f>IF(booking!T133&gt;0,"oc","va")</f>
        <v>va</v>
      </c>
      <c r="K133" s="137" t="str">
        <f>IF(booking!U133&gt;0,"oc","va")</f>
        <v>va</v>
      </c>
      <c r="L133" s="136" t="str">
        <f>IF(booking!X133&gt;0,"oc","va")</f>
        <v>va</v>
      </c>
      <c r="M133" s="137" t="str">
        <f>IF(booking!Y133&gt;0,"oc","va")</f>
        <v>va</v>
      </c>
    </row>
    <row r="134" spans="1:13" x14ac:dyDescent="0.35">
      <c r="A134" s="5">
        <f>booking!C134</f>
        <v>46271</v>
      </c>
      <c r="B134" s="136" t="str">
        <f>IF(booking!D134&gt;0,"oc","va")</f>
        <v>va</v>
      </c>
      <c r="C134" s="137" t="str">
        <f>IF(booking!E134&gt;0,"oc","va")</f>
        <v>va</v>
      </c>
      <c r="D134" s="136" t="str">
        <f>IF(booking!H134&gt;0,"oc","va")</f>
        <v>va</v>
      </c>
      <c r="E134" s="137" t="str">
        <f>IF(booking!I134&gt;0,"oc","va")</f>
        <v>va</v>
      </c>
      <c r="F134" s="136" t="str">
        <f>IF(booking!L134&gt;0,"oc","va")</f>
        <v>va</v>
      </c>
      <c r="G134" s="137" t="str">
        <f>IF(booking!M134&gt;0,"oc","va")</f>
        <v>va</v>
      </c>
      <c r="H134" s="136" t="str">
        <f>IF(booking!P134&gt;0,"oc","va")</f>
        <v>va</v>
      </c>
      <c r="I134" s="137" t="str">
        <f>IF(booking!Q134&gt;0,"oc","va")</f>
        <v>va</v>
      </c>
      <c r="J134" s="136" t="str">
        <f>IF(booking!T134&gt;0,"oc","va")</f>
        <v>va</v>
      </c>
      <c r="K134" s="137" t="str">
        <f>IF(booking!U134&gt;0,"oc","va")</f>
        <v>oc</v>
      </c>
      <c r="L134" s="136" t="str">
        <f>IF(booking!X134&gt;0,"oc","va")</f>
        <v>va</v>
      </c>
      <c r="M134" s="137" t="str">
        <f>IF(booking!Y134&gt;0,"oc","va")</f>
        <v>va</v>
      </c>
    </row>
    <row r="135" spans="1:13" x14ac:dyDescent="0.35">
      <c r="A135" s="5">
        <f>booking!C135</f>
        <v>46272</v>
      </c>
      <c r="B135" s="136" t="str">
        <f>IF(booking!D135&gt;0,"oc","va")</f>
        <v>va</v>
      </c>
      <c r="C135" s="137" t="str">
        <f>IF(booking!E135&gt;0,"oc","va")</f>
        <v>va</v>
      </c>
      <c r="D135" s="136" t="str">
        <f>IF(booking!H135&gt;0,"oc","va")</f>
        <v>va</v>
      </c>
      <c r="E135" s="137" t="str">
        <f>IF(booking!I135&gt;0,"oc","va")</f>
        <v>va</v>
      </c>
      <c r="F135" s="136" t="str">
        <f>IF(booking!L135&gt;0,"oc","va")</f>
        <v>va</v>
      </c>
      <c r="G135" s="137" t="str">
        <f>IF(booking!M135&gt;0,"oc","va")</f>
        <v>va</v>
      </c>
      <c r="H135" s="136" t="str">
        <f>IF(booking!P135&gt;0,"oc","va")</f>
        <v>va</v>
      </c>
      <c r="I135" s="137" t="str">
        <f>IF(booking!Q135&gt;0,"oc","va")</f>
        <v>va</v>
      </c>
      <c r="J135" s="136" t="str">
        <f>IF(booking!T135&gt;0,"oc","va")</f>
        <v>oc</v>
      </c>
      <c r="K135" s="137" t="str">
        <f>IF(booking!U135&gt;0,"oc","va")</f>
        <v>oc</v>
      </c>
      <c r="L135" s="136" t="str">
        <f>IF(booking!X135&gt;0,"oc","va")</f>
        <v>va</v>
      </c>
      <c r="M135" s="137" t="str">
        <f>IF(booking!Y135&gt;0,"oc","va")</f>
        <v>va</v>
      </c>
    </row>
    <row r="136" spans="1:13" x14ac:dyDescent="0.35">
      <c r="A136" s="5">
        <f>booking!C136</f>
        <v>46273</v>
      </c>
      <c r="B136" s="136" t="str">
        <f>IF(booking!D136&gt;0,"oc","va")</f>
        <v>va</v>
      </c>
      <c r="C136" s="137" t="str">
        <f>IF(booking!E136&gt;0,"oc","va")</f>
        <v>va</v>
      </c>
      <c r="D136" s="136" t="str">
        <f>IF(booking!H136&gt;0,"oc","va")</f>
        <v>va</v>
      </c>
      <c r="E136" s="137" t="str">
        <f>IF(booking!I136&gt;0,"oc","va")</f>
        <v>va</v>
      </c>
      <c r="F136" s="136" t="str">
        <f>IF(booking!L136&gt;0,"oc","va")</f>
        <v>va</v>
      </c>
      <c r="G136" s="137" t="str">
        <f>IF(booking!M136&gt;0,"oc","va")</f>
        <v>va</v>
      </c>
      <c r="H136" s="136" t="str">
        <f>IF(booking!P136&gt;0,"oc","va")</f>
        <v>va</v>
      </c>
      <c r="I136" s="137" t="str">
        <f>IF(booking!Q136&gt;0,"oc","va")</f>
        <v>va</v>
      </c>
      <c r="J136" s="136" t="str">
        <f>IF(booking!T136&gt;0,"oc","va")</f>
        <v>oc</v>
      </c>
      <c r="K136" s="137" t="str">
        <f>IF(booking!U136&gt;0,"oc","va")</f>
        <v>oc</v>
      </c>
      <c r="L136" s="136" t="str">
        <f>IF(booking!X136&gt;0,"oc","va")</f>
        <v>va</v>
      </c>
      <c r="M136" s="137" t="str">
        <f>IF(booking!Y136&gt;0,"oc","va")</f>
        <v>va</v>
      </c>
    </row>
    <row r="137" spans="1:13" x14ac:dyDescent="0.35">
      <c r="A137" s="5">
        <f>booking!C137</f>
        <v>46274</v>
      </c>
      <c r="B137" s="136" t="str">
        <f>IF(booking!D137&gt;0,"oc","va")</f>
        <v>va</v>
      </c>
      <c r="C137" s="137" t="str">
        <f>IF(booking!E137&gt;0,"oc","va")</f>
        <v>va</v>
      </c>
      <c r="D137" s="136" t="str">
        <f>IF(booking!H137&gt;0,"oc","va")</f>
        <v>va</v>
      </c>
      <c r="E137" s="137" t="str">
        <f>IF(booking!I137&gt;0,"oc","va")</f>
        <v>va</v>
      </c>
      <c r="F137" s="136" t="str">
        <f>IF(booking!L137&gt;0,"oc","va")</f>
        <v>va</v>
      </c>
      <c r="G137" s="137" t="str">
        <f>IF(booking!M137&gt;0,"oc","va")</f>
        <v>va</v>
      </c>
      <c r="H137" s="136" t="str">
        <f>IF(booking!P137&gt;0,"oc","va")</f>
        <v>va</v>
      </c>
      <c r="I137" s="137" t="str">
        <f>IF(booking!Q137&gt;0,"oc","va")</f>
        <v>va</v>
      </c>
      <c r="J137" s="136" t="str">
        <f>IF(booking!T137&gt;0,"oc","va")</f>
        <v>oc</v>
      </c>
      <c r="K137" s="137" t="str">
        <f>IF(booking!U137&gt;0,"oc","va")</f>
        <v>oc</v>
      </c>
      <c r="L137" s="136" t="str">
        <f>IF(booking!X137&gt;0,"oc","va")</f>
        <v>va</v>
      </c>
      <c r="M137" s="137" t="str">
        <f>IF(booking!Y137&gt;0,"oc","va")</f>
        <v>va</v>
      </c>
    </row>
    <row r="138" spans="1:13" x14ac:dyDescent="0.35">
      <c r="A138" s="5">
        <f>booking!C138</f>
        <v>46275</v>
      </c>
      <c r="B138" s="136" t="str">
        <f>IF(booking!D138&gt;0,"oc","va")</f>
        <v>va</v>
      </c>
      <c r="C138" s="137" t="str">
        <f>IF(booking!E138&gt;0,"oc","va")</f>
        <v>va</v>
      </c>
      <c r="D138" s="136" t="str">
        <f>IF(booking!H138&gt;0,"oc","va")</f>
        <v>va</v>
      </c>
      <c r="E138" s="137" t="str">
        <f>IF(booking!I138&gt;0,"oc","va")</f>
        <v>va</v>
      </c>
      <c r="F138" s="136" t="str">
        <f>IF(booking!L138&gt;0,"oc","va")</f>
        <v>va</v>
      </c>
      <c r="G138" s="137" t="str">
        <f>IF(booking!M138&gt;0,"oc","va")</f>
        <v>va</v>
      </c>
      <c r="H138" s="136" t="str">
        <f>IF(booking!P138&gt;0,"oc","va")</f>
        <v>va</v>
      </c>
      <c r="I138" s="137" t="str">
        <f>IF(booking!Q138&gt;0,"oc","va")</f>
        <v>va</v>
      </c>
      <c r="J138" s="136" t="str">
        <f>IF(booking!T138&gt;0,"oc","va")</f>
        <v>oc</v>
      </c>
      <c r="K138" s="137" t="str">
        <f>IF(booking!U138&gt;0,"oc","va")</f>
        <v>oc</v>
      </c>
      <c r="L138" s="136" t="str">
        <f>IF(booking!X138&gt;0,"oc","va")</f>
        <v>va</v>
      </c>
      <c r="M138" s="137" t="str">
        <f>IF(booking!Y138&gt;0,"oc","va")</f>
        <v>va</v>
      </c>
    </row>
    <row r="139" spans="1:13" x14ac:dyDescent="0.35">
      <c r="A139" s="5">
        <f>booking!C139</f>
        <v>46276</v>
      </c>
      <c r="B139" s="136" t="str">
        <f>IF(booking!D139&gt;0,"oc","va")</f>
        <v>va</v>
      </c>
      <c r="C139" s="137" t="str">
        <f>IF(booking!E139&gt;0,"oc","va")</f>
        <v>oc</v>
      </c>
      <c r="D139" s="136" t="str">
        <f>IF(booking!H139&gt;0,"oc","va")</f>
        <v>va</v>
      </c>
      <c r="E139" s="137" t="str">
        <f>IF(booking!I139&gt;0,"oc","va")</f>
        <v>oc</v>
      </c>
      <c r="F139" s="136" t="str">
        <f>IF(booking!L139&gt;0,"oc","va")</f>
        <v>va</v>
      </c>
      <c r="G139" s="137" t="str">
        <f>IF(booking!M139&gt;0,"oc","va")</f>
        <v>va</v>
      </c>
      <c r="H139" s="136" t="str">
        <f>IF(booking!P139&gt;0,"oc","va")</f>
        <v>va</v>
      </c>
      <c r="I139" s="137" t="str">
        <f>IF(booking!Q139&gt;0,"oc","va")</f>
        <v>va</v>
      </c>
      <c r="J139" s="136" t="str">
        <f>IF(booking!T139&gt;0,"oc","va")</f>
        <v>oc</v>
      </c>
      <c r="K139" s="137" t="str">
        <f>IF(booking!U139&gt;0,"oc","va")</f>
        <v>oc</v>
      </c>
      <c r="L139" s="136" t="str">
        <f>IF(booking!X139&gt;0,"oc","va")</f>
        <v>va</v>
      </c>
      <c r="M139" s="137" t="str">
        <f>IF(booking!Y139&gt;0,"oc","va")</f>
        <v>va</v>
      </c>
    </row>
    <row r="140" spans="1:13" x14ac:dyDescent="0.35">
      <c r="A140" s="5">
        <f>booking!C140</f>
        <v>46277</v>
      </c>
      <c r="B140" s="136" t="str">
        <f>IF(booking!D140&gt;0,"oc","va")</f>
        <v>oc</v>
      </c>
      <c r="C140" s="137" t="str">
        <f>IF(booking!E140&gt;0,"oc","va")</f>
        <v>oc</v>
      </c>
      <c r="D140" s="136" t="str">
        <f>IF(booking!H140&gt;0,"oc","va")</f>
        <v>oc</v>
      </c>
      <c r="E140" s="137" t="str">
        <f>IF(booking!I140&gt;0,"oc","va")</f>
        <v>oc</v>
      </c>
      <c r="F140" s="136" t="str">
        <f>IF(booking!L140&gt;0,"oc","va")</f>
        <v>va</v>
      </c>
      <c r="G140" s="137" t="str">
        <f>IF(booking!M140&gt;0,"oc","va")</f>
        <v>oc</v>
      </c>
      <c r="H140" s="136" t="str">
        <f>IF(booking!P140&gt;0,"oc","va")</f>
        <v>va</v>
      </c>
      <c r="I140" s="137" t="str">
        <f>IF(booking!Q140&gt;0,"oc","va")</f>
        <v>va</v>
      </c>
      <c r="J140" s="136" t="str">
        <f>IF(booking!T140&gt;0,"oc","va")</f>
        <v>oc</v>
      </c>
      <c r="K140" s="137" t="str">
        <f>IF(booking!U140&gt;0,"oc","va")</f>
        <v>oc</v>
      </c>
      <c r="L140" s="136" t="str">
        <f>IF(booking!X140&gt;0,"oc","va")</f>
        <v>va</v>
      </c>
      <c r="M140" s="137" t="str">
        <f>IF(booking!Y140&gt;0,"oc","va")</f>
        <v>va</v>
      </c>
    </row>
    <row r="141" spans="1:13" x14ac:dyDescent="0.35">
      <c r="A141" s="5">
        <f>booking!C141</f>
        <v>46278</v>
      </c>
      <c r="B141" s="136" t="str">
        <f>IF(booking!D141&gt;0,"oc","va")</f>
        <v>oc</v>
      </c>
      <c r="C141" s="137" t="str">
        <f>IF(booking!E141&gt;0,"oc","va")</f>
        <v>va</v>
      </c>
      <c r="D141" s="136" t="str">
        <f>IF(booking!H141&gt;0,"oc","va")</f>
        <v>oc</v>
      </c>
      <c r="E141" s="137" t="str">
        <f>IF(booking!I141&gt;0,"oc","va")</f>
        <v>va</v>
      </c>
      <c r="F141" s="136" t="str">
        <f>IF(booking!L141&gt;0,"oc","va")</f>
        <v>oc</v>
      </c>
      <c r="G141" s="137" t="str">
        <f>IF(booking!M141&gt;0,"oc","va")</f>
        <v>oc</v>
      </c>
      <c r="H141" s="136" t="str">
        <f>IF(booking!P141&gt;0,"oc","va")</f>
        <v>va</v>
      </c>
      <c r="I141" s="137" t="str">
        <f>IF(booking!Q141&gt;0,"oc","va")</f>
        <v>va</v>
      </c>
      <c r="J141" s="136" t="str">
        <f>IF(booking!T141&gt;0,"oc","va")</f>
        <v>oc</v>
      </c>
      <c r="K141" s="137" t="str">
        <f>IF(booking!U141&gt;0,"oc","va")</f>
        <v>oc</v>
      </c>
      <c r="L141" s="136" t="str">
        <f>IF(booking!X141&gt;0,"oc","va")</f>
        <v>va</v>
      </c>
      <c r="M141" s="137" t="str">
        <f>IF(booking!Y141&gt;0,"oc","va")</f>
        <v>va</v>
      </c>
    </row>
    <row r="142" spans="1:13" x14ac:dyDescent="0.35">
      <c r="A142" s="5">
        <f>booking!C142</f>
        <v>46279</v>
      </c>
      <c r="B142" s="136" t="str">
        <f>IF(booking!D142&gt;0,"oc","va")</f>
        <v>va</v>
      </c>
      <c r="C142" s="137" t="str">
        <f>IF(booking!E142&gt;0,"oc","va")</f>
        <v>oc</v>
      </c>
      <c r="D142" s="136" t="str">
        <f>IF(booking!H142&gt;0,"oc","va")</f>
        <v>va</v>
      </c>
      <c r="E142" s="137" t="str">
        <f>IF(booking!I142&gt;0,"oc","va")</f>
        <v>va</v>
      </c>
      <c r="F142" s="136" t="str">
        <f>IF(booking!L142&gt;0,"oc","va")</f>
        <v>oc</v>
      </c>
      <c r="G142" s="137" t="str">
        <f>IF(booking!M142&gt;0,"oc","va")</f>
        <v>oc</v>
      </c>
      <c r="H142" s="136" t="str">
        <f>IF(booking!P142&gt;0,"oc","va")</f>
        <v>va</v>
      </c>
      <c r="I142" s="137" t="str">
        <f>IF(booking!Q142&gt;0,"oc","va")</f>
        <v>oc</v>
      </c>
      <c r="J142" s="136" t="str">
        <f>IF(booking!T142&gt;0,"oc","va")</f>
        <v>oc</v>
      </c>
      <c r="K142" s="137" t="str">
        <f>IF(booking!U142&gt;0,"oc","va")</f>
        <v>oc</v>
      </c>
      <c r="L142" s="136" t="str">
        <f>IF(booking!X142&gt;0,"oc","va")</f>
        <v>va</v>
      </c>
      <c r="M142" s="137" t="str">
        <f>IF(booking!Y142&gt;0,"oc","va")</f>
        <v>va</v>
      </c>
    </row>
    <row r="143" spans="1:13" x14ac:dyDescent="0.35">
      <c r="A143" s="5">
        <f>booking!C143</f>
        <v>46280</v>
      </c>
      <c r="B143" s="136" t="str">
        <f>IF(booking!D143&gt;0,"oc","va")</f>
        <v>oc</v>
      </c>
      <c r="C143" s="137" t="str">
        <f>IF(booking!E143&gt;0,"oc","va")</f>
        <v>oc</v>
      </c>
      <c r="D143" s="136" t="str">
        <f>IF(booking!H143&gt;0,"oc","va")</f>
        <v>va</v>
      </c>
      <c r="E143" s="137" t="str">
        <f>IF(booking!I143&gt;0,"oc","va")</f>
        <v>va</v>
      </c>
      <c r="F143" s="136" t="str">
        <f>IF(booking!L143&gt;0,"oc","va")</f>
        <v>oc</v>
      </c>
      <c r="G143" s="137" t="str">
        <f>IF(booking!M143&gt;0,"oc","va")</f>
        <v>oc</v>
      </c>
      <c r="H143" s="136" t="str">
        <f>IF(booking!P143&gt;0,"oc","va")</f>
        <v>oc</v>
      </c>
      <c r="I143" s="137" t="str">
        <f>IF(booking!Q143&gt;0,"oc","va")</f>
        <v>oc</v>
      </c>
      <c r="J143" s="136" t="str">
        <f>IF(booking!T143&gt;0,"oc","va")</f>
        <v>oc</v>
      </c>
      <c r="K143" s="137" t="str">
        <f>IF(booking!U143&gt;0,"oc","va")</f>
        <v>oc</v>
      </c>
      <c r="L143" s="136" t="str">
        <f>IF(booking!X143&gt;0,"oc","va")</f>
        <v>va</v>
      </c>
      <c r="M143" s="137" t="str">
        <f>IF(booking!Y143&gt;0,"oc","va")</f>
        <v>va</v>
      </c>
    </row>
    <row r="144" spans="1:13" x14ac:dyDescent="0.35">
      <c r="A144" s="5">
        <f>booking!C144</f>
        <v>46281</v>
      </c>
      <c r="B144" s="136" t="str">
        <f>IF(booking!D144&gt;0,"oc","va")</f>
        <v>oc</v>
      </c>
      <c r="C144" s="137" t="str">
        <f>IF(booking!E144&gt;0,"oc","va")</f>
        <v>va</v>
      </c>
      <c r="D144" s="136" t="str">
        <f>IF(booking!H144&gt;0,"oc","va")</f>
        <v>va</v>
      </c>
      <c r="E144" s="137" t="str">
        <f>IF(booking!I144&gt;0,"oc","va")</f>
        <v>oc</v>
      </c>
      <c r="F144" s="136" t="str">
        <f>IF(booking!L144&gt;0,"oc","va")</f>
        <v>oc</v>
      </c>
      <c r="G144" s="137" t="str">
        <f>IF(booking!M144&gt;0,"oc","va")</f>
        <v>oc</v>
      </c>
      <c r="H144" s="136" t="str">
        <f>IF(booking!P144&gt;0,"oc","va")</f>
        <v>oc</v>
      </c>
      <c r="I144" s="137" t="str">
        <f>IF(booking!Q144&gt;0,"oc","va")</f>
        <v>va</v>
      </c>
      <c r="J144" s="136" t="str">
        <f>IF(booking!T144&gt;0,"oc","va")</f>
        <v>oc</v>
      </c>
      <c r="K144" s="137" t="str">
        <f>IF(booking!U144&gt;0,"oc","va")</f>
        <v>oc</v>
      </c>
      <c r="L144" s="136" t="str">
        <f>IF(booking!X144&gt;0,"oc","va")</f>
        <v>va</v>
      </c>
      <c r="M144" s="137" t="str">
        <f>IF(booking!Y144&gt;0,"oc","va")</f>
        <v>va</v>
      </c>
    </row>
    <row r="145" spans="1:13" x14ac:dyDescent="0.35">
      <c r="A145" s="5">
        <f>booking!C145</f>
        <v>46282</v>
      </c>
      <c r="B145" s="136" t="str">
        <f>IF(booking!D145&gt;0,"oc","va")</f>
        <v>va</v>
      </c>
      <c r="C145" s="137" t="str">
        <f>IF(booking!E145&gt;0,"oc","va")</f>
        <v>oc</v>
      </c>
      <c r="D145" s="136" t="str">
        <f>IF(booking!H145&gt;0,"oc","va")</f>
        <v>oc</v>
      </c>
      <c r="E145" s="137" t="str">
        <f>IF(booking!I145&gt;0,"oc","va")</f>
        <v>oc</v>
      </c>
      <c r="F145" s="136" t="str">
        <f>IF(booking!L145&gt;0,"oc","va")</f>
        <v>oc</v>
      </c>
      <c r="G145" s="137" t="str">
        <f>IF(booking!M145&gt;0,"oc","va")</f>
        <v>oc</v>
      </c>
      <c r="H145" s="136" t="str">
        <f>IF(booking!P145&gt;0,"oc","va")</f>
        <v>va</v>
      </c>
      <c r="I145" s="137" t="str">
        <f>IF(booking!Q145&gt;0,"oc","va")</f>
        <v>oc</v>
      </c>
      <c r="J145" s="136" t="str">
        <f>IF(booking!T145&gt;0,"oc","va")</f>
        <v>oc</v>
      </c>
      <c r="K145" s="137" t="str">
        <f>IF(booking!U145&gt;0,"oc","va")</f>
        <v>va</v>
      </c>
      <c r="L145" s="136" t="str">
        <f>IF(booking!X145&gt;0,"oc","va")</f>
        <v>va</v>
      </c>
      <c r="M145" s="137" t="str">
        <f>IF(booking!Y145&gt;0,"oc","va")</f>
        <v>va</v>
      </c>
    </row>
    <row r="146" spans="1:13" x14ac:dyDescent="0.35">
      <c r="A146" s="5">
        <f>booking!C146</f>
        <v>46283</v>
      </c>
      <c r="B146" s="136" t="str">
        <f>IF(booking!D146&gt;0,"oc","va")</f>
        <v>oc</v>
      </c>
      <c r="C146" s="137" t="str">
        <f>IF(booking!E146&gt;0,"oc","va")</f>
        <v>oc</v>
      </c>
      <c r="D146" s="136" t="str">
        <f>IF(booking!H146&gt;0,"oc","va")</f>
        <v>oc</v>
      </c>
      <c r="E146" s="137" t="str">
        <f>IF(booking!I146&gt;0,"oc","va")</f>
        <v>oc</v>
      </c>
      <c r="F146" s="136" t="str">
        <f>IF(booking!L146&gt;0,"oc","va")</f>
        <v>oc</v>
      </c>
      <c r="G146" s="137" t="str">
        <f>IF(booking!M146&gt;0,"oc","va")</f>
        <v>oc</v>
      </c>
      <c r="H146" s="136" t="str">
        <f>IF(booking!P146&gt;0,"oc","va")</f>
        <v>oc</v>
      </c>
      <c r="I146" s="137" t="str">
        <f>IF(booking!Q146&gt;0,"oc","va")</f>
        <v>oc</v>
      </c>
      <c r="J146" s="136" t="str">
        <f>IF(booking!T146&gt;0,"oc","va")</f>
        <v>va</v>
      </c>
      <c r="K146" s="137" t="str">
        <f>IF(booking!U146&gt;0,"oc","va")</f>
        <v>oc</v>
      </c>
      <c r="L146" s="136" t="str">
        <f>IF(booking!X146&gt;0,"oc","va")</f>
        <v>va</v>
      </c>
      <c r="M146" s="137" t="str">
        <f>IF(booking!Y146&gt;0,"oc","va")</f>
        <v>va</v>
      </c>
    </row>
    <row r="147" spans="1:13" x14ac:dyDescent="0.35">
      <c r="A147" s="5">
        <f>booking!C147</f>
        <v>46284</v>
      </c>
      <c r="B147" s="136" t="str">
        <f>IF(booking!D147&gt;0,"oc","va")</f>
        <v>oc</v>
      </c>
      <c r="C147" s="137" t="str">
        <f>IF(booking!E147&gt;0,"oc","va")</f>
        <v>oc</v>
      </c>
      <c r="D147" s="136" t="str">
        <f>IF(booking!H147&gt;0,"oc","va")</f>
        <v>oc</v>
      </c>
      <c r="E147" s="137" t="str">
        <f>IF(booking!I147&gt;0,"oc","va")</f>
        <v>oc</v>
      </c>
      <c r="F147" s="136" t="str">
        <f>IF(booking!L147&gt;0,"oc","va")</f>
        <v>oc</v>
      </c>
      <c r="G147" s="137" t="str">
        <f>IF(booking!M147&gt;0,"oc","va")</f>
        <v>va</v>
      </c>
      <c r="H147" s="136" t="str">
        <f>IF(booking!P147&gt;0,"oc","va")</f>
        <v>oc</v>
      </c>
      <c r="I147" s="137" t="str">
        <f>IF(booking!Q147&gt;0,"oc","va")</f>
        <v>oc</v>
      </c>
      <c r="J147" s="136" t="str">
        <f>IF(booking!T147&gt;0,"oc","va")</f>
        <v>oc</v>
      </c>
      <c r="K147" s="137" t="str">
        <f>IF(booking!U147&gt;0,"oc","va")</f>
        <v>oc</v>
      </c>
      <c r="L147" s="136" t="str">
        <f>IF(booking!X147&gt;0,"oc","va")</f>
        <v>va</v>
      </c>
      <c r="M147" s="137" t="str">
        <f>IF(booking!Y147&gt;0,"oc","va")</f>
        <v>va</v>
      </c>
    </row>
    <row r="148" spans="1:13" x14ac:dyDescent="0.35">
      <c r="A148" s="5">
        <f>booking!C148</f>
        <v>46285</v>
      </c>
      <c r="B148" s="136" t="str">
        <f>IF(booking!D148&gt;0,"oc","va")</f>
        <v>oc</v>
      </c>
      <c r="C148" s="137" t="str">
        <f>IF(booking!E148&gt;0,"oc","va")</f>
        <v>va</v>
      </c>
      <c r="D148" s="136" t="str">
        <f>IF(booking!H148&gt;0,"oc","va")</f>
        <v>oc</v>
      </c>
      <c r="E148" s="137" t="str">
        <f>IF(booking!I148&gt;0,"oc","va")</f>
        <v>oc</v>
      </c>
      <c r="F148" s="136" t="str">
        <f>IF(booking!L148&gt;0,"oc","va")</f>
        <v>va</v>
      </c>
      <c r="G148" s="137" t="str">
        <f>IF(booking!M148&gt;0,"oc","va")</f>
        <v>va</v>
      </c>
      <c r="H148" s="136" t="str">
        <f>IF(booking!P148&gt;0,"oc","va")</f>
        <v>oc</v>
      </c>
      <c r="I148" s="137" t="str">
        <f>IF(booking!Q148&gt;0,"oc","va")</f>
        <v>va</v>
      </c>
      <c r="J148" s="136" t="str">
        <f>IF(booking!T148&gt;0,"oc","va")</f>
        <v>oc</v>
      </c>
      <c r="K148" s="137" t="str">
        <f>IF(booking!U148&gt;0,"oc","va")</f>
        <v>va</v>
      </c>
      <c r="L148" s="136" t="str">
        <f>IF(booking!X148&gt;0,"oc","va")</f>
        <v>va</v>
      </c>
      <c r="M148" s="137" t="str">
        <f>IF(booking!Y148&gt;0,"oc","va")</f>
        <v>va</v>
      </c>
    </row>
    <row r="149" spans="1:13" x14ac:dyDescent="0.35">
      <c r="A149" s="5">
        <f>booking!C149</f>
        <v>46286</v>
      </c>
      <c r="B149" s="136" t="str">
        <f>IF(booking!D149&gt;0,"oc","va")</f>
        <v>va</v>
      </c>
      <c r="C149" s="137" t="str">
        <f>IF(booking!E149&gt;0,"oc","va")</f>
        <v>va</v>
      </c>
      <c r="D149" s="136" t="str">
        <f>IF(booking!H149&gt;0,"oc","va")</f>
        <v>oc</v>
      </c>
      <c r="E149" s="137" t="str">
        <f>IF(booking!I149&gt;0,"oc","va")</f>
        <v>va</v>
      </c>
      <c r="F149" s="136" t="str">
        <f>IF(booking!L149&gt;0,"oc","va")</f>
        <v>va</v>
      </c>
      <c r="G149" s="137" t="str">
        <f>IF(booking!M149&gt;0,"oc","va")</f>
        <v>va</v>
      </c>
      <c r="H149" s="136" t="str">
        <f>IF(booking!P149&gt;0,"oc","va")</f>
        <v>va</v>
      </c>
      <c r="I149" s="137" t="str">
        <f>IF(booking!Q149&gt;0,"oc","va")</f>
        <v>va</v>
      </c>
      <c r="J149" s="136" t="str">
        <f>IF(booking!T149&gt;0,"oc","va")</f>
        <v>va</v>
      </c>
      <c r="K149" s="137" t="str">
        <f>IF(booking!U149&gt;0,"oc","va")</f>
        <v>va</v>
      </c>
      <c r="L149" s="136" t="str">
        <f>IF(booking!X149&gt;0,"oc","va")</f>
        <v>va</v>
      </c>
      <c r="M149" s="137" t="str">
        <f>IF(booking!Y149&gt;0,"oc","va")</f>
        <v>va</v>
      </c>
    </row>
    <row r="150" spans="1:13" x14ac:dyDescent="0.35">
      <c r="A150" s="5">
        <f>booking!C150</f>
        <v>46287</v>
      </c>
      <c r="B150" s="136" t="str">
        <f>IF(booking!D150&gt;0,"oc","va")</f>
        <v>va</v>
      </c>
      <c r="C150" s="137" t="str">
        <f>IF(booking!E150&gt;0,"oc","va")</f>
        <v>va</v>
      </c>
      <c r="D150" s="136" t="str">
        <f>IF(booking!H150&gt;0,"oc","va")</f>
        <v>va</v>
      </c>
      <c r="E150" s="137" t="str">
        <f>IF(booking!I150&gt;0,"oc","va")</f>
        <v>va</v>
      </c>
      <c r="F150" s="136" t="str">
        <f>IF(booking!L150&gt;0,"oc","va")</f>
        <v>va</v>
      </c>
      <c r="G150" s="137" t="str">
        <f>IF(booking!M150&gt;0,"oc","va")</f>
        <v>va</v>
      </c>
      <c r="H150" s="136" t="str">
        <f>IF(booking!P150&gt;0,"oc","va")</f>
        <v>va</v>
      </c>
      <c r="I150" s="137" t="str">
        <f>IF(booking!Q150&gt;0,"oc","va")</f>
        <v>va</v>
      </c>
      <c r="J150" s="136" t="str">
        <f>IF(booking!T150&gt;0,"oc","va")</f>
        <v>va</v>
      </c>
      <c r="K150" s="137" t="str">
        <f>IF(booking!U150&gt;0,"oc","va")</f>
        <v>va</v>
      </c>
      <c r="L150" s="136" t="str">
        <f>IF(booking!X150&gt;0,"oc","va")</f>
        <v>va</v>
      </c>
      <c r="M150" s="137" t="str">
        <f>IF(booking!Y150&gt;0,"oc","va")</f>
        <v>va</v>
      </c>
    </row>
    <row r="151" spans="1:13" x14ac:dyDescent="0.35">
      <c r="A151" s="5">
        <f>booking!C151</f>
        <v>46288</v>
      </c>
      <c r="B151" s="136" t="str">
        <f>IF(booking!D151&gt;0,"oc","va")</f>
        <v>va</v>
      </c>
      <c r="C151" s="137" t="str">
        <f>IF(booking!E151&gt;0,"oc","va")</f>
        <v>va</v>
      </c>
      <c r="D151" s="136" t="str">
        <f>IF(booking!H151&gt;0,"oc","va")</f>
        <v>va</v>
      </c>
      <c r="E151" s="137" t="str">
        <f>IF(booking!I151&gt;0,"oc","va")</f>
        <v>va</v>
      </c>
      <c r="F151" s="136" t="str">
        <f>IF(booking!L151&gt;0,"oc","va")</f>
        <v>va</v>
      </c>
      <c r="G151" s="137" t="str">
        <f>IF(booking!M151&gt;0,"oc","va")</f>
        <v>va</v>
      </c>
      <c r="H151" s="136" t="str">
        <f>IF(booking!P151&gt;0,"oc","va")</f>
        <v>va</v>
      </c>
      <c r="I151" s="137" t="str">
        <f>IF(booking!Q151&gt;0,"oc","va")</f>
        <v>va</v>
      </c>
      <c r="J151" s="136" t="str">
        <f>IF(booking!T151&gt;0,"oc","va")</f>
        <v>va</v>
      </c>
      <c r="K151" s="137" t="str">
        <f>IF(booking!U151&gt;0,"oc","va")</f>
        <v>va</v>
      </c>
      <c r="L151" s="136" t="str">
        <f>IF(booking!X151&gt;0,"oc","va")</f>
        <v>va</v>
      </c>
      <c r="M151" s="137" t="str">
        <f>IF(booking!Y151&gt;0,"oc","va")</f>
        <v>va</v>
      </c>
    </row>
    <row r="152" spans="1:13" x14ac:dyDescent="0.35">
      <c r="A152" s="5">
        <f>booking!C152</f>
        <v>46289</v>
      </c>
      <c r="B152" s="136" t="str">
        <f>IF(booking!D152&gt;0,"oc","va")</f>
        <v>va</v>
      </c>
      <c r="C152" s="137" t="str">
        <f>IF(booking!E152&gt;0,"oc","va")</f>
        <v>va</v>
      </c>
      <c r="D152" s="136" t="str">
        <f>IF(booking!H152&gt;0,"oc","va")</f>
        <v>va</v>
      </c>
      <c r="E152" s="137" t="str">
        <f>IF(booking!I152&gt;0,"oc","va")</f>
        <v>va</v>
      </c>
      <c r="F152" s="136" t="str">
        <f>IF(booking!L152&gt;0,"oc","va")</f>
        <v>va</v>
      </c>
      <c r="G152" s="137" t="str">
        <f>IF(booking!M152&gt;0,"oc","va")</f>
        <v>va</v>
      </c>
      <c r="H152" s="136" t="str">
        <f>IF(booking!P152&gt;0,"oc","va")</f>
        <v>va</v>
      </c>
      <c r="I152" s="137" t="str">
        <f>IF(booking!Q152&gt;0,"oc","va")</f>
        <v>va</v>
      </c>
      <c r="J152" s="136" t="str">
        <f>IF(booking!T152&gt;0,"oc","va")</f>
        <v>va</v>
      </c>
      <c r="K152" s="137" t="str">
        <f>IF(booking!U152&gt;0,"oc","va")</f>
        <v>va</v>
      </c>
      <c r="L152" s="136" t="str">
        <f>IF(booking!X152&gt;0,"oc","va")</f>
        <v>va</v>
      </c>
      <c r="M152" s="137" t="str">
        <f>IF(booking!Y152&gt;0,"oc","va")</f>
        <v>va</v>
      </c>
    </row>
    <row r="153" spans="1:13" x14ac:dyDescent="0.35">
      <c r="A153" s="5">
        <f>booking!C153</f>
        <v>46290</v>
      </c>
      <c r="B153" s="136" t="str">
        <f>IF(booking!D153&gt;0,"oc","va")</f>
        <v>va</v>
      </c>
      <c r="C153" s="137" t="str">
        <f>IF(booking!E153&gt;0,"oc","va")</f>
        <v>va</v>
      </c>
      <c r="D153" s="136" t="str">
        <f>IF(booking!H153&gt;0,"oc","va")</f>
        <v>va</v>
      </c>
      <c r="E153" s="137" t="str">
        <f>IF(booking!I153&gt;0,"oc","va")</f>
        <v>va</v>
      </c>
      <c r="F153" s="136" t="str">
        <f>IF(booking!L153&gt;0,"oc","va")</f>
        <v>va</v>
      </c>
      <c r="G153" s="137" t="str">
        <f>IF(booking!M153&gt;0,"oc","va")</f>
        <v>va</v>
      </c>
      <c r="H153" s="136" t="str">
        <f>IF(booking!P153&gt;0,"oc","va")</f>
        <v>va</v>
      </c>
      <c r="I153" s="137" t="str">
        <f>IF(booking!Q153&gt;0,"oc","va")</f>
        <v>va</v>
      </c>
      <c r="J153" s="136" t="str">
        <f>IF(booking!T153&gt;0,"oc","va")</f>
        <v>va</v>
      </c>
      <c r="K153" s="137" t="str">
        <f>IF(booking!U153&gt;0,"oc","va")</f>
        <v>va</v>
      </c>
      <c r="L153" s="136" t="str">
        <f>IF(booking!X153&gt;0,"oc","va")</f>
        <v>va</v>
      </c>
      <c r="M153" s="137" t="str">
        <f>IF(booking!Y153&gt;0,"oc","va")</f>
        <v>va</v>
      </c>
    </row>
    <row r="154" spans="1:13" x14ac:dyDescent="0.35">
      <c r="A154" s="5">
        <f>booking!C154</f>
        <v>46291</v>
      </c>
      <c r="B154" s="136" t="str">
        <f>IF(booking!D154&gt;0,"oc","va")</f>
        <v>va</v>
      </c>
      <c r="C154" s="137" t="str">
        <f>IF(booking!E154&gt;0,"oc","va")</f>
        <v>va</v>
      </c>
      <c r="D154" s="136" t="str">
        <f>IF(booking!H154&gt;0,"oc","va")</f>
        <v>va</v>
      </c>
      <c r="E154" s="137" t="str">
        <f>IF(booking!I154&gt;0,"oc","va")</f>
        <v>va</v>
      </c>
      <c r="F154" s="136" t="str">
        <f>IF(booking!L154&gt;0,"oc","va")</f>
        <v>va</v>
      </c>
      <c r="G154" s="137" t="str">
        <f>IF(booking!M154&gt;0,"oc","va")</f>
        <v>va</v>
      </c>
      <c r="H154" s="136" t="str">
        <f>IF(booking!P154&gt;0,"oc","va")</f>
        <v>va</v>
      </c>
      <c r="I154" s="137" t="str">
        <f>IF(booking!Q154&gt;0,"oc","va")</f>
        <v>va</v>
      </c>
      <c r="J154" s="136" t="str">
        <f>IF(booking!T154&gt;0,"oc","va")</f>
        <v>va</v>
      </c>
      <c r="K154" s="137" t="str">
        <f>IF(booking!U154&gt;0,"oc","va")</f>
        <v>va</v>
      </c>
      <c r="L154" s="136" t="str">
        <f>IF(booking!X154&gt;0,"oc","va")</f>
        <v>va</v>
      </c>
      <c r="M154" s="137" t="str">
        <f>IF(booking!Y154&gt;0,"oc","va")</f>
        <v>va</v>
      </c>
    </row>
    <row r="155" spans="1:13" x14ac:dyDescent="0.35">
      <c r="A155" s="5">
        <f>booking!C155</f>
        <v>46292</v>
      </c>
      <c r="B155" s="136" t="str">
        <f>IF(booking!D155&gt;0,"oc","va")</f>
        <v>va</v>
      </c>
      <c r="C155" s="137" t="str">
        <f>IF(booking!E155&gt;0,"oc","va")</f>
        <v>va</v>
      </c>
      <c r="D155" s="136" t="str">
        <f>IF(booking!H155&gt;0,"oc","va")</f>
        <v>va</v>
      </c>
      <c r="E155" s="137" t="str">
        <f>IF(booking!I155&gt;0,"oc","va")</f>
        <v>va</v>
      </c>
      <c r="F155" s="136" t="str">
        <f>IF(booking!L155&gt;0,"oc","va")</f>
        <v>va</v>
      </c>
      <c r="G155" s="137" t="str">
        <f>IF(booking!M155&gt;0,"oc","va")</f>
        <v>va</v>
      </c>
      <c r="H155" s="136" t="str">
        <f>IF(booking!P155&gt;0,"oc","va")</f>
        <v>va</v>
      </c>
      <c r="I155" s="137" t="str">
        <f>IF(booking!Q155&gt;0,"oc","va")</f>
        <v>va</v>
      </c>
      <c r="J155" s="136" t="str">
        <f>IF(booking!T155&gt;0,"oc","va")</f>
        <v>va</v>
      </c>
      <c r="K155" s="137" t="str">
        <f>IF(booking!U155&gt;0,"oc","va")</f>
        <v>va</v>
      </c>
      <c r="L155" s="136" t="str">
        <f>IF(booking!X155&gt;0,"oc","va")</f>
        <v>va</v>
      </c>
      <c r="M155" s="137" t="str">
        <f>IF(booking!Y155&gt;0,"oc","va")</f>
        <v>va</v>
      </c>
    </row>
    <row r="156" spans="1:13" x14ac:dyDescent="0.35">
      <c r="A156" s="5">
        <f>booking!C156</f>
        <v>46293</v>
      </c>
      <c r="B156" s="136" t="str">
        <f>IF(booking!D156&gt;0,"oc","va")</f>
        <v>va</v>
      </c>
      <c r="C156" s="137" t="str">
        <f>IF(booking!E156&gt;0,"oc","va")</f>
        <v>va</v>
      </c>
      <c r="D156" s="136" t="str">
        <f>IF(booking!H156&gt;0,"oc","va")</f>
        <v>va</v>
      </c>
      <c r="E156" s="137" t="str">
        <f>IF(booking!I156&gt;0,"oc","va")</f>
        <v>va</v>
      </c>
      <c r="F156" s="136" t="str">
        <f>IF(booking!L156&gt;0,"oc","va")</f>
        <v>va</v>
      </c>
      <c r="G156" s="137" t="str">
        <f>IF(booking!M156&gt;0,"oc","va")</f>
        <v>va</v>
      </c>
      <c r="H156" s="136" t="str">
        <f>IF(booking!P156&gt;0,"oc","va")</f>
        <v>va</v>
      </c>
      <c r="I156" s="137" t="str">
        <f>IF(booking!Q156&gt;0,"oc","va")</f>
        <v>va</v>
      </c>
      <c r="J156" s="136" t="str">
        <f>IF(booking!T156&gt;0,"oc","va")</f>
        <v>va</v>
      </c>
      <c r="K156" s="137" t="str">
        <f>IF(booking!U156&gt;0,"oc","va")</f>
        <v>va</v>
      </c>
      <c r="L156" s="136" t="str">
        <f>IF(booking!X156&gt;0,"oc","va")</f>
        <v>va</v>
      </c>
      <c r="M156" s="137" t="str">
        <f>IF(booking!Y156&gt;0,"oc","va")</f>
        <v>va</v>
      </c>
    </row>
    <row r="157" spans="1:13" x14ac:dyDescent="0.35">
      <c r="A157" s="5">
        <f>booking!C157</f>
        <v>46294</v>
      </c>
      <c r="B157" s="136" t="str">
        <f>IF(booking!D157&gt;0,"oc","va")</f>
        <v>va</v>
      </c>
      <c r="C157" s="137" t="str">
        <f>IF(booking!E157&gt;0,"oc","va")</f>
        <v>va</v>
      </c>
      <c r="D157" s="136" t="str">
        <f>IF(booking!H157&gt;0,"oc","va")</f>
        <v>va</v>
      </c>
      <c r="E157" s="137" t="str">
        <f>IF(booking!I157&gt;0,"oc","va")</f>
        <v>va</v>
      </c>
      <c r="F157" s="136" t="str">
        <f>IF(booking!L157&gt;0,"oc","va")</f>
        <v>va</v>
      </c>
      <c r="G157" s="137" t="str">
        <f>IF(booking!M157&gt;0,"oc","va")</f>
        <v>va</v>
      </c>
      <c r="H157" s="136" t="str">
        <f>IF(booking!P157&gt;0,"oc","va")</f>
        <v>va</v>
      </c>
      <c r="I157" s="137" t="str">
        <f>IF(booking!Q157&gt;0,"oc","va")</f>
        <v>va</v>
      </c>
      <c r="J157" s="136" t="str">
        <f>IF(booking!T157&gt;0,"oc","va")</f>
        <v>va</v>
      </c>
      <c r="K157" s="137" t="str">
        <f>IF(booking!U157&gt;0,"oc","va")</f>
        <v>va</v>
      </c>
      <c r="L157" s="136" t="str">
        <f>IF(booking!X157&gt;0,"oc","va")</f>
        <v>va</v>
      </c>
      <c r="M157" s="137" t="str">
        <f>IF(booking!Y157&gt;0,"oc","va")</f>
        <v>va</v>
      </c>
    </row>
    <row r="158" spans="1:13" x14ac:dyDescent="0.35">
      <c r="A158" s="5">
        <f>booking!C158</f>
        <v>46295</v>
      </c>
      <c r="B158" s="136" t="str">
        <f>IF(booking!D158&gt;0,"oc","va")</f>
        <v>va</v>
      </c>
      <c r="C158" s="137" t="str">
        <f>IF(booking!E158&gt;0,"oc","va")</f>
        <v>va</v>
      </c>
      <c r="D158" s="136" t="str">
        <f>IF(booking!H158&gt;0,"oc","va")</f>
        <v>va</v>
      </c>
      <c r="E158" s="137" t="str">
        <f>IF(booking!I158&gt;0,"oc","va")</f>
        <v>va</v>
      </c>
      <c r="F158" s="136" t="str">
        <f>IF(booking!L158&gt;0,"oc","va")</f>
        <v>va</v>
      </c>
      <c r="G158" s="137" t="str">
        <f>IF(booking!M158&gt;0,"oc","va")</f>
        <v>va</v>
      </c>
      <c r="H158" s="136" t="str">
        <f>IF(booking!P158&gt;0,"oc","va")</f>
        <v>va</v>
      </c>
      <c r="I158" s="137" t="str">
        <f>IF(booking!Q158&gt;0,"oc","va")</f>
        <v>va</v>
      </c>
      <c r="J158" s="136" t="str">
        <f>IF(booking!T158&gt;0,"oc","va")</f>
        <v>va</v>
      </c>
      <c r="K158" s="137" t="str">
        <f>IF(booking!U158&gt;0,"oc","va")</f>
        <v>va</v>
      </c>
      <c r="L158" s="136" t="str">
        <f>IF(booking!X158&gt;0,"oc","va")</f>
        <v>va</v>
      </c>
      <c r="M158" s="137" t="str">
        <f>IF(booking!Y158&gt;0,"oc","va")</f>
        <v>va</v>
      </c>
    </row>
    <row r="159" spans="1:13" x14ac:dyDescent="0.35">
      <c r="A159" s="5">
        <f>booking!C159</f>
        <v>46296</v>
      </c>
      <c r="B159" s="136" t="str">
        <f>IF(booking!D159&gt;0,"oc","va")</f>
        <v>va</v>
      </c>
      <c r="C159" s="137" t="str">
        <f>IF(booking!E159&gt;0,"oc","va")</f>
        <v>va</v>
      </c>
      <c r="D159" s="136" t="str">
        <f>IF(booking!H159&gt;0,"oc","va")</f>
        <v>va</v>
      </c>
      <c r="E159" s="137" t="str">
        <f>IF(booking!I159&gt;0,"oc","va")</f>
        <v>va</v>
      </c>
      <c r="F159" s="136" t="str">
        <f>IF(booking!L159&gt;0,"oc","va")</f>
        <v>va</v>
      </c>
      <c r="G159" s="137" t="str">
        <f>IF(booking!M159&gt;0,"oc","va")</f>
        <v>va</v>
      </c>
      <c r="H159" s="136" t="str">
        <f>IF(booking!P159&gt;0,"oc","va")</f>
        <v>va</v>
      </c>
      <c r="I159" s="137" t="str">
        <f>IF(booking!Q159&gt;0,"oc","va")</f>
        <v>va</v>
      </c>
      <c r="J159" s="136" t="str">
        <f>IF(booking!T159&gt;0,"oc","va")</f>
        <v>va</v>
      </c>
      <c r="K159" s="137" t="str">
        <f>IF(booking!U159&gt;0,"oc","va")</f>
        <v>va</v>
      </c>
      <c r="L159" s="136" t="str">
        <f>IF(booking!X159&gt;0,"oc","va")</f>
        <v>va</v>
      </c>
      <c r="M159" s="137" t="str">
        <f>IF(booking!Y159&gt;0,"oc","va")</f>
        <v>va</v>
      </c>
    </row>
    <row r="160" spans="1:13" x14ac:dyDescent="0.35">
      <c r="A160" s="5">
        <f>booking!C160</f>
        <v>46297</v>
      </c>
      <c r="B160" s="136" t="str">
        <f>IF(booking!D160&gt;0,"oc","va")</f>
        <v>va</v>
      </c>
      <c r="C160" s="137" t="str">
        <f>IF(booking!E160&gt;0,"oc","va")</f>
        <v>va</v>
      </c>
      <c r="D160" s="136" t="str">
        <f>IF(booking!H160&gt;0,"oc","va")</f>
        <v>va</v>
      </c>
      <c r="E160" s="137" t="str">
        <f>IF(booking!I160&gt;0,"oc","va")</f>
        <v>va</v>
      </c>
      <c r="F160" s="136" t="str">
        <f>IF(booking!L160&gt;0,"oc","va")</f>
        <v>va</v>
      </c>
      <c r="G160" s="137" t="str">
        <f>IF(booking!M160&gt;0,"oc","va")</f>
        <v>va</v>
      </c>
      <c r="H160" s="136" t="str">
        <f>IF(booking!P160&gt;0,"oc","va")</f>
        <v>va</v>
      </c>
      <c r="I160" s="137" t="str">
        <f>IF(booking!Q160&gt;0,"oc","va")</f>
        <v>va</v>
      </c>
      <c r="J160" s="136" t="str">
        <f>IF(booking!T160&gt;0,"oc","va")</f>
        <v>va</v>
      </c>
      <c r="K160" s="137" t="str">
        <f>IF(booking!U160&gt;0,"oc","va")</f>
        <v>va</v>
      </c>
      <c r="L160" s="136" t="str">
        <f>IF(booking!X160&gt;0,"oc","va")</f>
        <v>va</v>
      </c>
      <c r="M160" s="137" t="str">
        <f>IF(booking!Y160&gt;0,"oc","va")</f>
        <v>va</v>
      </c>
    </row>
    <row r="161" spans="1:13" x14ac:dyDescent="0.35">
      <c r="A161" s="5">
        <f>booking!C161</f>
        <v>46298</v>
      </c>
      <c r="B161" s="136" t="str">
        <f>IF(booking!D161&gt;0,"oc","va")</f>
        <v>va</v>
      </c>
      <c r="C161" s="137" t="str">
        <f>IF(booking!E161&gt;0,"oc","va")</f>
        <v>va</v>
      </c>
      <c r="D161" s="136" t="str">
        <f>IF(booking!H161&gt;0,"oc","va")</f>
        <v>va</v>
      </c>
      <c r="E161" s="137" t="str">
        <f>IF(booking!I161&gt;0,"oc","va")</f>
        <v>va</v>
      </c>
      <c r="F161" s="136" t="str">
        <f>IF(booking!L161&gt;0,"oc","va")</f>
        <v>va</v>
      </c>
      <c r="G161" s="137" t="str">
        <f>IF(booking!M161&gt;0,"oc","va")</f>
        <v>va</v>
      </c>
      <c r="H161" s="136" t="str">
        <f>IF(booking!P161&gt;0,"oc","va")</f>
        <v>va</v>
      </c>
      <c r="I161" s="137" t="str">
        <f>IF(booking!Q161&gt;0,"oc","va")</f>
        <v>va</v>
      </c>
      <c r="J161" s="136" t="str">
        <f>IF(booking!T161&gt;0,"oc","va")</f>
        <v>va</v>
      </c>
      <c r="K161" s="137" t="str">
        <f>IF(booking!U161&gt;0,"oc","va")</f>
        <v>va</v>
      </c>
      <c r="L161" s="136" t="str">
        <f>IF(booking!X161&gt;0,"oc","va")</f>
        <v>va</v>
      </c>
      <c r="M161" s="137" t="str">
        <f>IF(booking!Y161&gt;0,"oc","va")</f>
        <v>va</v>
      </c>
    </row>
    <row r="162" spans="1:13" x14ac:dyDescent="0.35">
      <c r="A162" s="5">
        <f>booking!C162</f>
        <v>46299</v>
      </c>
      <c r="B162" s="136" t="str">
        <f>IF(booking!D162&gt;0,"oc","va")</f>
        <v>va</v>
      </c>
      <c r="C162" s="137" t="str">
        <f>IF(booking!E162&gt;0,"oc","va")</f>
        <v>va</v>
      </c>
      <c r="D162" s="136" t="str">
        <f>IF(booking!H162&gt;0,"oc","va")</f>
        <v>va</v>
      </c>
      <c r="E162" s="137" t="str">
        <f>IF(booking!I162&gt;0,"oc","va")</f>
        <v>va</v>
      </c>
      <c r="F162" s="136" t="str">
        <f>IF(booking!L162&gt;0,"oc","va")</f>
        <v>va</v>
      </c>
      <c r="G162" s="137" t="str">
        <f>IF(booking!M162&gt;0,"oc","va")</f>
        <v>va</v>
      </c>
      <c r="H162" s="136" t="str">
        <f>IF(booking!P162&gt;0,"oc","va")</f>
        <v>va</v>
      </c>
      <c r="I162" s="137" t="str">
        <f>IF(booking!Q162&gt;0,"oc","va")</f>
        <v>va</v>
      </c>
      <c r="J162" s="136" t="str">
        <f>IF(booking!T162&gt;0,"oc","va")</f>
        <v>va</v>
      </c>
      <c r="K162" s="137" t="str">
        <f>IF(booking!U162&gt;0,"oc","va")</f>
        <v>va</v>
      </c>
      <c r="L162" s="136" t="str">
        <f>IF(booking!X162&gt;0,"oc","va")</f>
        <v>va</v>
      </c>
      <c r="M162" s="137" t="str">
        <f>IF(booking!Y162&gt;0,"oc","va")</f>
        <v>va</v>
      </c>
    </row>
    <row r="163" spans="1:13" x14ac:dyDescent="0.35">
      <c r="A163" s="5">
        <f>booking!C163</f>
        <v>46300</v>
      </c>
      <c r="B163" s="136" t="str">
        <f>IF(booking!D163&gt;0,"oc","va")</f>
        <v>va</v>
      </c>
      <c r="C163" s="137" t="str">
        <f>IF(booking!E163&gt;0,"oc","va")</f>
        <v>va</v>
      </c>
      <c r="D163" s="136" t="str">
        <f>IF(booking!H163&gt;0,"oc","va")</f>
        <v>va</v>
      </c>
      <c r="E163" s="137" t="str">
        <f>IF(booking!I163&gt;0,"oc","va")</f>
        <v>va</v>
      </c>
      <c r="F163" s="136" t="str">
        <f>IF(booking!L163&gt;0,"oc","va")</f>
        <v>va</v>
      </c>
      <c r="G163" s="137" t="str">
        <f>IF(booking!M163&gt;0,"oc","va")</f>
        <v>va</v>
      </c>
      <c r="H163" s="136" t="str">
        <f>IF(booking!P163&gt;0,"oc","va")</f>
        <v>va</v>
      </c>
      <c r="I163" s="137" t="str">
        <f>IF(booking!Q163&gt;0,"oc","va")</f>
        <v>va</v>
      </c>
      <c r="J163" s="136" t="str">
        <f>IF(booking!T163&gt;0,"oc","va")</f>
        <v>va</v>
      </c>
      <c r="K163" s="137" t="str">
        <f>IF(booking!U163&gt;0,"oc","va")</f>
        <v>va</v>
      </c>
      <c r="L163" s="136" t="str">
        <f>IF(booking!X163&gt;0,"oc","va")</f>
        <v>va</v>
      </c>
      <c r="M163" s="137" t="str">
        <f>IF(booking!Y163&gt;0,"oc","va")</f>
        <v>va</v>
      </c>
    </row>
    <row r="164" spans="1:13" x14ac:dyDescent="0.35">
      <c r="A164" s="5">
        <f>booking!C164</f>
        <v>46301</v>
      </c>
      <c r="B164" s="136" t="str">
        <f>IF(booking!D164&gt;0,"oc","va")</f>
        <v>va</v>
      </c>
      <c r="C164" s="137" t="str">
        <f>IF(booking!E164&gt;0,"oc","va")</f>
        <v>va</v>
      </c>
      <c r="D164" s="136" t="str">
        <f>IF(booking!H164&gt;0,"oc","va")</f>
        <v>va</v>
      </c>
      <c r="E164" s="137" t="str">
        <f>IF(booking!I164&gt;0,"oc","va")</f>
        <v>va</v>
      </c>
      <c r="F164" s="136" t="str">
        <f>IF(booking!L164&gt;0,"oc","va")</f>
        <v>va</v>
      </c>
      <c r="G164" s="137" t="str">
        <f>IF(booking!M164&gt;0,"oc","va")</f>
        <v>va</v>
      </c>
      <c r="H164" s="136" t="str">
        <f>IF(booking!P164&gt;0,"oc","va")</f>
        <v>va</v>
      </c>
      <c r="I164" s="137" t="str">
        <f>IF(booking!Q164&gt;0,"oc","va")</f>
        <v>va</v>
      </c>
      <c r="J164" s="136" t="str">
        <f>IF(booking!T164&gt;0,"oc","va")</f>
        <v>va</v>
      </c>
      <c r="K164" s="137" t="str">
        <f>IF(booking!U164&gt;0,"oc","va")</f>
        <v>va</v>
      </c>
      <c r="L164" s="136" t="str">
        <f>IF(booking!X164&gt;0,"oc","va")</f>
        <v>va</v>
      </c>
      <c r="M164" s="137" t="str">
        <f>IF(booking!Y164&gt;0,"oc","va")</f>
        <v>va</v>
      </c>
    </row>
    <row r="165" spans="1:13" x14ac:dyDescent="0.35">
      <c r="A165" s="5">
        <f>booking!C165</f>
        <v>46302</v>
      </c>
      <c r="B165" s="136" t="str">
        <f>IF(booking!D165&gt;0,"oc","va")</f>
        <v>va</v>
      </c>
      <c r="C165" s="137" t="str">
        <f>IF(booking!E165&gt;0,"oc","va")</f>
        <v>va</v>
      </c>
      <c r="D165" s="136" t="str">
        <f>IF(booking!H165&gt;0,"oc","va")</f>
        <v>va</v>
      </c>
      <c r="E165" s="137" t="str">
        <f>IF(booking!I165&gt;0,"oc","va")</f>
        <v>va</v>
      </c>
      <c r="F165" s="136" t="str">
        <f>IF(booking!L165&gt;0,"oc","va")</f>
        <v>va</v>
      </c>
      <c r="G165" s="137" t="str">
        <f>IF(booking!M165&gt;0,"oc","va")</f>
        <v>va</v>
      </c>
      <c r="H165" s="136" t="str">
        <f>IF(booking!P165&gt;0,"oc","va")</f>
        <v>va</v>
      </c>
      <c r="I165" s="137" t="str">
        <f>IF(booking!Q165&gt;0,"oc","va")</f>
        <v>va</v>
      </c>
      <c r="J165" s="136" t="str">
        <f>IF(booking!T165&gt;0,"oc","va")</f>
        <v>va</v>
      </c>
      <c r="K165" s="137" t="str">
        <f>IF(booking!U165&gt;0,"oc","va")</f>
        <v>va</v>
      </c>
      <c r="L165" s="136" t="str">
        <f>IF(booking!X165&gt;0,"oc","va")</f>
        <v>va</v>
      </c>
      <c r="M165" s="137" t="str">
        <f>IF(booking!Y165&gt;0,"oc","va")</f>
        <v>va</v>
      </c>
    </row>
    <row r="166" spans="1:13" x14ac:dyDescent="0.35">
      <c r="A166" s="5">
        <f>booking!C166</f>
        <v>46303</v>
      </c>
      <c r="B166" s="136" t="str">
        <f>IF(booking!D166&gt;0,"oc","va")</f>
        <v>va</v>
      </c>
      <c r="C166" s="137" t="str">
        <f>IF(booking!E166&gt;0,"oc","va")</f>
        <v>va</v>
      </c>
      <c r="D166" s="136" t="str">
        <f>IF(booking!H166&gt;0,"oc","va")</f>
        <v>va</v>
      </c>
      <c r="E166" s="137" t="str">
        <f>IF(booking!I166&gt;0,"oc","va")</f>
        <v>va</v>
      </c>
      <c r="F166" s="136" t="str">
        <f>IF(booking!L166&gt;0,"oc","va")</f>
        <v>va</v>
      </c>
      <c r="G166" s="137" t="str">
        <f>IF(booking!M166&gt;0,"oc","va")</f>
        <v>va</v>
      </c>
      <c r="H166" s="136" t="str">
        <f>IF(booking!P166&gt;0,"oc","va")</f>
        <v>va</v>
      </c>
      <c r="I166" s="137" t="str">
        <f>IF(booking!Q166&gt;0,"oc","va")</f>
        <v>va</v>
      </c>
      <c r="J166" s="136" t="str">
        <f>IF(booking!T166&gt;0,"oc","va")</f>
        <v>va</v>
      </c>
      <c r="K166" s="137" t="str">
        <f>IF(booking!U166&gt;0,"oc","va")</f>
        <v>va</v>
      </c>
      <c r="L166" s="136" t="str">
        <f>IF(booking!X166&gt;0,"oc","va")</f>
        <v>va</v>
      </c>
      <c r="M166" s="137" t="str">
        <f>IF(booking!Y166&gt;0,"oc","va")</f>
        <v>va</v>
      </c>
    </row>
    <row r="167" spans="1:13" x14ac:dyDescent="0.35">
      <c r="A167" s="5">
        <f>booking!C167</f>
        <v>46304</v>
      </c>
      <c r="B167" s="136" t="str">
        <f>IF(booking!D167&gt;0,"oc","va")</f>
        <v>va</v>
      </c>
      <c r="C167" s="137" t="str">
        <f>IF(booking!E167&gt;0,"oc","va")</f>
        <v>va</v>
      </c>
      <c r="D167" s="136" t="str">
        <f>IF(booking!H167&gt;0,"oc","va")</f>
        <v>va</v>
      </c>
      <c r="E167" s="137" t="str">
        <f>IF(booking!I167&gt;0,"oc","va")</f>
        <v>va</v>
      </c>
      <c r="F167" s="136" t="str">
        <f>IF(booking!L167&gt;0,"oc","va")</f>
        <v>va</v>
      </c>
      <c r="G167" s="137" t="str">
        <f>IF(booking!M167&gt;0,"oc","va")</f>
        <v>va</v>
      </c>
      <c r="H167" s="136" t="str">
        <f>IF(booking!P167&gt;0,"oc","va")</f>
        <v>va</v>
      </c>
      <c r="I167" s="137" t="str">
        <f>IF(booking!Q167&gt;0,"oc","va")</f>
        <v>va</v>
      </c>
      <c r="J167" s="136" t="str">
        <f>IF(booking!T167&gt;0,"oc","va")</f>
        <v>va</v>
      </c>
      <c r="K167" s="137" t="str">
        <f>IF(booking!U167&gt;0,"oc","va")</f>
        <v>va</v>
      </c>
      <c r="L167" s="136" t="str">
        <f>IF(booking!X167&gt;0,"oc","va")</f>
        <v>va</v>
      </c>
      <c r="M167" s="137" t="str">
        <f>IF(booking!Y167&gt;0,"oc","va")</f>
        <v>va</v>
      </c>
    </row>
    <row r="168" spans="1:13" x14ac:dyDescent="0.35">
      <c r="A168" s="5">
        <f>booking!C168</f>
        <v>46305</v>
      </c>
      <c r="B168" s="136" t="str">
        <f>IF(booking!D168&gt;0,"oc","va")</f>
        <v>va</v>
      </c>
      <c r="C168" s="137" t="str">
        <f>IF(booking!E168&gt;0,"oc","va")</f>
        <v>va</v>
      </c>
      <c r="D168" s="136" t="str">
        <f>IF(booking!H168&gt;0,"oc","va")</f>
        <v>va</v>
      </c>
      <c r="E168" s="137" t="str">
        <f>IF(booking!I168&gt;0,"oc","va")</f>
        <v>va</v>
      </c>
      <c r="F168" s="136" t="str">
        <f>IF(booking!L168&gt;0,"oc","va")</f>
        <v>va</v>
      </c>
      <c r="G168" s="137" t="str">
        <f>IF(booking!M168&gt;0,"oc","va")</f>
        <v>va</v>
      </c>
      <c r="H168" s="136" t="str">
        <f>IF(booking!P168&gt;0,"oc","va")</f>
        <v>va</v>
      </c>
      <c r="I168" s="137" t="str">
        <f>IF(booking!Q168&gt;0,"oc","va")</f>
        <v>va</v>
      </c>
      <c r="J168" s="136" t="str">
        <f>IF(booking!T168&gt;0,"oc","va")</f>
        <v>va</v>
      </c>
      <c r="K168" s="137" t="str">
        <f>IF(booking!U168&gt;0,"oc","va")</f>
        <v>va</v>
      </c>
      <c r="L168" s="136" t="str">
        <f>IF(booking!X168&gt;0,"oc","va")</f>
        <v>va</v>
      </c>
      <c r="M168" s="137" t="str">
        <f>IF(booking!Y168&gt;0,"oc","va")</f>
        <v>va</v>
      </c>
    </row>
    <row r="169" spans="1:13" x14ac:dyDescent="0.35">
      <c r="A169" s="5">
        <f>booking!C169</f>
        <v>46306</v>
      </c>
      <c r="B169" s="136" t="str">
        <f>IF(booking!D169&gt;0,"oc","va")</f>
        <v>va</v>
      </c>
      <c r="C169" s="137" t="str">
        <f>IF(booking!E169&gt;0,"oc","va")</f>
        <v>va</v>
      </c>
      <c r="D169" s="136" t="str">
        <f>IF(booking!H169&gt;0,"oc","va")</f>
        <v>va</v>
      </c>
      <c r="E169" s="137" t="str">
        <f>IF(booking!I169&gt;0,"oc","va")</f>
        <v>va</v>
      </c>
      <c r="F169" s="136" t="str">
        <f>IF(booking!L169&gt;0,"oc","va")</f>
        <v>va</v>
      </c>
      <c r="G169" s="137" t="str">
        <f>IF(booking!M169&gt;0,"oc","va")</f>
        <v>va</v>
      </c>
      <c r="H169" s="136" t="str">
        <f>IF(booking!P169&gt;0,"oc","va")</f>
        <v>va</v>
      </c>
      <c r="I169" s="137" t="str">
        <f>IF(booking!Q169&gt;0,"oc","va")</f>
        <v>va</v>
      </c>
      <c r="J169" s="136" t="str">
        <f>IF(booking!T169&gt;0,"oc","va")</f>
        <v>va</v>
      </c>
      <c r="K169" s="137" t="str">
        <f>IF(booking!U169&gt;0,"oc","va")</f>
        <v>va</v>
      </c>
      <c r="L169" s="136" t="str">
        <f>IF(booking!X169&gt;0,"oc","va")</f>
        <v>va</v>
      </c>
      <c r="M169" s="137" t="str">
        <f>IF(booking!Y169&gt;0,"oc","va")</f>
        <v>va</v>
      </c>
    </row>
    <row r="170" spans="1:13" x14ac:dyDescent="0.35">
      <c r="A170" s="5">
        <f>booking!C170</f>
        <v>46307</v>
      </c>
      <c r="B170" s="136" t="str">
        <f>IF(booking!D170&gt;0,"oc","va")</f>
        <v>va</v>
      </c>
      <c r="C170" s="137" t="str">
        <f>IF(booking!E170&gt;0,"oc","va")</f>
        <v>va</v>
      </c>
      <c r="D170" s="136" t="str">
        <f>IF(booking!H170&gt;0,"oc","va")</f>
        <v>va</v>
      </c>
      <c r="E170" s="137" t="str">
        <f>IF(booking!I170&gt;0,"oc","va")</f>
        <v>va</v>
      </c>
      <c r="F170" s="136" t="str">
        <f>IF(booking!L170&gt;0,"oc","va")</f>
        <v>va</v>
      </c>
      <c r="G170" s="137" t="str">
        <f>IF(booking!M170&gt;0,"oc","va")</f>
        <v>va</v>
      </c>
      <c r="H170" s="136" t="str">
        <f>IF(booking!P170&gt;0,"oc","va")</f>
        <v>va</v>
      </c>
      <c r="I170" s="137" t="str">
        <f>IF(booking!Q170&gt;0,"oc","va")</f>
        <v>va</v>
      </c>
      <c r="J170" s="136" t="str">
        <f>IF(booking!T170&gt;0,"oc","va")</f>
        <v>va</v>
      </c>
      <c r="K170" s="137" t="str">
        <f>IF(booking!U170&gt;0,"oc","va")</f>
        <v>va</v>
      </c>
      <c r="L170" s="136" t="str">
        <f>IF(booking!X170&gt;0,"oc","va")</f>
        <v>va</v>
      </c>
      <c r="M170" s="137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6" t="str">
        <f>IF(booking!D171&gt;0,"oc","va")</f>
        <v>va</v>
      </c>
      <c r="C171" s="137" t="str">
        <f>IF(booking!E171&gt;0,"oc","va")</f>
        <v>va</v>
      </c>
      <c r="D171" s="136" t="str">
        <f>IF(booking!H171&gt;0,"oc","va")</f>
        <v>va</v>
      </c>
      <c r="E171" s="137" t="str">
        <f>IF(booking!I171&gt;0,"oc","va")</f>
        <v>va</v>
      </c>
      <c r="F171" s="136" t="str">
        <f>IF(booking!L171&gt;0,"oc","va")</f>
        <v>va</v>
      </c>
      <c r="G171" s="137" t="str">
        <f>IF(booking!M171&gt;0,"oc","va")</f>
        <v>va</v>
      </c>
      <c r="H171" s="136" t="str">
        <f>IF(booking!P171&gt;0,"oc","va")</f>
        <v>va</v>
      </c>
      <c r="I171" s="137" t="str">
        <f>IF(booking!Q171&gt;0,"oc","va")</f>
        <v>va</v>
      </c>
      <c r="J171" s="136" t="str">
        <f>IF(booking!T171&gt;0,"oc","va")</f>
        <v>va</v>
      </c>
      <c r="K171" s="137" t="str">
        <f>IF(booking!U171&gt;0,"oc","va")</f>
        <v>va</v>
      </c>
      <c r="L171" s="136" t="str">
        <f>IF(booking!X171&gt;0,"oc","va")</f>
        <v>va</v>
      </c>
      <c r="M171" s="137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2026-03-26T08:44:27Z</cp:lastPrinted>
  <dcterms:created xsi:type="dcterms:W3CDTF">2024-07-25T07:35:10Z</dcterms:created>
  <dcterms:modified xsi:type="dcterms:W3CDTF">2026-03-29T10:36:17Z</dcterms:modified>
  <cp:category/>
  <cp:contentStatus/>
</cp:coreProperties>
</file>