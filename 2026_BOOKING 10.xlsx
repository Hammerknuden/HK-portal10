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3274" documentId="8_{48B37ED3-8953-4CF0-98FF-01FF5DFD1860}" xr6:coauthVersionLast="47" xr6:coauthVersionMax="47" xr10:uidLastSave="{C56592ED-D00D-4FD1-90FF-FBA3ECADE911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0" i="3" l="1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92" i="10"/>
  <c r="J92" i="10"/>
  <c r="I93" i="10"/>
  <c r="J93" i="10"/>
  <c r="I94" i="10"/>
  <c r="J94" i="10"/>
  <c r="I95" i="10"/>
  <c r="J95" i="10"/>
  <c r="I96" i="10"/>
  <c r="J96" i="10"/>
  <c r="I97" i="10"/>
  <c r="J97" i="10"/>
  <c r="I98" i="10"/>
  <c r="J98" i="10"/>
  <c r="I99" i="10"/>
  <c r="J99" i="10"/>
  <c r="I100" i="10"/>
  <c r="J100" i="10"/>
  <c r="I101" i="10"/>
  <c r="J101" i="10"/>
  <c r="I102" i="10"/>
  <c r="J102" i="10"/>
  <c r="I103" i="10"/>
  <c r="J103" i="10"/>
  <c r="I104" i="10"/>
  <c r="J104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E92" i="10" s="1"/>
  <c r="G92" i="10" s="1"/>
  <c r="F92" i="10"/>
  <c r="A93" i="10"/>
  <c r="B93" i="10"/>
  <c r="C93" i="10"/>
  <c r="D93" i="10"/>
  <c r="E93" i="10"/>
  <c r="G93" i="10" s="1"/>
  <c r="F93" i="10"/>
  <c r="A94" i="10"/>
  <c r="B94" i="10"/>
  <c r="C94" i="10"/>
  <c r="D94" i="10"/>
  <c r="E94" i="10"/>
  <c r="F94" i="10"/>
  <c r="G94" i="10"/>
  <c r="A95" i="10"/>
  <c r="B95" i="10"/>
  <c r="C95" i="10"/>
  <c r="D95" i="10"/>
  <c r="E95" i="10" s="1"/>
  <c r="G95" i="10" s="1"/>
  <c r="F95" i="10"/>
  <c r="A96" i="10"/>
  <c r="B96" i="10"/>
  <c r="C96" i="10"/>
  <c r="D96" i="10"/>
  <c r="E96" i="10"/>
  <c r="F96" i="10"/>
  <c r="G96" i="10"/>
  <c r="A97" i="10"/>
  <c r="B97" i="10"/>
  <c r="C97" i="10"/>
  <c r="E97" i="10" s="1"/>
  <c r="G97" i="10" s="1"/>
  <c r="D97" i="10"/>
  <c r="F97" i="10"/>
  <c r="A98" i="10"/>
  <c r="B98" i="10"/>
  <c r="C98" i="10"/>
  <c r="D98" i="10"/>
  <c r="E98" i="10"/>
  <c r="F98" i="10"/>
  <c r="G98" i="10"/>
  <c r="A99" i="10"/>
  <c r="B99" i="10"/>
  <c r="C99" i="10"/>
  <c r="E99" i="10" s="1"/>
  <c r="G99" i="10" s="1"/>
  <c r="D99" i="10"/>
  <c r="F99" i="10"/>
  <c r="A100" i="10"/>
  <c r="B100" i="10"/>
  <c r="C100" i="10"/>
  <c r="D100" i="10"/>
  <c r="E100" i="10"/>
  <c r="G100" i="10" s="1"/>
  <c r="F100" i="10"/>
  <c r="A101" i="10"/>
  <c r="B101" i="10"/>
  <c r="C101" i="10"/>
  <c r="D101" i="10"/>
  <c r="E101" i="10"/>
  <c r="F101" i="10"/>
  <c r="G101" i="10"/>
  <c r="A102" i="10"/>
  <c r="B102" i="10"/>
  <c r="C102" i="10"/>
  <c r="D102" i="10"/>
  <c r="E102" i="10" s="1"/>
  <c r="G102" i="10" s="1"/>
  <c r="F102" i="10"/>
  <c r="A103" i="10"/>
  <c r="B103" i="10"/>
  <c r="C103" i="10"/>
  <c r="D103" i="10"/>
  <c r="E103" i="10"/>
  <c r="F103" i="10"/>
  <c r="G103" i="10"/>
  <c r="A104" i="10"/>
  <c r="B104" i="10"/>
  <c r="C104" i="10"/>
  <c r="D104" i="10"/>
  <c r="E104" i="10" s="1"/>
  <c r="G104" i="10" s="1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90" i="10" l="1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R89" i="3" l="1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89" i="3" l="1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<sst xmlns="http://schemas.openxmlformats.org/spreadsheetml/2006/main" count="1078" uniqueCount="376">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</sst>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20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7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11" fillId="0" borderId="0" xfId="0" applyFont="1"/>
    <xf numFmtId="44" fontId="0" fillId="0" borderId="0" xfId="0" applyNumberFormat="1"/>
    <xf numFmtId="44" fontId="2" fillId="0" borderId="0" xfId="0" applyNumberFormat="1" applyFont="1"/>
    <xf numFmtId="0" fontId="14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7" fillId="7" borderId="4" xfId="0" applyFont="1" applyFill="1" applyBorder="1"/>
    <xf numFmtId="0" fontId="0" fillId="9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0" fontId="0" fillId="0" borderId="0" xfId="0"/>
    <xf numFmtId="0" fontId="0" fillId="0" borderId="0" xfId="0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430</c:v>
                </c:pt>
                <c:pt idx="12">
                  <c:v>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132</c:v>
                </c:pt>
                <c:pt idx="1">
                  <c:v>17</c:v>
                </c:pt>
                <c:pt idx="2">
                  <c:v>0</c:v>
                </c:pt>
                <c:pt idx="3">
                  <c:v>22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577</c:v>
                </c:pt>
                <c:pt idx="1">
                  <c:v>61</c:v>
                </c:pt>
                <c:pt idx="2">
                  <c:v>0</c:v>
                </c:pt>
                <c:pt idx="3">
                  <c:v>139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132</c:v>
                </c:pt>
                <c:pt idx="1">
                  <c:v>17</c:v>
                </c:pt>
                <c:pt idx="2">
                  <c:v>0</c:v>
                </c:pt>
                <c:pt idx="3">
                  <c:v>22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577</c:v>
                </c:pt>
                <c:pt idx="1">
                  <c:v>61</c:v>
                </c:pt>
                <c:pt idx="2">
                  <c:v>0</c:v>
                </c:pt>
                <c:pt idx="3">
                  <c:v>139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430</c:v>
                </c:pt>
                <c:pt idx="12">
                  <c:v>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220</c:v>
                </c:pt>
                <c:pt idx="1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220</c:v>
                </c:pt>
                <c:pt idx="1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comments" Target="../comments1.xm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1"/>
  <sheetViews>
    <sheetView topLeftCell="H1" workbookViewId="0">
      <pane ySplit="1" topLeftCell="A74" activePane="bottomLeft" state="frozen"/>
      <selection pane="bottomLeft" activeCell="N93" sqref="N9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58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2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1" x14ac:dyDescent="0.35">
      <c r="A2" s="146">
        <v>1</v>
      </c>
      <c r="B2" s="111" t="s">
        <v>168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5" t="s">
        <v>169</v>
      </c>
      <c r="N2" s="183"/>
      <c r="O2" s="133" t="s">
        <v>170</v>
      </c>
      <c r="P2" s="133"/>
      <c r="Q2" s="133" t="s">
        <v>21</v>
      </c>
      <c r="R2" s="165">
        <v>7267.5</v>
      </c>
      <c r="S2" s="159" t="s">
        <v>20</v>
      </c>
      <c r="T2" t="s">
        <v>171</v>
      </c>
    </row>
    <row r="3" spans="1:21" x14ac:dyDescent="0.35">
      <c r="A3" s="147">
        <v>2</v>
      </c>
      <c r="B3" s="113" t="s">
        <v>172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272</v>
      </c>
      <c r="H3" s="113"/>
      <c r="I3" s="134"/>
      <c r="J3" s="113"/>
      <c r="K3" s="113"/>
      <c r="L3" s="113"/>
      <c r="M3" s="156"/>
      <c r="N3" s="184"/>
      <c r="O3" s="134"/>
      <c r="P3" s="134"/>
      <c r="Q3" s="134"/>
      <c r="R3" s="165"/>
      <c r="S3" s="160"/>
    </row>
    <row r="4" spans="1:21" x14ac:dyDescent="0.35">
      <c r="A4" s="146">
        <v>3</v>
      </c>
      <c r="B4" s="111" t="s">
        <v>172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5" t="s">
        <v>173</v>
      </c>
      <c r="N4" s="183"/>
      <c r="O4" s="133" t="s">
        <v>174</v>
      </c>
      <c r="P4" s="133"/>
      <c r="Q4" s="133" t="s">
        <v>21</v>
      </c>
      <c r="R4" s="165">
        <v>2070</v>
      </c>
      <c r="S4" s="159" t="s">
        <v>20</v>
      </c>
      <c r="T4" s="131"/>
    </row>
    <row r="5" spans="1:21" x14ac:dyDescent="0.35">
      <c r="A5" s="147">
        <v>4</v>
      </c>
      <c r="B5" s="113" t="s">
        <v>175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6" t="s">
        <v>177</v>
      </c>
      <c r="N5" s="185">
        <v>4530267986</v>
      </c>
      <c r="O5" s="134" t="s">
        <v>178</v>
      </c>
      <c r="P5" s="134"/>
      <c r="Q5" s="134" t="s">
        <v>21</v>
      </c>
      <c r="R5" s="165">
        <v>9180</v>
      </c>
      <c r="S5" s="160" t="s">
        <v>21</v>
      </c>
      <c r="T5" t="s">
        <v>176</v>
      </c>
    </row>
    <row r="6" spans="1:21" x14ac:dyDescent="0.35">
      <c r="A6" s="146">
        <v>5</v>
      </c>
      <c r="B6" s="111" t="s">
        <v>179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5" t="s">
        <v>180</v>
      </c>
      <c r="N6" s="183"/>
      <c r="O6" s="133"/>
      <c r="P6" s="133"/>
      <c r="Q6" s="133" t="s">
        <v>21</v>
      </c>
      <c r="R6" s="165">
        <v>5175</v>
      </c>
      <c r="S6" s="159" t="s">
        <v>20</v>
      </c>
    </row>
    <row r="7" spans="1:21" x14ac:dyDescent="0.35">
      <c r="A7" s="146">
        <v>6</v>
      </c>
      <c r="B7" s="126" t="s">
        <v>181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182</v>
      </c>
      <c r="Q7" s="2" t="s">
        <v>21</v>
      </c>
      <c r="R7" s="132">
        <v>4140</v>
      </c>
      <c r="S7" s="2" t="s">
        <v>38</v>
      </c>
      <c r="T7" t="s">
        <v>183</v>
      </c>
    </row>
    <row r="8" spans="1:21" x14ac:dyDescent="0.35">
      <c r="A8" s="147">
        <v>7</v>
      </c>
      <c r="B8" s="126" t="s">
        <v>184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185</v>
      </c>
      <c r="N8" s="185">
        <v>4522701312</v>
      </c>
      <c r="O8" s="2" t="s">
        <v>186</v>
      </c>
      <c r="Q8" s="2" t="s">
        <v>20</v>
      </c>
      <c r="R8" s="165">
        <v>6772.5</v>
      </c>
      <c r="S8" s="2" t="s">
        <v>21</v>
      </c>
    </row>
    <row r="9" spans="1:21" x14ac:dyDescent="0.35">
      <c r="A9" s="146">
        <v>8</v>
      </c>
      <c r="B9" s="126" t="s">
        <v>187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188</v>
      </c>
      <c r="N9" s="185">
        <v>4917643882286</v>
      </c>
      <c r="O9" s="2" t="s">
        <v>189</v>
      </c>
      <c r="Q9" s="2" t="s">
        <v>21</v>
      </c>
      <c r="R9" s="132">
        <v>4275</v>
      </c>
      <c r="S9" s="2" t="s">
        <v>21</v>
      </c>
      <c r="T9" s="126" t="s">
        <v>190</v>
      </c>
    </row>
    <row r="10" spans="1:21" x14ac:dyDescent="0.35">
      <c r="A10" s="146">
        <v>9</v>
      </c>
      <c r="B10" s="126" t="s">
        <v>191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192</v>
      </c>
      <c r="O10" s="2" t="s">
        <v>193</v>
      </c>
      <c r="Q10" s="2" t="s">
        <v>21</v>
      </c>
      <c r="R10" s="165">
        <v>7245</v>
      </c>
      <c r="S10" s="2" t="s">
        <v>21</v>
      </c>
    </row>
    <row r="11" spans="1:21" x14ac:dyDescent="0.35">
      <c r="A11" s="147">
        <v>10</v>
      </c>
      <c r="B11" s="126" t="s">
        <v>194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195</v>
      </c>
      <c r="N11" s="158">
        <v>4561557600</v>
      </c>
      <c r="Q11" s="2" t="s">
        <v>21</v>
      </c>
      <c r="R11" s="132">
        <v>3442</v>
      </c>
      <c r="S11" s="2" t="s">
        <v>21</v>
      </c>
      <c r="T11" t="s">
        <v>196</v>
      </c>
    </row>
    <row r="12" spans="1:21" x14ac:dyDescent="0.35">
      <c r="A12" s="146">
        <v>11</v>
      </c>
      <c r="B12" s="126" t="s">
        <v>197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199</v>
      </c>
      <c r="Q12" s="2" t="s">
        <v>21</v>
      </c>
      <c r="R12" s="132">
        <v>5737.5</v>
      </c>
      <c r="S12" s="2" t="s">
        <v>20</v>
      </c>
      <c r="T12" t="s">
        <v>198</v>
      </c>
    </row>
    <row r="13" spans="1:21" x14ac:dyDescent="0.35">
      <c r="A13" s="146">
        <v>12</v>
      </c>
      <c r="B13" s="126" t="s">
        <v>200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201</v>
      </c>
      <c r="N13" s="186">
        <v>4540552384</v>
      </c>
      <c r="O13" s="2" t="s">
        <v>202</v>
      </c>
      <c r="Q13" s="2" t="s">
        <v>21</v>
      </c>
      <c r="R13" s="132">
        <v>4140</v>
      </c>
      <c r="S13" s="2" t="s">
        <v>21</v>
      </c>
      <c r="T13" t="s">
        <v>203</v>
      </c>
    </row>
    <row r="14" spans="1:21" x14ac:dyDescent="0.35">
      <c r="A14" s="147">
        <v>13</v>
      </c>
      <c r="B14" s="126" t="s">
        <v>204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205</v>
      </c>
      <c r="N14" s="186">
        <v>4525582842</v>
      </c>
      <c r="O14" s="2" t="s">
        <v>207</v>
      </c>
      <c r="Q14" s="2" t="s">
        <v>21</v>
      </c>
      <c r="R14" s="132">
        <v>8032.5</v>
      </c>
      <c r="S14" s="2" t="s">
        <v>38</v>
      </c>
      <c r="T14" t="s">
        <v>206</v>
      </c>
    </row>
    <row r="15" spans="1:21" x14ac:dyDescent="0.35">
      <c r="A15" s="146">
        <v>14</v>
      </c>
      <c r="B15" s="126" t="s">
        <v>208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7" t="s">
        <v>211</v>
      </c>
      <c r="N15" s="186">
        <v>4591191885</v>
      </c>
      <c r="O15" s="2" t="s">
        <v>209</v>
      </c>
      <c r="Q15" s="2" t="s">
        <v>21</v>
      </c>
      <c r="R15" s="132">
        <v>9180</v>
      </c>
      <c r="S15" s="2" t="s">
        <v>38</v>
      </c>
      <c r="T15" s="126" t="s">
        <v>210</v>
      </c>
    </row>
    <row r="16" spans="1:21" x14ac:dyDescent="0.35">
      <c r="A16" s="146">
        <v>15</v>
      </c>
      <c r="B16" s="126" t="s">
        <v>212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213</v>
      </c>
      <c r="N16" s="158">
        <v>4531534745</v>
      </c>
      <c r="O16" s="2" t="s">
        <v>214</v>
      </c>
      <c r="Q16" s="2" t="s">
        <v>21</v>
      </c>
      <c r="R16" s="132">
        <v>8925</v>
      </c>
      <c r="S16" s="2" t="s">
        <v>38</v>
      </c>
      <c r="T16" t="s">
        <v>215</v>
      </c>
      <c r="U16" s="191">
        <f>R16*0.5</f>
        <v>4462.5</v>
      </c>
    </row>
    <row r="17" spans="1:21" x14ac:dyDescent="0.35">
      <c r="A17" s="147">
        <v>16</v>
      </c>
      <c r="B17" s="126" t="s">
        <v>226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227</v>
      </c>
      <c r="N17" s="186">
        <v>4530604703</v>
      </c>
      <c r="Q17" s="2" t="s">
        <v>21</v>
      </c>
      <c r="R17" s="132">
        <v>17850</v>
      </c>
      <c r="S17" s="2" t="s">
        <v>38</v>
      </c>
      <c r="T17" t="s">
        <v>228</v>
      </c>
      <c r="U17" s="192">
        <f t="shared" ref="U17:U19" si="0">R17*0.5</f>
        <v>8925</v>
      </c>
    </row>
    <row r="18" spans="1:21" x14ac:dyDescent="0.35">
      <c r="A18" s="146">
        <v>17</v>
      </c>
      <c r="B18" s="126" t="s">
        <v>220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223</v>
      </c>
      <c r="N18" s="186">
        <v>4524669843</v>
      </c>
      <c r="O18" s="2" t="s">
        <v>224</v>
      </c>
      <c r="Q18" s="2" t="s">
        <v>21</v>
      </c>
      <c r="R18" s="132">
        <v>8925</v>
      </c>
      <c r="S18" s="2" t="s">
        <v>38</v>
      </c>
      <c r="T18" t="s">
        <v>225</v>
      </c>
      <c r="U18" s="192">
        <f t="shared" si="0"/>
        <v>4462.5</v>
      </c>
    </row>
    <row r="19" spans="1:21" x14ac:dyDescent="0.35">
      <c r="A19" s="146">
        <v>18</v>
      </c>
      <c r="B19" s="126" t="s">
        <v>218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7" t="s">
        <v>219</v>
      </c>
      <c r="N19" s="186">
        <v>4531909358</v>
      </c>
      <c r="O19" s="2" t="s">
        <v>222</v>
      </c>
      <c r="Q19" s="2" t="s">
        <v>21</v>
      </c>
      <c r="R19" s="132">
        <v>6375</v>
      </c>
      <c r="S19" s="2" t="s">
        <v>38</v>
      </c>
      <c r="T19" t="s">
        <v>221</v>
      </c>
      <c r="U19" s="192">
        <f t="shared" si="0"/>
        <v>3187.5</v>
      </c>
    </row>
    <row r="20" spans="1:21" x14ac:dyDescent="0.35">
      <c r="A20" s="147">
        <v>19</v>
      </c>
      <c r="B20" t="s">
        <v>216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217</v>
      </c>
      <c r="N20" s="186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206</v>
      </c>
    </row>
    <row r="21" spans="1:21" x14ac:dyDescent="0.35">
      <c r="A21" s="146">
        <v>20</v>
      </c>
      <c r="B21" s="126" t="s">
        <v>246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247</v>
      </c>
      <c r="Q21" s="2" t="s">
        <v>21</v>
      </c>
      <c r="R21" s="165">
        <v>12420</v>
      </c>
      <c r="S21" s="2" t="s">
        <v>38</v>
      </c>
      <c r="T21" t="s">
        <v>248</v>
      </c>
    </row>
    <row r="22" spans="1:21" x14ac:dyDescent="0.35">
      <c r="A22" s="146">
        <v>21</v>
      </c>
      <c r="B22" s="126" t="s">
        <v>269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244</v>
      </c>
      <c r="N22" s="186">
        <v>46705125490</v>
      </c>
      <c r="O22" s="2" t="s">
        <v>243</v>
      </c>
      <c r="Q22" s="2" t="s">
        <v>21</v>
      </c>
      <c r="R22" s="165">
        <v>5175</v>
      </c>
      <c r="S22" s="2" t="s">
        <v>38</v>
      </c>
      <c r="T22" t="s">
        <v>245</v>
      </c>
    </row>
    <row r="23" spans="1:21" x14ac:dyDescent="0.35">
      <c r="A23" s="147">
        <v>22</v>
      </c>
      <c r="B23" t="s">
        <v>241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242</v>
      </c>
    </row>
    <row r="24" spans="1:21" x14ac:dyDescent="0.35">
      <c r="A24" s="146">
        <v>23</v>
      </c>
      <c r="B24" t="s">
        <v>240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259</v>
      </c>
      <c r="I24" s="2" t="s">
        <v>162</v>
      </c>
      <c r="K24" s="128">
        <v>1</v>
      </c>
      <c r="L24" s="128">
        <v>2</v>
      </c>
      <c r="Q24" s="2" t="s">
        <v>21</v>
      </c>
      <c r="R24" s="165">
        <v>3825</v>
      </c>
      <c r="S24" s="2" t="s">
        <v>20</v>
      </c>
    </row>
    <row r="25" spans="1:21" x14ac:dyDescent="0.35">
      <c r="A25" s="146">
        <v>24</v>
      </c>
      <c r="B25" t="s">
        <v>239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5">
        <v>3825</v>
      </c>
      <c r="S25" s="2" t="s">
        <v>20</v>
      </c>
    </row>
    <row r="26" spans="1:21" x14ac:dyDescent="0.35">
      <c r="A26" s="147">
        <v>25</v>
      </c>
      <c r="B26" t="s">
        <v>238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1" x14ac:dyDescent="0.35">
      <c r="A27" s="146">
        <v>26</v>
      </c>
      <c r="B27" t="s">
        <v>237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7"/>
      <c r="Q27" s="2" t="s">
        <v>21</v>
      </c>
      <c r="R27" s="132">
        <v>3450</v>
      </c>
      <c r="S27" s="2" t="s">
        <v>20</v>
      </c>
      <c r="T27" t="s">
        <v>326</v>
      </c>
    </row>
    <row r="28" spans="1:21" x14ac:dyDescent="0.35">
      <c r="A28" s="146">
        <v>27</v>
      </c>
      <c r="B28" t="s">
        <v>235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236</v>
      </c>
      <c r="N28" s="186">
        <v>4561283743</v>
      </c>
      <c r="Q28" s="2" t="s">
        <v>21</v>
      </c>
      <c r="R28" s="132">
        <v>6210</v>
      </c>
      <c r="S28" s="2" t="s">
        <v>21</v>
      </c>
      <c r="T28" t="s">
        <v>268</v>
      </c>
    </row>
    <row r="29" spans="1:21" x14ac:dyDescent="0.35">
      <c r="A29" s="147">
        <v>28</v>
      </c>
      <c r="B29" t="s">
        <v>234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1" x14ac:dyDescent="0.35">
      <c r="A30" s="146">
        <v>29</v>
      </c>
      <c r="B30" t="s">
        <v>251</v>
      </c>
      <c r="C30" s="24">
        <v>46177</v>
      </c>
      <c r="D30" s="24">
        <v>46179</v>
      </c>
      <c r="E30" s="24">
        <v>46023</v>
      </c>
      <c r="F30" t="s">
        <v>58</v>
      </c>
      <c r="G30" t="s">
        <v>272</v>
      </c>
      <c r="K30" s="128"/>
      <c r="L30" s="128"/>
      <c r="M30" s="123"/>
    </row>
    <row r="31" spans="1:21" x14ac:dyDescent="0.35">
      <c r="A31" s="146">
        <v>30</v>
      </c>
      <c r="B31" t="s">
        <v>249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6">
        <v>4526241192</v>
      </c>
      <c r="Q31" s="2" t="s">
        <v>21</v>
      </c>
      <c r="R31" s="132">
        <v>5100</v>
      </c>
      <c r="S31" s="2" t="s">
        <v>21</v>
      </c>
      <c r="T31" t="s">
        <v>250</v>
      </c>
    </row>
    <row r="32" spans="1:21" x14ac:dyDescent="0.35">
      <c r="A32" s="147">
        <v>31</v>
      </c>
      <c r="B32" t="s">
        <v>252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253</v>
      </c>
      <c r="N32" s="158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254</v>
      </c>
    </row>
    <row r="33" spans="1:20" x14ac:dyDescent="0.35">
      <c r="A33" s="146">
        <v>32</v>
      </c>
      <c r="B33" t="s">
        <v>267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266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265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261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6" t="s">
        <v>262</v>
      </c>
      <c r="N36" s="186">
        <v>46733448215</v>
      </c>
      <c r="O36" s="2" t="s">
        <v>263</v>
      </c>
      <c r="Q36" s="2" t="s">
        <v>21</v>
      </c>
      <c r="R36" s="132">
        <v>4140</v>
      </c>
      <c r="S36" s="2" t="s">
        <v>38</v>
      </c>
      <c r="T36" t="s">
        <v>264</v>
      </c>
    </row>
    <row r="37" spans="1:20" x14ac:dyDescent="0.35">
      <c r="A37" s="146">
        <v>36</v>
      </c>
      <c r="B37" t="s">
        <v>260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258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259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257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256</v>
      </c>
      <c r="C40" s="24">
        <v>46216</v>
      </c>
      <c r="D40" s="24">
        <v>46220</v>
      </c>
      <c r="E40" s="24">
        <v>46032</v>
      </c>
      <c r="G40" t="s">
        <v>272</v>
      </c>
    </row>
    <row r="41" spans="1:20" x14ac:dyDescent="0.35">
      <c r="A41" s="2">
        <v>40</v>
      </c>
      <c r="B41" t="s">
        <v>255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271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270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288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259</v>
      </c>
      <c r="I44" s="2" t="s">
        <v>291</v>
      </c>
      <c r="K44">
        <v>1</v>
      </c>
      <c r="L44">
        <v>2</v>
      </c>
      <c r="M44" s="123" t="s">
        <v>290</v>
      </c>
      <c r="N44" s="158">
        <v>4526140610</v>
      </c>
      <c r="Q44" s="2" t="s">
        <v>21</v>
      </c>
      <c r="R44" s="132">
        <v>4500</v>
      </c>
      <c r="S44" s="2" t="s">
        <v>20</v>
      </c>
      <c r="T44" t="s">
        <v>289</v>
      </c>
    </row>
    <row r="45" spans="1:20" x14ac:dyDescent="0.35">
      <c r="A45" s="2">
        <v>44</v>
      </c>
      <c r="B45" t="s">
        <v>287</v>
      </c>
      <c r="C45" s="24">
        <v>46222</v>
      </c>
      <c r="D45" s="24">
        <v>46227</v>
      </c>
      <c r="E45" s="24">
        <v>46037</v>
      </c>
      <c r="F45" t="s">
        <v>294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286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283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285</v>
      </c>
      <c r="T47" t="s">
        <v>284</v>
      </c>
    </row>
    <row r="48" spans="1:20" x14ac:dyDescent="0.35">
      <c r="A48" s="2">
        <v>47</v>
      </c>
      <c r="B48" t="s">
        <v>218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219</v>
      </c>
      <c r="N48" s="186">
        <v>4531909358</v>
      </c>
      <c r="O48" s="188" t="s">
        <v>281</v>
      </c>
      <c r="Q48" s="2" t="s">
        <v>21</v>
      </c>
      <c r="S48" s="2" t="s">
        <v>21</v>
      </c>
      <c r="T48" t="s">
        <v>282</v>
      </c>
    </row>
    <row r="49" spans="1:20" x14ac:dyDescent="0.35">
      <c r="A49" s="2">
        <v>48</v>
      </c>
      <c r="B49" t="s">
        <v>280</v>
      </c>
      <c r="C49" s="24">
        <v>46156</v>
      </c>
      <c r="D49" s="24">
        <v>46159</v>
      </c>
      <c r="E49" s="24">
        <v>46040</v>
      </c>
      <c r="F49" t="s">
        <v>53</v>
      </c>
      <c r="G49" t="s">
        <v>272</v>
      </c>
      <c r="M49" s="123"/>
    </row>
    <row r="50" spans="1:20" x14ac:dyDescent="0.35">
      <c r="A50" s="2">
        <v>49</v>
      </c>
      <c r="B50" t="s">
        <v>279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278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275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6" t="s">
        <v>277</v>
      </c>
      <c r="N52" s="186">
        <v>4540474386</v>
      </c>
      <c r="O52" s="188" t="s">
        <v>276</v>
      </c>
      <c r="Q52" s="2" t="s">
        <v>21</v>
      </c>
      <c r="R52" s="194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293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292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308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5">
        <v>5700</v>
      </c>
    </row>
    <row r="56" spans="1:20" x14ac:dyDescent="0.35">
      <c r="A56" s="2">
        <v>55</v>
      </c>
      <c r="B56" t="s">
        <v>307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304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317</v>
      </c>
      <c r="I57" s="2" t="s">
        <v>305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306</v>
      </c>
    </row>
    <row r="58" spans="1:20" x14ac:dyDescent="0.35">
      <c r="A58" s="2">
        <v>57</v>
      </c>
      <c r="B58" t="s">
        <v>301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6">
        <v>466700686</v>
      </c>
      <c r="O58" s="2" t="s">
        <v>302</v>
      </c>
      <c r="Q58" s="2" t="s">
        <v>20</v>
      </c>
      <c r="R58" s="165">
        <v>6450</v>
      </c>
      <c r="S58" s="2" t="s">
        <v>38</v>
      </c>
      <c r="T58" t="s">
        <v>303</v>
      </c>
    </row>
    <row r="59" spans="1:20" x14ac:dyDescent="0.35">
      <c r="A59" s="2">
        <v>58</v>
      </c>
      <c r="B59" t="s">
        <v>299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5">
        <v>4590</v>
      </c>
      <c r="S59" s="2" t="s">
        <v>38</v>
      </c>
      <c r="T59" t="s">
        <v>300</v>
      </c>
    </row>
    <row r="60" spans="1:20" x14ac:dyDescent="0.35">
      <c r="A60" s="2">
        <v>59</v>
      </c>
      <c r="B60" t="s">
        <v>309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310</v>
      </c>
      <c r="I60" s="2" t="s">
        <v>162</v>
      </c>
      <c r="K60">
        <v>1</v>
      </c>
      <c r="L60">
        <v>2</v>
      </c>
      <c r="M60" s="123"/>
      <c r="N60" s="158">
        <v>4542401010</v>
      </c>
      <c r="Q60" s="2" t="s">
        <v>21</v>
      </c>
      <c r="R60" s="165">
        <v>5100</v>
      </c>
      <c r="S60" s="2" t="s">
        <v>20</v>
      </c>
    </row>
    <row r="61" spans="1:20" x14ac:dyDescent="0.35">
      <c r="A61" s="2">
        <v>60</v>
      </c>
      <c r="B61" t="s">
        <v>316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5">
        <v>3800</v>
      </c>
      <c r="S61" s="2" t="s">
        <v>20</v>
      </c>
    </row>
    <row r="62" spans="1:20" x14ac:dyDescent="0.35">
      <c r="A62" s="2">
        <v>61</v>
      </c>
      <c r="B62" t="s">
        <v>314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315</v>
      </c>
      <c r="I62" s="2" t="s">
        <v>305</v>
      </c>
      <c r="K62">
        <v>1</v>
      </c>
      <c r="L62">
        <v>2</v>
      </c>
      <c r="M62" s="123"/>
      <c r="Q62" s="2" t="s">
        <v>20</v>
      </c>
      <c r="R62" s="165">
        <v>2975</v>
      </c>
      <c r="S62" s="2" t="s">
        <v>20</v>
      </c>
    </row>
    <row r="63" spans="1:20" x14ac:dyDescent="0.35">
      <c r="A63" s="2">
        <v>62</v>
      </c>
      <c r="B63" t="s">
        <v>313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305</v>
      </c>
      <c r="J63">
        <v>10</v>
      </c>
      <c r="K63">
        <v>1</v>
      </c>
      <c r="L63">
        <v>2</v>
      </c>
      <c r="Q63" s="2" t="s">
        <v>21</v>
      </c>
      <c r="R63" s="165">
        <f>8925+3442.5</f>
        <v>12367.5</v>
      </c>
      <c r="S63" s="2" t="s">
        <v>20</v>
      </c>
      <c r="T63" t="s">
        <v>325</v>
      </c>
    </row>
    <row r="64" spans="1:20" x14ac:dyDescent="0.35">
      <c r="A64" s="2">
        <v>63</v>
      </c>
      <c r="B64" t="s">
        <v>311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312</v>
      </c>
      <c r="Q64" s="2" t="s">
        <v>20</v>
      </c>
      <c r="R64" s="165">
        <v>1805</v>
      </c>
      <c r="S64" s="2" t="s">
        <v>20</v>
      </c>
    </row>
    <row r="65" spans="1:20" x14ac:dyDescent="0.35">
      <c r="A65" s="2">
        <v>64</v>
      </c>
      <c r="B65" t="s">
        <v>318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322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305</v>
      </c>
      <c r="K66">
        <v>1</v>
      </c>
      <c r="L66">
        <v>2</v>
      </c>
      <c r="Q66" s="2" t="s">
        <v>20</v>
      </c>
      <c r="R66" s="165">
        <v>2850</v>
      </c>
      <c r="S66" s="2" t="s">
        <v>20</v>
      </c>
    </row>
    <row r="67" spans="1:20" x14ac:dyDescent="0.35">
      <c r="A67" s="2">
        <v>66</v>
      </c>
      <c r="B67" t="s">
        <v>320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321</v>
      </c>
      <c r="N67" s="157">
        <v>4521261488</v>
      </c>
      <c r="O67" s="2" t="s">
        <v>186</v>
      </c>
      <c r="Q67" s="2" t="s">
        <v>21</v>
      </c>
      <c r="R67" s="165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319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5">
        <v>5750</v>
      </c>
      <c r="S68" s="2" t="s">
        <v>20</v>
      </c>
    </row>
    <row r="69" spans="1:20" x14ac:dyDescent="0.35">
      <c r="A69" s="2">
        <v>68</v>
      </c>
      <c r="B69" t="s">
        <v>324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5">
        <v>1700</v>
      </c>
      <c r="S69" s="2" t="s">
        <v>20</v>
      </c>
    </row>
    <row r="70" spans="1:20" x14ac:dyDescent="0.35">
      <c r="A70" s="2">
        <v>69</v>
      </c>
      <c r="B70" t="s">
        <v>323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5">
        <v>3225</v>
      </c>
      <c r="S70" s="2" t="s">
        <v>20</v>
      </c>
    </row>
    <row r="71" spans="1:20" x14ac:dyDescent="0.35">
      <c r="A71" s="2">
        <v>70</v>
      </c>
      <c r="B71" t="s">
        <v>331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332</v>
      </c>
      <c r="N71" s="157">
        <v>4561793423</v>
      </c>
      <c r="Q71" s="2" t="s">
        <v>21</v>
      </c>
      <c r="R71" s="165">
        <v>5175</v>
      </c>
      <c r="S71" s="2" t="s">
        <v>21</v>
      </c>
      <c r="T71" t="s">
        <v>333</v>
      </c>
    </row>
    <row r="72" spans="1:20" x14ac:dyDescent="0.35">
      <c r="A72" s="2">
        <v>71</v>
      </c>
      <c r="B72" t="s">
        <v>334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328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259</v>
      </c>
      <c r="K73">
        <v>1</v>
      </c>
      <c r="L73">
        <v>2</v>
      </c>
      <c r="M73" s="166" t="s">
        <v>329</v>
      </c>
      <c r="N73" s="157">
        <v>4527139833</v>
      </c>
      <c r="Q73" s="2" t="s">
        <v>21</v>
      </c>
      <c r="R73" s="165">
        <v>8050</v>
      </c>
      <c r="S73" s="2" t="s">
        <v>21</v>
      </c>
      <c r="T73" t="s">
        <v>330</v>
      </c>
    </row>
    <row r="74" spans="1:20" x14ac:dyDescent="0.35">
      <c r="A74" s="2">
        <v>73</v>
      </c>
      <c r="B74" t="s">
        <v>327</v>
      </c>
      <c r="C74" s="24">
        <v>46143</v>
      </c>
      <c r="D74" s="24">
        <v>46145</v>
      </c>
      <c r="E74" s="24">
        <v>46061</v>
      </c>
      <c r="F74" t="s">
        <v>53</v>
      </c>
      <c r="G74" t="s">
        <v>272</v>
      </c>
    </row>
    <row r="75" spans="1:20" x14ac:dyDescent="0.35">
      <c r="A75" s="2">
        <v>74</v>
      </c>
      <c r="B75" t="s">
        <v>337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338</v>
      </c>
      <c r="Q75" s="2" t="s">
        <v>21</v>
      </c>
      <c r="R75" s="165">
        <v>8460</v>
      </c>
      <c r="S75" s="2" t="s">
        <v>21</v>
      </c>
      <c r="T75" t="s">
        <v>339</v>
      </c>
    </row>
    <row r="76" spans="1:20" x14ac:dyDescent="0.35">
      <c r="A76" s="2">
        <v>75</v>
      </c>
      <c r="B76" t="s">
        <v>336</v>
      </c>
      <c r="C76" s="24">
        <v>46276</v>
      </c>
      <c r="D76" s="24">
        <v>46279</v>
      </c>
      <c r="E76" s="24">
        <v>46067</v>
      </c>
      <c r="F76" t="s">
        <v>53</v>
      </c>
      <c r="G76" t="s">
        <v>272</v>
      </c>
      <c r="R76" s="165"/>
    </row>
    <row r="77" spans="1:20" x14ac:dyDescent="0.35">
      <c r="A77" s="2">
        <v>76</v>
      </c>
      <c r="B77" t="s">
        <v>335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5">
        <v>5100</v>
      </c>
      <c r="S77" s="2" t="s">
        <v>20</v>
      </c>
    </row>
    <row r="78" spans="1:20" x14ac:dyDescent="0.35">
      <c r="A78" s="2">
        <v>77</v>
      </c>
      <c r="B78" t="s">
        <v>340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6" t="s">
        <v>341</v>
      </c>
      <c r="N78" s="157">
        <v>4525240507</v>
      </c>
      <c r="Q78" s="2" t="s">
        <v>21</v>
      </c>
      <c r="R78" s="194">
        <v>8032.5</v>
      </c>
      <c r="S78" s="2" t="s">
        <v>21</v>
      </c>
      <c r="T78" t="s">
        <v>342</v>
      </c>
    </row>
    <row r="79" spans="1:20" x14ac:dyDescent="0.35">
      <c r="A79" s="2">
        <v>78</v>
      </c>
      <c r="B79" t="s">
        <v>350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2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3" t="s">
        <v>348</v>
      </c>
      <c r="N80" s="157">
        <v>4520646004</v>
      </c>
      <c r="Q80" s="2" t="s">
        <v>21</v>
      </c>
      <c r="R80" s="165">
        <v>5175</v>
      </c>
      <c r="S80" s="2" t="s">
        <v>38</v>
      </c>
      <c r="T80" t="s">
        <v>349</v>
      </c>
    </row>
    <row r="81" spans="1:20" x14ac:dyDescent="0.35">
      <c r="A81" s="2">
        <v>80</v>
      </c>
      <c r="B81" t="s">
        <v>345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346</v>
      </c>
      <c r="N81" s="157">
        <v>4520143818</v>
      </c>
      <c r="Q81" s="2" t="s">
        <v>21</v>
      </c>
      <c r="R81" s="132">
        <v>10350</v>
      </c>
      <c r="S81" s="2" t="s">
        <v>21</v>
      </c>
      <c r="T81" t="s">
        <v>347</v>
      </c>
    </row>
    <row r="82" spans="1:20" x14ac:dyDescent="0.35">
      <c r="A82" s="2">
        <v>81</v>
      </c>
      <c r="B82" t="s">
        <v>351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2">
        <v>3825</v>
      </c>
      <c r="S82" s="2" t="s">
        <v>20</v>
      </c>
    </row>
    <row r="83" spans="1:20" x14ac:dyDescent="0.35">
      <c r="A83" s="2">
        <v>82</v>
      </c>
      <c r="B83" s="190" t="s">
        <v>352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65">
        <v>2300</v>
      </c>
      <c r="S83" s="2" t="s">
        <v>20</v>
      </c>
    </row>
    <row r="84" spans="1:20" x14ac:dyDescent="0.35">
      <c r="A84" s="2">
        <v>83</v>
      </c>
      <c r="B84" s="193" t="s">
        <v>353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32">
        <v>4600</v>
      </c>
      <c r="S84" s="2" t="s">
        <v>20</v>
      </c>
    </row>
    <row r="85" spans="1:20" x14ac:dyDescent="0.35">
      <c r="A85" s="2">
        <v>84</v>
      </c>
      <c r="B85" s="190" t="s">
        <v>365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66" t="s">
        <v>366</v>
      </c>
      <c r="N85" s="157">
        <v>4526251564</v>
      </c>
      <c r="O85" s="2" t="s">
        <v>367</v>
      </c>
      <c r="Q85" s="2" t="s">
        <v>20</v>
      </c>
      <c r="R85" s="165">
        <v>3870</v>
      </c>
    </row>
    <row r="86" spans="1:20" x14ac:dyDescent="0.35">
      <c r="A86" s="2">
        <v>85</v>
      </c>
      <c r="B86" t="s">
        <v>364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32">
        <v>1700</v>
      </c>
      <c r="S86" s="2" t="s">
        <v>20</v>
      </c>
    </row>
    <row r="87" spans="1:20" x14ac:dyDescent="0.35">
      <c r="A87" s="2">
        <v>86</v>
      </c>
      <c r="B87" t="s">
        <v>361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23" t="s">
        <v>362</v>
      </c>
      <c r="O87" s="2" t="s">
        <v>363</v>
      </c>
      <c r="Q87" s="2" t="s">
        <v>21</v>
      </c>
      <c r="R87" s="132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368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32">
        <v>2975</v>
      </c>
      <c r="S88" s="2" t="s">
        <v>20</v>
      </c>
    </row>
    <row r="89" spans="1:20" x14ac:dyDescent="0.35">
      <c r="A89" s="2">
        <v>88</v>
      </c>
      <c r="B89" t="s">
        <v>375</v>
      </c>
      <c r="C89" s="24">
        <v>46188</v>
      </c>
      <c r="D89" s="24">
        <v>46191</v>
      </c>
      <c r="E89" s="24">
        <v>46089</v>
      </c>
      <c r="F89" t="s">
        <v>31</v>
      </c>
      <c r="G89" t="s">
        <v>272</v>
      </c>
    </row>
    <row r="90" spans="1:20" x14ac:dyDescent="0.35">
      <c r="A90" s="2">
        <v>89</v>
      </c>
      <c r="B90" s="207" t="s">
        <v>371</v>
      </c>
      <c r="C90" s="24">
        <v>46276</v>
      </c>
      <c r="D90" s="24">
        <v>46278</v>
      </c>
      <c r="E90" s="24">
        <v>46091</v>
      </c>
      <c r="F90" s="207" t="s">
        <v>53</v>
      </c>
      <c r="G90" s="207" t="s">
        <v>6</v>
      </c>
      <c r="H90" s="207"/>
      <c r="I90" s="207" t="s">
        <v>165</v>
      </c>
      <c r="J90" s="207">
        <v>5</v>
      </c>
      <c r="K90" s="207">
        <v>2</v>
      </c>
      <c r="L90" s="207">
        <v>3</v>
      </c>
      <c r="M90" s="123" t="s">
        <v>372</v>
      </c>
      <c r="N90" s="207">
        <v>4540528447</v>
      </c>
      <c r="O90" s="207"/>
      <c r="P90" s="2" t="s">
        <v>374</v>
      </c>
      <c r="Q90" s="2" t="s">
        <v>21</v>
      </c>
      <c r="R90" s="132">
        <f>2185+1805</f>
        <v>3990</v>
      </c>
      <c r="S90" s="2" t="s">
        <v>20</v>
      </c>
      <c r="T90" s="207" t="s">
        <v>373</v>
      </c>
    </row>
    <row r="91" spans="1:20" x14ac:dyDescent="0.35">
      <c r="A91" s="2">
        <v>90</v>
      </c>
      <c r="B91" s="206" t="s">
        <v>369</v>
      </c>
      <c r="C91" s="24">
        <v>46156</v>
      </c>
      <c r="D91" s="24">
        <v>46159</v>
      </c>
      <c r="E91" s="24">
        <v>46091</v>
      </c>
      <c r="F91" s="206" t="s">
        <v>54</v>
      </c>
      <c r="G91" s="206" t="s">
        <v>35</v>
      </c>
      <c r="H91" s="206" t="s">
        <v>370</v>
      </c>
      <c r="I91" s="206" t="s">
        <v>162</v>
      </c>
      <c r="J91" s="206">
        <v>0</v>
      </c>
      <c r="K91" s="206">
        <v>1</v>
      </c>
      <c r="L91" s="206">
        <v>2</v>
      </c>
      <c r="M91" s="206"/>
      <c r="N91" s="206"/>
      <c r="O91" s="206"/>
      <c r="P91" s="2" t="s">
        <v>20</v>
      </c>
      <c r="Q91" s="2" t="s">
        <v>20</v>
      </c>
      <c r="R91" s="132">
        <v>2850</v>
      </c>
      <c r="S91" s="2" t="s">
        <v>20</v>
      </c>
      <c r="T91" s="206"/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</hyperlinks>
  <pageMargins left="0.7" right="0.7" top="0.75" bottom="0.75" header="0.3" footer="0.3"/>
  <pageSetup paperSize="9" orientation="portrait" r:id="rId36"/>
  <legacyDrawing r:id="rId3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I206" sqref="I206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294</v>
      </c>
      <c r="BU1" s="2" t="str">
        <f>BT1</f>
        <v>CZ</v>
      </c>
      <c r="BV1" s="181" t="s">
        <v>297</v>
      </c>
      <c r="BW1" s="181" t="s">
        <v>297</v>
      </c>
      <c r="BX1" s="141" t="s">
        <v>298</v>
      </c>
      <c r="BY1" s="141" t="s">
        <v>298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132</v>
      </c>
      <c r="BC196" s="34">
        <f t="shared" si="167"/>
        <v>577</v>
      </c>
      <c r="BD196" s="34">
        <f t="shared" si="167"/>
        <v>17</v>
      </c>
      <c r="BE196" s="34">
        <f t="shared" si="167"/>
        <v>61</v>
      </c>
      <c r="BF196" s="34">
        <f t="shared" si="167"/>
        <v>0</v>
      </c>
      <c r="BG196" s="34">
        <f t="shared" si="167"/>
        <v>0</v>
      </c>
      <c r="BH196" s="34">
        <f t="shared" si="167"/>
        <v>22</v>
      </c>
      <c r="BI196" s="34">
        <f t="shared" si="167"/>
        <v>139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430</v>
      </c>
      <c r="W198">
        <f t="shared" si="168"/>
        <v>430</v>
      </c>
      <c r="X198">
        <f t="shared" si="168"/>
        <v>430</v>
      </c>
      <c r="Y198">
        <f t="shared" si="168"/>
        <v>430</v>
      </c>
      <c r="Z198">
        <f t="shared" si="168"/>
        <v>430</v>
      </c>
      <c r="AA198">
        <f t="shared" si="168"/>
        <v>430</v>
      </c>
      <c r="AB198">
        <f t="shared" si="168"/>
        <v>430</v>
      </c>
      <c r="AC198">
        <f t="shared" si="168"/>
        <v>430</v>
      </c>
      <c r="AD198">
        <f t="shared" si="168"/>
        <v>430</v>
      </c>
      <c r="AE198">
        <f t="shared" si="168"/>
        <v>430</v>
      </c>
      <c r="AF198">
        <f t="shared" si="168"/>
        <v>430</v>
      </c>
      <c r="AG198">
        <f t="shared" si="168"/>
        <v>430</v>
      </c>
      <c r="AH198">
        <f t="shared" si="168"/>
        <v>430</v>
      </c>
      <c r="AI198">
        <f t="shared" si="168"/>
        <v>430</v>
      </c>
      <c r="AJ198">
        <f t="shared" si="168"/>
        <v>430</v>
      </c>
      <c r="AK198">
        <f t="shared" si="168"/>
        <v>430</v>
      </c>
      <c r="AL198">
        <f t="shared" si="168"/>
        <v>430</v>
      </c>
      <c r="AM198">
        <f t="shared" si="168"/>
        <v>430</v>
      </c>
      <c r="AN198">
        <f t="shared" si="168"/>
        <v>430</v>
      </c>
      <c r="AO198">
        <f t="shared" si="168"/>
        <v>430</v>
      </c>
      <c r="AP198">
        <f t="shared" si="168"/>
        <v>430</v>
      </c>
      <c r="AQ198">
        <f t="shared" si="168"/>
        <v>430</v>
      </c>
      <c r="AR198">
        <f t="shared" si="168"/>
        <v>430</v>
      </c>
      <c r="AS198">
        <f t="shared" si="168"/>
        <v>430</v>
      </c>
      <c r="AT198">
        <f t="shared" si="168"/>
        <v>430</v>
      </c>
      <c r="AU198">
        <f t="shared" si="168"/>
        <v>430</v>
      </c>
      <c r="AV198">
        <f t="shared" si="168"/>
        <v>430</v>
      </c>
      <c r="AW198">
        <f t="shared" si="168"/>
        <v>430</v>
      </c>
      <c r="AX198">
        <f t="shared" si="168"/>
        <v>430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W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430</v>
      </c>
      <c r="W200" s="207">
        <f t="shared" si="169"/>
        <v>430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132</v>
      </c>
      <c r="BE202" s="34">
        <f>BD196</f>
        <v>17</v>
      </c>
      <c r="BF202" s="34">
        <f>BF196</f>
        <v>0</v>
      </c>
      <c r="BG202" s="34">
        <f>BH196</f>
        <v>22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577</v>
      </c>
      <c r="BE203" s="40">
        <f>BE196</f>
        <v>61</v>
      </c>
      <c r="BF203" s="40">
        <f>BG196</f>
        <v>0</v>
      </c>
      <c r="BG203" s="40">
        <f>BI196</f>
        <v>139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2" t="s">
        <v>294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132</v>
      </c>
      <c r="C30" s="34">
        <f>'book stat'!BE202</f>
        <v>17</v>
      </c>
      <c r="D30" s="34">
        <f>'book stat'!BF202</f>
        <v>0</v>
      </c>
      <c r="E30" s="34">
        <f>'book stat'!BG202</f>
        <v>22</v>
      </c>
      <c r="F30" s="34">
        <f>'book stat'!BH202</f>
        <v>0</v>
      </c>
      <c r="G30" s="35">
        <f>'book stat'!BI202</f>
        <v>5</v>
      </c>
      <c r="H30" s="173">
        <f>'book stat'!BJ202</f>
        <v>0</v>
      </c>
      <c r="I30" s="174">
        <f>'book stat'!BK202</f>
        <v>0</v>
      </c>
      <c r="J30" s="174">
        <f>'book stat'!BL202</f>
        <v>3</v>
      </c>
      <c r="K30" s="175">
        <f>'book stat'!BM202</f>
        <v>2</v>
      </c>
      <c r="L30" s="176">
        <f>'book stat'!BN202</f>
        <v>0</v>
      </c>
      <c r="M30" s="177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577</v>
      </c>
      <c r="C31" s="34">
        <f>'book stat'!BE203</f>
        <v>61</v>
      </c>
      <c r="D31" s="34">
        <f>'book stat'!BF203</f>
        <v>0</v>
      </c>
      <c r="E31" s="34">
        <f>'book stat'!BG203</f>
        <v>139</v>
      </c>
      <c r="F31" s="34">
        <f>'book stat'!BH203</f>
        <v>0</v>
      </c>
      <c r="G31" s="35">
        <f>'book stat'!BI203</f>
        <v>29</v>
      </c>
      <c r="H31" s="178">
        <f>'book stat'!BJ203</f>
        <v>0</v>
      </c>
      <c r="I31" s="179">
        <f>'book stat'!BK203</f>
        <v>0</v>
      </c>
      <c r="J31" s="179">
        <f>'book stat'!BL203</f>
        <v>19</v>
      </c>
      <c r="K31" s="180">
        <f>'book stat'!BM203</f>
        <v>10</v>
      </c>
      <c r="L31" s="176">
        <f>'book stat'!BN203</f>
        <v>0</v>
      </c>
      <c r="M31" s="177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9" activePane="bottomLeft" state="frozen"/>
      <selection pane="bottomLeft" activeCell="T22" sqref="T22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01">
        <v>1</v>
      </c>
      <c r="E1" s="202"/>
      <c r="F1" s="66" t="s">
        <v>117</v>
      </c>
      <c r="G1" s="67" t="s">
        <v>8</v>
      </c>
      <c r="H1" s="203">
        <v>2</v>
      </c>
      <c r="I1" s="202"/>
      <c r="J1" s="66" t="s">
        <v>117</v>
      </c>
      <c r="K1" s="68" t="s">
        <v>8</v>
      </c>
      <c r="L1" s="203">
        <v>3</v>
      </c>
      <c r="M1" s="202"/>
      <c r="N1" s="66" t="s">
        <v>117</v>
      </c>
      <c r="O1" s="69" t="s">
        <v>8</v>
      </c>
      <c r="P1" s="201">
        <v>4</v>
      </c>
      <c r="Q1" s="202"/>
      <c r="R1" s="66" t="s">
        <v>117</v>
      </c>
      <c r="S1" s="68" t="s">
        <v>8</v>
      </c>
      <c r="T1" s="204">
        <v>5</v>
      </c>
      <c r="U1" s="205"/>
      <c r="V1" s="66" t="s">
        <v>117</v>
      </c>
      <c r="W1" s="68" t="s">
        <v>8</v>
      </c>
      <c r="X1" s="201">
        <v>6</v>
      </c>
      <c r="Y1" s="202"/>
      <c r="Z1" s="70" t="s">
        <v>118</v>
      </c>
      <c r="AA1" s="139">
        <f>SUM(AA2:AA171)</f>
        <v>432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167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5</v>
      </c>
      <c r="AA7" s="140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5</v>
      </c>
      <c r="AA8" s="140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343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344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162</v>
      </c>
      <c r="L12" s="14"/>
      <c r="M12" s="149">
        <v>80</v>
      </c>
      <c r="N12" s="20"/>
      <c r="O12" s="20" t="s">
        <v>162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 t="shared" si="3"/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295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229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90</v>
      </c>
      <c r="V19" s="20"/>
      <c r="W19" s="20" t="s">
        <v>162</v>
      </c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90</v>
      </c>
      <c r="U20" s="8">
        <v>90</v>
      </c>
      <c r="V20" s="20"/>
      <c r="W20" s="20" t="s">
        <v>295</v>
      </c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90</v>
      </c>
      <c r="U21" s="8">
        <v>90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90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1">
        <v>20</v>
      </c>
      <c r="I27" s="148">
        <v>20</v>
      </c>
      <c r="J27" s="20">
        <v>2</v>
      </c>
      <c r="K27" s="19"/>
      <c r="L27" s="161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1">
        <v>20</v>
      </c>
      <c r="I28" s="148">
        <v>20</v>
      </c>
      <c r="J28" s="20">
        <v>2</v>
      </c>
      <c r="K28" s="19"/>
      <c r="L28" s="161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230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1">
        <v>20</v>
      </c>
      <c r="I29" s="148">
        <v>20</v>
      </c>
      <c r="J29" s="20">
        <v>2</v>
      </c>
      <c r="K29" s="19"/>
      <c r="L29" s="161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231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1">
        <v>20</v>
      </c>
      <c r="I30" s="8"/>
      <c r="J30" s="20">
        <v>2</v>
      </c>
      <c r="K30" s="19"/>
      <c r="L30" s="161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/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1</v>
      </c>
      <c r="AB35" s="8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22"/>
      <c r="I36" s="163">
        <v>79</v>
      </c>
      <c r="J36" s="20"/>
      <c r="K36" s="19" t="s">
        <v>165</v>
      </c>
      <c r="L36" s="149">
        <v>5</v>
      </c>
      <c r="M36" s="149">
        <v>5</v>
      </c>
      <c r="N36" s="124">
        <v>2</v>
      </c>
      <c r="O36" s="124"/>
      <c r="P36" s="121"/>
      <c r="Q36" s="121"/>
      <c r="R36" s="121"/>
      <c r="S36" s="121"/>
      <c r="T36" s="121"/>
      <c r="U36" s="121"/>
      <c r="V36" s="20"/>
      <c r="W36" s="20"/>
      <c r="X36" s="22"/>
      <c r="Y36" s="22"/>
      <c r="Z36" s="145">
        <f t="shared" si="2"/>
        <v>2</v>
      </c>
      <c r="AA36" s="140">
        <f t="shared" si="3"/>
        <v>2</v>
      </c>
      <c r="AB36" s="8">
        <f t="shared" si="0"/>
        <v>1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63">
        <v>79</v>
      </c>
      <c r="I37" s="163">
        <v>79</v>
      </c>
      <c r="J37" s="20">
        <v>2</v>
      </c>
      <c r="K37" s="19"/>
      <c r="L37" s="149">
        <v>5</v>
      </c>
      <c r="M37" s="8"/>
      <c r="N37" s="20"/>
      <c r="O37" s="20"/>
      <c r="P37" s="121"/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63">
        <v>79</v>
      </c>
      <c r="I38" s="163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63">
        <v>79</v>
      </c>
      <c r="I39" s="163">
        <v>79</v>
      </c>
      <c r="J39" s="20">
        <v>2</v>
      </c>
      <c r="K39" s="19"/>
      <c r="L39" s="8"/>
      <c r="M39" s="163">
        <v>27</v>
      </c>
      <c r="N39" s="20"/>
      <c r="O39" s="20" t="s">
        <v>165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63">
        <v>79</v>
      </c>
      <c r="I40" s="163">
        <v>79</v>
      </c>
      <c r="J40" s="20">
        <v>2</v>
      </c>
      <c r="K40" s="19"/>
      <c r="L40" s="162">
        <v>27</v>
      </c>
      <c r="M40" s="163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63">
        <v>79</v>
      </c>
      <c r="I41" s="149">
        <v>6</v>
      </c>
      <c r="J41" s="20">
        <v>2</v>
      </c>
      <c r="K41" s="19"/>
      <c r="L41" s="163">
        <v>27</v>
      </c>
      <c r="M41" s="163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3">
        <v>27</v>
      </c>
      <c r="M42" s="163">
        <v>27</v>
      </c>
      <c r="N42" s="20">
        <v>2</v>
      </c>
      <c r="O42" s="20" t="s">
        <v>162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3">
        <v>27</v>
      </c>
      <c r="M43" s="163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3">
        <v>27</v>
      </c>
      <c r="M44" s="163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3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>
        <v>83</v>
      </c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>
        <v>83</v>
      </c>
      <c r="M51" s="8">
        <v>83</v>
      </c>
      <c r="N51" s="20">
        <v>2</v>
      </c>
      <c r="O51" s="20"/>
      <c r="P51" s="153">
        <v>15</v>
      </c>
      <c r="Q51" s="189">
        <v>70</v>
      </c>
      <c r="R51" s="124"/>
      <c r="S51" s="124"/>
      <c r="T51" s="149">
        <v>17</v>
      </c>
      <c r="U51" s="149">
        <v>86</v>
      </c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>
        <v>2</v>
      </c>
      <c r="K52" s="19" t="s">
        <v>163</v>
      </c>
      <c r="L52" s="8">
        <v>83</v>
      </c>
      <c r="M52" s="8">
        <v>83</v>
      </c>
      <c r="N52" s="20">
        <v>2</v>
      </c>
      <c r="O52" s="20"/>
      <c r="P52" s="189">
        <v>70</v>
      </c>
      <c r="Q52" s="189">
        <v>70</v>
      </c>
      <c r="R52" s="124">
        <v>2</v>
      </c>
      <c r="S52" s="124"/>
      <c r="T52" s="149">
        <v>86</v>
      </c>
      <c r="U52" s="149">
        <v>86</v>
      </c>
      <c r="V52" s="20">
        <v>2</v>
      </c>
      <c r="W52" s="20" t="s">
        <v>163</v>
      </c>
      <c r="X52" s="22"/>
      <c r="Y52" s="22"/>
      <c r="Z52" s="145">
        <f t="shared" si="2"/>
        <v>8</v>
      </c>
      <c r="AA52" s="140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9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9">
        <v>70</v>
      </c>
      <c r="Q53" s="149">
        <v>70</v>
      </c>
      <c r="R53" s="124">
        <v>2</v>
      </c>
      <c r="S53" s="124"/>
      <c r="T53" s="149">
        <v>86</v>
      </c>
      <c r="U53" s="149">
        <v>86</v>
      </c>
      <c r="V53" s="20">
        <v>2</v>
      </c>
      <c r="W53" s="20" t="s">
        <v>274</v>
      </c>
      <c r="X53" s="22"/>
      <c r="Y53" s="22"/>
      <c r="Z53" s="145">
        <f t="shared" si="2"/>
        <v>8</v>
      </c>
      <c r="AA53" s="140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9">
        <v>31</v>
      </c>
      <c r="E54" s="149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9">
        <v>70</v>
      </c>
      <c r="Q54" s="149">
        <v>70</v>
      </c>
      <c r="R54" s="124">
        <v>2</v>
      </c>
      <c r="S54" s="124"/>
      <c r="T54" s="149">
        <v>86</v>
      </c>
      <c r="U54" s="149">
        <v>86</v>
      </c>
      <c r="V54" s="20">
        <v>2</v>
      </c>
      <c r="W54" s="20"/>
      <c r="X54" s="22"/>
      <c r="Y54" s="22"/>
      <c r="Z54" s="145">
        <f t="shared" si="2"/>
        <v>9</v>
      </c>
      <c r="AA54" s="140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9">
        <v>31</v>
      </c>
      <c r="E55" s="149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86</v>
      </c>
      <c r="U55" s="149">
        <v>86</v>
      </c>
      <c r="V55" s="20">
        <v>2</v>
      </c>
      <c r="W55" s="20"/>
      <c r="X55" s="22"/>
      <c r="Y55" s="22"/>
      <c r="Z55" s="145">
        <f t="shared" si="2"/>
        <v>7</v>
      </c>
      <c r="AA55" s="140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9">
        <v>31</v>
      </c>
      <c r="E56" s="149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86</v>
      </c>
      <c r="U56" s="149">
        <v>86</v>
      </c>
      <c r="V56" s="20">
        <v>2</v>
      </c>
      <c r="W56" s="20"/>
      <c r="X56" s="22"/>
      <c r="Y56" s="22"/>
      <c r="Z56" s="145">
        <f t="shared" si="2"/>
        <v>7</v>
      </c>
      <c r="AA56" s="140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9">
        <v>31</v>
      </c>
      <c r="E57" s="149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86</v>
      </c>
      <c r="U57" s="149">
        <v>86</v>
      </c>
      <c r="V57" s="20">
        <v>2</v>
      </c>
      <c r="W57" s="20"/>
      <c r="X57" s="22"/>
      <c r="Y57" s="22"/>
      <c r="Z57" s="145">
        <f t="shared" si="2"/>
        <v>5</v>
      </c>
      <c r="AA57" s="140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9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64">
        <v>37</v>
      </c>
      <c r="R58" s="124"/>
      <c r="S58" s="124"/>
      <c r="T58" s="149">
        <v>86</v>
      </c>
      <c r="U58" s="8"/>
      <c r="V58" s="20">
        <v>2</v>
      </c>
      <c r="W58" s="20"/>
      <c r="X58" s="22"/>
      <c r="Y58" s="22"/>
      <c r="Z58" s="145">
        <f t="shared" si="2"/>
        <v>3</v>
      </c>
      <c r="AA58" s="140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4">
        <v>37</v>
      </c>
      <c r="Q59" s="164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4">
        <v>37</v>
      </c>
      <c r="Q60" s="164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4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232</v>
      </c>
      <c r="P62" s="8">
        <v>64</v>
      </c>
      <c r="Q62" s="8">
        <v>64</v>
      </c>
      <c r="R62" s="20"/>
      <c r="S62" s="20" t="s">
        <v>295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24"/>
      <c r="G63" s="143" t="s">
        <v>163</v>
      </c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163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21"/>
      <c r="R64" s="20"/>
      <c r="S64" s="20"/>
      <c r="T64" s="163">
        <v>77</v>
      </c>
      <c r="U64" s="163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21"/>
      <c r="Q65" s="164">
        <v>76</v>
      </c>
      <c r="R65" s="20"/>
      <c r="S65" s="20" t="s">
        <v>165</v>
      </c>
      <c r="T65" s="163">
        <v>77</v>
      </c>
      <c r="U65" s="163">
        <v>77</v>
      </c>
      <c r="V65" s="20">
        <v>2</v>
      </c>
      <c r="W65" s="20"/>
      <c r="X65" s="22"/>
      <c r="Y65" s="22"/>
      <c r="Z65" s="145">
        <f t="shared" si="2"/>
        <v>6</v>
      </c>
      <c r="AA65" s="140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4">
        <v>76</v>
      </c>
      <c r="Q66" s="164">
        <v>76</v>
      </c>
      <c r="R66" s="124">
        <v>2</v>
      </c>
      <c r="S66" s="124"/>
      <c r="T66" s="163">
        <v>77</v>
      </c>
      <c r="U66" s="163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4">
        <v>76</v>
      </c>
      <c r="Q67" s="164">
        <v>76</v>
      </c>
      <c r="R67" s="124">
        <v>2</v>
      </c>
      <c r="S67" s="124"/>
      <c r="T67" s="163">
        <v>77</v>
      </c>
      <c r="U67" s="163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3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4">
        <v>76</v>
      </c>
      <c r="Q68" s="174">
        <v>76</v>
      </c>
      <c r="R68" s="124">
        <v>2</v>
      </c>
      <c r="S68" s="143"/>
      <c r="T68" s="163">
        <v>77</v>
      </c>
      <c r="U68" s="163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4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233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198"/>
      <c r="P69" s="199">
        <v>76</v>
      </c>
      <c r="Q69" s="152">
        <v>14</v>
      </c>
      <c r="R69" s="124">
        <v>2</v>
      </c>
      <c r="S69" s="143"/>
      <c r="T69" s="163">
        <v>77</v>
      </c>
      <c r="U69" s="163">
        <v>77</v>
      </c>
      <c r="V69" s="20">
        <v>2</v>
      </c>
      <c r="W69" s="20"/>
      <c r="X69" s="136"/>
      <c r="Y69" s="136"/>
      <c r="Z69" s="145">
        <f t="shared" si="6"/>
        <v>8</v>
      </c>
      <c r="AA69" s="140">
        <f t="shared" si="7"/>
        <v>4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3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4</v>
      </c>
      <c r="AB70" s="8">
        <f t="shared" si="4"/>
        <v>1</v>
      </c>
      <c r="AC70" s="23">
        <f t="shared" si="5"/>
        <v>1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149">
        <v>84</v>
      </c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149">
        <v>84</v>
      </c>
      <c r="M76" s="149">
        <v>84</v>
      </c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149">
        <v>84</v>
      </c>
      <c r="M77" s="149">
        <v>84</v>
      </c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149">
        <v>84</v>
      </c>
      <c r="M78" s="149">
        <v>84</v>
      </c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149">
        <v>84</v>
      </c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232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296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296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1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0">
        <v>57</v>
      </c>
      <c r="Q96" s="171">
        <v>57</v>
      </c>
      <c r="R96" s="124"/>
      <c r="S96" s="124" t="s">
        <v>295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0">
        <v>57</v>
      </c>
      <c r="Q97" s="171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0">
        <v>57</v>
      </c>
      <c r="Q98" s="171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0">
        <v>57</v>
      </c>
      <c r="Q99" s="171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0">
        <v>57</v>
      </c>
      <c r="Q100" s="171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0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4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21">
        <v>32</v>
      </c>
      <c r="I104" s="121">
        <v>32</v>
      </c>
      <c r="J104" s="121">
        <v>2</v>
      </c>
      <c r="K104" s="197" t="s">
        <v>163</v>
      </c>
      <c r="L104" s="164">
        <v>33</v>
      </c>
      <c r="M104" s="164">
        <v>33</v>
      </c>
      <c r="N104" s="121">
        <v>1</v>
      </c>
      <c r="O104" s="121" t="s">
        <v>163</v>
      </c>
      <c r="P104" s="121">
        <v>45</v>
      </c>
      <c r="Q104" s="121">
        <v>45</v>
      </c>
      <c r="R104" s="121">
        <v>2</v>
      </c>
      <c r="S104" s="121"/>
      <c r="T104" s="121">
        <v>50</v>
      </c>
      <c r="U104" s="121"/>
      <c r="V104" s="121">
        <v>2</v>
      </c>
      <c r="W104" s="121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8">
        <v>11</v>
      </c>
      <c r="E105" s="8"/>
      <c r="F105" s="20"/>
      <c r="G105" s="19"/>
      <c r="H105" s="121">
        <v>32</v>
      </c>
      <c r="I105" s="121">
        <v>32</v>
      </c>
      <c r="J105" s="121">
        <v>2</v>
      </c>
      <c r="K105" s="197"/>
      <c r="L105" s="164">
        <v>33</v>
      </c>
      <c r="M105" s="164">
        <v>33</v>
      </c>
      <c r="N105" s="121">
        <v>1</v>
      </c>
      <c r="O105" s="121"/>
      <c r="P105" s="121">
        <v>45</v>
      </c>
      <c r="Q105" s="121">
        <v>45</v>
      </c>
      <c r="R105" s="121">
        <v>2</v>
      </c>
      <c r="S105" s="121"/>
      <c r="T105" s="121"/>
      <c r="U105" s="121"/>
      <c r="V105" s="121"/>
      <c r="W105" s="121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4">
        <v>33</v>
      </c>
      <c r="M106" s="164">
        <v>33</v>
      </c>
      <c r="N106" s="121">
        <v>1</v>
      </c>
      <c r="O106" s="121"/>
      <c r="P106" s="121">
        <v>45</v>
      </c>
      <c r="Q106" s="121"/>
      <c r="R106" s="121">
        <v>2</v>
      </c>
      <c r="S106" s="121"/>
      <c r="T106" s="121"/>
      <c r="U106" s="121"/>
      <c r="V106" s="121"/>
      <c r="W106" s="121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162</v>
      </c>
      <c r="H107" s="8">
        <v>32</v>
      </c>
      <c r="I107" s="8">
        <v>32</v>
      </c>
      <c r="J107" s="20">
        <v>2</v>
      </c>
      <c r="K107" s="19"/>
      <c r="L107" s="164">
        <v>33</v>
      </c>
      <c r="M107" s="164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4">
        <v>33</v>
      </c>
      <c r="M108" s="164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4">
        <v>33</v>
      </c>
      <c r="M109" s="164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4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4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3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4">
        <v>46</v>
      </c>
      <c r="I114" s="164">
        <v>46</v>
      </c>
      <c r="J114" s="20"/>
      <c r="K114" s="19"/>
      <c r="L114" s="14"/>
      <c r="M114" s="8">
        <v>52</v>
      </c>
      <c r="N114" s="20"/>
      <c r="O114" s="20"/>
      <c r="P114" s="167">
        <v>51</v>
      </c>
      <c r="Q114" s="163">
        <v>51</v>
      </c>
      <c r="R114" s="124">
        <v>2</v>
      </c>
      <c r="S114" s="124" t="s">
        <v>273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4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7">
        <v>51</v>
      </c>
      <c r="Q115" s="163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274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7">
        <v>51</v>
      </c>
      <c r="Q116" s="163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8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7">
        <v>51</v>
      </c>
      <c r="Q117" s="163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68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9">
        <v>54</v>
      </c>
      <c r="I118" s="168">
        <v>54</v>
      </c>
      <c r="J118" s="20">
        <v>2</v>
      </c>
      <c r="K118" s="19"/>
      <c r="L118" s="14">
        <v>52</v>
      </c>
      <c r="M118" s="168">
        <v>54</v>
      </c>
      <c r="N118" s="20">
        <v>2</v>
      </c>
      <c r="O118" s="20"/>
      <c r="P118" s="167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68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9">
        <v>54</v>
      </c>
      <c r="I119" s="168">
        <v>54</v>
      </c>
      <c r="J119" s="20">
        <v>2</v>
      </c>
      <c r="K119" s="19"/>
      <c r="L119" s="168">
        <v>54</v>
      </c>
      <c r="M119" s="168">
        <v>54</v>
      </c>
      <c r="N119" s="20">
        <v>2</v>
      </c>
      <c r="O119" s="20"/>
      <c r="P119" s="8"/>
      <c r="Q119" s="8"/>
      <c r="R119" s="124"/>
      <c r="S119" s="124" t="s">
        <v>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9">
        <v>54</v>
      </c>
      <c r="I120" s="8"/>
      <c r="J120" s="20">
        <v>2</v>
      </c>
      <c r="K120" s="19"/>
      <c r="L120" s="168">
        <v>54</v>
      </c>
      <c r="M120" s="8"/>
      <c r="N120" s="20">
        <v>2</v>
      </c>
      <c r="O120" s="20"/>
      <c r="P120" s="8"/>
      <c r="Q120" s="8"/>
      <c r="R120" s="124"/>
      <c r="S120" s="124" t="s">
        <v>57</v>
      </c>
      <c r="T120" s="8">
        <v>25</v>
      </c>
      <c r="U120" s="8">
        <v>25</v>
      </c>
      <c r="V120" s="124"/>
      <c r="W120" s="124" t="s">
        <v>57</v>
      </c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/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163</v>
      </c>
      <c r="T124" s="8">
        <v>25</v>
      </c>
      <c r="U124" s="149">
        <v>35</v>
      </c>
      <c r="V124" s="124"/>
      <c r="W124" s="124"/>
      <c r="X124" s="22"/>
      <c r="Y124" s="22"/>
      <c r="Z124" s="145">
        <f t="shared" si="6"/>
        <v>5</v>
      </c>
      <c r="AA124" s="140">
        <f t="shared" si="7"/>
        <v>5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233</v>
      </c>
      <c r="X125" s="22"/>
      <c r="Y125" s="22"/>
      <c r="Z125" s="145">
        <f t="shared" si="6"/>
        <v>7</v>
      </c>
      <c r="AA125" s="140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232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8">
        <v>89</v>
      </c>
      <c r="F139" s="20"/>
      <c r="G139" s="19"/>
      <c r="H139" s="10"/>
      <c r="I139" s="148">
        <v>89</v>
      </c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200">
        <v>89</v>
      </c>
      <c r="E140" s="148">
        <v>89</v>
      </c>
      <c r="F140" s="20">
        <v>1</v>
      </c>
      <c r="G140" s="19"/>
      <c r="H140" s="200">
        <v>89</v>
      </c>
      <c r="I140" s="148">
        <v>89</v>
      </c>
      <c r="J140" s="20">
        <v>2</v>
      </c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5</v>
      </c>
      <c r="AA140" s="140">
        <f t="shared" si="13"/>
        <v>3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200">
        <v>89</v>
      </c>
      <c r="E141" s="8"/>
      <c r="F141" s="20">
        <v>1</v>
      </c>
      <c r="G141" s="19"/>
      <c r="H141" s="200">
        <v>89</v>
      </c>
      <c r="I141" s="8"/>
      <c r="J141" s="20">
        <v>2</v>
      </c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5</v>
      </c>
      <c r="AA141" s="140">
        <f t="shared" si="13"/>
        <v>1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166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9:G15 H9:H10 H12:H15 D16:H52 J2:N57 H53:H57 H58:M58 D53:G58 O2:Y171 D59:M115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46094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46094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>
        <f>IF(AND(D6="Y",booking!D6&lt;&gt;booking!E6,booking!E6&gt;0),booking!E6,"-")</f>
        <v>85</v>
      </c>
      <c r="F6" s="84">
        <f>IFERROR(VLOOKUP(E6,Database!$A$2:$L$175,8,FALSE),"-")</f>
        <v>0</v>
      </c>
      <c r="G6" s="84" t="str">
        <f>IFERROR(VLOOKUP(E6,Database!$A$2:$L$175,6,FALSE),"-")</f>
        <v>DK</v>
      </c>
      <c r="H6" s="100">
        <f>IFERROR(VLOOKUP(E6,Database!$A$2:$L$175,9,FALSE),"-")</f>
        <v>0</v>
      </c>
      <c r="I6" s="119"/>
      <c r="J6" s="103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90</v>
      </c>
      <c r="W19" s="85" t="str">
        <f>IFERROR(VLOOKUP(V19,Database!$A$2:$L$175,8,FALSE),"-")</f>
        <v>1630</v>
      </c>
      <c r="X19" s="85" t="str">
        <f>IFERROR(VLOOKUP(V19,Database!$A$2:$L$175,6,FALSE),"-")</f>
        <v>S</v>
      </c>
      <c r="Y19" s="87" t="str">
        <f>IFERROR(VLOOKUP(V19,Database!$A$2:$L$175,9,FALSE),"-")</f>
        <v>dobb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-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 t="str">
        <f>IF(AND(D35="Y",booking!P35&lt;&gt;booking!Q35,booking!Q35&gt;0),booking!Q35,"-")</f>
        <v>-</v>
      </c>
      <c r="S35" s="84" t="str">
        <f>IFERROR(VLOOKUP(R35,Database!$A$2:$L$175,8,FALSE),"-")</f>
        <v>-</v>
      </c>
      <c r="T35" s="84" t="str">
        <f>IFERROR(VLOOKUP(R35,Database!$A$2:$L$175,6,FALSE),"-")</f>
        <v>-</v>
      </c>
      <c r="U35" s="88" t="str">
        <f>IFERROR(VLOOKUP(R35,Database!$A$2:$L$175,9,FALSE),"-")</f>
        <v>-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Y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>
        <f>IF(AND(D50="Y",booking!L50&lt;&gt;booking!M50,booking!M50&gt;0),booking!M50,"-")</f>
        <v>83</v>
      </c>
      <c r="O50" s="84">
        <f>IFERROR(VLOOKUP(N50,Database!$A$2:$L$175,8,FALSE),"-")</f>
        <v>0</v>
      </c>
      <c r="P50" s="84" t="str">
        <f>IFERROR(VLOOKUP(N50,Database!$A$2:$L$175,6,FALSE),"-")</f>
        <v>DK</v>
      </c>
      <c r="Q50" s="88">
        <f>IFERROR(VLOOKUP(N50,Database!$A$2:$L$175,9,FALSE),"-")</f>
        <v>0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>
        <f>IF(AND(D51="Y",booking!T51&lt;&gt;booking!U51,booking!U51&gt;0),booking!U51,"-")</f>
        <v>86</v>
      </c>
      <c r="W51" s="85">
        <f>IFERROR(VLOOKUP(V51,Database!$A$2:$L$175,8,FALSE),"-")</f>
        <v>0</v>
      </c>
      <c r="X51" s="85" t="str">
        <f>IFERROR(VLOOKUP(V51,Database!$A$2:$L$175,6,FALSE),"-")</f>
        <v>D</v>
      </c>
      <c r="Y51" s="87">
        <f>IFERROR(VLOOKUP(V51,Database!$A$2:$L$175,9,FALSE),"-")</f>
        <v>0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>
        <f>IF(AND(D53="Y",booking!D53&lt;&gt;booking!E53,booking!E53&gt;0),booking!E53,"-")</f>
        <v>31</v>
      </c>
      <c r="F53" s="84">
        <f>IFERROR(VLOOKUP(E53,Database!$A$2:$L$175,8,FALSE),"-")</f>
        <v>0</v>
      </c>
      <c r="G53" s="84" t="str">
        <f>IFERROR(VLOOKUP(E53,Database!$A$2:$L$175,6,FALSE),"-")</f>
        <v>DK</v>
      </c>
      <c r="H53" s="100">
        <f>IFERROR(VLOOKUP(E53,Database!$A$2:$L$175,9,FALSE),"-")</f>
        <v>0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 t="str">
        <f>IF(AND(D53="Y",booking!T53&lt;&gt;booking!U53,booking!U53&gt;0),booking!U53,"-")</f>
        <v>-</v>
      </c>
      <c r="W53" s="85" t="str">
        <f>IFERROR(VLOOKUP(V53,Database!$A$2:$L$175,8,FALSE),"-")</f>
        <v>-</v>
      </c>
      <c r="X53" s="85" t="str">
        <f>IFERROR(VLOOKUP(V53,Database!$A$2:$L$175,6,FALSE),"-")</f>
        <v>-</v>
      </c>
      <c r="Y53" s="87" t="str">
        <f>IFERROR(VLOOKUP(V53,Database!$A$2:$L$175,9,FALSE),"-")</f>
        <v>-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>
        <f>IF(AND(D62="Y",booking!D62&lt;&gt;booking!E62,booking!E62&gt;0),booking!E62,"-")</f>
        <v>87</v>
      </c>
      <c r="F62" s="84">
        <f>IFERROR(VLOOKUP(E62,Database!$A$2:$L$175,8,FALSE),"-")</f>
        <v>0</v>
      </c>
      <c r="G62" s="84" t="str">
        <f>IFERROR(VLOOKUP(E62,Database!$A$2:$L$175,6,FALSE),"-")</f>
        <v>D</v>
      </c>
      <c r="H62" s="100">
        <f>IFERROR(VLOOKUP(E62,Database!$A$2:$L$175,9,FALSE),"-")</f>
        <v>0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Y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>
        <f>IF(AND(D65="Y",booking!P65&lt;&gt;booking!Q65,booking!Q65&gt;0),booking!Q65,"-")</f>
        <v>76</v>
      </c>
      <c r="S65" s="84">
        <f>IFERROR(VLOOKUP(R65,Database!$A$2:$L$175,8,FALSE),"-")</f>
        <v>0</v>
      </c>
      <c r="T65" s="84" t="str">
        <f>IFERROR(VLOOKUP(R65,Database!$A$2:$L$175,6,FALSE),"-")</f>
        <v>DK</v>
      </c>
      <c r="U65" s="88" t="str">
        <f>IFERROR(VLOOKUP(R65,Database!$A$2:$L$175,9,FALSE),"-")</f>
        <v>sing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>
        <f>IF(AND(D75="Y",booking!L75&lt;&gt;booking!M75,booking!M75&gt;0),booking!M75,"-")</f>
        <v>84</v>
      </c>
      <c r="O75" s="84">
        <f>IFERROR(VLOOKUP(N75,Database!$A$2:$L$175,8,FALSE),"-")</f>
        <v>0</v>
      </c>
      <c r="P75" s="84" t="str">
        <f>IFERROR(VLOOKUP(N75,Database!$A$2:$L$175,6,FALSE),"-")</f>
        <v>DK</v>
      </c>
      <c r="Q75" s="88">
        <f>IFERROR(VLOOKUP(N75,Database!$A$2:$L$175,9,FALSE),"-")</f>
        <v>0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Y</v>
      </c>
      <c r="E139" s="102">
        <f>IF(AND(D139="Y",booking!D139&lt;&gt;booking!E139,booking!E139&gt;0),booking!E139,"-")</f>
        <v>89</v>
      </c>
      <c r="F139" s="84">
        <f>IFERROR(VLOOKUP(E139,Database!$A$2:$L$175,8,FALSE),"-")</f>
        <v>0</v>
      </c>
      <c r="G139" s="84" t="str">
        <f>IFERROR(VLOOKUP(E139,Database!$A$2:$L$175,6,FALSE),"-")</f>
        <v>DK</v>
      </c>
      <c r="H139" s="100" t="str">
        <f>IFERROR(VLOOKUP(E139,Database!$A$2:$L$175,9,FALSE),"-")</f>
        <v>sing</v>
      </c>
      <c r="I139" s="119"/>
      <c r="J139" s="103">
        <f>IF(AND(D139="Y",booking!H139&lt;&gt;booking!I139,booking!I139&gt;0),booking!I139,"-")</f>
        <v>89</v>
      </c>
      <c r="K139" s="84">
        <f>IFERROR(VLOOKUP(J139,Database!$A$2:$L$175,8,FALSE),"-")</f>
        <v>0</v>
      </c>
      <c r="L139" s="84" t="str">
        <f>IFERROR(VLOOKUP(J139,Database!$A$2:$L$175,6,FALSE),"-")</f>
        <v>DK</v>
      </c>
      <c r="M139" s="100" t="str">
        <f>IFERROR(VLOOKUP(J139,Database!$A$2:$L$175,9,FALSE),"-")</f>
        <v>sing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143</v>
      </c>
      <c r="B1" t="s">
        <v>6</v>
      </c>
      <c r="C1" s="5" t="s">
        <v>354</v>
      </c>
      <c r="D1" s="5" t="s">
        <v>41</v>
      </c>
      <c r="E1" t="s">
        <v>355</v>
      </c>
      <c r="F1" t="s">
        <v>356</v>
      </c>
      <c r="G1" t="s">
        <v>357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360</v>
      </c>
      <c r="M2" t="s">
        <v>359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358</v>
      </c>
      <c r="L3">
        <f>SUM(I2:I200)</f>
        <v>220</v>
      </c>
      <c r="M3">
        <f>SUM(J2:J200)</f>
        <v>210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95" t="str">
        <f>Database!G16</f>
        <v>FM</v>
      </c>
      <c r="C16" s="196">
        <f>Database!C16</f>
        <v>46181</v>
      </c>
      <c r="D16" s="196">
        <f>Database!D16</f>
        <v>46188</v>
      </c>
      <c r="E16" s="195">
        <f t="shared" si="0"/>
        <v>7</v>
      </c>
      <c r="F16" s="195">
        <f>Database!K16</f>
        <v>1</v>
      </c>
      <c r="G16" s="195">
        <f t="shared" si="1"/>
        <v>7</v>
      </c>
      <c r="H16" s="195"/>
      <c r="I16" s="195">
        <f>G16</f>
        <v>7</v>
      </c>
      <c r="J16" s="195">
        <f t="shared" si="3"/>
        <v>0</v>
      </c>
    </row>
    <row r="17" spans="1:10" x14ac:dyDescent="0.35">
      <c r="A17">
        <f>Database!A17</f>
        <v>16</v>
      </c>
      <c r="B17" s="195" t="str">
        <f>Database!G17</f>
        <v>FM</v>
      </c>
      <c r="C17" s="196">
        <f>Database!C17</f>
        <v>46182</v>
      </c>
      <c r="D17" s="196">
        <f>Database!D17</f>
        <v>46188</v>
      </c>
      <c r="E17" s="195">
        <f t="shared" si="0"/>
        <v>6</v>
      </c>
      <c r="F17" s="195">
        <f>Database!K17</f>
        <v>2</v>
      </c>
      <c r="G17" s="195">
        <f t="shared" si="1"/>
        <v>12</v>
      </c>
      <c r="H17" s="195"/>
      <c r="I17" s="195">
        <f>G17</f>
        <v>12</v>
      </c>
      <c r="J17" s="195">
        <f t="shared" si="3"/>
        <v>0</v>
      </c>
    </row>
    <row r="18" spans="1:10" x14ac:dyDescent="0.35">
      <c r="A18">
        <f>Database!A18</f>
        <v>17</v>
      </c>
      <c r="B18" s="195" t="str">
        <f>Database!G18</f>
        <v>FM</v>
      </c>
      <c r="C18" s="196">
        <f>Database!C18</f>
        <v>46181</v>
      </c>
      <c r="D18" s="196">
        <f>Database!D18</f>
        <v>46188</v>
      </c>
      <c r="E18" s="195">
        <f t="shared" si="0"/>
        <v>7</v>
      </c>
      <c r="F18" s="195">
        <f>Database!K18</f>
        <v>1</v>
      </c>
      <c r="G18" s="195">
        <f t="shared" si="1"/>
        <v>7</v>
      </c>
      <c r="H18" s="195"/>
      <c r="I18" s="195">
        <f>G18</f>
        <v>7</v>
      </c>
      <c r="J18" s="195">
        <f t="shared" si="3"/>
        <v>0</v>
      </c>
    </row>
    <row r="19" spans="1:10" x14ac:dyDescent="0.35">
      <c r="A19">
        <f>Database!A19</f>
        <v>18</v>
      </c>
      <c r="B19" s="195" t="str">
        <f>Database!G19</f>
        <v>FM</v>
      </c>
      <c r="C19" s="196">
        <f>Database!C19</f>
        <v>46182</v>
      </c>
      <c r="D19" s="196">
        <f>Database!D19</f>
        <v>46187</v>
      </c>
      <c r="E19" s="195">
        <f t="shared" si="0"/>
        <v>5</v>
      </c>
      <c r="F19" s="195">
        <f>Database!K19</f>
        <v>1</v>
      </c>
      <c r="G19" s="195">
        <f t="shared" si="1"/>
        <v>5</v>
      </c>
      <c r="H19" s="195"/>
      <c r="I19" s="195">
        <f>G19</f>
        <v>5</v>
      </c>
      <c r="J19" s="195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0</v>
      </c>
      <c r="B92">
        <f>Database!G92</f>
        <v>0</v>
      </c>
      <c r="C92" s="5">
        <f>Database!C92</f>
        <v>0</v>
      </c>
      <c r="D92" s="5">
        <f>Database!D92</f>
        <v>0</v>
      </c>
      <c r="E92">
        <f t="shared" si="4"/>
        <v>0</v>
      </c>
      <c r="F92">
        <f>Database!K92</f>
        <v>0</v>
      </c>
      <c r="G92">
        <f t="shared" si="5"/>
        <v>0</v>
      </c>
      <c r="I92">
        <f t="shared" si="6"/>
        <v>0</v>
      </c>
      <c r="J92">
        <f t="shared" si="7"/>
        <v>0</v>
      </c>
    </row>
    <row r="93" spans="1:10" x14ac:dyDescent="0.35">
      <c r="A93">
        <f>Database!A93</f>
        <v>0</v>
      </c>
      <c r="B93">
        <f>Database!G93</f>
        <v>0</v>
      </c>
      <c r="C93" s="5">
        <f>Database!C93</f>
        <v>0</v>
      </c>
      <c r="D93" s="5">
        <f>Database!D93</f>
        <v>0</v>
      </c>
      <c r="E93">
        <f t="shared" si="4"/>
        <v>0</v>
      </c>
      <c r="F93">
        <f>Database!K93</f>
        <v>0</v>
      </c>
      <c r="G93">
        <f t="shared" si="5"/>
        <v>0</v>
      </c>
      <c r="I93">
        <f t="shared" si="6"/>
        <v>0</v>
      </c>
      <c r="J93">
        <f t="shared" si="7"/>
        <v>0</v>
      </c>
    </row>
    <row r="94" spans="1:10" x14ac:dyDescent="0.35">
      <c r="A94">
        <f>Database!A94</f>
        <v>0</v>
      </c>
      <c r="B94">
        <f>Database!G94</f>
        <v>0</v>
      </c>
      <c r="C94" s="5">
        <f>Database!C94</f>
        <v>0</v>
      </c>
      <c r="D94" s="5">
        <f>Database!D94</f>
        <v>0</v>
      </c>
      <c r="E94">
        <f t="shared" si="4"/>
        <v>0</v>
      </c>
      <c r="F94">
        <f>Database!K94</f>
        <v>0</v>
      </c>
      <c r="G94">
        <f t="shared" si="5"/>
        <v>0</v>
      </c>
      <c r="I94">
        <f t="shared" si="6"/>
        <v>0</v>
      </c>
      <c r="J94">
        <f t="shared" si="7"/>
        <v>0</v>
      </c>
    </row>
    <row r="95" spans="1:10" x14ac:dyDescent="0.35">
      <c r="A95">
        <f>Database!A95</f>
        <v>0</v>
      </c>
      <c r="B95">
        <f>Database!G95</f>
        <v>0</v>
      </c>
      <c r="C95" s="5">
        <f>Database!C95</f>
        <v>0</v>
      </c>
      <c r="D95" s="5">
        <f>Database!D95</f>
        <v>0</v>
      </c>
      <c r="E95">
        <f t="shared" si="4"/>
        <v>0</v>
      </c>
      <c r="F95">
        <f>Database!K95</f>
        <v>0</v>
      </c>
      <c r="G95">
        <f t="shared" si="5"/>
        <v>0</v>
      </c>
      <c r="I95">
        <f t="shared" si="6"/>
        <v>0</v>
      </c>
      <c r="J95">
        <f t="shared" si="7"/>
        <v>0</v>
      </c>
    </row>
    <row r="96" spans="1:10" x14ac:dyDescent="0.35">
      <c r="A96">
        <f>Database!A96</f>
        <v>0</v>
      </c>
      <c r="B96">
        <f>Database!G96</f>
        <v>0</v>
      </c>
      <c r="C96" s="5">
        <f>Database!C96</f>
        <v>0</v>
      </c>
      <c r="D96" s="5">
        <f>Database!D96</f>
        <v>0</v>
      </c>
      <c r="E96">
        <f t="shared" si="4"/>
        <v>0</v>
      </c>
      <c r="F96">
        <f>Database!K96</f>
        <v>0</v>
      </c>
      <c r="G96">
        <f t="shared" si="5"/>
        <v>0</v>
      </c>
      <c r="I96">
        <f t="shared" si="6"/>
        <v>0</v>
      </c>
      <c r="J96">
        <f t="shared" si="7"/>
        <v>0</v>
      </c>
    </row>
    <row r="97" spans="1:10" x14ac:dyDescent="0.35">
      <c r="A97">
        <f>Database!A97</f>
        <v>0</v>
      </c>
      <c r="B97">
        <f>Database!G97</f>
        <v>0</v>
      </c>
      <c r="C97" s="5">
        <f>Database!C97</f>
        <v>0</v>
      </c>
      <c r="D97" s="5">
        <f>Database!D97</f>
        <v>0</v>
      </c>
      <c r="E97">
        <f t="shared" si="4"/>
        <v>0</v>
      </c>
      <c r="F97">
        <f>Database!K97</f>
        <v>0</v>
      </c>
      <c r="G97">
        <f t="shared" si="5"/>
        <v>0</v>
      </c>
      <c r="I97">
        <f t="shared" si="6"/>
        <v>0</v>
      </c>
      <c r="J97">
        <f t="shared" si="7"/>
        <v>0</v>
      </c>
    </row>
    <row r="98" spans="1:10" x14ac:dyDescent="0.35">
      <c r="A98">
        <f>Database!A98</f>
        <v>0</v>
      </c>
      <c r="B98">
        <f>Database!G98</f>
        <v>0</v>
      </c>
      <c r="C98" s="5">
        <f>Database!C98</f>
        <v>0</v>
      </c>
      <c r="D98" s="5">
        <f>Database!D98</f>
        <v>0</v>
      </c>
      <c r="E98">
        <f t="shared" si="4"/>
        <v>0</v>
      </c>
      <c r="F98">
        <f>Database!K98</f>
        <v>0</v>
      </c>
      <c r="G98">
        <f t="shared" si="5"/>
        <v>0</v>
      </c>
      <c r="I98">
        <f t="shared" si="6"/>
        <v>0</v>
      </c>
      <c r="J98">
        <f t="shared" si="7"/>
        <v>0</v>
      </c>
    </row>
    <row r="99" spans="1:10" x14ac:dyDescent="0.35">
      <c r="A99">
        <f>Database!A99</f>
        <v>0</v>
      </c>
      <c r="B99">
        <f>Database!G99</f>
        <v>0</v>
      </c>
      <c r="C99" s="5">
        <f>Database!C99</f>
        <v>0</v>
      </c>
      <c r="D99" s="5">
        <f>Database!D99</f>
        <v>0</v>
      </c>
      <c r="E99">
        <f t="shared" si="4"/>
        <v>0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0</v>
      </c>
      <c r="B100">
        <f>Database!G100</f>
        <v>0</v>
      </c>
      <c r="C100" s="5">
        <f>Database!C100</f>
        <v>0</v>
      </c>
      <c r="D100" s="5">
        <f>Database!D100</f>
        <v>0</v>
      </c>
      <c r="E100">
        <f t="shared" si="4"/>
        <v>0</v>
      </c>
      <c r="F100">
        <f>Database!K100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Database!A101</f>
        <v>0</v>
      </c>
      <c r="B101">
        <f>Database!G101</f>
        <v>0</v>
      </c>
      <c r="C101" s="5">
        <f>Database!C101</f>
        <v>0</v>
      </c>
      <c r="D101" s="5">
        <f>Database!D101</f>
        <v>0</v>
      </c>
      <c r="E101">
        <f t="shared" si="4"/>
        <v>0</v>
      </c>
      <c r="F101">
        <f>Database!K101</f>
        <v>0</v>
      </c>
      <c r="G101">
        <f t="shared" si="5"/>
        <v>0</v>
      </c>
      <c r="I101">
        <f t="shared" si="6"/>
        <v>0</v>
      </c>
      <c r="J101">
        <f t="shared" si="7"/>
        <v>0</v>
      </c>
    </row>
    <row r="102" spans="1:10" x14ac:dyDescent="0.35">
      <c r="A102">
        <f>Database!A102</f>
        <v>0</v>
      </c>
      <c r="B102">
        <f>Database!G102</f>
        <v>0</v>
      </c>
      <c r="C102" s="5">
        <f>Database!C102</f>
        <v>0</v>
      </c>
      <c r="D102" s="5">
        <f>Database!D102</f>
        <v>0</v>
      </c>
      <c r="E102">
        <f t="shared" si="4"/>
        <v>0</v>
      </c>
      <c r="F102">
        <f>Database!K102</f>
        <v>0</v>
      </c>
      <c r="G102">
        <f t="shared" si="5"/>
        <v>0</v>
      </c>
      <c r="I102">
        <f t="shared" si="6"/>
        <v>0</v>
      </c>
      <c r="J102">
        <f t="shared" si="7"/>
        <v>0</v>
      </c>
    </row>
    <row r="103" spans="1:10" x14ac:dyDescent="0.35">
      <c r="A103">
        <f>Database!A103</f>
        <v>0</v>
      </c>
      <c r="B103">
        <f>Database!G103</f>
        <v>0</v>
      </c>
      <c r="C103" s="5">
        <f>Database!C103</f>
        <v>0</v>
      </c>
      <c r="D103" s="5">
        <f>Database!D103</f>
        <v>0</v>
      </c>
      <c r="E103">
        <f t="shared" si="4"/>
        <v>0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0</v>
      </c>
      <c r="B104">
        <f>Database!G104</f>
        <v>0</v>
      </c>
      <c r="C104" s="5">
        <f>Database!C104</f>
        <v>0</v>
      </c>
      <c r="D104" s="5">
        <f>Database!D104</f>
        <v>0</v>
      </c>
      <c r="E104">
        <f t="shared" si="4"/>
        <v>0</v>
      </c>
      <c r="F104">
        <f>Database!K104</f>
        <v>0</v>
      </c>
      <c r="G104">
        <f t="shared" si="5"/>
        <v>0</v>
      </c>
      <c r="I104">
        <f t="shared" si="6"/>
        <v>0</v>
      </c>
      <c r="J104">
        <f t="shared" si="7"/>
        <v>0</v>
      </c>
    </row>
    <row r="105" spans="1:10" x14ac:dyDescent="0.35">
      <c r="A105">
        <f>Database!A105</f>
        <v>0</v>
      </c>
      <c r="B105">
        <f>Database!G105</f>
        <v>0</v>
      </c>
      <c r="C105" s="5">
        <f>Database!C105</f>
        <v>0</v>
      </c>
      <c r="D105" s="5">
        <f>Database!D105</f>
        <v>0</v>
      </c>
      <c r="E105">
        <f t="shared" si="4"/>
        <v>0</v>
      </c>
      <c r="F105">
        <f>Database!K105</f>
        <v>0</v>
      </c>
      <c r="G105">
        <f t="shared" si="5"/>
        <v>0</v>
      </c>
      <c r="I105">
        <f t="shared" si="6"/>
        <v>0</v>
      </c>
      <c r="J105">
        <f t="shared" si="7"/>
        <v>0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oc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oc</v>
      </c>
      <c r="C7" s="138" t="str">
        <f>IF(booking!E7&gt;0,"oc","va")</f>
        <v>oc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oc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va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va</v>
      </c>
      <c r="I36" s="138" t="str">
        <f>IF(booking!Q36&gt;0,"oc","va")</f>
        <v>va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va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oc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oc</v>
      </c>
      <c r="G51" s="138" t="str">
        <f>IF(booking!M51&gt;0,"oc","va")</f>
        <v>oc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oc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oc</v>
      </c>
      <c r="G52" s="138" t="str">
        <f>IF(booking!M52&gt;0,"oc","va")</f>
        <v>oc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oc</v>
      </c>
      <c r="K52" s="138" t="str">
        <f>IF(booking!U52&gt;0,"oc","va")</f>
        <v>oc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oc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oc</v>
      </c>
      <c r="G53" s="138" t="str">
        <f>IF(booking!M53&gt;0,"oc","va")</f>
        <v>oc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oc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oc</v>
      </c>
      <c r="C54" s="138" t="str">
        <f>IF(booking!E54&gt;0,"oc","va")</f>
        <v>oc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oc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oc</v>
      </c>
      <c r="C55" s="138" t="str">
        <f>IF(booking!E55&gt;0,"oc","va")</f>
        <v>oc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oc</v>
      </c>
      <c r="C56" s="138" t="str">
        <f>IF(booking!E56&gt;0,"oc","va")</f>
        <v>oc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oc</v>
      </c>
      <c r="C57" s="138" t="str">
        <f>IF(booking!E57&gt;0,"oc","va")</f>
        <v>oc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oc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oc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oc</v>
      </c>
      <c r="C63" s="138" t="str">
        <f>IF(booking!E63&gt;0,"oc","va")</f>
        <v>oc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oc</v>
      </c>
      <c r="C64" s="138" t="str">
        <f>IF(booking!E64&gt;0,"oc","va")</f>
        <v>oc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oc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oc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oc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oc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oc</v>
      </c>
      <c r="G76" s="138" t="str">
        <f>IF(booking!M76&gt;0,"oc","va")</f>
        <v>oc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oc</v>
      </c>
      <c r="G77" s="138" t="str">
        <f>IF(booking!M77&gt;0,"oc","va")</f>
        <v>oc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oc</v>
      </c>
      <c r="G78" s="138" t="str">
        <f>IF(booking!M78&gt;0,"oc","va")</f>
        <v>oc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oc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va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va</v>
      </c>
      <c r="I120" s="138" t="str">
        <f>IF(booking!Q120&gt;0,"oc","va")</f>
        <v>va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va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oc</v>
      </c>
      <c r="D139" s="137" t="str">
        <f>IF(booking!H139&gt;0,"oc","va")</f>
        <v>va</v>
      </c>
      <c r="E139" s="138" t="str">
        <f>IF(booking!I139&gt;0,"oc","va")</f>
        <v>oc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oc</v>
      </c>
      <c r="C140" s="138" t="str">
        <f>IF(booking!E140&gt;0,"oc","va")</f>
        <v>oc</v>
      </c>
      <c r="D140" s="137" t="str">
        <f>IF(booking!H140&gt;0,"oc","va")</f>
        <v>oc</v>
      </c>
      <c r="E140" s="138" t="str">
        <f>IF(booking!I140&gt;0,"oc","va")</f>
        <v>oc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oc</v>
      </c>
      <c r="C141" s="138" t="str">
        <f>IF(booking!E141&gt;0,"oc","va")</f>
        <v>va</v>
      </c>
      <c r="D141" s="137" t="str">
        <f>IF(booking!H141&gt;0,"oc","va")</f>
        <v>oc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2026-02-20T17:46:52Z</cp:lastPrinted>
  <dcterms:created xsi:type="dcterms:W3CDTF">2024-07-25T07:35:10Z</dcterms:created>
  <dcterms:modified xsi:type="dcterms:W3CDTF">2026-03-13T19:05:16Z</dcterms:modified>
  <cp:category/>
  <cp:contentStatus/>
</cp:coreProperties>
</file>