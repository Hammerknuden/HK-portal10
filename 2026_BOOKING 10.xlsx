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3171" documentId="8_{48B37ED3-8953-4CF0-98FF-01FF5DFD1860}" xr6:coauthVersionLast="47" xr6:coauthVersionMax="47" xr10:uidLastSave="{4A9C72BC-DB4D-4BAE-9546-43A7F2F2B976}"/>
  <bookViews>
    <workbookView xWindow="-110" yWindow="-110" windowWidth="19420" windowHeight="11500" firstSheet="1" activeTab="1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web calc" sheetId="10" state="hidden" r:id="rId9"/>
    <sheet name="book_simp" sheetId="9" state="hidden" r:id="rId10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0" l="1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J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J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J89" i="10"/>
  <c r="I90" i="10"/>
  <c r="J90" i="10"/>
  <c r="I91" i="10"/>
  <c r="J91" i="10"/>
  <c r="I92" i="10"/>
  <c r="J92" i="10"/>
  <c r="I93" i="10"/>
  <c r="J93" i="10"/>
  <c r="I94" i="10"/>
  <c r="J94" i="10"/>
  <c r="I95" i="10"/>
  <c r="J95" i="10"/>
  <c r="I96" i="10"/>
  <c r="J96" i="10"/>
  <c r="I97" i="10"/>
  <c r="J97" i="10"/>
  <c r="I98" i="10"/>
  <c r="J98" i="10"/>
  <c r="I99" i="10"/>
  <c r="J99" i="10"/>
  <c r="I100" i="10"/>
  <c r="J100" i="10"/>
  <c r="I101" i="10"/>
  <c r="J101" i="10"/>
  <c r="I102" i="10"/>
  <c r="J102" i="10"/>
  <c r="I103" i="10"/>
  <c r="J103" i="10"/>
  <c r="I104" i="10"/>
  <c r="J104" i="10"/>
  <c r="I105" i="10"/>
  <c r="J105" i="10"/>
  <c r="I106" i="10"/>
  <c r="J106" i="10"/>
  <c r="I107" i="10"/>
  <c r="J107" i="10"/>
  <c r="I108" i="10"/>
  <c r="J108" i="10"/>
  <c r="I109" i="10"/>
  <c r="J109" i="10"/>
  <c r="I110" i="10"/>
  <c r="J110" i="10"/>
  <c r="I111" i="10"/>
  <c r="J111" i="10"/>
  <c r="I112" i="10"/>
  <c r="J112" i="10"/>
  <c r="I113" i="10"/>
  <c r="J113" i="10"/>
  <c r="I114" i="10"/>
  <c r="J114" i="10"/>
  <c r="I115" i="10"/>
  <c r="J115" i="10"/>
  <c r="I116" i="10"/>
  <c r="J116" i="10"/>
  <c r="I117" i="10"/>
  <c r="J117" i="10"/>
  <c r="I118" i="10"/>
  <c r="J118" i="10"/>
  <c r="I119" i="10"/>
  <c r="J119" i="10"/>
  <c r="I120" i="10"/>
  <c r="J120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/>
  <c r="F77" i="10"/>
  <c r="G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G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C89" i="10"/>
  <c r="D89" i="10"/>
  <c r="E89" i="10"/>
  <c r="F89" i="10"/>
  <c r="G89" i="10"/>
  <c r="A90" i="10"/>
  <c r="B90" i="10"/>
  <c r="C90" i="10"/>
  <c r="D90" i="10"/>
  <c r="E90" i="10" s="1"/>
  <c r="G90" i="10" s="1"/>
  <c r="F90" i="10"/>
  <c r="A91" i="10"/>
  <c r="B91" i="10"/>
  <c r="C91" i="10"/>
  <c r="D91" i="10"/>
  <c r="E91" i="10"/>
  <c r="F91" i="10"/>
  <c r="G91" i="10"/>
  <c r="A92" i="10"/>
  <c r="B92" i="10"/>
  <c r="C92" i="10"/>
  <c r="D92" i="10"/>
  <c r="E92" i="10" s="1"/>
  <c r="G92" i="10" s="1"/>
  <c r="F92" i="10"/>
  <c r="A93" i="10"/>
  <c r="B93" i="10"/>
  <c r="C93" i="10"/>
  <c r="D93" i="10"/>
  <c r="E93" i="10"/>
  <c r="G93" i="10" s="1"/>
  <c r="F93" i="10"/>
  <c r="A94" i="10"/>
  <c r="B94" i="10"/>
  <c r="C94" i="10"/>
  <c r="D94" i="10"/>
  <c r="E94" i="10"/>
  <c r="F94" i="10"/>
  <c r="G94" i="10"/>
  <c r="A95" i="10"/>
  <c r="B95" i="10"/>
  <c r="C95" i="10"/>
  <c r="D95" i="10"/>
  <c r="E95" i="10" s="1"/>
  <c r="G95" i="10" s="1"/>
  <c r="F95" i="10"/>
  <c r="A96" i="10"/>
  <c r="B96" i="10"/>
  <c r="C96" i="10"/>
  <c r="D96" i="10"/>
  <c r="E96" i="10"/>
  <c r="F96" i="10"/>
  <c r="G96" i="10"/>
  <c r="A97" i="10"/>
  <c r="B97" i="10"/>
  <c r="C97" i="10"/>
  <c r="E97" i="10" s="1"/>
  <c r="G97" i="10" s="1"/>
  <c r="D97" i="10"/>
  <c r="F97" i="10"/>
  <c r="A98" i="10"/>
  <c r="B98" i="10"/>
  <c r="C98" i="10"/>
  <c r="D98" i="10"/>
  <c r="E98" i="10"/>
  <c r="F98" i="10"/>
  <c r="G98" i="10"/>
  <c r="A99" i="10"/>
  <c r="B99" i="10"/>
  <c r="C99" i="10"/>
  <c r="E99" i="10" s="1"/>
  <c r="G99" i="10" s="1"/>
  <c r="D99" i="10"/>
  <c r="F99" i="10"/>
  <c r="A100" i="10"/>
  <c r="B100" i="10"/>
  <c r="C100" i="10"/>
  <c r="D100" i="10"/>
  <c r="E100" i="10"/>
  <c r="G100" i="10" s="1"/>
  <c r="F100" i="10"/>
  <c r="A101" i="10"/>
  <c r="B101" i="10"/>
  <c r="C101" i="10"/>
  <c r="D101" i="10"/>
  <c r="E101" i="10"/>
  <c r="F101" i="10"/>
  <c r="G101" i="10"/>
  <c r="A102" i="10"/>
  <c r="B102" i="10"/>
  <c r="C102" i="10"/>
  <c r="D102" i="10"/>
  <c r="E102" i="10" s="1"/>
  <c r="G102" i="10" s="1"/>
  <c r="F102" i="10"/>
  <c r="A103" i="10"/>
  <c r="B103" i="10"/>
  <c r="C103" i="10"/>
  <c r="D103" i="10"/>
  <c r="E103" i="10"/>
  <c r="F103" i="10"/>
  <c r="G103" i="10"/>
  <c r="A104" i="10"/>
  <c r="B104" i="10"/>
  <c r="C104" i="10"/>
  <c r="D104" i="10"/>
  <c r="E104" i="10" s="1"/>
  <c r="G104" i="10" s="1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A107" i="10"/>
  <c r="B107" i="10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A109" i="10"/>
  <c r="B109" i="10"/>
  <c r="C109" i="10"/>
  <c r="E109" i="10" s="1"/>
  <c r="G109" i="10" s="1"/>
  <c r="D109" i="10"/>
  <c r="F109" i="10"/>
  <c r="A110" i="10"/>
  <c r="B110" i="10"/>
  <c r="C110" i="10"/>
  <c r="D110" i="10"/>
  <c r="E110" i="10"/>
  <c r="F110" i="10"/>
  <c r="G110" i="10"/>
  <c r="A111" i="10"/>
  <c r="B111" i="10"/>
  <c r="C111" i="10"/>
  <c r="E111" i="10" s="1"/>
  <c r="G111" i="10" s="1"/>
  <c r="D111" i="10"/>
  <c r="F111" i="10"/>
  <c r="A112" i="10"/>
  <c r="B112" i="10"/>
  <c r="C112" i="10"/>
  <c r="D112" i="10"/>
  <c r="E112" i="10"/>
  <c r="G112" i="10" s="1"/>
  <c r="F112" i="10"/>
  <c r="A113" i="10"/>
  <c r="B113" i="10"/>
  <c r="C113" i="10"/>
  <c r="D113" i="10"/>
  <c r="E113" i="10"/>
  <c r="F113" i="10"/>
  <c r="G113" i="10"/>
  <c r="A114" i="10"/>
  <c r="B114" i="10"/>
  <c r="C114" i="10"/>
  <c r="D114" i="10"/>
  <c r="E114" i="10" s="1"/>
  <c r="G114" i="10" s="1"/>
  <c r="F114" i="10"/>
  <c r="A115" i="10"/>
  <c r="B115" i="10"/>
  <c r="C115" i="10"/>
  <c r="D115" i="10"/>
  <c r="E115" i="10"/>
  <c r="F115" i="10"/>
  <c r="G115" i="10"/>
  <c r="A116" i="10"/>
  <c r="B116" i="10"/>
  <c r="C116" i="10"/>
  <c r="D116" i="10"/>
  <c r="E116" i="10" s="1"/>
  <c r="G116" i="10" s="1"/>
  <c r="F116" i="10"/>
  <c r="A117" i="10"/>
  <c r="B117" i="10"/>
  <c r="C117" i="10"/>
  <c r="D117" i="10"/>
  <c r="E117" i="10"/>
  <c r="G117" i="10" s="1"/>
  <c r="F117" i="10"/>
  <c r="A118" i="10"/>
  <c r="B118" i="10"/>
  <c r="C118" i="10"/>
  <c r="D118" i="10"/>
  <c r="E118" i="10"/>
  <c r="F118" i="10"/>
  <c r="G118" i="10"/>
  <c r="A119" i="10"/>
  <c r="B119" i="10"/>
  <c r="C119" i="10"/>
  <c r="D119" i="10"/>
  <c r="E119" i="10" s="1"/>
  <c r="G119" i="10" s="1"/>
  <c r="F119" i="10"/>
  <c r="A120" i="10"/>
  <c r="B120" i="10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B11" i="5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89" i="3"/>
  <c r="BL89" i="3" s="1"/>
  <c r="BO89" i="3"/>
  <c r="BM89" i="3" s="1"/>
  <c r="BP89" i="3"/>
  <c r="BQ89" i="3"/>
  <c r="BR89" i="3"/>
  <c r="BS89" i="3"/>
  <c r="BT89" i="3"/>
  <c r="BU89" i="3"/>
  <c r="BV89" i="3"/>
  <c r="BW89" i="3"/>
  <c r="BX89" i="3"/>
  <c r="BY89" i="3"/>
  <c r="BN90" i="3"/>
  <c r="BL90" i="3" s="1"/>
  <c r="BO90" i="3"/>
  <c r="BM90" i="3" s="1"/>
  <c r="BP90" i="3"/>
  <c r="BQ90" i="3"/>
  <c r="BR90" i="3"/>
  <c r="BS90" i="3"/>
  <c r="BT90" i="3"/>
  <c r="BU90" i="3"/>
  <c r="BV90" i="3"/>
  <c r="BW90" i="3"/>
  <c r="BX90" i="3"/>
  <c r="BY90" i="3"/>
  <c r="BN91" i="3"/>
  <c r="BO91" i="3"/>
  <c r="BP91" i="3"/>
  <c r="BQ91" i="3"/>
  <c r="BR91" i="3"/>
  <c r="BS91" i="3"/>
  <c r="BT91" i="3"/>
  <c r="BU91" i="3"/>
  <c r="BV91" i="3"/>
  <c r="BW91" i="3"/>
  <c r="BX91" i="3"/>
  <c r="BL91" i="3" s="1"/>
  <c r="BY91" i="3"/>
  <c r="BM91" i="3" s="1"/>
  <c r="BN92" i="3"/>
  <c r="BO92" i="3"/>
  <c r="BP92" i="3"/>
  <c r="BQ92" i="3"/>
  <c r="BR92" i="3"/>
  <c r="BL92" i="3" s="1"/>
  <c r="BS92" i="3"/>
  <c r="BT92" i="3"/>
  <c r="BU92" i="3"/>
  <c r="BM92" i="3" s="1"/>
  <c r="BV92" i="3"/>
  <c r="BW92" i="3"/>
  <c r="BX92" i="3"/>
  <c r="BY92" i="3"/>
  <c r="BN93" i="3"/>
  <c r="BL93" i="3" s="1"/>
  <c r="BO93" i="3"/>
  <c r="BP93" i="3"/>
  <c r="BQ93" i="3"/>
  <c r="BM93" i="3" s="1"/>
  <c r="BR93" i="3"/>
  <c r="BS93" i="3"/>
  <c r="BT93" i="3"/>
  <c r="BU93" i="3"/>
  <c r="BV93" i="3"/>
  <c r="BW93" i="3"/>
  <c r="BX93" i="3"/>
  <c r="BY93" i="3"/>
  <c r="BN94" i="3"/>
  <c r="BL94" i="3" s="1"/>
  <c r="BO94" i="3"/>
  <c r="BM94" i="3" s="1"/>
  <c r="BP94" i="3"/>
  <c r="BQ94" i="3"/>
  <c r="BR94" i="3"/>
  <c r="BS94" i="3"/>
  <c r="BT94" i="3"/>
  <c r="BU94" i="3"/>
  <c r="BV94" i="3"/>
  <c r="BW94" i="3"/>
  <c r="BX94" i="3"/>
  <c r="BY9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89" i="3"/>
  <c r="BC89" i="3"/>
  <c r="BD89" i="3"/>
  <c r="BE89" i="3"/>
  <c r="BF89" i="3"/>
  <c r="BG89" i="3"/>
  <c r="BH89" i="3"/>
  <c r="BI89" i="3"/>
  <c r="BJ89" i="3"/>
  <c r="BK89" i="3"/>
  <c r="BB90" i="3"/>
  <c r="BC90" i="3"/>
  <c r="BD90" i="3"/>
  <c r="BE90" i="3"/>
  <c r="BF90" i="3"/>
  <c r="BG90" i="3"/>
  <c r="BH90" i="3"/>
  <c r="BI90" i="3"/>
  <c r="BJ90" i="3"/>
  <c r="BK90" i="3"/>
  <c r="BB91" i="3"/>
  <c r="BC91" i="3"/>
  <c r="BD91" i="3"/>
  <c r="BE91" i="3"/>
  <c r="BF91" i="3"/>
  <c r="BG91" i="3"/>
  <c r="BH91" i="3"/>
  <c r="BI91" i="3"/>
  <c r="BJ91" i="3"/>
  <c r="BK91" i="3"/>
  <c r="BB92" i="3"/>
  <c r="BC92" i="3"/>
  <c r="BD92" i="3"/>
  <c r="BE92" i="3"/>
  <c r="BF92" i="3"/>
  <c r="BG92" i="3"/>
  <c r="BH92" i="3"/>
  <c r="BI92" i="3"/>
  <c r="BJ92" i="3"/>
  <c r="BK92" i="3"/>
  <c r="BB93" i="3"/>
  <c r="BC93" i="3"/>
  <c r="BD93" i="3"/>
  <c r="BE93" i="3"/>
  <c r="BF93" i="3"/>
  <c r="BG93" i="3"/>
  <c r="BH93" i="3"/>
  <c r="BI93" i="3"/>
  <c r="BJ93" i="3"/>
  <c r="BK93" i="3"/>
  <c r="BB94" i="3"/>
  <c r="BC94" i="3"/>
  <c r="BD94" i="3"/>
  <c r="BE94" i="3"/>
  <c r="BF94" i="3"/>
  <c r="BG94" i="3"/>
  <c r="BH94" i="3"/>
  <c r="BI94" i="3"/>
  <c r="BJ94" i="3"/>
  <c r="BK9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G88" i="10" l="1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L3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M3" i="10" l="1"/>
  <c r="AB121" i="5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AT88" i="3" l="1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7" s="1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N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88" i="3" l="1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N44" i="7"/>
  <c r="Q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R200" i="3" s="1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V200" i="3" s="1"/>
  <c r="AC198" i="3"/>
  <c r="F40" i="7" l="1"/>
  <c r="M12" i="7"/>
  <c r="O9" i="7"/>
  <c r="BL196" i="3"/>
  <c r="BM196" i="3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<sst xmlns="http://schemas.openxmlformats.org/spreadsheetml/2006/main" count="1056" uniqueCount="370">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</sst>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20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3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7" fillId="15" borderId="4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6" borderId="8" xfId="0" applyFill="1" applyBorder="1"/>
    <xf numFmtId="0" fontId="0" fillId="16" borderId="4" xfId="0" applyFill="1" applyBorder="1"/>
    <xf numFmtId="0" fontId="0" fillId="16" borderId="15" xfId="0" applyFill="1" applyBorder="1"/>
    <xf numFmtId="0" fontId="0" fillId="16" borderId="13" xfId="0" applyFill="1" applyBorder="1"/>
    <xf numFmtId="0" fontId="0" fillId="16" borderId="14" xfId="0" applyFill="1" applyBorder="1"/>
    <xf numFmtId="0" fontId="0" fillId="16" borderId="10" xfId="0" applyFill="1" applyBorder="1"/>
    <xf numFmtId="0" fontId="0" fillId="16" borderId="11" xfId="0" applyFill="1" applyBorder="1"/>
    <xf numFmtId="0" fontId="0" fillId="16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7" fillId="11" borderId="4" xfId="0" applyFont="1" applyFill="1" applyBorder="1" applyAlignment="1">
      <alignment horizontal="center"/>
    </xf>
    <xf numFmtId="0" fontId="11" fillId="0" borderId="0" xfId="0" applyFont="1"/>
    <xf numFmtId="44" fontId="0" fillId="0" borderId="0" xfId="0" applyNumberFormat="1"/>
    <xf numFmtId="44" fontId="2" fillId="0" borderId="0" xfId="0" applyNumberFormat="1" applyFont="1"/>
    <xf numFmtId="0" fontId="14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360</c:v>
                </c:pt>
                <c:pt idx="7">
                  <c:v>372</c:v>
                </c:pt>
                <c:pt idx="8">
                  <c:v>403</c:v>
                </c:pt>
                <c:pt idx="9">
                  <c:v>420</c:v>
                </c:pt>
                <c:pt idx="10">
                  <c:v>423</c:v>
                </c:pt>
                <c:pt idx="11">
                  <c:v>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129</c:v>
                </c:pt>
                <c:pt idx="1">
                  <c:v>15</c:v>
                </c:pt>
                <c:pt idx="2">
                  <c:v>0</c:v>
                </c:pt>
                <c:pt idx="3">
                  <c:v>22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571</c:v>
                </c:pt>
                <c:pt idx="1">
                  <c:v>55</c:v>
                </c:pt>
                <c:pt idx="2">
                  <c:v>0</c:v>
                </c:pt>
                <c:pt idx="3">
                  <c:v>139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129</c:v>
                </c:pt>
                <c:pt idx="1">
                  <c:v>15</c:v>
                </c:pt>
                <c:pt idx="2">
                  <c:v>0</c:v>
                </c:pt>
                <c:pt idx="3">
                  <c:v>22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571</c:v>
                </c:pt>
                <c:pt idx="1">
                  <c:v>55</c:v>
                </c:pt>
                <c:pt idx="2">
                  <c:v>0</c:v>
                </c:pt>
                <c:pt idx="3">
                  <c:v>139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360</c:v>
                </c:pt>
                <c:pt idx="7">
                  <c:v>372</c:v>
                </c:pt>
                <c:pt idx="8">
                  <c:v>403</c:v>
                </c:pt>
                <c:pt idx="9">
                  <c:v>420</c:v>
                </c:pt>
                <c:pt idx="10">
                  <c:v>423</c:v>
                </c:pt>
                <c:pt idx="11">
                  <c:v>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216</c:v>
                </c:pt>
                <c:pt idx="1">
                  <c:v>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216</c:v>
                </c:pt>
                <c:pt idx="1">
                  <c:v>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comments" Target="../comments1.x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vmlDrawing" Target="../drawings/vmlDrawing1.vm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printerSettings" Target="../printerSettings/printerSettings1.bin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5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5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5">
      <c r="C12" s="120"/>
      <c r="D12" s="120"/>
      <c r="E12" s="120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8"/>
  <sheetViews>
    <sheetView tabSelected="1" topLeftCell="F1" workbookViewId="0">
      <pane ySplit="1" topLeftCell="A74" activePane="bottomLeft" state="frozen"/>
      <selection pane="bottomLeft" activeCell="M88" sqref="M88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160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3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84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1" x14ac:dyDescent="0.35">
      <c r="A2" s="146">
        <v>1</v>
      </c>
      <c r="B2" s="111" t="s">
        <v>169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7" t="s">
        <v>170</v>
      </c>
      <c r="N2" s="185"/>
      <c r="O2" s="133" t="s">
        <v>171</v>
      </c>
      <c r="P2" s="133"/>
      <c r="Q2" s="133" t="s">
        <v>21</v>
      </c>
      <c r="R2" s="167">
        <v>7267.5</v>
      </c>
      <c r="S2" s="161" t="s">
        <v>20</v>
      </c>
      <c r="T2" t="s">
        <v>172</v>
      </c>
    </row>
    <row r="3" spans="1:21" x14ac:dyDescent="0.35">
      <c r="A3" s="147">
        <v>2</v>
      </c>
      <c r="B3" s="113" t="s">
        <v>173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273</v>
      </c>
      <c r="H3" s="113"/>
      <c r="I3" s="134"/>
      <c r="J3" s="113"/>
      <c r="K3" s="113"/>
      <c r="L3" s="113"/>
      <c r="M3" s="158"/>
      <c r="N3" s="186"/>
      <c r="O3" s="134"/>
      <c r="P3" s="134"/>
      <c r="Q3" s="134"/>
      <c r="R3" s="167"/>
      <c r="S3" s="162"/>
    </row>
    <row r="4" spans="1:21" x14ac:dyDescent="0.35">
      <c r="A4" s="146">
        <v>3</v>
      </c>
      <c r="B4" s="111" t="s">
        <v>173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7" t="s">
        <v>174</v>
      </c>
      <c r="N4" s="185"/>
      <c r="O4" s="133" t="s">
        <v>175</v>
      </c>
      <c r="P4" s="133"/>
      <c r="Q4" s="133" t="s">
        <v>21</v>
      </c>
      <c r="R4" s="167">
        <v>2070</v>
      </c>
      <c r="S4" s="161" t="s">
        <v>20</v>
      </c>
      <c r="T4" s="131"/>
    </row>
    <row r="5" spans="1:21" x14ac:dyDescent="0.35">
      <c r="A5" s="147">
        <v>4</v>
      </c>
      <c r="B5" s="113" t="s">
        <v>176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8" t="s">
        <v>178</v>
      </c>
      <c r="N5" s="187">
        <v>4530267986</v>
      </c>
      <c r="O5" s="134" t="s">
        <v>179</v>
      </c>
      <c r="P5" s="134"/>
      <c r="Q5" s="134" t="s">
        <v>21</v>
      </c>
      <c r="R5" s="167">
        <v>9180</v>
      </c>
      <c r="S5" s="162" t="s">
        <v>21</v>
      </c>
      <c r="T5" t="s">
        <v>177</v>
      </c>
    </row>
    <row r="6" spans="1:21" x14ac:dyDescent="0.35">
      <c r="A6" s="146">
        <v>5</v>
      </c>
      <c r="B6" s="111" t="s">
        <v>180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7" t="s">
        <v>181</v>
      </c>
      <c r="N6" s="185"/>
      <c r="O6" s="133"/>
      <c r="P6" s="133"/>
      <c r="Q6" s="133" t="s">
        <v>21</v>
      </c>
      <c r="R6" s="167">
        <v>5175</v>
      </c>
      <c r="S6" s="161" t="s">
        <v>20</v>
      </c>
    </row>
    <row r="7" spans="1:21" x14ac:dyDescent="0.35">
      <c r="A7" s="146">
        <v>6</v>
      </c>
      <c r="B7" s="126" t="s">
        <v>182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183</v>
      </c>
      <c r="Q7" s="2" t="s">
        <v>21</v>
      </c>
      <c r="R7" s="132">
        <v>4140</v>
      </c>
      <c r="S7" s="2" t="s">
        <v>38</v>
      </c>
      <c r="T7" t="s">
        <v>184</v>
      </c>
    </row>
    <row r="8" spans="1:21" x14ac:dyDescent="0.35">
      <c r="A8" s="147">
        <v>7</v>
      </c>
      <c r="B8" s="126" t="s">
        <v>185</v>
      </c>
      <c r="C8" s="129">
        <v>46207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186</v>
      </c>
      <c r="N8" s="187">
        <v>4522701312</v>
      </c>
      <c r="O8" s="2" t="s">
        <v>187</v>
      </c>
      <c r="Q8" s="2" t="s">
        <v>20</v>
      </c>
      <c r="R8" s="167">
        <v>6772.5</v>
      </c>
      <c r="S8" s="2" t="s">
        <v>21</v>
      </c>
    </row>
    <row r="9" spans="1:21" x14ac:dyDescent="0.35">
      <c r="A9" s="146">
        <v>8</v>
      </c>
      <c r="B9" s="126" t="s">
        <v>188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189</v>
      </c>
      <c r="N9" s="187">
        <v>4917643882286</v>
      </c>
      <c r="O9" s="2" t="s">
        <v>190</v>
      </c>
      <c r="Q9" s="2" t="s">
        <v>21</v>
      </c>
      <c r="R9" s="132">
        <v>4275</v>
      </c>
      <c r="S9" s="2" t="s">
        <v>21</v>
      </c>
      <c r="T9" s="126" t="s">
        <v>191</v>
      </c>
    </row>
    <row r="10" spans="1:21" x14ac:dyDescent="0.35">
      <c r="A10" s="146">
        <v>9</v>
      </c>
      <c r="B10" s="126" t="s">
        <v>192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193</v>
      </c>
      <c r="O10" s="2" t="s">
        <v>194</v>
      </c>
      <c r="Q10" s="2" t="s">
        <v>21</v>
      </c>
      <c r="R10" s="167">
        <v>7245</v>
      </c>
      <c r="S10" s="2" t="s">
        <v>21</v>
      </c>
    </row>
    <row r="11" spans="1:21" x14ac:dyDescent="0.35">
      <c r="A11" s="147">
        <v>10</v>
      </c>
      <c r="B11" s="126" t="s">
        <v>195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196</v>
      </c>
      <c r="N11" s="160">
        <v>4561557600</v>
      </c>
      <c r="Q11" s="2" t="s">
        <v>21</v>
      </c>
      <c r="R11" s="132">
        <v>3442</v>
      </c>
      <c r="S11" s="2" t="s">
        <v>21</v>
      </c>
      <c r="T11" t="s">
        <v>197</v>
      </c>
    </row>
    <row r="12" spans="1:21" x14ac:dyDescent="0.35">
      <c r="A12" s="146">
        <v>11</v>
      </c>
      <c r="B12" s="126" t="s">
        <v>198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200</v>
      </c>
      <c r="Q12" s="2" t="s">
        <v>21</v>
      </c>
      <c r="R12" s="132">
        <v>5737.5</v>
      </c>
      <c r="S12" s="2" t="s">
        <v>20</v>
      </c>
      <c r="T12" t="s">
        <v>199</v>
      </c>
    </row>
    <row r="13" spans="1:21" x14ac:dyDescent="0.35">
      <c r="A13" s="146">
        <v>12</v>
      </c>
      <c r="B13" s="126" t="s">
        <v>201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202</v>
      </c>
      <c r="N13" s="188">
        <v>4540552384</v>
      </c>
      <c r="O13" s="2" t="s">
        <v>203</v>
      </c>
      <c r="Q13" s="2" t="s">
        <v>21</v>
      </c>
      <c r="R13" s="132">
        <v>4140</v>
      </c>
      <c r="S13" s="2" t="s">
        <v>21</v>
      </c>
      <c r="T13" t="s">
        <v>204</v>
      </c>
    </row>
    <row r="14" spans="1:21" x14ac:dyDescent="0.35">
      <c r="A14" s="147">
        <v>13</v>
      </c>
      <c r="B14" s="126" t="s">
        <v>205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206</v>
      </c>
      <c r="N14" s="188">
        <v>4525582842</v>
      </c>
      <c r="O14" s="2" t="s">
        <v>208</v>
      </c>
      <c r="Q14" s="2" t="s">
        <v>21</v>
      </c>
      <c r="R14" s="132">
        <v>8032.5</v>
      </c>
      <c r="S14" s="2" t="s">
        <v>38</v>
      </c>
      <c r="T14" t="s">
        <v>207</v>
      </c>
    </row>
    <row r="15" spans="1:21" x14ac:dyDescent="0.35">
      <c r="A15" s="146">
        <v>14</v>
      </c>
      <c r="B15" s="126" t="s">
        <v>209</v>
      </c>
      <c r="C15" s="24">
        <v>46206</v>
      </c>
      <c r="D15" s="24">
        <v>46213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59" t="s">
        <v>212</v>
      </c>
      <c r="N15" s="188">
        <v>4591191885</v>
      </c>
      <c r="O15" s="2" t="s">
        <v>210</v>
      </c>
      <c r="Q15" s="2" t="s">
        <v>21</v>
      </c>
      <c r="R15" s="132">
        <v>9180</v>
      </c>
      <c r="S15" s="2" t="s">
        <v>38</v>
      </c>
      <c r="T15" s="126" t="s">
        <v>211</v>
      </c>
    </row>
    <row r="16" spans="1:21" x14ac:dyDescent="0.35">
      <c r="A16" s="146">
        <v>15</v>
      </c>
      <c r="B16" s="126" t="s">
        <v>213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214</v>
      </c>
      <c r="N16" s="160">
        <v>4531534745</v>
      </c>
      <c r="O16" s="2" t="s">
        <v>215</v>
      </c>
      <c r="Q16" s="2" t="s">
        <v>21</v>
      </c>
      <c r="R16" s="132">
        <v>8925</v>
      </c>
      <c r="S16" s="2" t="s">
        <v>38</v>
      </c>
      <c r="T16" t="s">
        <v>216</v>
      </c>
      <c r="U16" s="193">
        <f>R16*0.5</f>
        <v>4462.5</v>
      </c>
    </row>
    <row r="17" spans="1:21" x14ac:dyDescent="0.35">
      <c r="A17" s="147">
        <v>16</v>
      </c>
      <c r="B17" s="126" t="s">
        <v>227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228</v>
      </c>
      <c r="N17" s="188">
        <v>4530604703</v>
      </c>
      <c r="Q17" s="2" t="s">
        <v>21</v>
      </c>
      <c r="R17" s="132">
        <v>17850</v>
      </c>
      <c r="S17" s="2" t="s">
        <v>38</v>
      </c>
      <c r="T17" t="s">
        <v>229</v>
      </c>
      <c r="U17" s="194">
        <f t="shared" ref="U17:U19" si="0">R17*0.5</f>
        <v>8925</v>
      </c>
    </row>
    <row r="18" spans="1:21" x14ac:dyDescent="0.35">
      <c r="A18" s="146">
        <v>17</v>
      </c>
      <c r="B18" s="126" t="s">
        <v>221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224</v>
      </c>
      <c r="N18" s="188">
        <v>4524669843</v>
      </c>
      <c r="O18" s="2" t="s">
        <v>225</v>
      </c>
      <c r="Q18" s="2" t="s">
        <v>21</v>
      </c>
      <c r="R18" s="132">
        <v>8925</v>
      </c>
      <c r="S18" s="2" t="s">
        <v>38</v>
      </c>
      <c r="T18" t="s">
        <v>226</v>
      </c>
      <c r="U18" s="194">
        <f t="shared" si="0"/>
        <v>4462.5</v>
      </c>
    </row>
    <row r="19" spans="1:21" x14ac:dyDescent="0.35">
      <c r="A19" s="146">
        <v>18</v>
      </c>
      <c r="B19" s="126" t="s">
        <v>219</v>
      </c>
      <c r="C19" s="24">
        <v>46182</v>
      </c>
      <c r="D19" s="24">
        <v>46187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59" t="s">
        <v>220</v>
      </c>
      <c r="N19" s="188">
        <v>4531909358</v>
      </c>
      <c r="O19" s="2" t="s">
        <v>223</v>
      </c>
      <c r="Q19" s="2" t="s">
        <v>21</v>
      </c>
      <c r="R19" s="132">
        <v>6375</v>
      </c>
      <c r="S19" s="2" t="s">
        <v>38</v>
      </c>
      <c r="T19" t="s">
        <v>222</v>
      </c>
      <c r="U19" s="194">
        <f t="shared" si="0"/>
        <v>3187.5</v>
      </c>
    </row>
    <row r="20" spans="1:21" x14ac:dyDescent="0.35">
      <c r="A20" s="147">
        <v>19</v>
      </c>
      <c r="B20" t="s">
        <v>217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218</v>
      </c>
      <c r="N20" s="188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207</v>
      </c>
    </row>
    <row r="21" spans="1:21" x14ac:dyDescent="0.35">
      <c r="A21" s="146">
        <v>20</v>
      </c>
      <c r="B21" s="126" t="s">
        <v>247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248</v>
      </c>
      <c r="Q21" s="2" t="s">
        <v>21</v>
      </c>
      <c r="R21" s="167">
        <v>12420</v>
      </c>
      <c r="S21" s="2" t="s">
        <v>38</v>
      </c>
      <c r="T21" t="s">
        <v>249</v>
      </c>
    </row>
    <row r="22" spans="1:21" x14ac:dyDescent="0.35">
      <c r="A22" s="146">
        <v>21</v>
      </c>
      <c r="B22" s="126" t="s">
        <v>270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245</v>
      </c>
      <c r="N22" s="188">
        <v>46705125490</v>
      </c>
      <c r="O22" s="2" t="s">
        <v>244</v>
      </c>
      <c r="Q22" s="2" t="s">
        <v>21</v>
      </c>
      <c r="R22" s="167">
        <v>5175</v>
      </c>
      <c r="S22" s="2" t="s">
        <v>38</v>
      </c>
      <c r="T22" t="s">
        <v>246</v>
      </c>
    </row>
    <row r="23" spans="1:21" x14ac:dyDescent="0.35">
      <c r="A23" s="147">
        <v>22</v>
      </c>
      <c r="B23" t="s">
        <v>242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243</v>
      </c>
    </row>
    <row r="24" spans="1:21" x14ac:dyDescent="0.35">
      <c r="A24" s="146">
        <v>23</v>
      </c>
      <c r="B24" t="s">
        <v>241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260</v>
      </c>
      <c r="I24" s="2" t="s">
        <v>162</v>
      </c>
      <c r="K24" s="128">
        <v>1</v>
      </c>
      <c r="L24" s="128">
        <v>2</v>
      </c>
      <c r="Q24" s="2" t="s">
        <v>21</v>
      </c>
      <c r="R24" s="167">
        <v>3825</v>
      </c>
      <c r="S24" s="2" t="s">
        <v>20</v>
      </c>
    </row>
    <row r="25" spans="1:21" x14ac:dyDescent="0.35">
      <c r="A25" s="146">
        <v>24</v>
      </c>
      <c r="B25" t="s">
        <v>240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67">
        <v>3825</v>
      </c>
      <c r="S25" s="2" t="s">
        <v>20</v>
      </c>
    </row>
    <row r="26" spans="1:21" x14ac:dyDescent="0.35">
      <c r="A26" s="147">
        <v>25</v>
      </c>
      <c r="B26" t="s">
        <v>239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1" x14ac:dyDescent="0.35">
      <c r="A27" s="146">
        <v>26</v>
      </c>
      <c r="B27" t="s">
        <v>238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89"/>
      <c r="Q27" s="2" t="s">
        <v>21</v>
      </c>
      <c r="R27" s="132">
        <v>3450</v>
      </c>
      <c r="S27" s="2" t="s">
        <v>20</v>
      </c>
      <c r="T27" t="s">
        <v>327</v>
      </c>
    </row>
    <row r="28" spans="1:21" x14ac:dyDescent="0.35">
      <c r="A28" s="146">
        <v>27</v>
      </c>
      <c r="B28" t="s">
        <v>236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237</v>
      </c>
      <c r="N28" s="188">
        <v>4561283743</v>
      </c>
      <c r="Q28" s="2" t="s">
        <v>21</v>
      </c>
      <c r="R28" s="132">
        <v>6210</v>
      </c>
      <c r="S28" s="2" t="s">
        <v>21</v>
      </c>
      <c r="T28" t="s">
        <v>269</v>
      </c>
    </row>
    <row r="29" spans="1:21" x14ac:dyDescent="0.35">
      <c r="A29" s="147">
        <v>28</v>
      </c>
      <c r="B29" t="s">
        <v>235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1" x14ac:dyDescent="0.35">
      <c r="A30" s="146">
        <v>29</v>
      </c>
      <c r="B30" t="s">
        <v>252</v>
      </c>
      <c r="C30" s="24">
        <v>46177</v>
      </c>
      <c r="D30" s="24">
        <v>46179</v>
      </c>
      <c r="E30" s="24">
        <v>46023</v>
      </c>
      <c r="F30" t="s">
        <v>58</v>
      </c>
      <c r="G30" t="s">
        <v>273</v>
      </c>
      <c r="K30" s="128"/>
      <c r="L30" s="128"/>
      <c r="M30" s="123"/>
    </row>
    <row r="31" spans="1:21" x14ac:dyDescent="0.35">
      <c r="A31" s="146">
        <v>30</v>
      </c>
      <c r="B31" t="s">
        <v>250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88">
        <v>4526241192</v>
      </c>
      <c r="Q31" s="2" t="s">
        <v>21</v>
      </c>
      <c r="R31" s="132">
        <v>5100</v>
      </c>
      <c r="S31" s="2" t="s">
        <v>21</v>
      </c>
      <c r="T31" t="s">
        <v>251</v>
      </c>
    </row>
    <row r="32" spans="1:21" x14ac:dyDescent="0.35">
      <c r="A32" s="147">
        <v>31</v>
      </c>
      <c r="B32" t="s">
        <v>253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254</v>
      </c>
      <c r="N32" s="160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255</v>
      </c>
    </row>
    <row r="33" spans="1:20" x14ac:dyDescent="0.35">
      <c r="A33" s="146">
        <v>32</v>
      </c>
      <c r="B33" t="s">
        <v>268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5">
      <c r="A34" s="146">
        <v>33</v>
      </c>
      <c r="B34" t="s">
        <v>267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5">
      <c r="A35" s="147">
        <v>34</v>
      </c>
      <c r="B35" t="s">
        <v>266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5">
      <c r="A36" s="146">
        <v>35</v>
      </c>
      <c r="B36" t="s">
        <v>262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8" t="s">
        <v>263</v>
      </c>
      <c r="N36" s="188">
        <v>46733448215</v>
      </c>
      <c r="O36" s="2" t="s">
        <v>264</v>
      </c>
      <c r="Q36" s="2" t="s">
        <v>21</v>
      </c>
      <c r="R36" s="132">
        <v>4140</v>
      </c>
      <c r="S36" s="2" t="s">
        <v>38</v>
      </c>
      <c r="T36" t="s">
        <v>265</v>
      </c>
    </row>
    <row r="37" spans="1:20" x14ac:dyDescent="0.35">
      <c r="A37" s="146">
        <v>36</v>
      </c>
      <c r="B37" t="s">
        <v>261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5">
      <c r="A38" s="147">
        <v>37</v>
      </c>
      <c r="B38" t="s">
        <v>259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260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5">
      <c r="A39" s="146">
        <v>38</v>
      </c>
      <c r="B39" t="s">
        <v>258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5">
      <c r="A40" s="2">
        <v>39</v>
      </c>
      <c r="B40" t="s">
        <v>257</v>
      </c>
      <c r="C40" s="24">
        <v>46216</v>
      </c>
      <c r="D40" s="24">
        <v>46220</v>
      </c>
      <c r="E40" s="24">
        <v>46032</v>
      </c>
      <c r="G40" t="s">
        <v>273</v>
      </c>
    </row>
    <row r="41" spans="1:20" x14ac:dyDescent="0.35">
      <c r="A41" s="2">
        <v>40</v>
      </c>
      <c r="B41" t="s">
        <v>256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5">
      <c r="A42" s="2">
        <v>41</v>
      </c>
      <c r="B42" t="s">
        <v>272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5">
      <c r="A43" s="2">
        <v>42</v>
      </c>
      <c r="B43" t="s">
        <v>271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5">
      <c r="A44" s="2">
        <v>43</v>
      </c>
      <c r="B44" t="s">
        <v>289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260</v>
      </c>
      <c r="I44" s="2" t="s">
        <v>292</v>
      </c>
      <c r="K44">
        <v>1</v>
      </c>
      <c r="L44">
        <v>2</v>
      </c>
      <c r="M44" s="123" t="s">
        <v>291</v>
      </c>
      <c r="N44" s="160">
        <v>4526140610</v>
      </c>
      <c r="Q44" s="2" t="s">
        <v>21</v>
      </c>
      <c r="R44" s="132">
        <v>4500</v>
      </c>
      <c r="S44" s="2" t="s">
        <v>20</v>
      </c>
      <c r="T44" t="s">
        <v>290</v>
      </c>
    </row>
    <row r="45" spans="1:20" x14ac:dyDescent="0.35">
      <c r="A45" s="2">
        <v>44</v>
      </c>
      <c r="B45" t="s">
        <v>288</v>
      </c>
      <c r="C45" s="24">
        <v>46222</v>
      </c>
      <c r="D45" s="24">
        <v>46227</v>
      </c>
      <c r="E45" s="24">
        <v>46037</v>
      </c>
      <c r="F45" t="s">
        <v>295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5">
      <c r="A46" s="2">
        <v>45</v>
      </c>
      <c r="B46" t="s">
        <v>287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5">
      <c r="A47" s="2">
        <v>46</v>
      </c>
      <c r="B47" t="s">
        <v>284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286</v>
      </c>
      <c r="T47" t="s">
        <v>285</v>
      </c>
    </row>
    <row r="48" spans="1:20" x14ac:dyDescent="0.35">
      <c r="A48" s="2">
        <v>47</v>
      </c>
      <c r="B48" t="s">
        <v>219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220</v>
      </c>
      <c r="N48" s="188">
        <v>4531909358</v>
      </c>
      <c r="O48" s="190" t="s">
        <v>282</v>
      </c>
      <c r="Q48" s="2" t="s">
        <v>21</v>
      </c>
      <c r="S48" s="2" t="s">
        <v>21</v>
      </c>
      <c r="T48" t="s">
        <v>283</v>
      </c>
    </row>
    <row r="49" spans="1:20" x14ac:dyDescent="0.35">
      <c r="A49" s="2">
        <v>48</v>
      </c>
      <c r="B49" t="s">
        <v>281</v>
      </c>
      <c r="C49" s="24">
        <v>46156</v>
      </c>
      <c r="D49" s="24">
        <v>46159</v>
      </c>
      <c r="E49" s="24">
        <v>46040</v>
      </c>
      <c r="F49" t="s">
        <v>53</v>
      </c>
      <c r="G49" t="s">
        <v>273</v>
      </c>
      <c r="M49" s="123"/>
    </row>
    <row r="50" spans="1:20" x14ac:dyDescent="0.35">
      <c r="A50" s="2">
        <v>49</v>
      </c>
      <c r="B50" t="s">
        <v>280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5">
      <c r="A51" s="2">
        <v>50</v>
      </c>
      <c r="B51" t="s">
        <v>279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5">
      <c r="A52" s="2">
        <v>51</v>
      </c>
      <c r="B52" t="s">
        <v>276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8" t="s">
        <v>278</v>
      </c>
      <c r="N52" s="188">
        <v>4540474386</v>
      </c>
      <c r="O52" s="190" t="s">
        <v>277</v>
      </c>
      <c r="Q52" s="2" t="s">
        <v>21</v>
      </c>
      <c r="R52" s="196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294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5">
      <c r="A54" s="2">
        <v>53</v>
      </c>
      <c r="B54" t="s">
        <v>293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5">
      <c r="A55" s="2">
        <v>54</v>
      </c>
      <c r="B55" t="s">
        <v>309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67">
        <v>5700</v>
      </c>
    </row>
    <row r="56" spans="1:20" x14ac:dyDescent="0.35">
      <c r="A56" s="2">
        <v>55</v>
      </c>
      <c r="B56" t="s">
        <v>308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5">
      <c r="A57" s="2">
        <v>56</v>
      </c>
      <c r="B57" t="s">
        <v>305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318</v>
      </c>
      <c r="I57" s="2" t="s">
        <v>306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307</v>
      </c>
    </row>
    <row r="58" spans="1:20" x14ac:dyDescent="0.35">
      <c r="A58" s="2">
        <v>57</v>
      </c>
      <c r="B58" t="s">
        <v>302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8">
        <v>466700686</v>
      </c>
      <c r="O58" s="2" t="s">
        <v>303</v>
      </c>
      <c r="Q58" s="2" t="s">
        <v>20</v>
      </c>
      <c r="R58" s="167">
        <v>6450</v>
      </c>
      <c r="S58" s="2" t="s">
        <v>38</v>
      </c>
      <c r="T58" t="s">
        <v>304</v>
      </c>
    </row>
    <row r="59" spans="1:20" x14ac:dyDescent="0.35">
      <c r="A59" s="2">
        <v>58</v>
      </c>
      <c r="B59" t="s">
        <v>300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67">
        <v>4590</v>
      </c>
      <c r="S59" s="2" t="s">
        <v>38</v>
      </c>
      <c r="T59" t="s">
        <v>301</v>
      </c>
    </row>
    <row r="60" spans="1:20" x14ac:dyDescent="0.35">
      <c r="A60" s="2">
        <v>59</v>
      </c>
      <c r="B60" t="s">
        <v>310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311</v>
      </c>
      <c r="I60" s="2" t="s">
        <v>162</v>
      </c>
      <c r="K60">
        <v>1</v>
      </c>
      <c r="L60">
        <v>2</v>
      </c>
      <c r="M60" s="123"/>
      <c r="N60" s="160">
        <v>4542401010</v>
      </c>
      <c r="Q60" s="2" t="s">
        <v>21</v>
      </c>
      <c r="R60" s="167">
        <v>5100</v>
      </c>
      <c r="S60" s="2" t="s">
        <v>20</v>
      </c>
    </row>
    <row r="61" spans="1:20" x14ac:dyDescent="0.35">
      <c r="A61" s="2">
        <v>60</v>
      </c>
      <c r="B61" t="s">
        <v>317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67">
        <v>3800</v>
      </c>
      <c r="S61" s="2" t="s">
        <v>20</v>
      </c>
    </row>
    <row r="62" spans="1:20" x14ac:dyDescent="0.35">
      <c r="A62" s="2">
        <v>61</v>
      </c>
      <c r="B62" t="s">
        <v>315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316</v>
      </c>
      <c r="I62" s="2" t="s">
        <v>306</v>
      </c>
      <c r="K62">
        <v>1</v>
      </c>
      <c r="L62">
        <v>2</v>
      </c>
      <c r="M62" s="123"/>
      <c r="Q62" s="2" t="s">
        <v>20</v>
      </c>
      <c r="R62" s="167">
        <v>2975</v>
      </c>
      <c r="S62" s="2" t="s">
        <v>20</v>
      </c>
    </row>
    <row r="63" spans="1:20" x14ac:dyDescent="0.35">
      <c r="A63" s="2">
        <v>62</v>
      </c>
      <c r="B63" t="s">
        <v>314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306</v>
      </c>
      <c r="J63">
        <v>10</v>
      </c>
      <c r="K63">
        <v>1</v>
      </c>
      <c r="L63">
        <v>2</v>
      </c>
      <c r="Q63" s="2" t="s">
        <v>21</v>
      </c>
      <c r="R63" s="167">
        <f>8925+3442.5</f>
        <v>12367.5</v>
      </c>
      <c r="S63" s="2" t="s">
        <v>20</v>
      </c>
      <c r="T63" t="s">
        <v>326</v>
      </c>
    </row>
    <row r="64" spans="1:20" x14ac:dyDescent="0.35">
      <c r="A64" s="2">
        <v>63</v>
      </c>
      <c r="B64" t="s">
        <v>312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>
        <v>5</v>
      </c>
      <c r="K64">
        <v>1</v>
      </c>
      <c r="L64">
        <v>2</v>
      </c>
      <c r="M64" s="123" t="s">
        <v>313</v>
      </c>
      <c r="Q64" s="2" t="s">
        <v>20</v>
      </c>
      <c r="R64" s="167">
        <v>1805</v>
      </c>
      <c r="S64" s="2" t="s">
        <v>20</v>
      </c>
    </row>
    <row r="65" spans="1:20" x14ac:dyDescent="0.35">
      <c r="A65" s="2">
        <v>64</v>
      </c>
      <c r="B65" t="s">
        <v>319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165</v>
      </c>
      <c r="K65">
        <v>1</v>
      </c>
      <c r="L65">
        <v>2</v>
      </c>
      <c r="Q65" s="2" t="s">
        <v>20</v>
      </c>
      <c r="R65" s="132">
        <v>2850</v>
      </c>
      <c r="S65" s="2" t="s">
        <v>20</v>
      </c>
    </row>
    <row r="66" spans="1:20" x14ac:dyDescent="0.35">
      <c r="A66" s="2">
        <v>65</v>
      </c>
      <c r="B66" t="s">
        <v>323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306</v>
      </c>
      <c r="K66">
        <v>1</v>
      </c>
      <c r="L66">
        <v>2</v>
      </c>
      <c r="Q66" s="2" t="s">
        <v>20</v>
      </c>
      <c r="R66" s="167">
        <v>2850</v>
      </c>
      <c r="S66" s="2" t="s">
        <v>20</v>
      </c>
    </row>
    <row r="67" spans="1:20" x14ac:dyDescent="0.35">
      <c r="A67" s="2">
        <v>66</v>
      </c>
      <c r="B67" t="s">
        <v>321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23" t="s">
        <v>322</v>
      </c>
      <c r="N67" s="159">
        <v>4521261488</v>
      </c>
      <c r="O67" s="2" t="s">
        <v>187</v>
      </c>
      <c r="Q67" s="2" t="s">
        <v>21</v>
      </c>
      <c r="R67" s="167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320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23"/>
      <c r="Q68" s="2" t="s">
        <v>21</v>
      </c>
      <c r="R68" s="167">
        <v>5750</v>
      </c>
      <c r="S68" s="2" t="s">
        <v>20</v>
      </c>
    </row>
    <row r="69" spans="1:20" x14ac:dyDescent="0.35">
      <c r="A69" s="2">
        <v>68</v>
      </c>
      <c r="B69" t="s">
        <v>325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165</v>
      </c>
      <c r="K69">
        <v>1</v>
      </c>
      <c r="L69">
        <v>1</v>
      </c>
      <c r="P69" s="2" t="s">
        <v>21</v>
      </c>
      <c r="Q69" s="2" t="s">
        <v>20</v>
      </c>
      <c r="R69" s="167">
        <v>1700</v>
      </c>
      <c r="S69" s="2" t="s">
        <v>20</v>
      </c>
    </row>
    <row r="70" spans="1:20" x14ac:dyDescent="0.35">
      <c r="A70" s="2">
        <v>69</v>
      </c>
      <c r="B70" t="s">
        <v>324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67">
        <v>3225</v>
      </c>
      <c r="S70" s="2" t="s">
        <v>20</v>
      </c>
    </row>
    <row r="71" spans="1:20" x14ac:dyDescent="0.35">
      <c r="A71" s="2">
        <v>70</v>
      </c>
      <c r="B71" t="s">
        <v>332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23" t="s">
        <v>333</v>
      </c>
      <c r="N71" s="159">
        <v>4561793423</v>
      </c>
      <c r="Q71" s="2" t="s">
        <v>21</v>
      </c>
      <c r="R71" s="167">
        <v>5175</v>
      </c>
      <c r="S71" s="2" t="s">
        <v>21</v>
      </c>
      <c r="T71" t="s">
        <v>334</v>
      </c>
    </row>
    <row r="72" spans="1:20" x14ac:dyDescent="0.35">
      <c r="A72" s="2">
        <v>71</v>
      </c>
      <c r="B72" t="s">
        <v>335</v>
      </c>
      <c r="C72" s="24">
        <v>46260</v>
      </c>
      <c r="D72" s="24">
        <v>46264</v>
      </c>
      <c r="E72" s="24">
        <v>46057</v>
      </c>
      <c r="F72" t="s">
        <v>31</v>
      </c>
      <c r="G72" t="s">
        <v>35</v>
      </c>
      <c r="I72" s="2" t="s">
        <v>165</v>
      </c>
      <c r="K72">
        <v>1</v>
      </c>
      <c r="L72">
        <v>1</v>
      </c>
      <c r="P72" s="2" t="s">
        <v>21</v>
      </c>
      <c r="Q72" s="2" t="s">
        <v>20</v>
      </c>
      <c r="R72" s="132">
        <v>3400</v>
      </c>
      <c r="S72" s="2" t="s">
        <v>20</v>
      </c>
    </row>
    <row r="73" spans="1:20" x14ac:dyDescent="0.35">
      <c r="A73" s="2">
        <v>72</v>
      </c>
      <c r="B73" t="s">
        <v>329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260</v>
      </c>
      <c r="K73">
        <v>1</v>
      </c>
      <c r="L73">
        <v>2</v>
      </c>
      <c r="M73" s="168" t="s">
        <v>330</v>
      </c>
      <c r="N73" s="159">
        <v>4527139833</v>
      </c>
      <c r="Q73" s="2" t="s">
        <v>21</v>
      </c>
      <c r="R73" s="167">
        <v>8050</v>
      </c>
      <c r="S73" s="2" t="s">
        <v>21</v>
      </c>
      <c r="T73" t="s">
        <v>331</v>
      </c>
    </row>
    <row r="74" spans="1:20" x14ac:dyDescent="0.35">
      <c r="A74" s="2">
        <v>73</v>
      </c>
      <c r="B74" t="s">
        <v>328</v>
      </c>
      <c r="C74" s="24">
        <v>46143</v>
      </c>
      <c r="D74" s="24">
        <v>46145</v>
      </c>
      <c r="E74" s="24">
        <v>46061</v>
      </c>
      <c r="F74" t="s">
        <v>53</v>
      </c>
      <c r="G74" t="s">
        <v>273</v>
      </c>
    </row>
    <row r="75" spans="1:20" x14ac:dyDescent="0.35">
      <c r="A75" s="2">
        <v>74</v>
      </c>
      <c r="B75" t="s">
        <v>338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>
        <v>10</v>
      </c>
      <c r="K75">
        <v>2</v>
      </c>
      <c r="L75">
        <v>3</v>
      </c>
      <c r="M75" s="123" t="s">
        <v>339</v>
      </c>
      <c r="Q75" s="2" t="s">
        <v>21</v>
      </c>
      <c r="R75" s="167">
        <v>8460</v>
      </c>
      <c r="S75" s="2" t="s">
        <v>21</v>
      </c>
      <c r="T75" t="s">
        <v>340</v>
      </c>
    </row>
    <row r="76" spans="1:20" x14ac:dyDescent="0.35">
      <c r="A76" s="2">
        <v>75</v>
      </c>
      <c r="B76" t="s">
        <v>337</v>
      </c>
      <c r="C76" s="24">
        <v>46276</v>
      </c>
      <c r="D76" s="24">
        <v>46279</v>
      </c>
      <c r="E76" s="24">
        <v>46067</v>
      </c>
      <c r="F76" t="s">
        <v>53</v>
      </c>
      <c r="G76" t="s">
        <v>273</v>
      </c>
      <c r="R76" s="167"/>
    </row>
    <row r="77" spans="1:20" x14ac:dyDescent="0.35">
      <c r="A77" s="2">
        <v>76</v>
      </c>
      <c r="B77" t="s">
        <v>336</v>
      </c>
      <c r="C77" s="24">
        <v>46201</v>
      </c>
      <c r="D77" s="24">
        <v>46205</v>
      </c>
      <c r="E77" s="24">
        <v>46068</v>
      </c>
      <c r="F77" t="s">
        <v>53</v>
      </c>
      <c r="G77" t="s">
        <v>35</v>
      </c>
      <c r="I77" s="2" t="s">
        <v>165</v>
      </c>
      <c r="K77">
        <v>1</v>
      </c>
      <c r="L77">
        <v>2</v>
      </c>
      <c r="Q77" s="2" t="s">
        <v>21</v>
      </c>
      <c r="R77" s="167">
        <v>5100</v>
      </c>
      <c r="S77" s="2" t="s">
        <v>20</v>
      </c>
    </row>
    <row r="78" spans="1:20" x14ac:dyDescent="0.35">
      <c r="A78" s="2">
        <v>77</v>
      </c>
      <c r="B78" t="s">
        <v>341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8" t="s">
        <v>342</v>
      </c>
      <c r="N78" s="159">
        <v>4525240507</v>
      </c>
      <c r="Q78" s="2" t="s">
        <v>21</v>
      </c>
      <c r="R78" s="196">
        <v>8032.5</v>
      </c>
      <c r="S78" s="2" t="s">
        <v>21</v>
      </c>
      <c r="T78" t="s">
        <v>343</v>
      </c>
    </row>
    <row r="79" spans="1:20" x14ac:dyDescent="0.35">
      <c r="A79" s="2">
        <v>78</v>
      </c>
      <c r="B79" t="s">
        <v>351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K79">
        <v>1</v>
      </c>
      <c r="L79">
        <v>2</v>
      </c>
      <c r="Q79" s="2" t="s">
        <v>21</v>
      </c>
      <c r="R79" s="132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>
        <v>10</v>
      </c>
      <c r="K80">
        <v>1</v>
      </c>
      <c r="L80">
        <v>2</v>
      </c>
      <c r="M80" s="123" t="s">
        <v>349</v>
      </c>
      <c r="N80" s="159">
        <v>4520646004</v>
      </c>
      <c r="Q80" s="2" t="s">
        <v>21</v>
      </c>
      <c r="R80" s="167">
        <v>5175</v>
      </c>
      <c r="S80" s="2" t="s">
        <v>38</v>
      </c>
      <c r="T80" t="s">
        <v>350</v>
      </c>
    </row>
    <row r="81" spans="1:20" x14ac:dyDescent="0.35">
      <c r="A81" s="2">
        <v>80</v>
      </c>
      <c r="B81" t="s">
        <v>346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>
        <v>10</v>
      </c>
      <c r="K81">
        <v>2</v>
      </c>
      <c r="L81">
        <v>4</v>
      </c>
      <c r="M81" s="123" t="s">
        <v>347</v>
      </c>
      <c r="N81" s="159">
        <v>4520143818</v>
      </c>
      <c r="Q81" s="2" t="s">
        <v>21</v>
      </c>
      <c r="R81" s="132">
        <v>10350</v>
      </c>
      <c r="S81" s="2" t="s">
        <v>21</v>
      </c>
      <c r="T81" t="s">
        <v>348</v>
      </c>
    </row>
    <row r="82" spans="1:20" x14ac:dyDescent="0.35">
      <c r="A82" s="2">
        <v>81</v>
      </c>
      <c r="B82" t="s">
        <v>352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32">
        <v>3825</v>
      </c>
      <c r="S82" s="2" t="s">
        <v>20</v>
      </c>
    </row>
    <row r="83" spans="1:20" x14ac:dyDescent="0.35">
      <c r="A83" s="2">
        <v>82</v>
      </c>
      <c r="B83" s="192" t="s">
        <v>353</v>
      </c>
      <c r="C83" s="24">
        <v>46143</v>
      </c>
      <c r="D83" s="24">
        <v>46145</v>
      </c>
      <c r="E83" s="24">
        <v>46075</v>
      </c>
      <c r="F83" t="s">
        <v>53</v>
      </c>
      <c r="G83" t="s">
        <v>35</v>
      </c>
      <c r="K83">
        <v>1</v>
      </c>
      <c r="L83">
        <v>2</v>
      </c>
      <c r="Q83" s="2" t="s">
        <v>21</v>
      </c>
      <c r="R83" s="167">
        <v>2300</v>
      </c>
      <c r="S83" s="2" t="s">
        <v>20</v>
      </c>
    </row>
    <row r="84" spans="1:20" x14ac:dyDescent="0.35">
      <c r="A84" s="2">
        <v>83</v>
      </c>
      <c r="B84" s="195" t="s">
        <v>354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32">
        <v>4600</v>
      </c>
      <c r="S84" s="2" t="s">
        <v>20</v>
      </c>
    </row>
    <row r="85" spans="1:20" x14ac:dyDescent="0.35">
      <c r="A85" s="2">
        <v>84</v>
      </c>
      <c r="B85" s="192" t="s">
        <v>366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>
        <v>10</v>
      </c>
      <c r="K85">
        <v>1</v>
      </c>
      <c r="L85">
        <v>2</v>
      </c>
      <c r="M85" s="168" t="s">
        <v>367</v>
      </c>
      <c r="N85" s="159">
        <v>4526251564</v>
      </c>
      <c r="O85" s="2" t="s">
        <v>368</v>
      </c>
      <c r="Q85" s="2" t="s">
        <v>20</v>
      </c>
      <c r="R85" s="167">
        <v>3870</v>
      </c>
    </row>
    <row r="86" spans="1:20" x14ac:dyDescent="0.35">
      <c r="A86" s="2">
        <v>85</v>
      </c>
      <c r="B86" t="s">
        <v>365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32">
        <v>1700</v>
      </c>
      <c r="S86" s="2" t="s">
        <v>20</v>
      </c>
    </row>
    <row r="87" spans="1:20" x14ac:dyDescent="0.35">
      <c r="A87" s="2">
        <v>86</v>
      </c>
      <c r="B87" t="s">
        <v>362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>
        <v>10</v>
      </c>
      <c r="K87">
        <v>1</v>
      </c>
      <c r="L87">
        <v>2</v>
      </c>
      <c r="M87" s="123" t="s">
        <v>363</v>
      </c>
      <c r="O87" s="2" t="s">
        <v>364</v>
      </c>
      <c r="Q87" s="2" t="s">
        <v>21</v>
      </c>
      <c r="R87" s="132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369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32">
        <v>2975</v>
      </c>
      <c r="S88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</hyperlinks>
  <pageMargins left="0.7" right="0.7" top="0.75" bottom="0.75" header="0.3" footer="0.3"/>
  <pageSetup paperSize="9" orientation="portrait" r:id="rId35"/>
  <legacyDrawing r:id="rId3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U200" sqref="U200:V20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295</v>
      </c>
      <c r="BU1" s="2" t="str">
        <f>BT1</f>
        <v>CZ</v>
      </c>
      <c r="BV1" s="183" t="s">
        <v>298</v>
      </c>
      <c r="BW1" s="183" t="s">
        <v>298</v>
      </c>
      <c r="BX1" s="141" t="s">
        <v>299</v>
      </c>
      <c r="BY1" s="141" t="s">
        <v>299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1</v>
      </c>
      <c r="D72">
        <f>Database!D72-Database!C72</f>
        <v>4</v>
      </c>
      <c r="F72">
        <f>Database!L72</f>
        <v>1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4</v>
      </c>
      <c r="R72">
        <f t="shared" si="56"/>
        <v>4</v>
      </c>
      <c r="S72">
        <f t="shared" si="56"/>
        <v>4</v>
      </c>
      <c r="T72">
        <f t="shared" si="56"/>
        <v>4</v>
      </c>
      <c r="U72">
        <f t="shared" si="56"/>
        <v>4</v>
      </c>
      <c r="V72">
        <f t="shared" si="56"/>
        <v>4</v>
      </c>
      <c r="W72">
        <f t="shared" si="56"/>
        <v>4</v>
      </c>
      <c r="X72">
        <f t="shared" si="57"/>
        <v>4</v>
      </c>
      <c r="Y72">
        <f t="shared" si="57"/>
        <v>4</v>
      </c>
      <c r="Z72">
        <f t="shared" si="57"/>
        <v>4</v>
      </c>
      <c r="AA72">
        <f t="shared" si="57"/>
        <v>4</v>
      </c>
      <c r="AB72">
        <f t="shared" si="57"/>
        <v>4</v>
      </c>
      <c r="AC72">
        <f t="shared" si="57"/>
        <v>4</v>
      </c>
      <c r="AD72">
        <f t="shared" si="57"/>
        <v>4</v>
      </c>
      <c r="AE72">
        <f t="shared" si="57"/>
        <v>4</v>
      </c>
      <c r="AF72">
        <f t="shared" si="57"/>
        <v>4</v>
      </c>
      <c r="AG72">
        <f t="shared" si="57"/>
        <v>4</v>
      </c>
      <c r="AH72">
        <f t="shared" si="58"/>
        <v>4</v>
      </c>
      <c r="AI72">
        <f t="shared" si="58"/>
        <v>4</v>
      </c>
      <c r="AJ72">
        <f t="shared" si="58"/>
        <v>4</v>
      </c>
      <c r="AK72">
        <f t="shared" si="58"/>
        <v>4</v>
      </c>
      <c r="AL72">
        <f t="shared" si="58"/>
        <v>4</v>
      </c>
      <c r="AM72">
        <f t="shared" si="58"/>
        <v>4</v>
      </c>
      <c r="AN72">
        <f t="shared" si="58"/>
        <v>4</v>
      </c>
      <c r="AO72">
        <f t="shared" si="58"/>
        <v>4</v>
      </c>
      <c r="AP72">
        <f t="shared" si="58"/>
        <v>4</v>
      </c>
      <c r="AQ72">
        <f t="shared" si="58"/>
        <v>4</v>
      </c>
      <c r="AR72">
        <f t="shared" si="59"/>
        <v>4</v>
      </c>
      <c r="AS72">
        <f t="shared" si="59"/>
        <v>4</v>
      </c>
      <c r="AT72">
        <f t="shared" si="59"/>
        <v>4</v>
      </c>
      <c r="AU72">
        <f t="shared" si="59"/>
        <v>4</v>
      </c>
      <c r="AV72">
        <f t="shared" si="59"/>
        <v>4</v>
      </c>
      <c r="AW72">
        <f t="shared" si="59"/>
        <v>4</v>
      </c>
      <c r="AX72">
        <f t="shared" si="59"/>
        <v>4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1</v>
      </c>
      <c r="BI72" s="34">
        <f t="shared" si="70"/>
        <v>4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1</v>
      </c>
      <c r="D83">
        <f>Database!D83-Database!C83</f>
        <v>2</v>
      </c>
      <c r="F83">
        <f>Database!L83</f>
        <v>2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2</v>
      </c>
      <c r="T83">
        <f t="shared" si="89"/>
        <v>2</v>
      </c>
      <c r="U83">
        <f t="shared" si="89"/>
        <v>2</v>
      </c>
      <c r="V83">
        <f t="shared" si="89"/>
        <v>2</v>
      </c>
      <c r="W83">
        <f t="shared" si="89"/>
        <v>2</v>
      </c>
      <c r="X83">
        <f t="shared" ref="X83:AG92" si="90">IF($B83&lt;X$1,$C83*$D83,0)</f>
        <v>2</v>
      </c>
      <c r="Y83">
        <f t="shared" si="90"/>
        <v>2</v>
      </c>
      <c r="Z83">
        <f t="shared" si="90"/>
        <v>2</v>
      </c>
      <c r="AA83">
        <f t="shared" si="90"/>
        <v>2</v>
      </c>
      <c r="AB83">
        <f t="shared" si="90"/>
        <v>2</v>
      </c>
      <c r="AC83">
        <f t="shared" si="90"/>
        <v>2</v>
      </c>
      <c r="AD83">
        <f t="shared" si="90"/>
        <v>2</v>
      </c>
      <c r="AE83">
        <f t="shared" si="90"/>
        <v>2</v>
      </c>
      <c r="AF83">
        <f t="shared" si="90"/>
        <v>2</v>
      </c>
      <c r="AG83">
        <f t="shared" si="90"/>
        <v>2</v>
      </c>
      <c r="AH83">
        <f t="shared" ref="AH83:AQ92" si="91">IF($B83&lt;AH$1,$C83*$D83,0)</f>
        <v>2</v>
      </c>
      <c r="AI83">
        <f t="shared" si="91"/>
        <v>2</v>
      </c>
      <c r="AJ83">
        <f t="shared" si="91"/>
        <v>2</v>
      </c>
      <c r="AK83">
        <f t="shared" si="91"/>
        <v>2</v>
      </c>
      <c r="AL83">
        <f t="shared" si="91"/>
        <v>2</v>
      </c>
      <c r="AM83">
        <f t="shared" si="91"/>
        <v>2</v>
      </c>
      <c r="AN83">
        <f t="shared" si="91"/>
        <v>2</v>
      </c>
      <c r="AO83">
        <f t="shared" si="91"/>
        <v>2</v>
      </c>
      <c r="AP83">
        <f t="shared" si="91"/>
        <v>2</v>
      </c>
      <c r="AQ83">
        <f t="shared" si="91"/>
        <v>2</v>
      </c>
      <c r="AR83">
        <f t="shared" ref="AR83:AX92" si="92">IF($B83&lt;AR$1,$C83*$D83,0)</f>
        <v>2</v>
      </c>
      <c r="AS83">
        <f t="shared" si="92"/>
        <v>2</v>
      </c>
      <c r="AT83">
        <f t="shared" si="92"/>
        <v>2</v>
      </c>
      <c r="AU83">
        <f t="shared" si="92"/>
        <v>2</v>
      </c>
      <c r="AV83">
        <f t="shared" si="92"/>
        <v>2</v>
      </c>
      <c r="AW83">
        <f t="shared" si="92"/>
        <v>2</v>
      </c>
      <c r="AX83">
        <f t="shared" si="92"/>
        <v>2</v>
      </c>
      <c r="BB83" s="34">
        <f t="shared" si="63"/>
        <v>2</v>
      </c>
      <c r="BC83" s="34">
        <f t="shared" si="64"/>
        <v>4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0</v>
      </c>
      <c r="B89" s="24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0</v>
      </c>
      <c r="B90" s="24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0</v>
      </c>
      <c r="W90">
        <f t="shared" si="89"/>
        <v>0</v>
      </c>
      <c r="X90">
        <f t="shared" si="90"/>
        <v>0</v>
      </c>
      <c r="Y90">
        <f t="shared" si="90"/>
        <v>0</v>
      </c>
      <c r="Z90">
        <f t="shared" si="90"/>
        <v>0</v>
      </c>
      <c r="AA90">
        <f t="shared" si="90"/>
        <v>0</v>
      </c>
      <c r="AB90">
        <f t="shared" si="90"/>
        <v>0</v>
      </c>
      <c r="AC90">
        <f t="shared" si="90"/>
        <v>0</v>
      </c>
      <c r="AD90">
        <f t="shared" si="90"/>
        <v>0</v>
      </c>
      <c r="AE90">
        <f t="shared" si="90"/>
        <v>0</v>
      </c>
      <c r="AF90">
        <f t="shared" si="90"/>
        <v>0</v>
      </c>
      <c r="AG90">
        <f t="shared" si="90"/>
        <v>0</v>
      </c>
      <c r="AH90">
        <f t="shared" si="91"/>
        <v>0</v>
      </c>
      <c r="AI90">
        <f t="shared" si="91"/>
        <v>0</v>
      </c>
      <c r="AJ90">
        <f t="shared" si="91"/>
        <v>0</v>
      </c>
      <c r="AK90">
        <f t="shared" si="91"/>
        <v>0</v>
      </c>
      <c r="AL90">
        <f t="shared" si="91"/>
        <v>0</v>
      </c>
      <c r="AM90">
        <f t="shared" si="91"/>
        <v>0</v>
      </c>
      <c r="AN90">
        <f t="shared" si="91"/>
        <v>0</v>
      </c>
      <c r="AO90">
        <f t="shared" si="91"/>
        <v>0</v>
      </c>
      <c r="AP90">
        <f t="shared" si="91"/>
        <v>0</v>
      </c>
      <c r="AQ90">
        <f t="shared" si="91"/>
        <v>0</v>
      </c>
      <c r="AR90">
        <f t="shared" si="92"/>
        <v>0</v>
      </c>
      <c r="AS90">
        <f t="shared" si="92"/>
        <v>0</v>
      </c>
      <c r="AT90">
        <f t="shared" si="92"/>
        <v>0</v>
      </c>
      <c r="AU90">
        <f t="shared" si="92"/>
        <v>0</v>
      </c>
      <c r="AV90">
        <f t="shared" si="92"/>
        <v>0</v>
      </c>
      <c r="AW90">
        <f t="shared" si="92"/>
        <v>0</v>
      </c>
      <c r="AX90">
        <f t="shared" si="92"/>
        <v>0</v>
      </c>
      <c r="BB90" s="34">
        <f t="shared" si="63"/>
        <v>0</v>
      </c>
      <c r="BC90" s="34">
        <f t="shared" si="64"/>
        <v>0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0</v>
      </c>
      <c r="B91" s="24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0</v>
      </c>
      <c r="W91">
        <f t="shared" si="89"/>
        <v>0</v>
      </c>
      <c r="X91">
        <f t="shared" si="90"/>
        <v>0</v>
      </c>
      <c r="Y91">
        <f t="shared" si="90"/>
        <v>0</v>
      </c>
      <c r="Z91">
        <f t="shared" si="90"/>
        <v>0</v>
      </c>
      <c r="AA91">
        <f t="shared" si="90"/>
        <v>0</v>
      </c>
      <c r="AB91">
        <f t="shared" si="90"/>
        <v>0</v>
      </c>
      <c r="AC91">
        <f t="shared" si="90"/>
        <v>0</v>
      </c>
      <c r="AD91">
        <f t="shared" si="90"/>
        <v>0</v>
      </c>
      <c r="AE91">
        <f t="shared" si="90"/>
        <v>0</v>
      </c>
      <c r="AF91">
        <f t="shared" si="90"/>
        <v>0</v>
      </c>
      <c r="AG91">
        <f t="shared" si="90"/>
        <v>0</v>
      </c>
      <c r="AH91">
        <f t="shared" si="91"/>
        <v>0</v>
      </c>
      <c r="AI91">
        <f t="shared" si="91"/>
        <v>0</v>
      </c>
      <c r="AJ91">
        <f t="shared" si="91"/>
        <v>0</v>
      </c>
      <c r="AK91">
        <f t="shared" si="91"/>
        <v>0</v>
      </c>
      <c r="AL91">
        <f t="shared" si="91"/>
        <v>0</v>
      </c>
      <c r="AM91">
        <f t="shared" si="91"/>
        <v>0</v>
      </c>
      <c r="AN91">
        <f t="shared" si="91"/>
        <v>0</v>
      </c>
      <c r="AO91">
        <f t="shared" si="91"/>
        <v>0</v>
      </c>
      <c r="AP91">
        <f t="shared" si="91"/>
        <v>0</v>
      </c>
      <c r="AQ91">
        <f t="shared" si="91"/>
        <v>0</v>
      </c>
      <c r="AR91">
        <f t="shared" si="92"/>
        <v>0</v>
      </c>
      <c r="AS91">
        <f t="shared" si="92"/>
        <v>0</v>
      </c>
      <c r="AT91">
        <f t="shared" si="92"/>
        <v>0</v>
      </c>
      <c r="AU91">
        <f t="shared" si="92"/>
        <v>0</v>
      </c>
      <c r="AV91">
        <f t="shared" si="92"/>
        <v>0</v>
      </c>
      <c r="AW91">
        <f t="shared" si="92"/>
        <v>0</v>
      </c>
      <c r="AX91">
        <f t="shared" si="92"/>
        <v>0</v>
      </c>
      <c r="BB91" s="34">
        <f t="shared" si="63"/>
        <v>0</v>
      </c>
      <c r="BC91" s="34">
        <f t="shared" si="64"/>
        <v>0</v>
      </c>
      <c r="BD91" s="34">
        <f t="shared" si="65"/>
        <v>0</v>
      </c>
      <c r="BE91" s="34">
        <f t="shared" si="66"/>
        <v>0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0</v>
      </c>
      <c r="B92" s="24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4">
        <f t="shared" si="63"/>
        <v>0</v>
      </c>
      <c r="BC92" s="34">
        <f t="shared" si="64"/>
        <v>0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0</v>
      </c>
      <c r="B93" s="24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0</v>
      </c>
      <c r="W93">
        <f t="shared" si="94"/>
        <v>0</v>
      </c>
      <c r="X93">
        <f t="shared" ref="X93:AG102" si="95">IF($B93&lt;X$1,$C93*$D93,0)</f>
        <v>0</v>
      </c>
      <c r="Y93">
        <f t="shared" si="95"/>
        <v>0</v>
      </c>
      <c r="Z93">
        <f t="shared" si="95"/>
        <v>0</v>
      </c>
      <c r="AA93">
        <f t="shared" si="95"/>
        <v>0</v>
      </c>
      <c r="AB93">
        <f t="shared" si="95"/>
        <v>0</v>
      </c>
      <c r="AC93">
        <f t="shared" si="95"/>
        <v>0</v>
      </c>
      <c r="AD93">
        <f t="shared" si="95"/>
        <v>0</v>
      </c>
      <c r="AE93">
        <f t="shared" si="95"/>
        <v>0</v>
      </c>
      <c r="AF93">
        <f t="shared" si="95"/>
        <v>0</v>
      </c>
      <c r="AG93">
        <f t="shared" si="95"/>
        <v>0</v>
      </c>
      <c r="AH93">
        <f t="shared" ref="AH93:AQ102" si="96">IF($B93&lt;AH$1,$C93*$D93,0)</f>
        <v>0</v>
      </c>
      <c r="AI93">
        <f t="shared" si="96"/>
        <v>0</v>
      </c>
      <c r="AJ93">
        <f t="shared" si="96"/>
        <v>0</v>
      </c>
      <c r="AK93">
        <f t="shared" si="96"/>
        <v>0</v>
      </c>
      <c r="AL93">
        <f t="shared" si="96"/>
        <v>0</v>
      </c>
      <c r="AM93">
        <f t="shared" si="96"/>
        <v>0</v>
      </c>
      <c r="AN93">
        <f t="shared" si="96"/>
        <v>0</v>
      </c>
      <c r="AO93">
        <f t="shared" si="96"/>
        <v>0</v>
      </c>
      <c r="AP93">
        <f t="shared" si="96"/>
        <v>0</v>
      </c>
      <c r="AQ93">
        <f t="shared" si="96"/>
        <v>0</v>
      </c>
      <c r="AR93">
        <f t="shared" ref="AR93:AX102" si="97">IF($B93&lt;AR$1,$C93*$D93,0)</f>
        <v>0</v>
      </c>
      <c r="AS93">
        <f t="shared" si="97"/>
        <v>0</v>
      </c>
      <c r="AT93">
        <f t="shared" si="97"/>
        <v>0</v>
      </c>
      <c r="AU93">
        <f t="shared" si="97"/>
        <v>0</v>
      </c>
      <c r="AV93">
        <f t="shared" si="97"/>
        <v>0</v>
      </c>
      <c r="AW93">
        <f t="shared" si="97"/>
        <v>0</v>
      </c>
      <c r="AX93">
        <f t="shared" si="97"/>
        <v>0</v>
      </c>
      <c r="BB93" s="34">
        <f t="shared" si="63"/>
        <v>0</v>
      </c>
      <c r="BC93" s="34">
        <f t="shared" si="64"/>
        <v>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0</v>
      </c>
      <c r="B94" s="24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0</v>
      </c>
      <c r="BI94" s="34">
        <f t="shared" si="70"/>
        <v>0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0</v>
      </c>
      <c r="B95" s="24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0</v>
      </c>
      <c r="BI95" s="34">
        <f t="shared" si="70"/>
        <v>0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0</v>
      </c>
      <c r="B96" s="24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4">
        <f t="shared" si="63"/>
        <v>0</v>
      </c>
      <c r="BC96" s="34">
        <f t="shared" si="64"/>
        <v>0</v>
      </c>
      <c r="BD96" s="34">
        <f t="shared" si="65"/>
        <v>0</v>
      </c>
      <c r="BE96" s="34">
        <f t="shared" si="66"/>
        <v>0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0</v>
      </c>
      <c r="B97" s="24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0</v>
      </c>
      <c r="BI97" s="34">
        <f t="shared" si="70"/>
        <v>0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0</v>
      </c>
      <c r="B98" s="24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4">
        <f t="shared" si="63"/>
        <v>0</v>
      </c>
      <c r="BC98" s="34">
        <f t="shared" si="64"/>
        <v>0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0</v>
      </c>
      <c r="B99" s="24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0</v>
      </c>
      <c r="B100" s="24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0</v>
      </c>
      <c r="B101" s="24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4">
        <f t="shared" si="63"/>
        <v>0</v>
      </c>
      <c r="BC101" s="34">
        <f t="shared" si="64"/>
        <v>0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0</v>
      </c>
      <c r="B102" s="24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4">
        <f t="shared" si="63"/>
        <v>0</v>
      </c>
      <c r="BC102" s="34">
        <f t="shared" si="64"/>
        <v>0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0</v>
      </c>
      <c r="B103" s="24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0</v>
      </c>
      <c r="B104" s="24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4">
        <f t="shared" si="63"/>
        <v>0</v>
      </c>
      <c r="BC104" s="34">
        <f t="shared" si="64"/>
        <v>0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129</v>
      </c>
      <c r="BC196" s="34">
        <f t="shared" si="167"/>
        <v>571</v>
      </c>
      <c r="BD196" s="34">
        <f t="shared" si="167"/>
        <v>15</v>
      </c>
      <c r="BE196" s="34">
        <f t="shared" si="167"/>
        <v>55</v>
      </c>
      <c r="BF196" s="34">
        <f t="shared" si="167"/>
        <v>0</v>
      </c>
      <c r="BG196" s="34">
        <f t="shared" si="167"/>
        <v>0</v>
      </c>
      <c r="BH196" s="34">
        <f t="shared" si="167"/>
        <v>22</v>
      </c>
      <c r="BI196" s="34">
        <f t="shared" si="167"/>
        <v>139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159</v>
      </c>
      <c r="K198">
        <f t="shared" ref="K198:AX198" si="168">SUM(K2:K195)</f>
        <v>158</v>
      </c>
      <c r="L198">
        <f t="shared" si="168"/>
        <v>172</v>
      </c>
      <c r="M198">
        <f t="shared" si="168"/>
        <v>224</v>
      </c>
      <c r="N198">
        <f t="shared" si="168"/>
        <v>262</v>
      </c>
      <c r="O198">
        <f t="shared" si="168"/>
        <v>318</v>
      </c>
      <c r="P198">
        <f t="shared" si="168"/>
        <v>334</v>
      </c>
      <c r="Q198">
        <f t="shared" si="168"/>
        <v>360</v>
      </c>
      <c r="R198">
        <f t="shared" si="168"/>
        <v>372</v>
      </c>
      <c r="S198">
        <f t="shared" si="168"/>
        <v>403</v>
      </c>
      <c r="T198">
        <f t="shared" si="168"/>
        <v>420</v>
      </c>
      <c r="U198">
        <f t="shared" si="168"/>
        <v>423</v>
      </c>
      <c r="V198">
        <f t="shared" si="168"/>
        <v>423</v>
      </c>
      <c r="W198">
        <f t="shared" si="168"/>
        <v>423</v>
      </c>
      <c r="X198">
        <f t="shared" si="168"/>
        <v>423</v>
      </c>
      <c r="Y198">
        <f t="shared" si="168"/>
        <v>423</v>
      </c>
      <c r="Z198">
        <f t="shared" si="168"/>
        <v>423</v>
      </c>
      <c r="AA198">
        <f t="shared" si="168"/>
        <v>423</v>
      </c>
      <c r="AB198">
        <f t="shared" si="168"/>
        <v>423</v>
      </c>
      <c r="AC198">
        <f t="shared" si="168"/>
        <v>423</v>
      </c>
      <c r="AD198">
        <f t="shared" si="168"/>
        <v>423</v>
      </c>
      <c r="AE198">
        <f t="shared" si="168"/>
        <v>423</v>
      </c>
      <c r="AF198">
        <f t="shared" si="168"/>
        <v>423</v>
      </c>
      <c r="AG198">
        <f t="shared" si="168"/>
        <v>423</v>
      </c>
      <c r="AH198">
        <f t="shared" si="168"/>
        <v>423</v>
      </c>
      <c r="AI198">
        <f t="shared" si="168"/>
        <v>423</v>
      </c>
      <c r="AJ198">
        <f t="shared" si="168"/>
        <v>423</v>
      </c>
      <c r="AK198">
        <f t="shared" si="168"/>
        <v>423</v>
      </c>
      <c r="AL198">
        <f t="shared" si="168"/>
        <v>423</v>
      </c>
      <c r="AM198">
        <f t="shared" si="168"/>
        <v>423</v>
      </c>
      <c r="AN198">
        <f t="shared" si="168"/>
        <v>423</v>
      </c>
      <c r="AO198">
        <f t="shared" si="168"/>
        <v>423</v>
      </c>
      <c r="AP198">
        <f t="shared" si="168"/>
        <v>423</v>
      </c>
      <c r="AQ198">
        <f t="shared" si="168"/>
        <v>423</v>
      </c>
      <c r="AR198">
        <f t="shared" si="168"/>
        <v>423</v>
      </c>
      <c r="AS198">
        <f t="shared" si="168"/>
        <v>423</v>
      </c>
      <c r="AT198">
        <f t="shared" si="168"/>
        <v>423</v>
      </c>
      <c r="AU198">
        <f t="shared" si="168"/>
        <v>423</v>
      </c>
      <c r="AV198">
        <f t="shared" si="168"/>
        <v>423</v>
      </c>
      <c r="AW198">
        <f t="shared" si="168"/>
        <v>423</v>
      </c>
      <c r="AX198">
        <f t="shared" si="168"/>
        <v>423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V200" si="169">K198</f>
        <v>158</v>
      </c>
      <c r="L200">
        <f t="shared" si="169"/>
        <v>172</v>
      </c>
      <c r="M200">
        <f t="shared" si="169"/>
        <v>224</v>
      </c>
      <c r="N200">
        <f t="shared" si="169"/>
        <v>262</v>
      </c>
      <c r="O200">
        <f t="shared" si="169"/>
        <v>318</v>
      </c>
      <c r="P200">
        <f t="shared" si="169"/>
        <v>334</v>
      </c>
      <c r="Q200">
        <f t="shared" si="169"/>
        <v>360</v>
      </c>
      <c r="R200">
        <f t="shared" si="169"/>
        <v>372</v>
      </c>
      <c r="S200">
        <f t="shared" si="169"/>
        <v>403</v>
      </c>
      <c r="T200">
        <f t="shared" si="169"/>
        <v>420</v>
      </c>
      <c r="U200">
        <f t="shared" si="169"/>
        <v>423</v>
      </c>
      <c r="V200">
        <f t="shared" si="169"/>
        <v>423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129</v>
      </c>
      <c r="BE202" s="34">
        <f>BD196</f>
        <v>15</v>
      </c>
      <c r="BF202" s="34">
        <f>BF196</f>
        <v>0</v>
      </c>
      <c r="BG202" s="34">
        <f>BH196</f>
        <v>22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571</v>
      </c>
      <c r="BE203" s="40">
        <f>BE196</f>
        <v>55</v>
      </c>
      <c r="BF203" s="40">
        <f>BG196</f>
        <v>0</v>
      </c>
      <c r="BG203" s="40">
        <f>BI196</f>
        <v>139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workbookViewId="0">
      <selection activeCell="P26" sqref="P26"/>
    </sheetView>
  </sheetViews>
  <sheetFormatPr defaultRowHeight="14.5" x14ac:dyDescent="0.35"/>
  <sheetData>
    <row r="28" spans="1:13" ht="15" customHeight="1" thickBot="1" x14ac:dyDescent="0.4">
      <c r="A28" t="s">
        <v>160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74" t="s">
        <v>295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129</v>
      </c>
      <c r="C30" s="34">
        <f>'book stat'!BE202</f>
        <v>15</v>
      </c>
      <c r="D30" s="34">
        <f>'book stat'!BF202</f>
        <v>0</v>
      </c>
      <c r="E30" s="34">
        <f>'book stat'!BG202</f>
        <v>22</v>
      </c>
      <c r="F30" s="34">
        <f>'book stat'!BH202</f>
        <v>0</v>
      </c>
      <c r="G30" s="35">
        <f>'book stat'!BI202</f>
        <v>5</v>
      </c>
      <c r="H30" s="175">
        <f>'book stat'!BJ202</f>
        <v>0</v>
      </c>
      <c r="I30" s="176">
        <f>'book stat'!BK202</f>
        <v>0</v>
      </c>
      <c r="J30" s="176">
        <f>'book stat'!BL202</f>
        <v>3</v>
      </c>
      <c r="K30" s="177">
        <f>'book stat'!BM202</f>
        <v>2</v>
      </c>
      <c r="L30" s="178">
        <f>'book stat'!BN202</f>
        <v>0</v>
      </c>
      <c r="M30" s="179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571</v>
      </c>
      <c r="C31" s="34">
        <f>'book stat'!BE203</f>
        <v>55</v>
      </c>
      <c r="D31" s="34">
        <f>'book stat'!BF203</f>
        <v>0</v>
      </c>
      <c r="E31" s="34">
        <f>'book stat'!BG203</f>
        <v>139</v>
      </c>
      <c r="F31" s="34">
        <f>'book stat'!BH203</f>
        <v>0</v>
      </c>
      <c r="G31" s="35">
        <f>'book stat'!BI203</f>
        <v>29</v>
      </c>
      <c r="H31" s="180">
        <f>'book stat'!BJ203</f>
        <v>0</v>
      </c>
      <c r="I31" s="181">
        <f>'book stat'!BK203</f>
        <v>0</v>
      </c>
      <c r="J31" s="181">
        <f>'book stat'!BL203</f>
        <v>19</v>
      </c>
      <c r="K31" s="182">
        <f>'book stat'!BM203</f>
        <v>10</v>
      </c>
      <c r="L31" s="178">
        <f>'book stat'!BN203</f>
        <v>0</v>
      </c>
      <c r="M31" s="179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101" activePane="bottomLeft" state="frozen"/>
      <selection pane="bottomLeft" activeCell="G107" sqref="G107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1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199">
        <v>1</v>
      </c>
      <c r="E1" s="200"/>
      <c r="F1" s="66" t="s">
        <v>117</v>
      </c>
      <c r="G1" s="67" t="s">
        <v>8</v>
      </c>
      <c r="H1" s="201">
        <v>2</v>
      </c>
      <c r="I1" s="200"/>
      <c r="J1" s="66" t="s">
        <v>117</v>
      </c>
      <c r="K1" s="68" t="s">
        <v>8</v>
      </c>
      <c r="L1" s="201">
        <v>3</v>
      </c>
      <c r="M1" s="200"/>
      <c r="N1" s="66" t="s">
        <v>117</v>
      </c>
      <c r="O1" s="69" t="s">
        <v>8</v>
      </c>
      <c r="P1" s="199">
        <v>4</v>
      </c>
      <c r="Q1" s="200"/>
      <c r="R1" s="66" t="s">
        <v>117</v>
      </c>
      <c r="S1" s="68" t="s">
        <v>8</v>
      </c>
      <c r="T1" s="202">
        <v>5</v>
      </c>
      <c r="U1" s="203"/>
      <c r="V1" s="66" t="s">
        <v>117</v>
      </c>
      <c r="W1" s="68" t="s">
        <v>8</v>
      </c>
      <c r="X1" s="199">
        <v>6</v>
      </c>
      <c r="Y1" s="200"/>
      <c r="Z1" s="70" t="s">
        <v>118</v>
      </c>
      <c r="AA1" s="139">
        <f>SUM(AA2:AA171)</f>
        <v>424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5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5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5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5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168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82</v>
      </c>
      <c r="J6" s="20"/>
      <c r="K6" s="19"/>
      <c r="L6" s="14"/>
      <c r="M6" s="8">
        <v>68</v>
      </c>
      <c r="N6" s="20"/>
      <c r="O6" s="20" t="s">
        <v>32</v>
      </c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5">
        <f t="shared" si="2"/>
        <v>0</v>
      </c>
      <c r="AA6" s="140">
        <f t="shared" si="3"/>
        <v>5</v>
      </c>
      <c r="AB6" s="8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82</v>
      </c>
      <c r="I7" s="8">
        <v>82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5">
        <f t="shared" si="2"/>
        <v>5</v>
      </c>
      <c r="AA7" s="140">
        <f t="shared" si="3"/>
        <v>5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82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49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45">
        <f t="shared" si="2"/>
        <v>5</v>
      </c>
      <c r="AA8" s="140">
        <f t="shared" si="3"/>
        <v>1</v>
      </c>
      <c r="AB8" s="8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9">
        <v>72</v>
      </c>
      <c r="Q9" s="149">
        <v>72</v>
      </c>
      <c r="R9" s="20">
        <v>2</v>
      </c>
      <c r="S9" s="20" t="s">
        <v>344</v>
      </c>
      <c r="T9" s="8"/>
      <c r="U9" s="8"/>
      <c r="V9" s="20"/>
      <c r="W9" s="20"/>
      <c r="X9" s="22"/>
      <c r="Y9" s="22"/>
      <c r="Z9" s="145">
        <f t="shared" si="2"/>
        <v>2</v>
      </c>
      <c r="AA9" s="140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9">
        <v>72</v>
      </c>
      <c r="Q10" s="149">
        <v>72</v>
      </c>
      <c r="R10" s="20">
        <v>2</v>
      </c>
      <c r="S10" s="20" t="s">
        <v>345</v>
      </c>
      <c r="T10" s="8"/>
      <c r="U10" s="8"/>
      <c r="V10" s="20"/>
      <c r="W10" s="20"/>
      <c r="X10" s="22"/>
      <c r="Y10" s="22"/>
      <c r="Z10" s="145">
        <f t="shared" si="2"/>
        <v>2</v>
      </c>
      <c r="AA10" s="140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9">
        <v>72</v>
      </c>
      <c r="Q11" s="149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45">
        <f t="shared" si="2"/>
        <v>2</v>
      </c>
      <c r="AA11" s="140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1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9">
        <v>80</v>
      </c>
      <c r="J12" s="20"/>
      <c r="K12" s="19" t="s">
        <v>162</v>
      </c>
      <c r="L12" s="14"/>
      <c r="M12" s="149">
        <v>80</v>
      </c>
      <c r="N12" s="20"/>
      <c r="O12" s="20" t="s">
        <v>162</v>
      </c>
      <c r="P12" s="149">
        <v>72</v>
      </c>
      <c r="Q12" s="149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45">
        <f t="shared" si="2"/>
        <v>2</v>
      </c>
      <c r="AA12" s="140">
        <f t="shared" si="3"/>
        <v>3</v>
      </c>
      <c r="AB12" s="8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0"/>
      <c r="G13" s="19"/>
      <c r="H13" s="149">
        <v>80</v>
      </c>
      <c r="I13" s="149">
        <v>80</v>
      </c>
      <c r="J13" s="20">
        <v>2</v>
      </c>
      <c r="K13" s="19"/>
      <c r="L13" s="151">
        <v>80</v>
      </c>
      <c r="M13" s="149">
        <v>80</v>
      </c>
      <c r="N13" s="20">
        <v>2</v>
      </c>
      <c r="O13" s="20"/>
      <c r="P13" s="149">
        <v>72</v>
      </c>
      <c r="Q13" s="149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45">
        <f t="shared" si="2"/>
        <v>6</v>
      </c>
      <c r="AA13" s="140">
        <f t="shared" si="3"/>
        <v>3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0"/>
      <c r="G14" s="19"/>
      <c r="H14" s="149">
        <v>80</v>
      </c>
      <c r="I14" s="149">
        <v>80</v>
      </c>
      <c r="J14" s="20">
        <v>2</v>
      </c>
      <c r="K14" s="19"/>
      <c r="L14" s="151">
        <v>80</v>
      </c>
      <c r="M14" s="149">
        <v>80</v>
      </c>
      <c r="N14" s="20">
        <v>2</v>
      </c>
      <c r="O14" s="20"/>
      <c r="P14" s="149">
        <v>72</v>
      </c>
      <c r="Q14" s="149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45">
        <f t="shared" si="2"/>
        <v>6</v>
      </c>
      <c r="AA14" s="140">
        <f t="shared" si="3"/>
        <v>3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0"/>
      <c r="G15" s="19"/>
      <c r="H15" s="149">
        <v>80</v>
      </c>
      <c r="I15" s="8"/>
      <c r="J15" s="20">
        <v>2</v>
      </c>
      <c r="K15" s="19"/>
      <c r="L15" s="151">
        <v>80</v>
      </c>
      <c r="M15" s="8"/>
      <c r="N15" s="20">
        <v>2</v>
      </c>
      <c r="O15" s="20"/>
      <c r="P15" s="149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45">
        <f t="shared" si="2"/>
        <v>4</v>
      </c>
      <c r="AA15" s="140">
        <f t="shared" si="3"/>
        <v>0</v>
      </c>
      <c r="AB15" s="8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8">
        <v>63</v>
      </c>
      <c r="V16" s="20"/>
      <c r="W16" s="20"/>
      <c r="X16" s="22"/>
      <c r="Y16" s="22"/>
      <c r="Z16" s="145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148">
        <v>63</v>
      </c>
      <c r="U17" s="148">
        <v>63</v>
      </c>
      <c r="V17" s="20"/>
      <c r="W17" s="20" t="s">
        <v>296</v>
      </c>
      <c r="X17" s="22"/>
      <c r="Y17" s="22"/>
      <c r="Z17" s="145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/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>
        <v>53</v>
      </c>
      <c r="R18" s="124"/>
      <c r="S18" s="124"/>
      <c r="T18" s="148">
        <v>63</v>
      </c>
      <c r="U18" s="8"/>
      <c r="V18" s="20"/>
      <c r="W18" s="20"/>
      <c r="X18" s="22"/>
      <c r="Y18" s="22"/>
      <c r="Z18" s="145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230</v>
      </c>
      <c r="B19" s="6" t="s">
        <v>125</v>
      </c>
      <c r="C19" s="7">
        <v>46156</v>
      </c>
      <c r="D19" s="10"/>
      <c r="E19" s="8"/>
      <c r="F19" s="20"/>
      <c r="G19" s="19"/>
      <c r="H19" s="8"/>
      <c r="I19" s="8"/>
      <c r="J19" s="124"/>
      <c r="K19" s="19"/>
      <c r="L19" s="14"/>
      <c r="M19" s="8"/>
      <c r="N19" s="20"/>
      <c r="O19" s="20"/>
      <c r="P19" s="8">
        <v>53</v>
      </c>
      <c r="Q19" s="8">
        <v>53</v>
      </c>
      <c r="R19" s="124"/>
      <c r="S19" s="124"/>
      <c r="T19" s="8"/>
      <c r="U19" s="8"/>
      <c r="V19" s="20"/>
      <c r="W19" s="20"/>
      <c r="X19" s="22"/>
      <c r="Y19" s="22"/>
      <c r="Z19" s="145">
        <f t="shared" si="2"/>
        <v>0</v>
      </c>
      <c r="AA19" s="140">
        <f t="shared" si="3"/>
        <v>1</v>
      </c>
      <c r="AB19" s="8">
        <f t="shared" si="0"/>
        <v>0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/>
      <c r="E20" s="8"/>
      <c r="F20" s="20"/>
      <c r="G20" s="19"/>
      <c r="H20" s="8"/>
      <c r="I20" s="8"/>
      <c r="J20" s="124"/>
      <c r="K20" s="19"/>
      <c r="L20" s="14"/>
      <c r="M20" s="8"/>
      <c r="N20" s="20"/>
      <c r="O20" s="20"/>
      <c r="P20" s="8">
        <v>53</v>
      </c>
      <c r="Q20" s="8">
        <v>53</v>
      </c>
      <c r="R20" s="124"/>
      <c r="S20" s="124"/>
      <c r="T20" s="8"/>
      <c r="U20" s="8"/>
      <c r="V20" s="20"/>
      <c r="W20" s="20"/>
      <c r="X20" s="22"/>
      <c r="Y20" s="22"/>
      <c r="Z20" s="145">
        <f t="shared" si="2"/>
        <v>0</v>
      </c>
      <c r="AA20" s="140">
        <f t="shared" si="3"/>
        <v>1</v>
      </c>
      <c r="AB20" s="8">
        <f t="shared" si="0"/>
        <v>0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/>
      <c r="E21" s="149">
        <v>8</v>
      </c>
      <c r="F21" s="20"/>
      <c r="G21" s="19"/>
      <c r="H21" s="8"/>
      <c r="I21" s="8"/>
      <c r="J21" s="124"/>
      <c r="K21" s="19"/>
      <c r="L21" s="14"/>
      <c r="M21" s="8"/>
      <c r="N21" s="20"/>
      <c r="O21" s="20"/>
      <c r="P21" s="8">
        <v>53</v>
      </c>
      <c r="Q21" s="8"/>
      <c r="R21" s="124"/>
      <c r="S21" s="124"/>
      <c r="T21" s="8"/>
      <c r="U21" s="8"/>
      <c r="V21" s="20"/>
      <c r="W21" s="20"/>
      <c r="X21" s="22"/>
      <c r="Y21" s="22"/>
      <c r="Z21" s="145">
        <f t="shared" si="2"/>
        <v>0</v>
      </c>
      <c r="AA21" s="140">
        <f t="shared" si="3"/>
        <v>1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9">
        <v>8</v>
      </c>
      <c r="E22" s="149">
        <v>8</v>
      </c>
      <c r="F22" s="20">
        <v>2</v>
      </c>
      <c r="G22" s="19" t="s">
        <v>163</v>
      </c>
      <c r="H22" s="8"/>
      <c r="I22" s="8"/>
      <c r="J22" s="124"/>
      <c r="K22" s="19"/>
      <c r="L22" s="14"/>
      <c r="M22" s="8"/>
      <c r="N22" s="20"/>
      <c r="O22" s="20"/>
      <c r="P22" s="8"/>
      <c r="Q22" s="8"/>
      <c r="R22" s="124"/>
      <c r="S22" s="124"/>
      <c r="T22" s="8"/>
      <c r="U22" s="149">
        <v>9</v>
      </c>
      <c r="V22" s="20"/>
      <c r="W22" s="20"/>
      <c r="X22" s="22"/>
      <c r="Y22" s="22"/>
      <c r="Z22" s="145">
        <f t="shared" si="2"/>
        <v>2</v>
      </c>
      <c r="AA22" s="140">
        <f t="shared" si="3"/>
        <v>2</v>
      </c>
      <c r="AB22" s="8">
        <f t="shared" si="0"/>
        <v>1</v>
      </c>
      <c r="AC22" s="23">
        <f t="shared" si="1"/>
        <v>0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9">
        <v>8</v>
      </c>
      <c r="E23" s="149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/>
      <c r="Q23" s="8"/>
      <c r="R23" s="124"/>
      <c r="S23" s="124"/>
      <c r="T23" s="149">
        <v>9</v>
      </c>
      <c r="U23" s="149">
        <v>9</v>
      </c>
      <c r="V23" s="20">
        <v>2</v>
      </c>
      <c r="W23" s="20" t="s">
        <v>137</v>
      </c>
      <c r="X23" s="22"/>
      <c r="Y23" s="22"/>
      <c r="Z23" s="145">
        <f t="shared" si="2"/>
        <v>4</v>
      </c>
      <c r="AA23" s="140">
        <f t="shared" si="3"/>
        <v>2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9">
        <v>8</v>
      </c>
      <c r="E24" s="149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/>
      <c r="Q24" s="8"/>
      <c r="R24" s="124"/>
      <c r="S24" s="124"/>
      <c r="T24" s="149">
        <v>9</v>
      </c>
      <c r="U24" s="149">
        <v>9</v>
      </c>
      <c r="V24" s="20">
        <v>2</v>
      </c>
      <c r="W24" s="20"/>
      <c r="X24" s="22"/>
      <c r="Y24" s="22"/>
      <c r="Z24" s="145">
        <f t="shared" si="2"/>
        <v>4</v>
      </c>
      <c r="AA24" s="140">
        <f t="shared" si="3"/>
        <v>2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9">
        <v>8</v>
      </c>
      <c r="E25" s="149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/>
      <c r="Q25" s="8"/>
      <c r="R25" s="124"/>
      <c r="S25" s="124"/>
      <c r="T25" s="149">
        <v>9</v>
      </c>
      <c r="U25" s="149">
        <v>9</v>
      </c>
      <c r="V25" s="20">
        <v>2</v>
      </c>
      <c r="W25" s="20"/>
      <c r="X25" s="22"/>
      <c r="Y25" s="22"/>
      <c r="Z25" s="145">
        <f t="shared" si="2"/>
        <v>4</v>
      </c>
      <c r="AA25" s="140">
        <f t="shared" si="3"/>
        <v>2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9">
        <v>8</v>
      </c>
      <c r="E26" s="8"/>
      <c r="F26" s="20">
        <v>2</v>
      </c>
      <c r="G26" s="19"/>
      <c r="H26" s="14"/>
      <c r="I26" s="148">
        <v>20</v>
      </c>
      <c r="J26" s="20"/>
      <c r="K26" s="19"/>
      <c r="L26" s="14"/>
      <c r="M26" s="148">
        <v>20</v>
      </c>
      <c r="N26" s="20"/>
      <c r="O26" s="20"/>
      <c r="P26" s="8"/>
      <c r="Q26" s="148">
        <v>20</v>
      </c>
      <c r="R26" s="124"/>
      <c r="S26" s="124"/>
      <c r="T26" s="149">
        <v>9</v>
      </c>
      <c r="U26" s="149">
        <v>9</v>
      </c>
      <c r="V26" s="20">
        <v>2</v>
      </c>
      <c r="W26" s="20"/>
      <c r="X26" s="22"/>
      <c r="Y26" s="22"/>
      <c r="Z26" s="145">
        <f t="shared" si="2"/>
        <v>4</v>
      </c>
      <c r="AA26" s="140">
        <f t="shared" si="3"/>
        <v>4</v>
      </c>
      <c r="AB26" s="8">
        <f t="shared" si="0"/>
        <v>3</v>
      </c>
      <c r="AC26" s="23">
        <f t="shared" si="1"/>
        <v>1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3">
        <v>20</v>
      </c>
      <c r="I27" s="148">
        <v>20</v>
      </c>
      <c r="J27" s="20">
        <v>2</v>
      </c>
      <c r="K27" s="19"/>
      <c r="L27" s="163">
        <v>20</v>
      </c>
      <c r="M27" s="148">
        <v>20</v>
      </c>
      <c r="N27" s="20">
        <v>2</v>
      </c>
      <c r="O27" s="20"/>
      <c r="P27" s="148">
        <v>20</v>
      </c>
      <c r="Q27" s="148">
        <v>20</v>
      </c>
      <c r="R27" s="124">
        <v>2</v>
      </c>
      <c r="S27" s="124"/>
      <c r="T27" s="149">
        <v>9</v>
      </c>
      <c r="U27" s="149">
        <v>9</v>
      </c>
      <c r="V27" s="20">
        <v>2</v>
      </c>
      <c r="W27" s="20"/>
      <c r="X27" s="22"/>
      <c r="Y27" s="22"/>
      <c r="Z27" s="145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3">
        <v>20</v>
      </c>
      <c r="I28" s="148">
        <v>20</v>
      </c>
      <c r="J28" s="20">
        <v>2</v>
      </c>
      <c r="K28" s="19"/>
      <c r="L28" s="163">
        <v>20</v>
      </c>
      <c r="M28" s="148">
        <v>20</v>
      </c>
      <c r="N28" s="20">
        <v>2</v>
      </c>
      <c r="O28" s="20"/>
      <c r="P28" s="148">
        <v>20</v>
      </c>
      <c r="Q28" s="148">
        <v>20</v>
      </c>
      <c r="R28" s="124">
        <v>2</v>
      </c>
      <c r="S28" s="124"/>
      <c r="T28" s="149">
        <v>9</v>
      </c>
      <c r="U28" s="149">
        <v>9</v>
      </c>
      <c r="V28" s="20">
        <v>2</v>
      </c>
      <c r="W28" s="20"/>
      <c r="X28" s="22"/>
      <c r="Y28" s="22"/>
      <c r="Z28" s="145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231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3">
        <v>20</v>
      </c>
      <c r="I29" s="148">
        <v>20</v>
      </c>
      <c r="J29" s="20">
        <v>2</v>
      </c>
      <c r="K29" s="19"/>
      <c r="L29" s="163">
        <v>20</v>
      </c>
      <c r="M29" s="148">
        <v>20</v>
      </c>
      <c r="N29" s="20">
        <v>2</v>
      </c>
      <c r="O29" s="20"/>
      <c r="P29" s="148">
        <v>20</v>
      </c>
      <c r="Q29" s="148">
        <v>20</v>
      </c>
      <c r="R29" s="124">
        <v>2</v>
      </c>
      <c r="S29" s="124"/>
      <c r="T29" s="149">
        <v>9</v>
      </c>
      <c r="U29" s="8"/>
      <c r="V29" s="20">
        <v>2</v>
      </c>
      <c r="W29" s="20"/>
      <c r="X29" s="22"/>
      <c r="Y29" s="22"/>
      <c r="Z29" s="145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232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3">
        <v>20</v>
      </c>
      <c r="I30" s="8"/>
      <c r="J30" s="20">
        <v>2</v>
      </c>
      <c r="K30" s="19"/>
      <c r="L30" s="163">
        <v>20</v>
      </c>
      <c r="M30" s="8"/>
      <c r="N30" s="20">
        <v>2</v>
      </c>
      <c r="O30" s="20"/>
      <c r="P30" s="148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5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5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49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5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49">
        <v>5</v>
      </c>
      <c r="M33" s="149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5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49">
        <v>5</v>
      </c>
      <c r="M34" s="149">
        <v>5</v>
      </c>
      <c r="N34" s="124">
        <v>2</v>
      </c>
      <c r="O34" s="124"/>
      <c r="P34" s="121"/>
      <c r="Q34" s="121"/>
      <c r="R34" s="121"/>
      <c r="S34" s="121"/>
      <c r="T34" s="8"/>
      <c r="U34" s="8"/>
      <c r="V34" s="20"/>
      <c r="W34" s="20"/>
      <c r="X34" s="22"/>
      <c r="Y34" s="22"/>
      <c r="Z34" s="145">
        <f t="shared" si="2"/>
        <v>2</v>
      </c>
      <c r="AA34" s="140">
        <f t="shared" si="3"/>
        <v>1</v>
      </c>
      <c r="AB34" s="8">
        <f t="shared" si="0"/>
        <v>0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49">
        <v>5</v>
      </c>
      <c r="M35" s="149">
        <v>5</v>
      </c>
      <c r="N35" s="124">
        <v>2</v>
      </c>
      <c r="O35" s="124"/>
      <c r="P35" s="121"/>
      <c r="Q35" s="121"/>
      <c r="R35" s="121"/>
      <c r="S35" s="121"/>
      <c r="T35" s="121"/>
      <c r="U35" s="121"/>
      <c r="V35" s="20"/>
      <c r="W35" s="20"/>
      <c r="X35" s="22"/>
      <c r="Y35" s="22"/>
      <c r="Z35" s="145">
        <f t="shared" si="2"/>
        <v>2</v>
      </c>
      <c r="AA35" s="140">
        <f t="shared" si="3"/>
        <v>1</v>
      </c>
      <c r="AB35" s="8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24"/>
      <c r="G36" s="143"/>
      <c r="H36" s="122"/>
      <c r="I36" s="165">
        <v>79</v>
      </c>
      <c r="J36" s="20"/>
      <c r="K36" s="19" t="s">
        <v>165</v>
      </c>
      <c r="L36" s="149">
        <v>5</v>
      </c>
      <c r="M36" s="149">
        <v>5</v>
      </c>
      <c r="N36" s="124">
        <v>2</v>
      </c>
      <c r="O36" s="124"/>
      <c r="P36" s="121"/>
      <c r="Q36" s="121"/>
      <c r="R36" s="121"/>
      <c r="S36" s="121"/>
      <c r="T36" s="121"/>
      <c r="U36" s="121"/>
      <c r="V36" s="20"/>
      <c r="W36" s="20"/>
      <c r="X36" s="22"/>
      <c r="Y36" s="22"/>
      <c r="Z36" s="145">
        <f t="shared" si="2"/>
        <v>2</v>
      </c>
      <c r="AA36" s="140">
        <f t="shared" si="3"/>
        <v>2</v>
      </c>
      <c r="AB36" s="8">
        <f t="shared" si="0"/>
        <v>1</v>
      </c>
      <c r="AC36" s="23">
        <f t="shared" si="1"/>
        <v>0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65">
        <v>79</v>
      </c>
      <c r="I37" s="165">
        <v>79</v>
      </c>
      <c r="J37" s="20">
        <v>2</v>
      </c>
      <c r="K37" s="19"/>
      <c r="L37" s="149">
        <v>5</v>
      </c>
      <c r="M37" s="8"/>
      <c r="N37" s="20"/>
      <c r="O37" s="20"/>
      <c r="P37" s="121"/>
      <c r="Q37" s="121"/>
      <c r="R37" s="121"/>
      <c r="S37" s="124"/>
      <c r="T37" s="121"/>
      <c r="U37" s="121"/>
      <c r="V37" s="20"/>
      <c r="W37" s="20"/>
      <c r="X37" s="22"/>
      <c r="Y37" s="22"/>
      <c r="Z37" s="145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24"/>
      <c r="G38" s="143"/>
      <c r="H38" s="165">
        <v>79</v>
      </c>
      <c r="I38" s="165">
        <v>79</v>
      </c>
      <c r="J38" s="20">
        <v>2</v>
      </c>
      <c r="K38" s="19"/>
      <c r="L38" s="8"/>
      <c r="M38" s="8"/>
      <c r="N38" s="20"/>
      <c r="O38" s="20"/>
      <c r="P38" s="121"/>
      <c r="Q38" s="121"/>
      <c r="R38" s="121"/>
      <c r="S38" s="124"/>
      <c r="T38" s="121"/>
      <c r="U38" s="149">
        <v>12</v>
      </c>
      <c r="V38" s="20"/>
      <c r="W38" s="20"/>
      <c r="X38" s="22"/>
      <c r="Y38" s="22"/>
      <c r="Z38" s="145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24"/>
      <c r="G39" s="143"/>
      <c r="H39" s="165">
        <v>79</v>
      </c>
      <c r="I39" s="165">
        <v>79</v>
      </c>
      <c r="J39" s="20">
        <v>2</v>
      </c>
      <c r="K39" s="19"/>
      <c r="L39" s="8"/>
      <c r="M39" s="165">
        <v>27</v>
      </c>
      <c r="N39" s="20"/>
      <c r="O39" s="20" t="s">
        <v>165</v>
      </c>
      <c r="P39" s="121"/>
      <c r="Q39" s="121"/>
      <c r="R39" s="121"/>
      <c r="S39" s="124"/>
      <c r="T39" s="149">
        <v>12</v>
      </c>
      <c r="U39" s="149">
        <v>12</v>
      </c>
      <c r="V39" s="20"/>
      <c r="W39" s="20" t="s">
        <v>137</v>
      </c>
      <c r="X39" s="22"/>
      <c r="Y39" s="22"/>
      <c r="Z39" s="145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24"/>
      <c r="G40" s="143"/>
      <c r="H40" s="165">
        <v>79</v>
      </c>
      <c r="I40" s="165">
        <v>79</v>
      </c>
      <c r="J40" s="20">
        <v>2</v>
      </c>
      <c r="K40" s="19"/>
      <c r="L40" s="164">
        <v>27</v>
      </c>
      <c r="M40" s="165">
        <v>27</v>
      </c>
      <c r="N40" s="20">
        <v>2</v>
      </c>
      <c r="O40" s="20"/>
      <c r="P40" s="121"/>
      <c r="Q40" s="121"/>
      <c r="R40" s="121"/>
      <c r="S40" s="124"/>
      <c r="T40" s="149">
        <v>12</v>
      </c>
      <c r="U40" s="149">
        <v>12</v>
      </c>
      <c r="V40" s="20"/>
      <c r="W40" s="20"/>
      <c r="X40" s="22"/>
      <c r="Y40" s="22"/>
      <c r="Z40" s="145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9">
        <v>6</v>
      </c>
      <c r="F41" s="124"/>
      <c r="G41" s="143"/>
      <c r="H41" s="165">
        <v>79</v>
      </c>
      <c r="I41" s="149">
        <v>6</v>
      </c>
      <c r="J41" s="20">
        <v>2</v>
      </c>
      <c r="K41" s="19"/>
      <c r="L41" s="165">
        <v>27</v>
      </c>
      <c r="M41" s="165">
        <v>27</v>
      </c>
      <c r="N41" s="20">
        <v>2</v>
      </c>
      <c r="O41" s="20"/>
      <c r="P41" s="121"/>
      <c r="Q41" s="121"/>
      <c r="R41" s="121"/>
      <c r="S41" s="124"/>
      <c r="T41" s="149">
        <v>12</v>
      </c>
      <c r="U41" s="149">
        <v>12</v>
      </c>
      <c r="V41" s="20"/>
      <c r="W41" s="20"/>
      <c r="X41" s="122"/>
      <c r="Y41" s="121"/>
      <c r="Z41" s="145">
        <f t="shared" si="2"/>
        <v>4</v>
      </c>
      <c r="AA41" s="140">
        <f t="shared" si="3"/>
        <v>4</v>
      </c>
      <c r="AB41" s="8">
        <f t="shared" si="0"/>
        <v>2</v>
      </c>
      <c r="AC41" s="23">
        <f t="shared" si="1"/>
        <v>1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50">
        <v>6</v>
      </c>
      <c r="E42" s="149">
        <v>6</v>
      </c>
      <c r="F42" s="124"/>
      <c r="G42" s="143"/>
      <c r="H42" s="151">
        <v>6</v>
      </c>
      <c r="I42" s="149">
        <v>6</v>
      </c>
      <c r="J42" s="20"/>
      <c r="K42" s="19"/>
      <c r="L42" s="165">
        <v>27</v>
      </c>
      <c r="M42" s="165">
        <v>27</v>
      </c>
      <c r="N42" s="20">
        <v>2</v>
      </c>
      <c r="O42" s="20" t="s">
        <v>162</v>
      </c>
      <c r="P42" s="121"/>
      <c r="Q42" s="121"/>
      <c r="R42" s="121"/>
      <c r="S42" s="124"/>
      <c r="T42" s="149">
        <v>12</v>
      </c>
      <c r="U42" s="121"/>
      <c r="V42" s="20"/>
      <c r="W42" s="20"/>
      <c r="X42" s="122"/>
      <c r="Y42" s="121"/>
      <c r="Z42" s="145">
        <f t="shared" si="2"/>
        <v>2</v>
      </c>
      <c r="AA42" s="140">
        <f t="shared" si="3"/>
        <v>3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50">
        <v>6</v>
      </c>
      <c r="E43" s="8"/>
      <c r="F43" s="124"/>
      <c r="G43" s="143"/>
      <c r="H43" s="151">
        <v>6</v>
      </c>
      <c r="I43" s="8"/>
      <c r="J43" s="20"/>
      <c r="K43" s="19"/>
      <c r="L43" s="165">
        <v>27</v>
      </c>
      <c r="M43" s="165">
        <v>27</v>
      </c>
      <c r="N43" s="20">
        <v>2</v>
      </c>
      <c r="O43" s="20"/>
      <c r="P43" s="121"/>
      <c r="Q43" s="121"/>
      <c r="R43" s="121"/>
      <c r="S43" s="124"/>
      <c r="T43" s="121"/>
      <c r="U43" s="121"/>
      <c r="V43" s="20"/>
      <c r="W43" s="20"/>
      <c r="X43" s="122"/>
      <c r="Y43" s="121"/>
      <c r="Z43" s="145">
        <f t="shared" si="2"/>
        <v>2</v>
      </c>
      <c r="AA43" s="140">
        <f t="shared" si="3"/>
        <v>1</v>
      </c>
      <c r="AB43" s="8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65">
        <v>27</v>
      </c>
      <c r="M44" s="165">
        <v>27</v>
      </c>
      <c r="N44" s="20">
        <v>2</v>
      </c>
      <c r="O44" s="20"/>
      <c r="P44" s="8"/>
      <c r="Q44" s="153">
        <v>15</v>
      </c>
      <c r="R44" s="124"/>
      <c r="S44" s="124"/>
      <c r="T44" s="8"/>
      <c r="U44" s="149">
        <v>17</v>
      </c>
      <c r="V44" s="20"/>
      <c r="W44" s="20" t="s">
        <v>162</v>
      </c>
      <c r="X44" s="22"/>
      <c r="Y44" s="22"/>
      <c r="Z44" s="145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9">
        <v>16</v>
      </c>
      <c r="F45" s="124"/>
      <c r="G45" s="143"/>
      <c r="H45" s="8"/>
      <c r="I45" s="149">
        <v>16</v>
      </c>
      <c r="J45" s="20"/>
      <c r="K45" s="19"/>
      <c r="L45" s="165">
        <v>27</v>
      </c>
      <c r="M45" s="149">
        <v>18</v>
      </c>
      <c r="N45" s="20">
        <v>2</v>
      </c>
      <c r="O45" s="20" t="s">
        <v>165</v>
      </c>
      <c r="P45" s="153">
        <v>15</v>
      </c>
      <c r="Q45" s="153">
        <v>15</v>
      </c>
      <c r="R45" s="124">
        <v>2</v>
      </c>
      <c r="S45" s="124"/>
      <c r="T45" s="149">
        <v>17</v>
      </c>
      <c r="U45" s="149">
        <v>17</v>
      </c>
      <c r="V45" s="20">
        <v>2</v>
      </c>
      <c r="W45" s="20"/>
      <c r="X45" s="22"/>
      <c r="Y45" s="22"/>
      <c r="Z45" s="145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9">
        <v>16</v>
      </c>
      <c r="E46" s="149">
        <v>16</v>
      </c>
      <c r="F46" s="124">
        <v>2</v>
      </c>
      <c r="G46" s="143"/>
      <c r="H46" s="149">
        <v>16</v>
      </c>
      <c r="I46" s="152">
        <v>16</v>
      </c>
      <c r="J46" s="20">
        <v>2</v>
      </c>
      <c r="K46" s="19"/>
      <c r="L46" s="149">
        <v>18</v>
      </c>
      <c r="M46" s="154">
        <v>18</v>
      </c>
      <c r="N46" s="20">
        <v>2</v>
      </c>
      <c r="O46" s="20"/>
      <c r="P46" s="153">
        <v>15</v>
      </c>
      <c r="Q46" s="153">
        <v>15</v>
      </c>
      <c r="R46" s="124">
        <v>2</v>
      </c>
      <c r="S46" s="124"/>
      <c r="T46" s="149">
        <v>17</v>
      </c>
      <c r="U46" s="149">
        <v>17</v>
      </c>
      <c r="V46" s="20">
        <v>2</v>
      </c>
      <c r="W46" s="20"/>
      <c r="X46" s="22"/>
      <c r="Y46" s="22"/>
      <c r="Z46" s="145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9">
        <v>16</v>
      </c>
      <c r="E47" s="149">
        <v>16</v>
      </c>
      <c r="F47" s="124">
        <v>2</v>
      </c>
      <c r="G47" s="143"/>
      <c r="H47" s="152">
        <v>16</v>
      </c>
      <c r="I47" s="152">
        <v>16</v>
      </c>
      <c r="J47" s="20">
        <v>2</v>
      </c>
      <c r="K47" s="19"/>
      <c r="L47" s="154">
        <v>18</v>
      </c>
      <c r="M47" s="149">
        <v>18</v>
      </c>
      <c r="N47" s="20">
        <v>2</v>
      </c>
      <c r="O47" s="20"/>
      <c r="P47" s="153">
        <v>15</v>
      </c>
      <c r="Q47" s="153">
        <v>15</v>
      </c>
      <c r="R47" s="124">
        <v>2</v>
      </c>
      <c r="S47" s="124"/>
      <c r="T47" s="149">
        <v>17</v>
      </c>
      <c r="U47" s="149">
        <v>17</v>
      </c>
      <c r="V47" s="20">
        <v>2</v>
      </c>
      <c r="W47" s="20"/>
      <c r="X47" s="22"/>
      <c r="Y47" s="22"/>
      <c r="Z47" s="145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9">
        <v>16</v>
      </c>
      <c r="E48" s="149">
        <v>16</v>
      </c>
      <c r="F48" s="124">
        <v>2</v>
      </c>
      <c r="G48" s="143"/>
      <c r="H48" s="152">
        <v>16</v>
      </c>
      <c r="I48" s="152">
        <v>16</v>
      </c>
      <c r="J48" s="20">
        <v>2</v>
      </c>
      <c r="K48" s="19"/>
      <c r="L48" s="149">
        <v>18</v>
      </c>
      <c r="M48" s="149">
        <v>18</v>
      </c>
      <c r="N48" s="20">
        <v>2</v>
      </c>
      <c r="O48" s="20"/>
      <c r="P48" s="153">
        <v>15</v>
      </c>
      <c r="Q48" s="153">
        <v>15</v>
      </c>
      <c r="R48" s="124">
        <v>2</v>
      </c>
      <c r="S48" s="124"/>
      <c r="T48" s="149">
        <v>17</v>
      </c>
      <c r="U48" s="149">
        <v>17</v>
      </c>
      <c r="V48" s="20">
        <v>2</v>
      </c>
      <c r="W48" s="20"/>
      <c r="X48" s="22"/>
      <c r="Y48" s="22"/>
      <c r="Z48" s="145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9">
        <v>16</v>
      </c>
      <c r="E49" s="149">
        <v>16</v>
      </c>
      <c r="F49" s="124">
        <v>2</v>
      </c>
      <c r="G49" s="143"/>
      <c r="H49" s="152">
        <v>16</v>
      </c>
      <c r="I49" s="152">
        <v>16</v>
      </c>
      <c r="J49" s="20">
        <v>2</v>
      </c>
      <c r="K49" s="19"/>
      <c r="L49" s="149">
        <v>18</v>
      </c>
      <c r="M49" s="149">
        <v>18</v>
      </c>
      <c r="N49" s="20">
        <v>2</v>
      </c>
      <c r="O49" s="20"/>
      <c r="P49" s="153">
        <v>15</v>
      </c>
      <c r="Q49" s="153">
        <v>15</v>
      </c>
      <c r="R49" s="124">
        <v>2</v>
      </c>
      <c r="S49" s="124"/>
      <c r="T49" s="149">
        <v>17</v>
      </c>
      <c r="U49" s="149">
        <v>17</v>
      </c>
      <c r="V49" s="20">
        <v>2</v>
      </c>
      <c r="W49" s="20"/>
      <c r="X49" s="22"/>
      <c r="Y49" s="22"/>
      <c r="Z49" s="145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9">
        <v>16</v>
      </c>
      <c r="E50" s="149">
        <v>16</v>
      </c>
      <c r="F50" s="124">
        <v>2</v>
      </c>
      <c r="G50" s="143"/>
      <c r="H50" s="152">
        <v>16</v>
      </c>
      <c r="I50" s="152">
        <v>16</v>
      </c>
      <c r="J50" s="20">
        <v>2</v>
      </c>
      <c r="K50" s="19"/>
      <c r="L50" s="149">
        <v>18</v>
      </c>
      <c r="M50" s="121">
        <v>83</v>
      </c>
      <c r="N50" s="20">
        <v>2</v>
      </c>
      <c r="O50" s="20"/>
      <c r="P50" s="153">
        <v>15</v>
      </c>
      <c r="Q50" s="153">
        <v>15</v>
      </c>
      <c r="R50" s="124">
        <v>2</v>
      </c>
      <c r="S50" s="124"/>
      <c r="T50" s="149">
        <v>17</v>
      </c>
      <c r="U50" s="149">
        <v>17</v>
      </c>
      <c r="V50" s="20">
        <v>2</v>
      </c>
      <c r="W50" s="20"/>
      <c r="X50" s="22"/>
      <c r="Y50" s="22"/>
      <c r="Z50" s="145">
        <f t="shared" si="2"/>
        <v>10</v>
      </c>
      <c r="AA50" s="140">
        <f t="shared" si="3"/>
        <v>5</v>
      </c>
      <c r="AB50" s="8">
        <f t="shared" si="4"/>
        <v>1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9">
        <v>16</v>
      </c>
      <c r="E51" s="121"/>
      <c r="F51" s="124">
        <v>2</v>
      </c>
      <c r="G51" s="143"/>
      <c r="H51" s="152">
        <v>16</v>
      </c>
      <c r="I51" s="122"/>
      <c r="J51" s="20">
        <v>2</v>
      </c>
      <c r="K51" s="19"/>
      <c r="L51" s="121">
        <v>83</v>
      </c>
      <c r="M51" s="8">
        <v>83</v>
      </c>
      <c r="N51" s="20">
        <v>2</v>
      </c>
      <c r="O51" s="20"/>
      <c r="P51" s="153">
        <v>15</v>
      </c>
      <c r="Q51" s="191">
        <v>70</v>
      </c>
      <c r="R51" s="124"/>
      <c r="S51" s="124"/>
      <c r="T51" s="149">
        <v>17</v>
      </c>
      <c r="U51" s="149">
        <v>86</v>
      </c>
      <c r="V51" s="20">
        <v>2</v>
      </c>
      <c r="W51" s="20"/>
      <c r="X51" s="22"/>
      <c r="Y51" s="22"/>
      <c r="Z51" s="145">
        <f t="shared" si="2"/>
        <v>8</v>
      </c>
      <c r="AA51" s="140">
        <f t="shared" si="3"/>
        <v>3</v>
      </c>
      <c r="AB51" s="8">
        <f t="shared" si="4"/>
        <v>2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/>
      <c r="K52" s="19"/>
      <c r="L52" s="8">
        <v>83</v>
      </c>
      <c r="M52" s="8">
        <v>83</v>
      </c>
      <c r="N52" s="20">
        <v>2</v>
      </c>
      <c r="O52" s="20"/>
      <c r="P52" s="191">
        <v>70</v>
      </c>
      <c r="Q52" s="191">
        <v>70</v>
      </c>
      <c r="R52" s="124">
        <v>2</v>
      </c>
      <c r="S52" s="124"/>
      <c r="T52" s="149">
        <v>86</v>
      </c>
      <c r="U52" s="149">
        <v>86</v>
      </c>
      <c r="V52" s="20">
        <v>2</v>
      </c>
      <c r="W52" s="20" t="s">
        <v>163</v>
      </c>
      <c r="X52" s="22"/>
      <c r="Y52" s="22"/>
      <c r="Z52" s="145">
        <f t="shared" si="2"/>
        <v>6</v>
      </c>
      <c r="AA52" s="140">
        <f t="shared" si="3"/>
        <v>3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9">
        <v>31</v>
      </c>
      <c r="F53" s="20"/>
      <c r="G53" s="20" t="s">
        <v>32</v>
      </c>
      <c r="H53" s="14"/>
      <c r="I53" s="8"/>
      <c r="J53" s="20"/>
      <c r="K53" s="19"/>
      <c r="L53" s="8">
        <v>83</v>
      </c>
      <c r="M53" s="8">
        <v>83</v>
      </c>
      <c r="N53" s="20">
        <v>2</v>
      </c>
      <c r="O53" s="20"/>
      <c r="P53" s="191">
        <v>70</v>
      </c>
      <c r="Q53" s="149">
        <v>70</v>
      </c>
      <c r="R53" s="124">
        <v>2</v>
      </c>
      <c r="S53" s="124"/>
      <c r="T53" s="149">
        <v>86</v>
      </c>
      <c r="U53" s="149">
        <v>86</v>
      </c>
      <c r="V53" s="20">
        <v>2</v>
      </c>
      <c r="W53" s="20" t="s">
        <v>275</v>
      </c>
      <c r="X53" s="22"/>
      <c r="Y53" s="22"/>
      <c r="Z53" s="145">
        <f t="shared" si="2"/>
        <v>6</v>
      </c>
      <c r="AA53" s="140">
        <f t="shared" si="3"/>
        <v>4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9">
        <v>31</v>
      </c>
      <c r="E54" s="149">
        <v>31</v>
      </c>
      <c r="F54" s="20">
        <v>1</v>
      </c>
      <c r="G54" s="20"/>
      <c r="H54" s="8"/>
      <c r="I54" s="8"/>
      <c r="J54" s="20"/>
      <c r="K54" s="19"/>
      <c r="L54" s="8">
        <v>83</v>
      </c>
      <c r="M54" s="8"/>
      <c r="N54" s="20">
        <v>2</v>
      </c>
      <c r="O54" s="20"/>
      <c r="P54" s="149">
        <v>70</v>
      </c>
      <c r="Q54" s="149">
        <v>70</v>
      </c>
      <c r="R54" s="124">
        <v>2</v>
      </c>
      <c r="S54" s="124"/>
      <c r="T54" s="149">
        <v>86</v>
      </c>
      <c r="U54" s="149">
        <v>86</v>
      </c>
      <c r="V54" s="20">
        <v>2</v>
      </c>
      <c r="W54" s="20"/>
      <c r="X54" s="22"/>
      <c r="Y54" s="22"/>
      <c r="Z54" s="145">
        <f t="shared" si="2"/>
        <v>7</v>
      </c>
      <c r="AA54" s="140">
        <f t="shared" si="3"/>
        <v>3</v>
      </c>
      <c r="AB54" s="8">
        <f t="shared" si="4"/>
        <v>0</v>
      </c>
      <c r="AC54" s="23">
        <f t="shared" si="5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9">
        <v>31</v>
      </c>
      <c r="E55" s="149">
        <v>31</v>
      </c>
      <c r="F55" s="20">
        <v>1</v>
      </c>
      <c r="G55" s="20"/>
      <c r="H55" s="8"/>
      <c r="I55" s="8"/>
      <c r="J55" s="20"/>
      <c r="K55" s="19"/>
      <c r="L55" s="8"/>
      <c r="M55" s="8">
        <v>56</v>
      </c>
      <c r="N55" s="124"/>
      <c r="O55" s="20"/>
      <c r="P55" s="149">
        <v>70</v>
      </c>
      <c r="Q55" s="149">
        <v>70</v>
      </c>
      <c r="R55" s="124">
        <v>2</v>
      </c>
      <c r="S55" s="124"/>
      <c r="T55" s="149">
        <v>86</v>
      </c>
      <c r="U55" s="149">
        <v>86</v>
      </c>
      <c r="V55" s="20">
        <v>2</v>
      </c>
      <c r="W55" s="20"/>
      <c r="X55" s="22"/>
      <c r="Y55" s="22"/>
      <c r="Z55" s="145">
        <f t="shared" si="2"/>
        <v>5</v>
      </c>
      <c r="AA55" s="140">
        <f t="shared" si="3"/>
        <v>4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9">
        <v>31</v>
      </c>
      <c r="E56" s="149">
        <v>31</v>
      </c>
      <c r="F56" s="20">
        <v>1</v>
      </c>
      <c r="G56" s="20"/>
      <c r="H56" s="8"/>
      <c r="I56" s="8"/>
      <c r="J56" s="20"/>
      <c r="K56" s="19"/>
      <c r="L56" s="8">
        <v>56</v>
      </c>
      <c r="M56" s="8">
        <v>56</v>
      </c>
      <c r="N56" s="124">
        <v>2</v>
      </c>
      <c r="O56" s="20"/>
      <c r="P56" s="149">
        <v>70</v>
      </c>
      <c r="Q56" s="8"/>
      <c r="R56" s="124">
        <v>2</v>
      </c>
      <c r="S56" s="124"/>
      <c r="T56" s="149">
        <v>86</v>
      </c>
      <c r="U56" s="149">
        <v>86</v>
      </c>
      <c r="V56" s="20">
        <v>2</v>
      </c>
      <c r="W56" s="20"/>
      <c r="X56" s="22"/>
      <c r="Y56" s="22"/>
      <c r="Z56" s="145">
        <f t="shared" si="2"/>
        <v>7</v>
      </c>
      <c r="AA56" s="140">
        <f t="shared" si="3"/>
        <v>3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9">
        <v>31</v>
      </c>
      <c r="E57" s="149">
        <v>31</v>
      </c>
      <c r="F57" s="20">
        <v>1</v>
      </c>
      <c r="G57" s="20"/>
      <c r="H57" s="8"/>
      <c r="I57" s="8"/>
      <c r="J57" s="20"/>
      <c r="K57" s="19"/>
      <c r="L57" s="8">
        <v>56</v>
      </c>
      <c r="M57" s="8"/>
      <c r="N57" s="124">
        <v>2</v>
      </c>
      <c r="O57" s="20"/>
      <c r="P57" s="8"/>
      <c r="Q57" s="8"/>
      <c r="R57" s="124"/>
      <c r="S57" s="124"/>
      <c r="T57" s="149">
        <v>86</v>
      </c>
      <c r="U57" s="149">
        <v>86</v>
      </c>
      <c r="V57" s="20">
        <v>2</v>
      </c>
      <c r="W57" s="20"/>
      <c r="X57" s="22"/>
      <c r="Y57" s="22"/>
      <c r="Z57" s="145">
        <f t="shared" si="2"/>
        <v>5</v>
      </c>
      <c r="AA57" s="140">
        <f t="shared" si="3"/>
        <v>2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9">
        <v>31</v>
      </c>
      <c r="E58" s="8"/>
      <c r="F58" s="20">
        <v>1</v>
      </c>
      <c r="G58" s="20"/>
      <c r="H58" s="8"/>
      <c r="I58" s="8"/>
      <c r="J58" s="20"/>
      <c r="K58" s="19"/>
      <c r="L58" s="8"/>
      <c r="M58" s="8"/>
      <c r="N58" s="20"/>
      <c r="O58" s="20"/>
      <c r="P58" s="8"/>
      <c r="Q58" s="166">
        <v>37</v>
      </c>
      <c r="R58" s="124"/>
      <c r="S58" s="124"/>
      <c r="T58" s="149">
        <v>86</v>
      </c>
      <c r="U58" s="8"/>
      <c r="V58" s="20">
        <v>2</v>
      </c>
      <c r="W58" s="20"/>
      <c r="X58" s="22"/>
      <c r="Y58" s="22"/>
      <c r="Z58" s="145">
        <f t="shared" si="2"/>
        <v>3</v>
      </c>
      <c r="AA58" s="140">
        <f t="shared" si="3"/>
        <v>1</v>
      </c>
      <c r="AB58" s="8">
        <f t="shared" si="4"/>
        <v>1</v>
      </c>
      <c r="AC58" s="23">
        <f t="shared" si="5"/>
        <v>2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166">
        <v>37</v>
      </c>
      <c r="Q59" s="166">
        <v>37</v>
      </c>
      <c r="R59" s="124">
        <v>2</v>
      </c>
      <c r="S59" s="124"/>
      <c r="T59" s="8"/>
      <c r="U59" s="8"/>
      <c r="V59" s="20"/>
      <c r="W59" s="20"/>
      <c r="X59" s="22"/>
      <c r="Y59" s="22"/>
      <c r="Z59" s="145">
        <f t="shared" si="2"/>
        <v>2</v>
      </c>
      <c r="AA59" s="140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166">
        <v>37</v>
      </c>
      <c r="Q60" s="166">
        <v>37</v>
      </c>
      <c r="R60" s="124">
        <v>2</v>
      </c>
      <c r="S60" s="124"/>
      <c r="T60" s="8"/>
      <c r="U60" s="8"/>
      <c r="V60" s="20"/>
      <c r="W60" s="20"/>
      <c r="X60" s="22"/>
      <c r="Y60" s="22"/>
      <c r="Z60" s="145">
        <f t="shared" si="2"/>
        <v>2</v>
      </c>
      <c r="AA60" s="140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166">
        <v>37</v>
      </c>
      <c r="Q61" s="8">
        <v>64</v>
      </c>
      <c r="R61" s="124">
        <v>2</v>
      </c>
      <c r="S61" s="20" t="s">
        <v>165</v>
      </c>
      <c r="T61" s="8"/>
      <c r="U61" s="8"/>
      <c r="V61" s="20"/>
      <c r="W61" s="20"/>
      <c r="X61" s="22"/>
      <c r="Y61" s="22"/>
      <c r="Z61" s="145">
        <f t="shared" si="2"/>
        <v>2</v>
      </c>
      <c r="AA61" s="140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233</v>
      </c>
      <c r="P62" s="8">
        <v>64</v>
      </c>
      <c r="Q62" s="8">
        <v>64</v>
      </c>
      <c r="R62" s="20"/>
      <c r="S62" s="20" t="s">
        <v>296</v>
      </c>
      <c r="T62" s="8"/>
      <c r="U62" s="8"/>
      <c r="V62" s="20"/>
      <c r="W62" s="20"/>
      <c r="X62" s="22"/>
      <c r="Y62" s="22"/>
      <c r="Z62" s="145">
        <f t="shared" si="2"/>
        <v>2</v>
      </c>
      <c r="AA62" s="140">
        <f t="shared" si="3"/>
        <v>4</v>
      </c>
      <c r="AB62" s="8">
        <f t="shared" si="4"/>
        <v>2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24"/>
      <c r="G63" s="143" t="s">
        <v>163</v>
      </c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8"/>
      <c r="U63" s="165">
        <v>77</v>
      </c>
      <c r="V63" s="20"/>
      <c r="W63" s="20" t="s">
        <v>23</v>
      </c>
      <c r="X63" s="22"/>
      <c r="Y63" s="22"/>
      <c r="Z63" s="145">
        <f t="shared" si="2"/>
        <v>4</v>
      </c>
      <c r="AA63" s="140">
        <f t="shared" si="3"/>
        <v>5</v>
      </c>
      <c r="AB63" s="8">
        <f t="shared" si="4"/>
        <v>1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66">
        <v>76</v>
      </c>
      <c r="R64" s="20"/>
      <c r="S64" s="20"/>
      <c r="T64" s="165">
        <v>77</v>
      </c>
      <c r="U64" s="165">
        <v>77</v>
      </c>
      <c r="V64" s="20">
        <v>2</v>
      </c>
      <c r="W64" s="20"/>
      <c r="X64" s="22"/>
      <c r="Y64" s="22"/>
      <c r="Z64" s="145">
        <f t="shared" si="2"/>
        <v>6</v>
      </c>
      <c r="AA64" s="140">
        <f t="shared" si="3"/>
        <v>5</v>
      </c>
      <c r="AB64" s="8">
        <f t="shared" si="4"/>
        <v>1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66">
        <v>76</v>
      </c>
      <c r="Q65" s="166">
        <v>76</v>
      </c>
      <c r="R65" s="20">
        <v>2</v>
      </c>
      <c r="S65" s="20"/>
      <c r="T65" s="165">
        <v>77</v>
      </c>
      <c r="U65" s="165">
        <v>77</v>
      </c>
      <c r="V65" s="20">
        <v>2</v>
      </c>
      <c r="W65" s="20"/>
      <c r="X65" s="22"/>
      <c r="Y65" s="22"/>
      <c r="Z65" s="145">
        <f t="shared" si="2"/>
        <v>8</v>
      </c>
      <c r="AA65" s="140">
        <f t="shared" si="3"/>
        <v>3</v>
      </c>
      <c r="AB65" s="8">
        <f t="shared" si="4"/>
        <v>0</v>
      </c>
      <c r="AC65" s="23">
        <f t="shared" si="5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66">
        <v>76</v>
      </c>
      <c r="Q66" s="166">
        <v>76</v>
      </c>
      <c r="R66" s="124">
        <v>2</v>
      </c>
      <c r="S66" s="124"/>
      <c r="T66" s="165">
        <v>77</v>
      </c>
      <c r="U66" s="165">
        <v>77</v>
      </c>
      <c r="V66" s="20">
        <v>2</v>
      </c>
      <c r="W66" s="20"/>
      <c r="X66" s="22"/>
      <c r="Y66" s="22"/>
      <c r="Z66" s="145">
        <f t="shared" si="2"/>
        <v>6</v>
      </c>
      <c r="AA66" s="140">
        <f t="shared" si="3"/>
        <v>3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8"/>
      <c r="J67" s="20"/>
      <c r="K67" s="19"/>
      <c r="L67" s="8">
        <v>34</v>
      </c>
      <c r="M67" s="8">
        <v>34</v>
      </c>
      <c r="N67" s="20">
        <v>2</v>
      </c>
      <c r="O67" s="20"/>
      <c r="P67" s="166">
        <v>76</v>
      </c>
      <c r="Q67" s="166">
        <v>76</v>
      </c>
      <c r="R67" s="124">
        <v>2</v>
      </c>
      <c r="S67" s="124"/>
      <c r="T67" s="165">
        <v>77</v>
      </c>
      <c r="U67" s="165">
        <v>77</v>
      </c>
      <c r="V67" s="20">
        <v>2</v>
      </c>
      <c r="W67" s="20"/>
      <c r="X67" s="22"/>
      <c r="Y67" s="22"/>
      <c r="Z67" s="145">
        <f t="shared" ref="Z67:Z130" si="6">F67+J67+N67+R67+V67</f>
        <v>6</v>
      </c>
      <c r="AA67" s="140">
        <f t="shared" ref="AA67:AA130" si="7">COUNT(E67,I67,M67,Q67,U67)</f>
        <v>3</v>
      </c>
      <c r="AB67" s="8">
        <f t="shared" si="4"/>
        <v>0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14"/>
      <c r="I68" s="8"/>
      <c r="J68" s="20"/>
      <c r="K68" s="19"/>
      <c r="L68" s="8">
        <v>34</v>
      </c>
      <c r="M68" s="8">
        <v>34</v>
      </c>
      <c r="N68" s="20">
        <v>2</v>
      </c>
      <c r="O68" s="20"/>
      <c r="P68" s="166">
        <v>76</v>
      </c>
      <c r="Q68" s="9"/>
      <c r="R68" s="124">
        <v>2</v>
      </c>
      <c r="S68" s="143"/>
      <c r="T68" s="165">
        <v>77</v>
      </c>
      <c r="U68" s="165">
        <v>77</v>
      </c>
      <c r="V68" s="20">
        <v>2</v>
      </c>
      <c r="W68" s="20"/>
      <c r="X68" s="135"/>
      <c r="Y68" s="136"/>
      <c r="Z68" s="145">
        <f t="shared" si="6"/>
        <v>6</v>
      </c>
      <c r="AA68" s="140">
        <f t="shared" si="7"/>
        <v>3</v>
      </c>
      <c r="AB68" s="8">
        <f t="shared" si="4"/>
        <v>1</v>
      </c>
      <c r="AC68" s="23">
        <f t="shared" si="5"/>
        <v>1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234</v>
      </c>
      <c r="H69" s="14"/>
      <c r="I69" s="8"/>
      <c r="J69" s="20"/>
      <c r="K69" s="19"/>
      <c r="L69" s="8">
        <v>34</v>
      </c>
      <c r="M69" s="8">
        <v>34</v>
      </c>
      <c r="N69" s="20">
        <v>2</v>
      </c>
      <c r="O69" s="20"/>
      <c r="P69" s="9"/>
      <c r="Q69" s="152">
        <v>14</v>
      </c>
      <c r="R69" s="124"/>
      <c r="S69" s="143"/>
      <c r="T69" s="165">
        <v>77</v>
      </c>
      <c r="U69" s="165">
        <v>77</v>
      </c>
      <c r="V69" s="20">
        <v>2</v>
      </c>
      <c r="W69" s="20"/>
      <c r="X69" s="136"/>
      <c r="Y69" s="136"/>
      <c r="Z69" s="145">
        <f t="shared" si="6"/>
        <v>6</v>
      </c>
      <c r="AA69" s="140">
        <f t="shared" si="7"/>
        <v>4</v>
      </c>
      <c r="AB69" s="8">
        <f t="shared" si="4"/>
        <v>1</v>
      </c>
      <c r="AC69" s="23">
        <f t="shared" si="5"/>
        <v>0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8"/>
      <c r="I70" s="8"/>
      <c r="J70" s="20"/>
      <c r="K70" s="19"/>
      <c r="L70" s="8">
        <v>34</v>
      </c>
      <c r="M70" s="8">
        <v>34</v>
      </c>
      <c r="N70" s="20">
        <v>2</v>
      </c>
      <c r="O70" s="20"/>
      <c r="P70" s="152">
        <v>14</v>
      </c>
      <c r="Q70" s="152">
        <v>14</v>
      </c>
      <c r="R70" s="124">
        <v>2</v>
      </c>
      <c r="S70" s="143"/>
      <c r="T70" s="165">
        <v>77</v>
      </c>
      <c r="U70" s="149">
        <v>7</v>
      </c>
      <c r="V70" s="20">
        <v>2</v>
      </c>
      <c r="W70" s="20"/>
      <c r="X70" s="136"/>
      <c r="Y70" s="136"/>
      <c r="Z70" s="145">
        <f t="shared" si="6"/>
        <v>8</v>
      </c>
      <c r="AA70" s="140">
        <f t="shared" si="7"/>
        <v>4</v>
      </c>
      <c r="AB70" s="8">
        <f t="shared" si="4"/>
        <v>1</v>
      </c>
      <c r="AC70" s="23">
        <f t="shared" si="5"/>
        <v>1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/>
      <c r="I71" s="8"/>
      <c r="J71" s="20"/>
      <c r="K71" s="19"/>
      <c r="L71" s="8">
        <v>34</v>
      </c>
      <c r="M71" s="8"/>
      <c r="N71" s="20">
        <v>2</v>
      </c>
      <c r="O71" s="20"/>
      <c r="P71" s="152">
        <v>14</v>
      </c>
      <c r="Q71" s="152">
        <v>14</v>
      </c>
      <c r="R71" s="124">
        <v>2</v>
      </c>
      <c r="S71" s="143"/>
      <c r="T71" s="149">
        <v>7</v>
      </c>
      <c r="U71" s="149">
        <v>7</v>
      </c>
      <c r="V71" s="20"/>
      <c r="W71" s="20"/>
      <c r="X71" s="136"/>
      <c r="Y71" s="136"/>
      <c r="Z71" s="145">
        <f t="shared" si="6"/>
        <v>6</v>
      </c>
      <c r="AA71" s="140">
        <f t="shared" si="7"/>
        <v>2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/>
      <c r="I72" s="8"/>
      <c r="J72" s="20"/>
      <c r="K72" s="19"/>
      <c r="L72" s="8"/>
      <c r="M72" s="8">
        <v>36</v>
      </c>
      <c r="N72" s="20"/>
      <c r="O72" s="20"/>
      <c r="P72" s="152">
        <v>14</v>
      </c>
      <c r="Q72" s="152">
        <v>14</v>
      </c>
      <c r="R72" s="124">
        <v>2</v>
      </c>
      <c r="S72" s="143"/>
      <c r="T72" s="149">
        <v>7</v>
      </c>
      <c r="U72" s="149">
        <v>7</v>
      </c>
      <c r="V72" s="20"/>
      <c r="W72" s="20"/>
      <c r="X72" s="136"/>
      <c r="Y72" s="136"/>
      <c r="Z72" s="145">
        <f t="shared" si="6"/>
        <v>2</v>
      </c>
      <c r="AA72" s="140">
        <f t="shared" si="7"/>
        <v>4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/>
      <c r="I73" s="8"/>
      <c r="J73" s="20"/>
      <c r="K73" s="19"/>
      <c r="L73" s="8">
        <v>36</v>
      </c>
      <c r="M73" s="8">
        <v>36</v>
      </c>
      <c r="N73" s="20"/>
      <c r="O73" s="20"/>
      <c r="P73" s="152">
        <v>14</v>
      </c>
      <c r="Q73" s="152">
        <v>14</v>
      </c>
      <c r="R73" s="124">
        <v>2</v>
      </c>
      <c r="S73" s="143"/>
      <c r="T73" s="149">
        <v>7</v>
      </c>
      <c r="U73" s="149">
        <v>7</v>
      </c>
      <c r="V73" s="20"/>
      <c r="W73" s="20"/>
      <c r="X73" s="136"/>
      <c r="Y73" s="136"/>
      <c r="Z73" s="145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0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49">
        <v>13</v>
      </c>
      <c r="J74" s="20"/>
      <c r="K74" s="19"/>
      <c r="L74" s="8">
        <v>36</v>
      </c>
      <c r="M74" s="8">
        <v>36</v>
      </c>
      <c r="N74" s="20"/>
      <c r="O74" s="20"/>
      <c r="P74" s="152">
        <v>14</v>
      </c>
      <c r="Q74" s="152">
        <v>14</v>
      </c>
      <c r="R74" s="124">
        <v>2</v>
      </c>
      <c r="S74" s="143"/>
      <c r="T74" s="149">
        <v>7</v>
      </c>
      <c r="U74" s="149">
        <v>7</v>
      </c>
      <c r="V74" s="20"/>
      <c r="W74" s="20"/>
      <c r="X74" s="136"/>
      <c r="Y74" s="136"/>
      <c r="Z74" s="145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24">
        <v>69</v>
      </c>
      <c r="F75" s="124"/>
      <c r="G75" s="143"/>
      <c r="H75" s="149">
        <v>13</v>
      </c>
      <c r="I75" s="149">
        <v>13</v>
      </c>
      <c r="J75" s="20">
        <v>2</v>
      </c>
      <c r="K75" s="19"/>
      <c r="L75" s="8">
        <v>36</v>
      </c>
      <c r="M75" s="149">
        <v>84</v>
      </c>
      <c r="N75" s="20"/>
      <c r="O75" s="20"/>
      <c r="P75" s="152">
        <v>14</v>
      </c>
      <c r="Q75" s="152">
        <v>14</v>
      </c>
      <c r="R75" s="124">
        <v>2</v>
      </c>
      <c r="S75" s="143"/>
      <c r="T75" s="149">
        <v>7</v>
      </c>
      <c r="U75" s="149">
        <v>7</v>
      </c>
      <c r="V75" s="20"/>
      <c r="W75" s="20"/>
      <c r="X75" s="136"/>
      <c r="Y75" s="136"/>
      <c r="Z75" s="145">
        <f t="shared" si="6"/>
        <v>4</v>
      </c>
      <c r="AA75" s="140">
        <f t="shared" si="7"/>
        <v>5</v>
      </c>
      <c r="AB75" s="8">
        <f t="shared" si="4"/>
        <v>2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24">
        <v>69</v>
      </c>
      <c r="E76" s="124">
        <v>69</v>
      </c>
      <c r="F76" s="124"/>
      <c r="G76" s="143"/>
      <c r="H76" s="149">
        <v>13</v>
      </c>
      <c r="I76" s="149">
        <v>13</v>
      </c>
      <c r="J76" s="20">
        <v>2</v>
      </c>
      <c r="K76" s="19"/>
      <c r="L76" s="149">
        <v>84</v>
      </c>
      <c r="M76" s="149">
        <v>84</v>
      </c>
      <c r="N76" s="20"/>
      <c r="O76" s="20"/>
      <c r="P76" s="152">
        <v>14</v>
      </c>
      <c r="Q76" s="121"/>
      <c r="R76" s="124">
        <v>2</v>
      </c>
      <c r="S76" s="124"/>
      <c r="T76" s="149">
        <v>7</v>
      </c>
      <c r="U76" s="149">
        <v>7</v>
      </c>
      <c r="V76" s="20"/>
      <c r="W76" s="20"/>
      <c r="X76" s="22"/>
      <c r="Y76" s="22"/>
      <c r="Z76" s="145">
        <f t="shared" si="6"/>
        <v>4</v>
      </c>
      <c r="AA76" s="140">
        <f t="shared" si="7"/>
        <v>4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24">
        <v>69</v>
      </c>
      <c r="E77" s="124">
        <v>69</v>
      </c>
      <c r="F77" s="20"/>
      <c r="G77" s="19"/>
      <c r="H77" s="149">
        <v>13</v>
      </c>
      <c r="I77" s="149">
        <v>13</v>
      </c>
      <c r="J77" s="20">
        <v>2</v>
      </c>
      <c r="K77" s="19"/>
      <c r="L77" s="149">
        <v>84</v>
      </c>
      <c r="M77" s="149">
        <v>84</v>
      </c>
      <c r="N77" s="20"/>
      <c r="O77" s="20"/>
      <c r="P77" s="121"/>
      <c r="Q77" s="149">
        <v>66</v>
      </c>
      <c r="R77" s="124"/>
      <c r="S77" s="124"/>
      <c r="T77" s="149">
        <v>7</v>
      </c>
      <c r="U77" s="8">
        <v>62</v>
      </c>
      <c r="V77" s="20"/>
      <c r="W77" s="20" t="s">
        <v>164</v>
      </c>
      <c r="X77" s="22"/>
      <c r="Y77" s="22"/>
      <c r="Z77" s="145">
        <f t="shared" si="6"/>
        <v>2</v>
      </c>
      <c r="AA77" s="140">
        <f t="shared" si="7"/>
        <v>5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24">
        <v>69</v>
      </c>
      <c r="E78" s="149">
        <v>19</v>
      </c>
      <c r="F78" s="20"/>
      <c r="G78" s="19" t="s">
        <v>32</v>
      </c>
      <c r="H78" s="149">
        <v>13</v>
      </c>
      <c r="I78" s="149">
        <v>13</v>
      </c>
      <c r="J78" s="20">
        <v>2</v>
      </c>
      <c r="K78" s="19"/>
      <c r="L78" s="149">
        <v>84</v>
      </c>
      <c r="M78" s="149">
        <v>84</v>
      </c>
      <c r="N78" s="20"/>
      <c r="O78" s="20"/>
      <c r="P78" s="149">
        <v>66</v>
      </c>
      <c r="Q78" s="149">
        <v>66</v>
      </c>
      <c r="R78" s="124">
        <v>2</v>
      </c>
      <c r="S78" s="124"/>
      <c r="T78" s="8">
        <v>62</v>
      </c>
      <c r="U78" s="8">
        <v>62</v>
      </c>
      <c r="V78" s="20"/>
      <c r="W78" s="20"/>
      <c r="X78" s="22"/>
      <c r="Y78" s="22"/>
      <c r="Z78" s="145">
        <f t="shared" si="6"/>
        <v>4</v>
      </c>
      <c r="AA78" s="140">
        <f t="shared" si="7"/>
        <v>5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9">
        <v>19</v>
      </c>
      <c r="E79" s="149">
        <v>19</v>
      </c>
      <c r="F79" s="20">
        <v>1</v>
      </c>
      <c r="G79" s="19"/>
      <c r="H79" s="149">
        <v>13</v>
      </c>
      <c r="I79" s="149">
        <v>13</v>
      </c>
      <c r="J79" s="20">
        <v>2</v>
      </c>
      <c r="K79" s="19"/>
      <c r="L79" s="149">
        <v>84</v>
      </c>
      <c r="M79" s="148">
        <v>43</v>
      </c>
      <c r="N79" s="20"/>
      <c r="O79" s="20" t="s">
        <v>164</v>
      </c>
      <c r="P79" s="149">
        <v>66</v>
      </c>
      <c r="Q79" s="149">
        <v>66</v>
      </c>
      <c r="R79" s="124">
        <v>2</v>
      </c>
      <c r="S79" s="124"/>
      <c r="T79" s="8">
        <v>62</v>
      </c>
      <c r="U79" s="8">
        <v>62</v>
      </c>
      <c r="V79" s="20"/>
      <c r="W79" s="20"/>
      <c r="X79" s="22"/>
      <c r="Y79" s="22"/>
      <c r="Z79" s="145">
        <f t="shared" si="6"/>
        <v>5</v>
      </c>
      <c r="AA79" s="140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9">
        <v>19</v>
      </c>
      <c r="E80" s="149">
        <v>19</v>
      </c>
      <c r="F80" s="20">
        <v>1</v>
      </c>
      <c r="G80" s="19"/>
      <c r="H80" s="149">
        <v>13</v>
      </c>
      <c r="I80" s="149">
        <v>13</v>
      </c>
      <c r="J80" s="20">
        <v>2</v>
      </c>
      <c r="K80" s="19"/>
      <c r="L80" s="148">
        <v>43</v>
      </c>
      <c r="M80" s="148">
        <v>43</v>
      </c>
      <c r="N80" s="20">
        <v>3</v>
      </c>
      <c r="O80" s="20"/>
      <c r="P80" s="149">
        <v>66</v>
      </c>
      <c r="Q80" s="149">
        <v>66</v>
      </c>
      <c r="R80" s="124">
        <v>2</v>
      </c>
      <c r="S80" s="124"/>
      <c r="T80" s="8">
        <v>62</v>
      </c>
      <c r="U80" s="8">
        <v>62</v>
      </c>
      <c r="V80" s="20"/>
      <c r="W80" s="20"/>
      <c r="X80" s="22"/>
      <c r="Y80" s="22"/>
      <c r="Z80" s="145">
        <f t="shared" si="6"/>
        <v>8</v>
      </c>
      <c r="AA80" s="140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9">
        <v>19</v>
      </c>
      <c r="E81" s="149">
        <v>19</v>
      </c>
      <c r="F81" s="20">
        <v>1</v>
      </c>
      <c r="G81" s="19"/>
      <c r="H81" s="149">
        <v>13</v>
      </c>
      <c r="I81" s="8">
        <v>81</v>
      </c>
      <c r="J81" s="20">
        <v>2</v>
      </c>
      <c r="K81" s="19"/>
      <c r="L81" s="148">
        <v>43</v>
      </c>
      <c r="M81" s="148">
        <v>43</v>
      </c>
      <c r="N81" s="20">
        <v>3</v>
      </c>
      <c r="O81" s="20"/>
      <c r="P81" s="149">
        <v>66</v>
      </c>
      <c r="Q81" s="149">
        <v>66</v>
      </c>
      <c r="R81" s="124">
        <v>2</v>
      </c>
      <c r="S81" s="124"/>
      <c r="T81" s="8">
        <v>62</v>
      </c>
      <c r="U81" s="8">
        <v>62</v>
      </c>
      <c r="V81" s="20"/>
      <c r="W81" s="20"/>
      <c r="X81" s="22"/>
      <c r="Y81" s="22"/>
      <c r="Z81" s="145">
        <f t="shared" si="6"/>
        <v>8</v>
      </c>
      <c r="AA81" s="140">
        <f t="shared" si="7"/>
        <v>5</v>
      </c>
      <c r="AB81" s="8">
        <f t="shared" si="8"/>
        <v>1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9">
        <v>19</v>
      </c>
      <c r="E82" s="149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8">
        <v>43</v>
      </c>
      <c r="M82" s="8"/>
      <c r="N82" s="20">
        <v>3</v>
      </c>
      <c r="O82" s="20"/>
      <c r="P82" s="149">
        <v>66</v>
      </c>
      <c r="Q82" s="149">
        <v>66</v>
      </c>
      <c r="R82" s="124">
        <v>2</v>
      </c>
      <c r="S82" s="124"/>
      <c r="T82" s="8">
        <v>62</v>
      </c>
      <c r="U82" s="8">
        <v>62</v>
      </c>
      <c r="V82" s="20"/>
      <c r="W82" s="20"/>
      <c r="X82" s="22"/>
      <c r="Y82" s="22"/>
      <c r="Z82" s="145">
        <f t="shared" si="6"/>
        <v>8</v>
      </c>
      <c r="AA82" s="140">
        <f t="shared" si="7"/>
        <v>4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9">
        <v>19</v>
      </c>
      <c r="E83" s="149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9">
        <v>66</v>
      </c>
      <c r="Q83" s="149">
        <v>66</v>
      </c>
      <c r="R83" s="124">
        <v>2</v>
      </c>
      <c r="S83" s="124"/>
      <c r="T83" s="8">
        <v>62</v>
      </c>
      <c r="U83" s="8">
        <v>62</v>
      </c>
      <c r="V83" s="20"/>
      <c r="W83" s="20"/>
      <c r="X83" s="22"/>
      <c r="Y83" s="22"/>
      <c r="Z83" s="145">
        <f t="shared" si="6"/>
        <v>5</v>
      </c>
      <c r="AA83" s="140">
        <f t="shared" si="7"/>
        <v>4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9">
        <v>19</v>
      </c>
      <c r="E84" s="149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9">
        <v>66</v>
      </c>
      <c r="Q84" s="149">
        <v>66</v>
      </c>
      <c r="R84" s="124">
        <v>2</v>
      </c>
      <c r="S84" s="124"/>
      <c r="T84" s="8">
        <v>62</v>
      </c>
      <c r="U84" s="8">
        <v>62</v>
      </c>
      <c r="V84" s="20"/>
      <c r="W84" s="20"/>
      <c r="X84" s="22"/>
      <c r="Y84" s="22"/>
      <c r="Z84" s="145">
        <f t="shared" si="6"/>
        <v>5</v>
      </c>
      <c r="AA84" s="140">
        <f t="shared" si="7"/>
        <v>4</v>
      </c>
      <c r="AB84" s="8">
        <f t="shared" si="8"/>
        <v>1</v>
      </c>
      <c r="AC84" s="23">
        <f t="shared" si="9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9">
        <v>19</v>
      </c>
      <c r="E85" s="149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233</v>
      </c>
      <c r="P85" s="149">
        <v>66</v>
      </c>
      <c r="Q85" s="148">
        <v>1</v>
      </c>
      <c r="R85" s="20">
        <v>2</v>
      </c>
      <c r="S85" s="124"/>
      <c r="T85" s="121">
        <v>62</v>
      </c>
      <c r="U85" s="121">
        <v>62</v>
      </c>
      <c r="V85" s="121"/>
      <c r="W85" s="20"/>
      <c r="X85" s="22"/>
      <c r="Y85" s="22"/>
      <c r="Z85" s="145">
        <f t="shared" si="6"/>
        <v>3</v>
      </c>
      <c r="AA85" s="140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9">
        <v>19</v>
      </c>
      <c r="E86" s="149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8">
        <v>1</v>
      </c>
      <c r="Q86" s="148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5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9">
        <v>19</v>
      </c>
      <c r="E87" s="149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8">
        <v>1</v>
      </c>
      <c r="Q87" s="148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5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9">
        <v>19</v>
      </c>
      <c r="E88" s="149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8">
        <v>1</v>
      </c>
      <c r="Q88" s="148">
        <v>1</v>
      </c>
      <c r="R88" s="20">
        <v>2</v>
      </c>
      <c r="S88" s="124"/>
      <c r="T88" s="121">
        <v>62</v>
      </c>
      <c r="U88" s="149">
        <v>10</v>
      </c>
      <c r="V88" s="121"/>
      <c r="W88" s="20"/>
      <c r="X88" s="121"/>
      <c r="Y88" s="121"/>
      <c r="Z88" s="145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49">
        <v>19</v>
      </c>
      <c r="E89" s="149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8">
        <v>1</v>
      </c>
      <c r="Q89" s="148">
        <v>1</v>
      </c>
      <c r="R89" s="20">
        <v>2</v>
      </c>
      <c r="S89" s="124"/>
      <c r="T89" s="149">
        <v>10</v>
      </c>
      <c r="U89" s="149">
        <v>10</v>
      </c>
      <c r="V89" s="121">
        <v>2</v>
      </c>
      <c r="W89" s="20"/>
      <c r="X89" s="121"/>
      <c r="Y89" s="121"/>
      <c r="Z89" s="145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9">
        <v>19</v>
      </c>
      <c r="E90" s="149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8">
        <v>1</v>
      </c>
      <c r="Q90" s="148">
        <v>1</v>
      </c>
      <c r="R90" s="20">
        <v>2</v>
      </c>
      <c r="S90" s="124"/>
      <c r="T90" s="149">
        <v>10</v>
      </c>
      <c r="U90" s="149">
        <v>10</v>
      </c>
      <c r="V90" s="121">
        <v>2</v>
      </c>
      <c r="W90" s="20"/>
      <c r="X90" s="121"/>
      <c r="Y90" s="121"/>
      <c r="Z90" s="145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9">
        <v>19</v>
      </c>
      <c r="E91" s="149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8">
        <v>1</v>
      </c>
      <c r="Q91" s="121"/>
      <c r="R91" s="124">
        <v>2</v>
      </c>
      <c r="S91" s="124"/>
      <c r="T91" s="149">
        <v>10</v>
      </c>
      <c r="U91" s="8">
        <v>49</v>
      </c>
      <c r="V91" s="20">
        <v>2</v>
      </c>
      <c r="W91" s="20"/>
      <c r="X91" s="121"/>
      <c r="Y91" s="121"/>
      <c r="Z91" s="145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9">
        <v>19</v>
      </c>
      <c r="E92" s="8"/>
      <c r="F92" s="20">
        <v>1</v>
      </c>
      <c r="G92" s="19"/>
      <c r="H92" s="8"/>
      <c r="I92" s="149">
        <v>58</v>
      </c>
      <c r="J92" s="20"/>
      <c r="K92" s="19" t="s">
        <v>32</v>
      </c>
      <c r="L92" s="8"/>
      <c r="M92" s="8"/>
      <c r="N92" s="20"/>
      <c r="O92" s="20"/>
      <c r="P92" s="8"/>
      <c r="Q92" s="149">
        <v>58</v>
      </c>
      <c r="R92" s="124"/>
      <c r="S92" s="124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45">
        <f t="shared" si="6"/>
        <v>3</v>
      </c>
      <c r="AA92" s="140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9">
        <v>58</v>
      </c>
      <c r="I93" s="149">
        <v>58</v>
      </c>
      <c r="J93" s="20">
        <v>1</v>
      </c>
      <c r="K93" s="19" t="s">
        <v>297</v>
      </c>
      <c r="L93" s="8"/>
      <c r="M93" s="8">
        <v>30</v>
      </c>
      <c r="N93" s="20"/>
      <c r="O93" s="20" t="s">
        <v>165</v>
      </c>
      <c r="P93" s="149">
        <v>58</v>
      </c>
      <c r="Q93" s="149">
        <v>58</v>
      </c>
      <c r="R93" s="124">
        <v>1</v>
      </c>
      <c r="S93" s="124" t="s">
        <v>297</v>
      </c>
      <c r="T93" s="8">
        <v>49</v>
      </c>
      <c r="U93" s="8">
        <v>49</v>
      </c>
      <c r="V93" s="20">
        <v>2</v>
      </c>
      <c r="W93" s="20"/>
      <c r="X93" s="22"/>
      <c r="Y93" s="22"/>
      <c r="Z93" s="145">
        <f t="shared" si="6"/>
        <v>4</v>
      </c>
      <c r="AA93" s="140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9">
        <v>58</v>
      </c>
      <c r="I94" s="149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9">
        <v>58</v>
      </c>
      <c r="Q94" s="149">
        <v>58</v>
      </c>
      <c r="R94" s="124">
        <v>1</v>
      </c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5">
        <f t="shared" si="6"/>
        <v>6</v>
      </c>
      <c r="AA94" s="140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9">
        <v>58</v>
      </c>
      <c r="I95" s="149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9">
        <v>58</v>
      </c>
      <c r="Q95" s="173">
        <v>57</v>
      </c>
      <c r="R95" s="124">
        <v>1</v>
      </c>
      <c r="S95" s="124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45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9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72">
        <v>57</v>
      </c>
      <c r="Q96" s="173">
        <v>57</v>
      </c>
      <c r="R96" s="124"/>
      <c r="S96" s="124" t="s">
        <v>296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45">
        <f t="shared" si="6"/>
        <v>5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8"/>
      <c r="F97" s="20"/>
      <c r="G97" s="19"/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2">
        <v>57</v>
      </c>
      <c r="Q97" s="173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5">
        <f t="shared" si="6"/>
        <v>4</v>
      </c>
      <c r="AA97" s="140">
        <f t="shared" si="7"/>
        <v>2</v>
      </c>
      <c r="AB97" s="8">
        <f t="shared" si="8"/>
        <v>0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8"/>
      <c r="E98" s="8"/>
      <c r="F98" s="20"/>
      <c r="G98" s="19"/>
      <c r="H98" s="14"/>
      <c r="I98" s="8"/>
      <c r="J98" s="20"/>
      <c r="K98" s="19"/>
      <c r="L98" s="8"/>
      <c r="M98" s="8"/>
      <c r="N98" s="20"/>
      <c r="O98" s="20"/>
      <c r="P98" s="172">
        <v>57</v>
      </c>
      <c r="Q98" s="173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5">
        <f t="shared" si="6"/>
        <v>2</v>
      </c>
      <c r="AA98" s="140">
        <f t="shared" si="7"/>
        <v>1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8"/>
      <c r="E99" s="8"/>
      <c r="F99" s="20"/>
      <c r="G99" s="19"/>
      <c r="H99" s="14"/>
      <c r="I99" s="149">
        <v>74</v>
      </c>
      <c r="J99" s="20"/>
      <c r="K99" s="19"/>
      <c r="L99" s="8"/>
      <c r="M99" s="149">
        <v>74</v>
      </c>
      <c r="N99" s="20"/>
      <c r="O99" s="20"/>
      <c r="P99" s="172">
        <v>57</v>
      </c>
      <c r="Q99" s="173">
        <v>57</v>
      </c>
      <c r="R99" s="124"/>
      <c r="S99" s="124"/>
      <c r="T99" s="8"/>
      <c r="U99" s="8"/>
      <c r="V99" s="20"/>
      <c r="W99" s="20"/>
      <c r="X99" s="22"/>
      <c r="Y99" s="22"/>
      <c r="Z99" s="145">
        <f t="shared" si="6"/>
        <v>0</v>
      </c>
      <c r="AA99" s="140">
        <f t="shared" si="7"/>
        <v>3</v>
      </c>
      <c r="AB99" s="8">
        <f t="shared" si="8"/>
        <v>2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0"/>
      <c r="E100" s="148">
        <v>11</v>
      </c>
      <c r="F100" s="20"/>
      <c r="G100" s="19" t="s">
        <v>164</v>
      </c>
      <c r="H100" s="151">
        <v>74</v>
      </c>
      <c r="I100" s="149">
        <v>74</v>
      </c>
      <c r="J100" s="20">
        <v>2</v>
      </c>
      <c r="K100" s="19"/>
      <c r="L100" s="149">
        <v>74</v>
      </c>
      <c r="M100" s="149">
        <v>74</v>
      </c>
      <c r="N100" s="20">
        <v>1</v>
      </c>
      <c r="O100" s="20"/>
      <c r="P100" s="172">
        <v>57</v>
      </c>
      <c r="Q100" s="173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5">
        <f t="shared" si="6"/>
        <v>3</v>
      </c>
      <c r="AA100" s="140">
        <f t="shared" si="7"/>
        <v>5</v>
      </c>
      <c r="AB100" s="8">
        <f t="shared" si="8"/>
        <v>2</v>
      </c>
      <c r="AC100" s="23">
        <f t="shared" si="9"/>
        <v>0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8">
        <v>11</v>
      </c>
      <c r="E101" s="148">
        <v>11</v>
      </c>
      <c r="F101" s="20"/>
      <c r="G101" s="19" t="s">
        <v>163</v>
      </c>
      <c r="H101" s="151">
        <v>74</v>
      </c>
      <c r="I101" s="149">
        <v>74</v>
      </c>
      <c r="J101" s="20">
        <v>2</v>
      </c>
      <c r="K101" s="19"/>
      <c r="L101" s="149">
        <v>74</v>
      </c>
      <c r="M101" s="149">
        <v>74</v>
      </c>
      <c r="N101" s="20">
        <v>1</v>
      </c>
      <c r="O101" s="20"/>
      <c r="P101" s="172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5">
        <f t="shared" si="6"/>
        <v>5</v>
      </c>
      <c r="AA101" s="140">
        <f t="shared" si="7"/>
        <v>4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8">
        <v>11</v>
      </c>
      <c r="E102" s="148">
        <v>11</v>
      </c>
      <c r="F102" s="20"/>
      <c r="G102" s="19"/>
      <c r="H102" s="149">
        <v>74</v>
      </c>
      <c r="I102" s="149">
        <v>74</v>
      </c>
      <c r="J102" s="20">
        <v>2</v>
      </c>
      <c r="K102" s="19"/>
      <c r="L102" s="149">
        <v>74</v>
      </c>
      <c r="M102" s="149">
        <v>74</v>
      </c>
      <c r="N102" s="20">
        <v>1</v>
      </c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5">
        <f t="shared" si="6"/>
        <v>5</v>
      </c>
      <c r="AA102" s="140">
        <f t="shared" si="7"/>
        <v>4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8">
        <v>11</v>
      </c>
      <c r="E103" s="148">
        <v>11</v>
      </c>
      <c r="F103" s="20"/>
      <c r="G103" s="19"/>
      <c r="H103" s="149">
        <v>74</v>
      </c>
      <c r="I103" s="8">
        <v>32</v>
      </c>
      <c r="J103" s="20">
        <v>2</v>
      </c>
      <c r="K103" s="19" t="s">
        <v>162</v>
      </c>
      <c r="L103" s="149">
        <v>74</v>
      </c>
      <c r="M103" s="166">
        <v>33</v>
      </c>
      <c r="N103" s="20">
        <v>1</v>
      </c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5">
        <f t="shared" si="6"/>
        <v>5</v>
      </c>
      <c r="AA103" s="140">
        <f t="shared" si="7"/>
        <v>5</v>
      </c>
      <c r="AB103" s="8">
        <f t="shared" si="8"/>
        <v>3</v>
      </c>
      <c r="AC103" s="23">
        <f t="shared" si="9"/>
        <v>2</v>
      </c>
      <c r="AD103" s="18"/>
    </row>
    <row r="104" spans="1:30" ht="30" customHeight="1" x14ac:dyDescent="0.35">
      <c r="A104" s="6" t="s">
        <v>166</v>
      </c>
      <c r="B104" s="6" t="s">
        <v>126</v>
      </c>
      <c r="C104" s="7">
        <v>46241</v>
      </c>
      <c r="D104" s="148">
        <v>11</v>
      </c>
      <c r="E104" s="148">
        <v>11</v>
      </c>
      <c r="F104" s="20"/>
      <c r="G104" s="19"/>
      <c r="H104" s="155">
        <v>32</v>
      </c>
      <c r="I104" s="155">
        <v>32</v>
      </c>
      <c r="J104" s="155">
        <v>2</v>
      </c>
      <c r="K104" s="156" t="s">
        <v>163</v>
      </c>
      <c r="L104" s="166">
        <v>33</v>
      </c>
      <c r="M104" s="166">
        <v>33</v>
      </c>
      <c r="N104" s="155">
        <v>1</v>
      </c>
      <c r="O104" s="155" t="s">
        <v>163</v>
      </c>
      <c r="P104" s="8">
        <v>45</v>
      </c>
      <c r="Q104" s="155">
        <v>45</v>
      </c>
      <c r="R104" s="155">
        <v>2</v>
      </c>
      <c r="S104" s="155"/>
      <c r="T104" s="8">
        <v>50</v>
      </c>
      <c r="U104" s="155"/>
      <c r="V104" s="155">
        <v>2</v>
      </c>
      <c r="W104" s="155"/>
      <c r="X104" s="22"/>
      <c r="Y104" s="22"/>
      <c r="Z104" s="145">
        <f t="shared" si="6"/>
        <v>7</v>
      </c>
      <c r="AA104" s="140">
        <f t="shared" si="7"/>
        <v>4</v>
      </c>
      <c r="AB104" s="8">
        <f t="shared" si="8"/>
        <v>0</v>
      </c>
      <c r="AC104" s="23">
        <f t="shared" si="9"/>
        <v>1</v>
      </c>
      <c r="AD104" s="18"/>
    </row>
    <row r="105" spans="1:30" ht="30" customHeight="1" x14ac:dyDescent="0.35">
      <c r="A105" s="6" t="s">
        <v>166</v>
      </c>
      <c r="B105" s="6" t="s">
        <v>127</v>
      </c>
      <c r="C105" s="7">
        <v>46242</v>
      </c>
      <c r="D105" s="148">
        <v>11</v>
      </c>
      <c r="E105" s="8"/>
      <c r="F105" s="20"/>
      <c r="G105" s="19"/>
      <c r="H105" s="155">
        <v>32</v>
      </c>
      <c r="I105" s="155">
        <v>32</v>
      </c>
      <c r="J105" s="155">
        <v>2</v>
      </c>
      <c r="K105" s="156"/>
      <c r="L105" s="166">
        <v>33</v>
      </c>
      <c r="M105" s="166">
        <v>33</v>
      </c>
      <c r="N105" s="155">
        <v>1</v>
      </c>
      <c r="O105" s="155"/>
      <c r="P105" s="155">
        <v>45</v>
      </c>
      <c r="Q105" s="155">
        <v>45</v>
      </c>
      <c r="R105" s="155">
        <v>2</v>
      </c>
      <c r="S105" s="155"/>
      <c r="T105" s="155"/>
      <c r="U105" s="155"/>
      <c r="V105" s="155"/>
      <c r="W105" s="155"/>
      <c r="X105" s="22"/>
      <c r="Y105" s="22"/>
      <c r="Z105" s="145">
        <f t="shared" si="6"/>
        <v>5</v>
      </c>
      <c r="AA105" s="140">
        <f t="shared" si="7"/>
        <v>3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6">
        <v>33</v>
      </c>
      <c r="M106" s="166">
        <v>33</v>
      </c>
      <c r="N106" s="20">
        <v>1</v>
      </c>
      <c r="O106" s="20"/>
      <c r="P106" s="155">
        <v>45</v>
      </c>
      <c r="Q106" s="8"/>
      <c r="R106" s="124">
        <v>2</v>
      </c>
      <c r="S106" s="124"/>
      <c r="T106" s="8"/>
      <c r="U106" s="8"/>
      <c r="V106" s="20"/>
      <c r="W106" s="20"/>
      <c r="X106" s="22"/>
      <c r="Y106" s="22"/>
      <c r="Z106" s="145">
        <f t="shared" si="6"/>
        <v>5</v>
      </c>
      <c r="AA106" s="140">
        <f t="shared" si="7"/>
        <v>2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162</v>
      </c>
      <c r="H107" s="8">
        <v>32</v>
      </c>
      <c r="I107" s="8">
        <v>32</v>
      </c>
      <c r="J107" s="20">
        <v>2</v>
      </c>
      <c r="K107" s="19"/>
      <c r="L107" s="166">
        <v>33</v>
      </c>
      <c r="M107" s="166">
        <v>33</v>
      </c>
      <c r="N107" s="20">
        <v>1</v>
      </c>
      <c r="O107" s="20"/>
      <c r="P107" s="8"/>
      <c r="Q107" s="8"/>
      <c r="R107" s="124"/>
      <c r="S107" s="124"/>
      <c r="T107" s="8"/>
      <c r="U107" s="8"/>
      <c r="V107" s="20"/>
      <c r="W107" s="20"/>
      <c r="X107" s="22"/>
      <c r="Y107" s="22"/>
      <c r="Z107" s="145">
        <f t="shared" si="6"/>
        <v>3</v>
      </c>
      <c r="AA107" s="140">
        <f t="shared" si="7"/>
        <v>3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6">
        <v>33</v>
      </c>
      <c r="M108" s="166">
        <v>33</v>
      </c>
      <c r="N108" s="2">
        <v>1</v>
      </c>
      <c r="O108" s="20"/>
      <c r="P108" s="8"/>
      <c r="Q108" s="8"/>
      <c r="R108" s="124"/>
      <c r="S108" s="124"/>
      <c r="T108" s="8"/>
      <c r="U108" s="8"/>
      <c r="V108" s="20"/>
      <c r="W108" s="20"/>
      <c r="X108" s="22"/>
      <c r="Y108" s="22"/>
      <c r="Z108" s="145">
        <f>F108+J108+N109+R108+V108</f>
        <v>5</v>
      </c>
      <c r="AA108" s="140">
        <f t="shared" si="7"/>
        <v>3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6">
        <v>33</v>
      </c>
      <c r="M109" s="166">
        <v>33</v>
      </c>
      <c r="N109" s="20">
        <v>1</v>
      </c>
      <c r="O109" s="20"/>
      <c r="P109" s="8"/>
      <c r="Q109" s="149">
        <v>4</v>
      </c>
      <c r="R109" s="124"/>
      <c r="S109" s="124"/>
      <c r="T109" s="8"/>
      <c r="U109" s="149">
        <v>4</v>
      </c>
      <c r="V109" s="20"/>
      <c r="W109" s="20"/>
      <c r="X109" s="22"/>
      <c r="Y109" s="22"/>
      <c r="Z109" s="145">
        <f>F109+J109+N110+R109+V109</f>
        <v>5</v>
      </c>
      <c r="AA109" s="140">
        <f t="shared" si="7"/>
        <v>5</v>
      </c>
      <c r="AB109" s="8">
        <f t="shared" si="8"/>
        <v>2</v>
      </c>
      <c r="AC109" s="23">
        <f t="shared" si="9"/>
        <v>0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6">
        <v>33</v>
      </c>
      <c r="M110" s="8">
        <v>23</v>
      </c>
      <c r="N110" s="20">
        <v>1</v>
      </c>
      <c r="O110" s="20"/>
      <c r="P110" s="149">
        <v>4</v>
      </c>
      <c r="Q110" s="149">
        <v>4</v>
      </c>
      <c r="R110" s="124">
        <v>2</v>
      </c>
      <c r="S110" s="124"/>
      <c r="T110" s="149">
        <v>4</v>
      </c>
      <c r="U110" s="149">
        <v>4</v>
      </c>
      <c r="V110" s="20">
        <v>2</v>
      </c>
      <c r="W110" s="20"/>
      <c r="X110" s="22"/>
      <c r="Y110" s="22"/>
      <c r="Z110" s="145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9">
        <v>4</v>
      </c>
      <c r="Q111" s="149">
        <v>4</v>
      </c>
      <c r="R111" s="124">
        <v>2</v>
      </c>
      <c r="S111" s="124"/>
      <c r="T111" s="149">
        <v>4</v>
      </c>
      <c r="U111" s="149">
        <v>4</v>
      </c>
      <c r="V111" s="20">
        <v>2</v>
      </c>
      <c r="W111" s="20"/>
      <c r="X111" s="22"/>
      <c r="Y111" s="22"/>
      <c r="Z111" s="145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9">
        <v>4</v>
      </c>
      <c r="Q112" s="149">
        <v>4</v>
      </c>
      <c r="R112" s="124">
        <v>2</v>
      </c>
      <c r="S112" s="124"/>
      <c r="T112" s="149">
        <v>4</v>
      </c>
      <c r="U112" s="149">
        <v>4</v>
      </c>
      <c r="V112" s="20">
        <v>2</v>
      </c>
      <c r="W112" s="20"/>
      <c r="X112" s="22"/>
      <c r="Y112" s="22"/>
      <c r="Z112" s="145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66">
        <v>46</v>
      </c>
      <c r="J113" s="20"/>
      <c r="K113" s="19"/>
      <c r="L113" s="8">
        <v>23</v>
      </c>
      <c r="M113" s="8"/>
      <c r="N113" s="20">
        <v>2</v>
      </c>
      <c r="O113" s="20"/>
      <c r="P113" s="149">
        <v>4</v>
      </c>
      <c r="Q113" s="165">
        <v>51</v>
      </c>
      <c r="R113" s="124">
        <v>2</v>
      </c>
      <c r="S113" s="124"/>
      <c r="T113" s="149">
        <v>4</v>
      </c>
      <c r="U113" s="8"/>
      <c r="V113" s="20">
        <v>2</v>
      </c>
      <c r="W113" s="20"/>
      <c r="X113" s="22"/>
      <c r="Y113" s="22"/>
      <c r="Z113" s="145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66">
        <v>46</v>
      </c>
      <c r="I114" s="166">
        <v>46</v>
      </c>
      <c r="J114" s="20"/>
      <c r="K114" s="19"/>
      <c r="L114" s="14"/>
      <c r="M114" s="8">
        <v>52</v>
      </c>
      <c r="N114" s="20"/>
      <c r="O114" s="20"/>
      <c r="P114" s="169">
        <v>51</v>
      </c>
      <c r="Q114" s="165">
        <v>51</v>
      </c>
      <c r="R114" s="124">
        <v>2</v>
      </c>
      <c r="S114" s="124" t="s">
        <v>274</v>
      </c>
      <c r="T114" s="8"/>
      <c r="U114" s="149">
        <v>21</v>
      </c>
      <c r="V114" s="20"/>
      <c r="W114" s="20" t="s">
        <v>165</v>
      </c>
      <c r="X114" s="22"/>
      <c r="Y114" s="22"/>
      <c r="Z114" s="145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6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9">
        <v>51</v>
      </c>
      <c r="Q115" s="165">
        <v>51</v>
      </c>
      <c r="R115" s="124">
        <v>2</v>
      </c>
      <c r="S115" s="124"/>
      <c r="T115" s="149">
        <v>21</v>
      </c>
      <c r="U115" s="149">
        <v>21</v>
      </c>
      <c r="V115" s="20">
        <v>2</v>
      </c>
      <c r="W115" s="20" t="s">
        <v>275</v>
      </c>
      <c r="X115" s="22"/>
      <c r="Y115" s="22"/>
      <c r="Z115" s="145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9">
        <v>51</v>
      </c>
      <c r="Q116" s="165">
        <v>51</v>
      </c>
      <c r="R116" s="124">
        <v>2</v>
      </c>
      <c r="S116" s="124"/>
      <c r="T116" s="149">
        <v>21</v>
      </c>
      <c r="U116" s="149">
        <v>21</v>
      </c>
      <c r="V116" s="20">
        <v>2</v>
      </c>
      <c r="W116" s="20"/>
      <c r="X116" s="22"/>
      <c r="Y116" s="22"/>
      <c r="Z116" s="145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70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9">
        <v>51</v>
      </c>
      <c r="Q117" s="165">
        <v>51</v>
      </c>
      <c r="R117" s="124">
        <v>2</v>
      </c>
      <c r="S117" s="124"/>
      <c r="T117" s="149">
        <v>21</v>
      </c>
      <c r="U117" s="149">
        <v>21</v>
      </c>
      <c r="V117" s="20">
        <v>2</v>
      </c>
      <c r="W117" s="20"/>
      <c r="X117" s="22"/>
      <c r="Y117" s="170">
        <v>54</v>
      </c>
      <c r="Z117" s="145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71">
        <v>54</v>
      </c>
      <c r="I118" s="170">
        <v>54</v>
      </c>
      <c r="J118" s="20">
        <v>2</v>
      </c>
      <c r="K118" s="19"/>
      <c r="L118" s="14">
        <v>52</v>
      </c>
      <c r="M118" s="170">
        <v>54</v>
      </c>
      <c r="N118" s="20">
        <v>2</v>
      </c>
      <c r="O118" s="20"/>
      <c r="P118" s="169">
        <v>51</v>
      </c>
      <c r="Q118" s="8"/>
      <c r="R118" s="124">
        <v>2</v>
      </c>
      <c r="S118" s="124"/>
      <c r="T118" s="149">
        <v>21</v>
      </c>
      <c r="U118" s="149">
        <v>21</v>
      </c>
      <c r="V118" s="20">
        <v>2</v>
      </c>
      <c r="W118" s="20"/>
      <c r="X118" s="170">
        <v>54</v>
      </c>
      <c r="Y118" s="22"/>
      <c r="Z118" s="145">
        <f t="shared" si="6"/>
        <v>10</v>
      </c>
      <c r="AA118" s="140">
        <f t="shared" si="7"/>
        <v>3</v>
      </c>
      <c r="AB118" s="8">
        <f t="shared" si="10"/>
        <v>1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71">
        <v>54</v>
      </c>
      <c r="I119" s="170">
        <v>54</v>
      </c>
      <c r="J119" s="20">
        <v>2</v>
      </c>
      <c r="K119" s="19"/>
      <c r="L119" s="170">
        <v>54</v>
      </c>
      <c r="M119" s="170">
        <v>54</v>
      </c>
      <c r="N119" s="20">
        <v>2</v>
      </c>
      <c r="O119" s="20"/>
      <c r="P119" s="8"/>
      <c r="Q119" s="8"/>
      <c r="R119" s="124"/>
      <c r="S119" s="124" t="s">
        <v>32</v>
      </c>
      <c r="T119" s="149">
        <v>21</v>
      </c>
      <c r="U119" s="8">
        <v>25</v>
      </c>
      <c r="V119" s="124">
        <v>2</v>
      </c>
      <c r="W119" s="124" t="s">
        <v>32</v>
      </c>
      <c r="X119" s="22"/>
      <c r="Y119" s="22"/>
      <c r="Z119" s="145">
        <f t="shared" si="6"/>
        <v>6</v>
      </c>
      <c r="AA119" s="140">
        <f t="shared" si="7"/>
        <v>4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71">
        <v>54</v>
      </c>
      <c r="I120" s="8"/>
      <c r="J120" s="20">
        <v>2</v>
      </c>
      <c r="K120" s="19"/>
      <c r="L120" s="170">
        <v>54</v>
      </c>
      <c r="M120" s="8"/>
      <c r="N120" s="20">
        <v>2</v>
      </c>
      <c r="O120" s="20"/>
      <c r="P120" s="8"/>
      <c r="Q120" s="8"/>
      <c r="R120" s="124"/>
      <c r="S120" s="124" t="s">
        <v>57</v>
      </c>
      <c r="T120" s="8">
        <v>25</v>
      </c>
      <c r="U120" s="8">
        <v>25</v>
      </c>
      <c r="V120" s="124"/>
      <c r="W120" s="124" t="s">
        <v>57</v>
      </c>
      <c r="X120" s="22"/>
      <c r="Y120" s="22"/>
      <c r="Z120" s="145">
        <f t="shared" si="6"/>
        <v>4</v>
      </c>
      <c r="AA120" s="140">
        <f t="shared" si="7"/>
        <v>2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/>
      <c r="Q121" s="8"/>
      <c r="R121" s="124"/>
      <c r="S121" s="124"/>
      <c r="T121" s="8">
        <v>25</v>
      </c>
      <c r="U121" s="8">
        <v>25</v>
      </c>
      <c r="V121" s="124"/>
      <c r="W121" s="124"/>
      <c r="X121" s="22"/>
      <c r="Y121" s="22"/>
      <c r="Z121" s="145">
        <f t="shared" si="6"/>
        <v>0</v>
      </c>
      <c r="AA121" s="140">
        <f t="shared" si="7"/>
        <v>3</v>
      </c>
      <c r="AB121" s="8">
        <f t="shared" si="10"/>
        <v>1</v>
      </c>
      <c r="AC121" s="23">
        <f t="shared" si="11"/>
        <v>0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24"/>
      <c r="S122" s="124"/>
      <c r="T122" s="8">
        <v>25</v>
      </c>
      <c r="U122" s="8">
        <v>25</v>
      </c>
      <c r="V122" s="124"/>
      <c r="W122" s="124"/>
      <c r="X122" s="22"/>
      <c r="Y122" s="22"/>
      <c r="Z122" s="145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71</v>
      </c>
      <c r="J123" s="124"/>
      <c r="K123" s="124" t="s">
        <v>32</v>
      </c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24"/>
      <c r="S123" s="124"/>
      <c r="T123" s="8">
        <v>25</v>
      </c>
      <c r="U123" s="8">
        <v>25</v>
      </c>
      <c r="V123" s="124"/>
      <c r="W123" s="124"/>
      <c r="X123" s="22"/>
      <c r="Y123" s="22"/>
      <c r="Z123" s="145">
        <f t="shared" si="6"/>
        <v>1</v>
      </c>
      <c r="AA123" s="140">
        <f t="shared" si="7"/>
        <v>5</v>
      </c>
      <c r="AB123" s="8">
        <f t="shared" si="10"/>
        <v>3</v>
      </c>
      <c r="AC123" s="23">
        <f t="shared" si="11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24">
        <v>2</v>
      </c>
      <c r="G124" s="143" t="s">
        <v>163</v>
      </c>
      <c r="H124" s="8">
        <v>71</v>
      </c>
      <c r="I124" s="8">
        <v>71</v>
      </c>
      <c r="J124" s="124"/>
      <c r="K124" s="124" t="s">
        <v>163</v>
      </c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24">
        <v>2</v>
      </c>
      <c r="S124" s="124" t="s">
        <v>163</v>
      </c>
      <c r="T124" s="8">
        <v>25</v>
      </c>
      <c r="U124" s="8"/>
      <c r="V124" s="124"/>
      <c r="W124" s="124"/>
      <c r="X124" s="22"/>
      <c r="Y124" s="22"/>
      <c r="Z124" s="145">
        <f t="shared" si="6"/>
        <v>5</v>
      </c>
      <c r="AA124" s="140">
        <f t="shared" si="7"/>
        <v>4</v>
      </c>
      <c r="AB124" s="8">
        <f t="shared" si="10"/>
        <v>0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24">
        <v>2</v>
      </c>
      <c r="G125" s="143"/>
      <c r="H125" s="8">
        <v>71</v>
      </c>
      <c r="I125" s="8">
        <v>71</v>
      </c>
      <c r="J125" s="124"/>
      <c r="K125" s="124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24">
        <v>2</v>
      </c>
      <c r="S125" s="124"/>
      <c r="T125" s="149">
        <v>35</v>
      </c>
      <c r="U125" s="149">
        <v>35</v>
      </c>
      <c r="V125" s="124">
        <v>2</v>
      </c>
      <c r="W125" s="124" t="s">
        <v>234</v>
      </c>
      <c r="X125" s="22"/>
      <c r="Y125" s="22"/>
      <c r="Z125" s="145">
        <f t="shared" si="6"/>
        <v>7</v>
      </c>
      <c r="AA125" s="140">
        <f t="shared" si="7"/>
        <v>4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24">
        <v>2</v>
      </c>
      <c r="G126" s="143"/>
      <c r="H126" s="8">
        <v>71</v>
      </c>
      <c r="I126" s="8">
        <v>71</v>
      </c>
      <c r="J126" s="124"/>
      <c r="K126" s="124"/>
      <c r="L126" s="8"/>
      <c r="M126" s="8"/>
      <c r="N126" s="20"/>
      <c r="O126" s="20"/>
      <c r="P126" s="8">
        <v>78</v>
      </c>
      <c r="Q126" s="8">
        <v>78</v>
      </c>
      <c r="R126" s="124">
        <v>2</v>
      </c>
      <c r="S126" s="124"/>
      <c r="T126" s="149">
        <v>35</v>
      </c>
      <c r="U126" s="149">
        <v>35</v>
      </c>
      <c r="V126" s="124">
        <v>2</v>
      </c>
      <c r="W126" s="124"/>
      <c r="X126" s="22"/>
      <c r="Y126" s="22"/>
      <c r="Z126" s="145">
        <f t="shared" si="6"/>
        <v>6</v>
      </c>
      <c r="AA126" s="140">
        <f t="shared" si="7"/>
        <v>4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24">
        <v>2</v>
      </c>
      <c r="G127" s="143"/>
      <c r="H127" s="8">
        <v>71</v>
      </c>
      <c r="I127" s="8"/>
      <c r="J127" s="124"/>
      <c r="K127" s="124"/>
      <c r="L127" s="8"/>
      <c r="M127" s="8"/>
      <c r="N127" s="20"/>
      <c r="O127" s="20"/>
      <c r="P127" s="8">
        <v>78</v>
      </c>
      <c r="Q127" s="8">
        <v>78</v>
      </c>
      <c r="R127" s="124">
        <v>2</v>
      </c>
      <c r="S127" s="124"/>
      <c r="T127" s="149">
        <v>35</v>
      </c>
      <c r="U127" s="149">
        <v>35</v>
      </c>
      <c r="V127" s="124">
        <v>2</v>
      </c>
      <c r="W127" s="124"/>
      <c r="X127" s="22"/>
      <c r="Y127" s="22"/>
      <c r="Z127" s="145">
        <f t="shared" si="6"/>
        <v>6</v>
      </c>
      <c r="AA127" s="140">
        <f t="shared" si="7"/>
        <v>3</v>
      </c>
      <c r="AB127" s="8">
        <f t="shared" si="10"/>
        <v>0</v>
      </c>
      <c r="AC127" s="23">
        <f t="shared" si="11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24">
        <v>2</v>
      </c>
      <c r="G128" s="143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24">
        <v>2</v>
      </c>
      <c r="S128" s="124"/>
      <c r="T128" s="149">
        <v>35</v>
      </c>
      <c r="U128" s="8"/>
      <c r="V128" s="124">
        <v>2</v>
      </c>
      <c r="W128" s="124"/>
      <c r="X128" s="22"/>
      <c r="Y128" s="22"/>
      <c r="Z128" s="145">
        <f t="shared" si="6"/>
        <v>6</v>
      </c>
      <c r="AA128" s="140">
        <f t="shared" si="7"/>
        <v>1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24">
        <v>2</v>
      </c>
      <c r="S129" s="124"/>
      <c r="T129" s="8"/>
      <c r="U129" s="8"/>
      <c r="V129" s="144"/>
      <c r="W129" s="124"/>
      <c r="X129" s="22"/>
      <c r="Y129" s="22"/>
      <c r="Z129" s="145">
        <f t="shared" si="6"/>
        <v>2</v>
      </c>
      <c r="AA129" s="140">
        <f t="shared" si="7"/>
        <v>1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24">
        <v>2</v>
      </c>
      <c r="S130" s="124"/>
      <c r="T130" s="8"/>
      <c r="U130" s="8"/>
      <c r="V130" s="124"/>
      <c r="W130" s="124"/>
      <c r="X130" s="22"/>
      <c r="Y130" s="22"/>
      <c r="Z130" s="145">
        <f t="shared" si="6"/>
        <v>2</v>
      </c>
      <c r="AA130" s="140">
        <f t="shared" si="7"/>
        <v>1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24">
        <v>2</v>
      </c>
      <c r="S131" s="124"/>
      <c r="T131" s="8"/>
      <c r="U131" s="8"/>
      <c r="V131" s="124"/>
      <c r="W131" s="124"/>
      <c r="X131" s="22"/>
      <c r="Y131" s="22"/>
      <c r="Z131" s="145">
        <f t="shared" ref="Z131:Z171" si="12">F131+J131+N131+R131+V131</f>
        <v>2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5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5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5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233</v>
      </c>
      <c r="X135" s="22"/>
      <c r="Y135" s="22"/>
      <c r="Z135" s="145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5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5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5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8"/>
      <c r="F139" s="20"/>
      <c r="G139" s="19"/>
      <c r="H139" s="14"/>
      <c r="I139" s="8"/>
      <c r="J139" s="20"/>
      <c r="K139" s="19"/>
      <c r="L139" s="8"/>
      <c r="M139" s="8"/>
      <c r="N139" s="20"/>
      <c r="O139" s="20"/>
      <c r="P139" s="8"/>
      <c r="Q139" s="8"/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5">
        <f t="shared" si="12"/>
        <v>2</v>
      </c>
      <c r="AA139" s="140">
        <f t="shared" si="13"/>
        <v>1</v>
      </c>
      <c r="AB139" s="8">
        <f t="shared" si="10"/>
        <v>0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0"/>
      <c r="E140" s="8"/>
      <c r="F140" s="20"/>
      <c r="G140" s="19"/>
      <c r="H140" s="14"/>
      <c r="I140" s="8"/>
      <c r="J140" s="20"/>
      <c r="K140" s="19"/>
      <c r="L140" s="8"/>
      <c r="M140" s="8"/>
      <c r="N140" s="20"/>
      <c r="O140" s="20"/>
      <c r="P140" s="8"/>
      <c r="Q140" s="8"/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5">
        <f t="shared" si="12"/>
        <v>2</v>
      </c>
      <c r="AA140" s="140">
        <f t="shared" si="13"/>
        <v>1</v>
      </c>
      <c r="AB140" s="8">
        <f t="shared" si="10"/>
        <v>0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0"/>
      <c r="E141" s="8"/>
      <c r="F141" s="20"/>
      <c r="G141" s="19"/>
      <c r="H141" s="14"/>
      <c r="I141" s="8"/>
      <c r="J141" s="20"/>
      <c r="K141" s="19"/>
      <c r="L141" s="8"/>
      <c r="M141" s="8"/>
      <c r="N141" s="20"/>
      <c r="O141" s="20"/>
      <c r="P141" s="8"/>
      <c r="Q141" s="8"/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5">
        <f t="shared" si="12"/>
        <v>2</v>
      </c>
      <c r="AA141" s="140">
        <f t="shared" si="13"/>
        <v>1</v>
      </c>
      <c r="AB141" s="8">
        <f t="shared" si="10"/>
        <v>0</v>
      </c>
      <c r="AC141" s="23">
        <f t="shared" si="11"/>
        <v>0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0"/>
      <c r="E142" s="8"/>
      <c r="F142" s="20"/>
      <c r="G142" s="19"/>
      <c r="H142" s="14"/>
      <c r="I142" s="8"/>
      <c r="J142" s="20"/>
      <c r="K142" s="19"/>
      <c r="L142" s="8"/>
      <c r="M142" s="8"/>
      <c r="N142" s="20"/>
      <c r="O142" s="20"/>
      <c r="P142" s="8"/>
      <c r="Q142" s="8"/>
      <c r="R142" s="124"/>
      <c r="S142" s="124"/>
      <c r="T142" s="8">
        <v>22</v>
      </c>
      <c r="U142" s="8">
        <v>22</v>
      </c>
      <c r="V142" s="20">
        <v>2</v>
      </c>
      <c r="W142" s="20"/>
      <c r="X142" s="22"/>
      <c r="Y142" s="22"/>
      <c r="Z142" s="145">
        <f t="shared" si="12"/>
        <v>2</v>
      </c>
      <c r="AA142" s="140">
        <f t="shared" si="13"/>
        <v>1</v>
      </c>
      <c r="AB142" s="8">
        <f t="shared" si="10"/>
        <v>0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10"/>
      <c r="E143" s="8"/>
      <c r="F143" s="20"/>
      <c r="G143" s="19"/>
      <c r="H143" s="14"/>
      <c r="I143" s="8"/>
      <c r="J143" s="20"/>
      <c r="K143" s="19"/>
      <c r="L143" s="8"/>
      <c r="M143" s="8"/>
      <c r="N143" s="20"/>
      <c r="O143" s="20"/>
      <c r="P143" s="8"/>
      <c r="Q143" s="8"/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5">
        <f t="shared" si="12"/>
        <v>2</v>
      </c>
      <c r="AA143" s="140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10"/>
      <c r="E144" s="8"/>
      <c r="F144" s="20"/>
      <c r="G144" s="19"/>
      <c r="H144" s="14"/>
      <c r="I144" s="8">
        <v>47</v>
      </c>
      <c r="J144" s="20"/>
      <c r="K144" s="19" t="s">
        <v>165</v>
      </c>
      <c r="L144" s="8"/>
      <c r="M144" s="8"/>
      <c r="N144" s="20"/>
      <c r="O144" s="20"/>
      <c r="P144" s="8"/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5">
        <f t="shared" si="12"/>
        <v>2</v>
      </c>
      <c r="AA144" s="140">
        <f t="shared" si="13"/>
        <v>2</v>
      </c>
      <c r="AB144" s="8">
        <f t="shared" si="14"/>
        <v>1</v>
      </c>
      <c r="AC144" s="23">
        <f t="shared" si="15"/>
        <v>0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8">
        <v>47</v>
      </c>
      <c r="I145" s="8">
        <v>47</v>
      </c>
      <c r="J145" s="20">
        <v>2</v>
      </c>
      <c r="K145" s="19"/>
      <c r="L145" s="8"/>
      <c r="M145" s="8"/>
      <c r="N145" s="20"/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5">
        <f t="shared" si="12"/>
        <v>2</v>
      </c>
      <c r="AA145" s="140">
        <f t="shared" si="13"/>
        <v>3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8">
        <v>47</v>
      </c>
      <c r="I146" s="8">
        <v>47</v>
      </c>
      <c r="J146" s="20">
        <v>2</v>
      </c>
      <c r="K146" s="19"/>
      <c r="L146" s="8"/>
      <c r="M146" s="8"/>
      <c r="N146" s="20"/>
      <c r="O146" s="20"/>
      <c r="P146" s="8">
        <v>42</v>
      </c>
      <c r="Q146" s="8">
        <v>42</v>
      </c>
      <c r="R146" s="124"/>
      <c r="S146" s="124"/>
      <c r="T146" s="8"/>
      <c r="U146" s="148">
        <v>3</v>
      </c>
      <c r="V146" s="20"/>
      <c r="W146" s="20"/>
      <c r="X146" s="22"/>
      <c r="Y146" s="22"/>
      <c r="Z146" s="145">
        <f t="shared" si="12"/>
        <v>2</v>
      </c>
      <c r="AA146" s="140">
        <f t="shared" si="13"/>
        <v>4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8">
        <v>47</v>
      </c>
      <c r="I147" s="8">
        <v>47</v>
      </c>
      <c r="J147" s="20">
        <v>2</v>
      </c>
      <c r="K147" s="19"/>
      <c r="L147" s="8"/>
      <c r="M147" s="8"/>
      <c r="N147" s="20"/>
      <c r="O147" s="20"/>
      <c r="P147" s="8">
        <v>42</v>
      </c>
      <c r="Q147" s="8">
        <v>42</v>
      </c>
      <c r="R147" s="124"/>
      <c r="S147" s="124"/>
      <c r="T147" s="148">
        <v>3</v>
      </c>
      <c r="U147" s="148">
        <v>3</v>
      </c>
      <c r="V147" s="20">
        <v>2</v>
      </c>
      <c r="W147" s="20"/>
      <c r="X147" s="22"/>
      <c r="Y147" s="22"/>
      <c r="Z147" s="145">
        <f t="shared" si="12"/>
        <v>4</v>
      </c>
      <c r="AA147" s="140">
        <f t="shared" si="13"/>
        <v>4</v>
      </c>
      <c r="AB147" s="8">
        <f t="shared" si="14"/>
        <v>0</v>
      </c>
      <c r="AC147" s="23">
        <f t="shared" si="15"/>
        <v>0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8">
        <v>47</v>
      </c>
      <c r="I148" s="8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8">
        <v>3</v>
      </c>
      <c r="U148" s="8"/>
      <c r="V148" s="20">
        <v>2</v>
      </c>
      <c r="W148" s="20"/>
      <c r="X148" s="22"/>
      <c r="Y148" s="22"/>
      <c r="Z148" s="145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5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5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5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5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5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5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5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5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5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5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5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5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5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167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5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5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5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5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5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5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5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5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5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5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116:N171 D2:H8 I2:I9 I11:I57 D9:G15 H9:H10 H12:H15 D16:H52 J2:N57 H53:H57 H58:M58 D53:G58 O2:Y171 D59:M115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46088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IFERROR(IF(AND(booking!AB14&gt;0,booking!D14&lt;&gt;booking!E14),VLOOKUP(booking!E14,Database!$A$1:'Database'!$L$175,6,FALSE),"-"),"-")</f>
        <v>-</v>
      </c>
      <c r="G14" s="49" t="str">
        <f>IFERROR(IF(AND(booking!AB14&gt;0,booking!D14&lt;&gt;booking!E14),VLOOKUP(booking!E14,Database!$A$1:'Database'!$L$175,9,FALSE),"-"),"-")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-</v>
      </c>
      <c r="G18" s="49" t="str">
        <f>IFERROR(IF(AND(booking!AB18&gt;0,booking!D18&lt;&gt;booking!E18),VLOOKUP(booking!E18,Database!$A$1:'Database'!$L$175,9,FALSE),"-"),"-")</f>
        <v>-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DK</v>
      </c>
      <c r="P18" s="49">
        <f>IFERROR(IF(AND(booking!AB18&gt;0,booking!P18&lt;&gt;booking!Q18),VLOOKUP(booking!Q18,Database!$A$1:'Database'!$L$175,9,FALSE),"-"),"-")</f>
        <v>0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-</v>
      </c>
      <c r="M19" s="49" t="str">
        <f>IFERROR(IF(AND(booking!AB19&gt;0,booking!L19&lt;&gt;booking!M19),VLOOKUP(booking!M19,Database!A18:'Database'!L192,9,FALSE),"-"),"-")</f>
        <v>-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-</v>
      </c>
      <c r="P19" s="49" t="str">
        <f>IFERROR(IF(AND(booking!AB19&gt;0,booking!P19&lt;&gt;booking!Q19),VLOOKUP(booking!Q19,Database!$A$1:'Database'!$L$175,9,FALSE),"-"),"-")</f>
        <v>-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-</v>
      </c>
      <c r="S19" s="49" t="str">
        <f>IFERROR(IF(AND(booking!AB19&gt;0,booking!T19&lt;&gt;booking!U19),VLOOKUP(booking!U19,Database!$A$1:'Database'!$L$175,9,FALSE),"-"),"-")</f>
        <v>-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-</v>
      </c>
      <c r="J20" s="49" t="str">
        <f>IFERROR(IF(AND(booking!AB20&gt;0,booking!H20&lt;&gt;booking!I20),VLOOKUP(booking!I20,Database!$A$1:'Database'!$L$175,9,FALSE),"-"),"-")</f>
        <v>-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-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udc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-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-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-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-</v>
      </c>
      <c r="O22" s="49" t="str">
        <f>IFERROR(IF(AND(booking!AB22&gt;0,booking!P22&lt;&gt;booking!Q22),VLOOKUP(booking!Q22,Database!$A$1:'Database'!$L$175,6,FALSE),"-"),"-")</f>
        <v>-</v>
      </c>
      <c r="P22" s="49" t="str">
        <f>IFERROR(IF(AND(booking!AB22&gt;0,booking!P22&lt;&gt;booking!Q22),VLOOKUP(booking!Q22,Database!$A$1:'Database'!$L$175,9,FALSE),"-"),"-")</f>
        <v>-</v>
      </c>
      <c r="Q22" s="53" t="str">
        <f>IF(AND(booking!T22&lt;&gt;booking!U22,booking!T22&gt;0),"udc","-")</f>
        <v>-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-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-</v>
      </c>
      <c r="S34" s="49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-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-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DK</v>
      </c>
      <c r="P64" s="49" t="str">
        <f>IFERROR(IF(AND(booking!AB64&gt;0,booking!P64&lt;&gt;booking!Q64),VLOOKUP(booking!Q64,Database!$A$1:'Database'!$L$175,9,FALSE),"-"),"-")</f>
        <v>sing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-</v>
      </c>
      <c r="P65" s="49" t="str">
        <f>IFERROR(IF(AND(booking!AB65&gt;0,booking!P65&lt;&gt;booking!Q65),VLOOKUP(booking!Q65,Database!$A$1:'Database'!$L$175,9,FALSE),"-"),"-")</f>
        <v>-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Y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udc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-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-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-</v>
      </c>
      <c r="I70" s="49" t="str">
        <f>IFERROR(IF(AND(booking!AB70&gt;0,booking!H70&lt;&gt;booking!I70),VLOOKUP(booking!I70,Database!$A$1:'Database'!$L$175,6,FALSE),"-"),"-")</f>
        <v>-</v>
      </c>
      <c r="J70" s="49" t="str">
        <f>IFERROR(IF(AND(booking!AB70&gt;0,booking!H70&lt;&gt;booking!I70),VLOOKUP(booking!I70,Database!$A$1:'Database'!$L$175,9,FALSE),"-"),"-")</f>
        <v>-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-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-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-</v>
      </c>
      <c r="G97" s="49" t="str">
        <f>IFERROR(IF(AND(booking!AB97&gt;0,booking!D97&lt;&gt;booking!E97),VLOOKUP(booking!E97,Database!$A$1:'Database'!$L$175,9,FALSE),"-"),"-")</f>
        <v>-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-</v>
      </c>
      <c r="E100" s="53" t="str">
        <f>IF(AND(booking!D100&lt;&gt;booking!E100,booking!D100&gt;0),"udc","-")</f>
        <v>-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-</v>
      </c>
      <c r="S104" s="49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-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-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-</v>
      </c>
      <c r="P118" s="49" t="str">
        <f>IFERROR(IF(AND(booking!AB118&gt;0,booking!P118&lt;&gt;booking!Q118),VLOOKUP(booking!Q118,Database!$A$1:'Database'!$L$175,9,FALSE),"-"),"-")</f>
        <v>-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-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-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</v>
      </c>
      <c r="J123" s="49" t="str">
        <f>IFERROR(IF(AND(booking!AB123&gt;0,booking!H123&lt;&gt;booking!I123),VLOOKUP(booking!I123,Database!$A$1:'Database'!$L$175,9,FALSE),"-"),"-")</f>
        <v>sing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>
        <f>IFERROR(IF(AND(booking!AB123&gt;0,booking!P123&lt;&gt;booking!Q123),VLOOKUP(booking!Q123,Database!$A$1:'Database'!$L$175,9,FALSE),"-"),"-")</f>
        <v>0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-</v>
      </c>
      <c r="S124" s="49" t="str">
        <f>IFERROR(IF(AND(booking!AB124&gt;0,booking!T124&lt;&gt;booking!U124),VLOOKUP(booking!U124,Database!$A$1:'Database'!$L$175,9,FALSE),"-"),"-")</f>
        <v>-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-</v>
      </c>
      <c r="G139" s="49" t="str">
        <f>IFERROR(IF(AND(booking!AB139&gt;0,booking!D139&lt;&gt;booking!E139),VLOOKUP(booking!E139,Database!$A$1:'Database'!$L$175,9,FALSE),"-"),"-")</f>
        <v>-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-</v>
      </c>
      <c r="J139" s="49" t="str">
        <f>IFERROR(IF(AND(booking!AB139&gt;0,booking!H139&lt;&gt;booking!I139),VLOOKUP(booking!I139,Database!$A$1:'Database'!$L$175,9,FALSE),"-"),"-")</f>
        <v>-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-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-</v>
      </c>
      <c r="E141" s="53" t="str">
        <f>IF(AND(booking!D141&lt;&gt;booking!E141,booking!D141&gt;0),"udc","-")</f>
        <v>-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-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-</v>
      </c>
      <c r="G142" s="49" t="str">
        <f>IFERROR(IF(AND(booking!AB142&gt;0,booking!D142&lt;&gt;booking!E142),VLOOKUP(booking!E142,Database!$A$1:'Database'!$L$175,9,FALSE),"-"),"-")</f>
        <v>-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-</v>
      </c>
      <c r="P142" s="49" t="str">
        <f>IFERROR(IF(AND(booking!AB142&gt;0,booking!P142&lt;&gt;booking!Q142),VLOOKUP(booking!Q142,Database!$A$1:'Database'!$L$175,9,FALSE),"-"),"-")</f>
        <v>-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-</v>
      </c>
      <c r="E144" s="53" t="str">
        <f>IF(AND(booking!D144&lt;&gt;booking!E144,booking!D144&gt;0),"udc","-")</f>
        <v>-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-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-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-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 activeCell="L14" sqref="L1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customWidth="1"/>
    <col min="15" max="17" width="6.54296875" style="78" customWidth="1"/>
    <col min="18" max="18" width="6.54296875" style="77" customWidth="1"/>
    <col min="19" max="21" width="6.54296875" style="78" customWidth="1"/>
    <col min="22" max="22" width="6.54296875" customWidth="1"/>
    <col min="23" max="25" width="6.54296875" style="78" customWidth="1"/>
  </cols>
  <sheetData>
    <row r="1" spans="1:26" ht="20.149999999999999" customHeight="1" thickBot="1" x14ac:dyDescent="0.4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46088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4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4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4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4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4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>
        <f>IF(AND(D6="Y",booking!D6&lt;&gt;booking!E6,booking!E6&gt;0),booking!E6,"-")</f>
        <v>85</v>
      </c>
      <c r="F6" s="84">
        <f>IFERROR(VLOOKUP(E6,Database!$A$2:$L$175,8,FALSE),"-")</f>
        <v>0</v>
      </c>
      <c r="G6" s="84" t="str">
        <f>IFERROR(VLOOKUP(E6,Database!$A$2:$L$175,6,FALSE),"-")</f>
        <v>DK</v>
      </c>
      <c r="H6" s="100">
        <f>IFERROR(VLOOKUP(E6,Database!$A$2:$L$175,9,FALSE),"-")</f>
        <v>0</v>
      </c>
      <c r="I6" s="119"/>
      <c r="J6" s="103">
        <f>IF(AND(D6="Y",booking!H6&lt;&gt;booking!I6,booking!I6&gt;0),booking!I6,"-")</f>
        <v>82</v>
      </c>
      <c r="K6" s="84">
        <f>IFERROR(VLOOKUP(J6,Database!$A$2:$L$175,8,FALSE),"-")</f>
        <v>0</v>
      </c>
      <c r="L6" s="84" t="str">
        <f>IFERROR(VLOOKUP(J6,Database!$A$2:$L$175,6,FALSE),"-")</f>
        <v>DK</v>
      </c>
      <c r="M6" s="100">
        <f>IFERROR(VLOOKUP(J6,Database!$A$2:$L$175,9,FALSE),"-")</f>
        <v>0</v>
      </c>
      <c r="N6" s="103">
        <f>IF(AND(D6="Y",booking!L6&lt;&gt;booking!M6,booking!M6&gt;0),booking!M6,"-")</f>
        <v>68</v>
      </c>
      <c r="O6" s="84">
        <f>IFERROR(VLOOKUP(N6,Database!$A$2:$L$175,8,FALSE),"-")</f>
        <v>0</v>
      </c>
      <c r="P6" s="84" t="str">
        <f>IFERROR(VLOOKUP(N6,Database!$A$2:$L$175,6,FALSE),"-")</f>
        <v>DK</v>
      </c>
      <c r="Q6" s="88" t="str">
        <f>IFERROR(VLOOKUP(N6,Database!$A$2:$L$175,9,FALSE),"-")</f>
        <v>sing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4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4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Y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>
        <f>IF(AND(D8="Y",booking!P8&lt;&gt;booking!Q8,booking!Q8&gt;0),booking!Q8,"-")</f>
        <v>72</v>
      </c>
      <c r="S8" s="84" t="str">
        <f>IFERROR(VLOOKUP(R8,Database!$A$2:$L$175,8,FALSE),"-")</f>
        <v>1430</v>
      </c>
      <c r="T8" s="84" t="str">
        <f>IFERROR(VLOOKUP(R8,Database!$A$2:$L$175,6,FALSE),"-")</f>
        <v>DK</v>
      </c>
      <c r="U8" s="88">
        <f>IFERROR(VLOOKUP(R8,Database!$A$2:$L$175,9,FALSE),"-")</f>
        <v>0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4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4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IF(AND(D10="Y",booking!H10&lt;&gt;booking!I11,booking!I11&gt;0),booking!I11,"-")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4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Y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>
        <f>IF(AND(D11="Y",booking!H11&lt;&gt;booking!I12,booking!I12&gt;0),booking!I12,"-")</f>
        <v>80</v>
      </c>
      <c r="K11" s="84">
        <f>IFERROR(VLOOKUP(J11,Database!$A$2:$L$175,8,FALSE),"-")</f>
        <v>0</v>
      </c>
      <c r="L11" s="84" t="str">
        <f>IFERROR(VLOOKUP(J11,Database!$A$2:$L$175,6,FALSE),"-")</f>
        <v>DK</v>
      </c>
      <c r="M11" s="100" t="str">
        <f>IFERROR(VLOOKUP(J11,Database!$A$2:$L$175,9,FALSE),"-")</f>
        <v>db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4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Y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>
        <f>IF(AND(D12="Y",booking!H12&lt;&gt;booking!I12,booking!I12&gt;0),booking!I12,"-")</f>
        <v>80</v>
      </c>
      <c r="K12" s="84">
        <f>IFERROR(VLOOKUP(J12,Database!$A$2:$L$175,8,FALSE),"-")</f>
        <v>0</v>
      </c>
      <c r="L12" s="84" t="str">
        <f>IFERROR(VLOOKUP(J12,Database!$A$2:$L$175,6,FALSE),"-")</f>
        <v>DK</v>
      </c>
      <c r="M12" s="100" t="str">
        <f>IFERROR(VLOOKUP(J12,Database!$A$2:$L$175,9,FALSE),"-")</f>
        <v>db</v>
      </c>
      <c r="N12" s="103">
        <f>IF(AND(D12="Y",booking!L12&lt;&gt;booking!M12,booking!M12&gt;0),booking!M12,"-")</f>
        <v>80</v>
      </c>
      <c r="O12" s="84">
        <f>IFERROR(VLOOKUP(N12,Database!$A$2:$L$175,8,FALSE),"-")</f>
        <v>0</v>
      </c>
      <c r="P12" s="84" t="str">
        <f>IFERROR(VLOOKUP(N12,Database!$A$2:$L$175,6,FALSE),"-")</f>
        <v>DK</v>
      </c>
      <c r="Q12" s="88" t="str">
        <f>IFERROR(VLOOKUP(N12,Database!$A$2:$L$175,9,FALSE),"-")</f>
        <v>db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4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4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4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4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4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4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 t="str">
        <f>IF(AND(D18="Y",booking!D18&lt;&gt;booking!E18,booking!E18&gt;0),booking!E18,"-")</f>
        <v>-</v>
      </c>
      <c r="F18" s="84" t="str">
        <f>IFERROR(VLOOKUP(E18,Database!$A$2:$L$175,8,FALSE),"-")</f>
        <v>-</v>
      </c>
      <c r="G18" s="84" t="str">
        <f>IFERROR(VLOOKUP(E18,Database!$A$2:$L$175,6,FALSE),"-")</f>
        <v>-</v>
      </c>
      <c r="H18" s="100" t="str">
        <f>IFERROR(VLOOKUP(E18,Database!$A$2:$L$175,9,FALSE),"-")</f>
        <v>-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>
        <f>IF(AND(D18="Y",booking!P18&lt;&gt;booking!Q18,booking!Q18&gt;0),booking!Q18,"-")</f>
        <v>53</v>
      </c>
      <c r="S18" s="84">
        <f>IFERROR(VLOOKUP(R18,Database!$A$2:$L$175,8,FALSE),"-")</f>
        <v>0</v>
      </c>
      <c r="T18" s="84" t="str">
        <f>IFERROR(VLOOKUP(R18,Database!$A$2:$L$175,6,FALSE),"-")</f>
        <v>DK</v>
      </c>
      <c r="U18" s="88">
        <f>IFERROR(VLOOKUP(R18,Database!$A$2:$L$175,9,FALSE),"-")</f>
        <v>0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4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-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 t="str">
        <f>IF(AND(D19="Y",booking!L19&lt;&gt;booking!M19,booking!M19&gt;0),booking!M19,"-")</f>
        <v>-</v>
      </c>
      <c r="O19" s="84" t="str">
        <f>IFERROR(VLOOKUP(N19,Database!$A$2:$L$175,8,FALSE),"-")</f>
        <v>-</v>
      </c>
      <c r="P19" s="84" t="str">
        <f>IFERROR(VLOOKUP(N19,Database!$A$2:$L$175,6,FALSE),"-")</f>
        <v>-</v>
      </c>
      <c r="Q19" s="88" t="str">
        <f>IFERROR(VLOOKUP(N19,Database!$A$2:$L$175,9,FALSE),"-")</f>
        <v>-</v>
      </c>
      <c r="R19" s="104" t="str">
        <f>IF(AND(D19="Y",booking!P19&lt;&gt;booking!Q19,booking!Q19&gt;0),booking!Q19,"-")</f>
        <v>-</v>
      </c>
      <c r="S19" s="84" t="str">
        <f>IFERROR(VLOOKUP(R19,Database!$A$2:$L$175,8,FALSE),"-")</f>
        <v>-</v>
      </c>
      <c r="T19" s="84" t="str">
        <f>IFERROR(VLOOKUP(R19,Database!$A$2:$L$175,6,FALSE),"-")</f>
        <v>-</v>
      </c>
      <c r="U19" s="88" t="str">
        <f>IFERROR(VLOOKUP(R19,Database!$A$2:$L$175,9,FALSE),"-")</f>
        <v>-</v>
      </c>
      <c r="V19" s="103" t="str">
        <f>IF(AND(D19="Y",booking!T19&lt;&gt;booking!U19,booking!U19&gt;0),booking!U19,"-")</f>
        <v>-</v>
      </c>
      <c r="W19" s="85" t="str">
        <f>IFERROR(VLOOKUP(V19,Database!$A$2:$L$175,8,FALSE),"-")</f>
        <v>-</v>
      </c>
      <c r="X19" s="85" t="str">
        <f>IFERROR(VLOOKUP(V19,Database!$A$2:$L$175,6,FALSE),"-")</f>
        <v>-</v>
      </c>
      <c r="Y19" s="87" t="str">
        <f>IFERROR(VLOOKUP(V19,Database!$A$2:$L$175,9,FALSE),"-")</f>
        <v>-</v>
      </c>
    </row>
    <row r="20" spans="1:25" ht="15" customHeight="1" thickBot="1" x14ac:dyDescent="0.4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-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 t="str">
        <f>IF(AND(D20="Y",booking!H20&lt;&gt;booking!I20,booking!I20&gt;0),booking!I20,"-")</f>
        <v>-</v>
      </c>
      <c r="K20" s="84" t="str">
        <f>IFERROR(VLOOKUP(J20,Database!$A$2:$L$175,8,FALSE),"-")</f>
        <v>-</v>
      </c>
      <c r="L20" s="84" t="str">
        <f>IFERROR(VLOOKUP(J20,Database!$A$2:$L$175,6,FALSE),"-")</f>
        <v>-</v>
      </c>
      <c r="M20" s="100" t="str">
        <f>IFERROR(VLOOKUP(J20,Database!$A$2:$L$175,9,FALSE),"-")</f>
        <v>-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4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4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 t="str">
        <f>IF(AND(D22="Y",booking!P22&lt;&gt;booking!Q22,booking!Q22&gt;0),booking!Q22,"-")</f>
        <v>-</v>
      </c>
      <c r="S22" s="84" t="str">
        <f>IFERROR(VLOOKUP(R22,Database!$A$2:$L$175,8,FALSE),"-")</f>
        <v>-</v>
      </c>
      <c r="T22" s="84" t="str">
        <f>IFERROR(VLOOKUP(R22,Database!$A$2:$L$175,6,FALSE),"-")</f>
        <v>-</v>
      </c>
      <c r="U22" s="88" t="str">
        <f>IFERROR(VLOOKUP(R22,Database!$A$2:$L$175,9,FALSE),"-")</f>
        <v>-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4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4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4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4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4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4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4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4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4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4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4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4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-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 t="str">
        <f>IF(AND(D34="Y",booking!T34&lt;&gt;booking!U34,booking!U34&gt;0),booking!U34,"-")</f>
        <v>-</v>
      </c>
      <c r="W34" s="85" t="str">
        <f>IFERROR(VLOOKUP(V34,Database!$A$2:$L$175,8,FALSE),"-")</f>
        <v>-</v>
      </c>
      <c r="X34" s="85" t="str">
        <f>IFERROR(VLOOKUP(V34,Database!$A$2:$L$175,6,FALSE),"-")</f>
        <v>-</v>
      </c>
      <c r="Y34" s="87" t="str">
        <f>IFERROR(VLOOKUP(V34,Database!$A$2:$L$175,9,FALSE),"-")</f>
        <v>-</v>
      </c>
    </row>
    <row r="35" spans="1:25" ht="15" customHeight="1" thickBot="1" x14ac:dyDescent="0.4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-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 t="str">
        <f>IF(AND(D35="Y",booking!P35&lt;&gt;booking!Q35,booking!Q35&gt;0),booking!Q35,"-")</f>
        <v>-</v>
      </c>
      <c r="S35" s="84" t="str">
        <f>IFERROR(VLOOKUP(R35,Database!$A$2:$L$175,8,FALSE),"-")</f>
        <v>-</v>
      </c>
      <c r="T35" s="84" t="str">
        <f>IFERROR(VLOOKUP(R35,Database!$A$2:$L$175,6,FALSE),"-")</f>
        <v>-</v>
      </c>
      <c r="U35" s="88" t="str">
        <f>IFERROR(VLOOKUP(R35,Database!$A$2:$L$175,9,FALSE),"-")</f>
        <v>-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4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Y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>
        <f>IF(AND(D36="Y",booking!H36&lt;&gt;booking!I36,booking!I36&gt;0),booking!I36,"-")</f>
        <v>79</v>
      </c>
      <c r="K36" s="84">
        <f>IFERROR(VLOOKUP(J36,Database!$A$2:$L$175,8,FALSE),"-")</f>
        <v>0</v>
      </c>
      <c r="L36" s="84" t="str">
        <f>IFERROR(VLOOKUP(J36,Database!$A$2:$L$175,6,FALSE),"-")</f>
        <v>DK</v>
      </c>
      <c r="M36" s="100">
        <f>IFERROR(VLOOKUP(J36,Database!$A$2:$L$175,9,FALSE),"-")</f>
        <v>0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4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4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4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4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4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4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4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4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4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4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4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4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4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4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Y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>
        <f>IF(AND(D50="Y",booking!L50&lt;&gt;booking!M50,booking!M50&gt;0),booking!M50,"-")</f>
        <v>83</v>
      </c>
      <c r="O50" s="84">
        <f>IFERROR(VLOOKUP(N50,Database!$A$2:$L$175,8,FALSE),"-")</f>
        <v>0</v>
      </c>
      <c r="P50" s="84" t="str">
        <f>IFERROR(VLOOKUP(N50,Database!$A$2:$L$175,6,FALSE),"-")</f>
        <v>DK</v>
      </c>
      <c r="Q50" s="88">
        <f>IFERROR(VLOOKUP(N50,Database!$A$2:$L$175,9,FALSE),"-")</f>
        <v>0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4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Y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>
        <f>IF(AND(D51="Y",booking!P51&lt;&gt;booking!Q51,booking!Q51&gt;0),booking!Q51,"-")</f>
        <v>70</v>
      </c>
      <c r="S51" s="84">
        <f>IFERROR(VLOOKUP(R51,Database!$A$2:$L$175,8,FALSE),"-")</f>
        <v>0</v>
      </c>
      <c r="T51" s="84" t="str">
        <f>IFERROR(VLOOKUP(R51,Database!$A$2:$L$175,6,FALSE),"-")</f>
        <v>DK</v>
      </c>
      <c r="U51" s="88">
        <f>IFERROR(VLOOKUP(R51,Database!$A$2:$L$175,9,FALSE),"-")</f>
        <v>0</v>
      </c>
      <c r="V51" s="103">
        <f>IF(AND(D51="Y",booking!T51&lt;&gt;booking!U51,booking!U51&gt;0),booking!U51,"-")</f>
        <v>86</v>
      </c>
      <c r="W51" s="85">
        <f>IFERROR(VLOOKUP(V51,Database!$A$2:$L$175,8,FALSE),"-")</f>
        <v>0</v>
      </c>
      <c r="X51" s="85" t="str">
        <f>IFERROR(VLOOKUP(V51,Database!$A$2:$L$175,6,FALSE),"-")</f>
        <v>D</v>
      </c>
      <c r="Y51" s="87">
        <f>IFERROR(VLOOKUP(V51,Database!$A$2:$L$175,9,FALSE),"-")</f>
        <v>0</v>
      </c>
    </row>
    <row r="52" spans="1:25" ht="15" customHeight="1" thickBot="1" x14ac:dyDescent="0.4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4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>
        <f>IF(AND(D53="Y",booking!D53&lt;&gt;booking!E53,booking!E53&gt;0),booking!E53,"-")</f>
        <v>31</v>
      </c>
      <c r="F53" s="84">
        <f>IFERROR(VLOOKUP(E53,Database!$A$2:$L$175,8,FALSE),"-")</f>
        <v>0</v>
      </c>
      <c r="G53" s="84" t="str">
        <f>IFERROR(VLOOKUP(E53,Database!$A$2:$L$175,6,FALSE),"-")</f>
        <v>DK</v>
      </c>
      <c r="H53" s="100">
        <f>IFERROR(VLOOKUP(E53,Database!$A$2:$L$175,9,FALSE),"-")</f>
        <v>0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 t="str">
        <f>IF(AND(D53="Y",booking!T53&lt;&gt;booking!U53,booking!U53&gt;0),booking!U53,"-")</f>
        <v>-</v>
      </c>
      <c r="W53" s="85" t="str">
        <f>IFERROR(VLOOKUP(V53,Database!$A$2:$L$175,8,FALSE),"-")</f>
        <v>-</v>
      </c>
      <c r="X53" s="85" t="str">
        <f>IFERROR(VLOOKUP(V53,Database!$A$2:$L$175,6,FALSE),"-")</f>
        <v>-</v>
      </c>
      <c r="Y53" s="87" t="str">
        <f>IFERROR(VLOOKUP(V53,Database!$A$2:$L$175,9,FALSE),"-")</f>
        <v>-</v>
      </c>
    </row>
    <row r="54" spans="1:25" ht="15" customHeight="1" thickBot="1" x14ac:dyDescent="0.4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4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>
        <f>IF(AND(D55="Y",booking!L55&lt;&gt;booking!M55,booking!M55&gt;0),booking!M55,"-")</f>
        <v>56</v>
      </c>
      <c r="O55" s="84" t="str">
        <f>IFERROR(VLOOKUP(N55,Database!$A$2:$L$175,8,FALSE),"-")</f>
        <v>2000</v>
      </c>
      <c r="P55" s="84" t="str">
        <f>IFERROR(VLOOKUP(N55,Database!$A$2:$L$175,6,FALSE),"-")</f>
        <v>DK</v>
      </c>
      <c r="Q55" s="88" t="str">
        <f>IFERROR(VLOOKUP(N55,Database!$A$2:$L$175,9,FALSE),"-")</f>
        <v>Dobb</v>
      </c>
      <c r="R55" s="104" t="str">
        <f>IF(AND(D55="Y",booking!P55&lt;&gt;booking!Q55,booking!Q55&gt;0),booking!Q55,"-")</f>
        <v>-</v>
      </c>
      <c r="S55" s="84" t="str">
        <f>IFERROR(VLOOKUP(R55,Database!$A$2:$L$175,8,FALSE),"-")</f>
        <v>-</v>
      </c>
      <c r="T55" s="84" t="str">
        <f>IFERROR(VLOOKUP(R55,Database!$A$2:$L$175,6,FALSE),"-")</f>
        <v>-</v>
      </c>
      <c r="U55" s="88" t="str">
        <f>IFERROR(VLOOKUP(R55,Database!$A$2:$L$175,9,FALSE),"-")</f>
        <v>-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4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4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4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Y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>
        <f>IF(AND(D58="Y",booking!P58&lt;&gt;booking!Q58,booking!Q58&gt;0),booking!Q58,"-")</f>
        <v>37</v>
      </c>
      <c r="S58" s="84" t="str">
        <f>IFERROR(VLOOKUP(R58,Database!$A$2:$L$175,8,FALSE),"-")</f>
        <v>1430</v>
      </c>
      <c r="T58" s="84" t="str">
        <f>IFERROR(VLOOKUP(R58,Database!$A$2:$L$175,6,FALSE),"-")</f>
        <v>DK</v>
      </c>
      <c r="U58" s="88">
        <f>IFERROR(VLOOKUP(R58,Database!$A$2:$L$175,9,FALSE),"-")</f>
        <v>0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4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4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4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>
        <f>IF(AND(D61="Y",booking!P61&lt;&gt;booking!Q61,booking!Q61&gt;0),booking!Q61,"-")</f>
        <v>64</v>
      </c>
      <c r="S61" s="84">
        <f>IFERROR(VLOOKUP(R61,Database!$A$2:$L$175,8,FALSE),"-")</f>
        <v>0</v>
      </c>
      <c r="T61" s="84" t="str">
        <f>IFERROR(VLOOKUP(R61,Database!$A$2:$L$175,6,FALSE),"-")</f>
        <v>S</v>
      </c>
      <c r="U61" s="88" t="str">
        <f>IFERROR(VLOOKUP(R61,Database!$A$2:$L$175,9,FALSE),"-")</f>
        <v>sing</v>
      </c>
      <c r="V61" s="103" t="str">
        <f>IF(AND(D61="Y",booking!T61&lt;&gt;booking!U61,booking!U61&gt;0),booking!U61,"-")</f>
        <v>-</v>
      </c>
      <c r="W61" s="85" t="str">
        <f>IFERROR(VLOOKUP(V61,Database!$A$2:$L$175,8,FALSE),"-")</f>
        <v>-</v>
      </c>
      <c r="X61" s="85" t="str">
        <f>IFERROR(VLOOKUP(V61,Database!$A$2:$L$175,6,FALSE),"-")</f>
        <v>-</v>
      </c>
      <c r="Y61" s="87" t="str">
        <f>IFERROR(VLOOKUP(V61,Database!$A$2:$L$175,9,FALSE),"-")</f>
        <v>-</v>
      </c>
    </row>
    <row r="62" spans="1:25" ht="15" customHeight="1" thickBot="1" x14ac:dyDescent="0.4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>
        <f>IF(AND(D62="Y",booking!D62&lt;&gt;booking!E62,booking!E62&gt;0),booking!E62,"-")</f>
        <v>87</v>
      </c>
      <c r="F62" s="84">
        <f>IFERROR(VLOOKUP(E62,Database!$A$2:$L$175,8,FALSE),"-")</f>
        <v>0</v>
      </c>
      <c r="G62" s="84" t="str">
        <f>IFERROR(VLOOKUP(E62,Database!$A$2:$L$175,6,FALSE),"-")</f>
        <v>D</v>
      </c>
      <c r="H62" s="100">
        <f>IFERROR(VLOOKUP(E62,Database!$A$2:$L$175,9,FALSE),"-")</f>
        <v>0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4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Y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>
        <f>IF(AND(D63="Y",booking!T63&lt;&gt;booking!U63,booking!U63&gt;0),booking!U63,"-")</f>
        <v>77</v>
      </c>
      <c r="W63" s="85">
        <f>IFERROR(VLOOKUP(V63,Database!$A$2:$L$175,8,FALSE),"-")</f>
        <v>0</v>
      </c>
      <c r="X63" s="85" t="str">
        <f>IFERROR(VLOOKUP(V63,Database!$A$2:$L$175,6,FALSE),"-")</f>
        <v>DK</v>
      </c>
      <c r="Y63" s="87">
        <f>IFERROR(VLOOKUP(V63,Database!$A$2:$L$175,9,FALSE),"-")</f>
        <v>0</v>
      </c>
    </row>
    <row r="64" spans="1:25" ht="15" customHeight="1" thickBot="1" x14ac:dyDescent="0.4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Y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>
        <f>IF(AND(D64="Y",booking!P64&lt;&gt;booking!Q64,booking!Q64&gt;0),booking!Q64,"-")</f>
        <v>76</v>
      </c>
      <c r="S64" s="84">
        <f>IFERROR(VLOOKUP(R64,Database!$A$2:$L$175,8,FALSE),"-")</f>
        <v>0</v>
      </c>
      <c r="T64" s="84" t="str">
        <f>IFERROR(VLOOKUP(R64,Database!$A$2:$L$175,6,FALSE),"-")</f>
        <v>DK</v>
      </c>
      <c r="U64" s="88" t="str">
        <f>IFERROR(VLOOKUP(R64,Database!$A$2:$L$175,9,FALSE),"-")</f>
        <v>sing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4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-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 t="str">
        <f>IF(AND(D65="Y",booking!P65&lt;&gt;booking!Q65,booking!Q65&gt;0),booking!Q65,"-")</f>
        <v>-</v>
      </c>
      <c r="S65" s="84" t="str">
        <f>IFERROR(VLOOKUP(R65,Database!$A$2:$L$175,8,FALSE),"-")</f>
        <v>-</v>
      </c>
      <c r="T65" s="84" t="str">
        <f>IFERROR(VLOOKUP(R65,Database!$A$2:$L$175,6,FALSE),"-")</f>
        <v>-</v>
      </c>
      <c r="U65" s="88" t="str">
        <f>IFERROR(VLOOKUP(R65,Database!$A$2:$L$175,9,FALSE),"-")</f>
        <v>-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4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4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-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 t="str">
        <f>IF(AND(D67="Y",booking!H67&lt;&gt;booking!I67,booking!I67&gt;0),booking!I67,"-")</f>
        <v>-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4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4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4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 t="str">
        <f>IF(AND(D70="Y",booking!H70&lt;&gt;booking!I70,booking!I70&gt;0),booking!I70,"-")</f>
        <v>-</v>
      </c>
      <c r="K70" s="84" t="str">
        <f>IFERROR(VLOOKUP(J70,Database!$A$2:$L$175,8,FALSE),"-")</f>
        <v>-</v>
      </c>
      <c r="L70" s="84" t="str">
        <f>IFERROR(VLOOKUP(J70,Database!$A$2:$L$175,6,FALSE),"-")</f>
        <v>-</v>
      </c>
      <c r="M70" s="100" t="str">
        <f>IFERROR(VLOOKUP(J70,Database!$A$2:$L$175,9,FALSE),"-")</f>
        <v>-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4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4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4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4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4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Y</v>
      </c>
      <c r="E75" s="102">
        <f>IF(AND(D75="Y",booking!D75&lt;&gt;booking!E75,booking!E75&gt;0),booking!E75,"-")</f>
        <v>69</v>
      </c>
      <c r="F75" s="84">
        <f>IFERROR(VLOOKUP(E75,Database!$A$2:$L$175,8,FALSE),"-")</f>
        <v>0</v>
      </c>
      <c r="G75" s="84" t="str">
        <f>IFERROR(VLOOKUP(E75,Database!$A$2:$L$175,6,FALSE),"-")</f>
        <v>DK</v>
      </c>
      <c r="H75" s="100">
        <f>IFERROR(VLOOKUP(E75,Database!$A$2:$L$175,9,FALSE),"-")</f>
        <v>0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>
        <f>IF(AND(D75="Y",booking!L75&lt;&gt;booking!M75,booking!M75&gt;0),booking!M75,"-")</f>
        <v>84</v>
      </c>
      <c r="O75" s="84">
        <f>IFERROR(VLOOKUP(N75,Database!$A$2:$L$175,8,FALSE),"-")</f>
        <v>0</v>
      </c>
      <c r="P75" s="84" t="str">
        <f>IFERROR(VLOOKUP(N75,Database!$A$2:$L$175,6,FALSE),"-")</f>
        <v>DK</v>
      </c>
      <c r="Q75" s="88">
        <f>IFERROR(VLOOKUP(N75,Database!$A$2:$L$175,9,FALSE),"-")</f>
        <v>0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4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4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>
        <f>IF(AND(D77="Y",booking!P77&lt;&gt;booking!Q77,booking!Q77&gt;0),booking!Q77,"-")</f>
        <v>66</v>
      </c>
      <c r="S77" s="84">
        <f>IFERROR(VLOOKUP(R77,Database!$A$2:$L$175,8,FALSE),"-")</f>
        <v>0</v>
      </c>
      <c r="T77" s="84" t="str">
        <f>IFERROR(VLOOKUP(R77,Database!$A$2:$L$175,6,FALSE),"-")</f>
        <v>DK</v>
      </c>
      <c r="U77" s="88">
        <f>IFERROR(VLOOKUP(R77,Database!$A$2:$L$175,9,FALSE),"-")</f>
        <v>0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 t="str">
        <f>IFERROR(VLOOKUP(V77,Database!$A$2:$L$175,9,FALSE),"-")</f>
        <v>Dobb</v>
      </c>
    </row>
    <row r="78" spans="1:25" ht="15" customHeight="1" thickBot="1" x14ac:dyDescent="0.4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4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4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4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Y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>
        <f>IF(AND(D81="Y",booking!H81&lt;&gt;booking!I81,booking!I81&gt;0),booking!I81,"-")</f>
        <v>81</v>
      </c>
      <c r="K81" s="84">
        <f>IFERROR(VLOOKUP(J81,Database!$A$2:$L$175,8,FALSE),"-")</f>
        <v>0</v>
      </c>
      <c r="L81" s="84" t="str">
        <f>IFERROR(VLOOKUP(J81,Database!$A$2:$L$175,6,FALSE),"-")</f>
        <v>DK</v>
      </c>
      <c r="M81" s="100">
        <f>IFERROR(VLOOKUP(J81,Database!$A$2:$L$175,9,FALSE),"-")</f>
        <v>0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4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4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4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4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4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4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4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4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4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4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4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>
        <f>IF(AND(D92="Y",booking!P92&lt;&gt;booking!Q92,booking!Q92&gt;0),booking!Q92,"-")</f>
        <v>58</v>
      </c>
      <c r="S92" s="84">
        <f>IFERROR(VLOOKUP(R92,Database!$A$2:$L$175,8,FALSE),"-")</f>
        <v>0</v>
      </c>
      <c r="T92" s="84" t="str">
        <f>IFERROR(VLOOKUP(R92,Database!$A$2:$L$175,6,FALSE),"-")</f>
        <v>DK</v>
      </c>
      <c r="U92" s="88" t="str">
        <f>IFERROR(VLOOKUP(R92,Database!$A$2:$L$175,9,FALSE),"-")</f>
        <v>sing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4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4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4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4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4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-</v>
      </c>
      <c r="E97" s="102" t="str">
        <f>IF(AND(D97="Y",booking!D97&lt;&gt;booking!E97,booking!E97&gt;0),booking!E97,"-")</f>
        <v>-</v>
      </c>
      <c r="F97" s="84" t="str">
        <f>IFERROR(VLOOKUP(E97,Database!$A$2:$L$175,8,FALSE),"-")</f>
        <v>-</v>
      </c>
      <c r="G97" s="84" t="str">
        <f>IFERROR(VLOOKUP(E97,Database!$A$2:$L$175,6,FALSE),"-")</f>
        <v>-</v>
      </c>
      <c r="H97" s="100" t="str">
        <f>IFERROR(VLOOKUP(E97,Database!$A$2:$L$175,9,FALSE),"-")</f>
        <v>-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4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4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Y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>
        <f>IF(AND(D99="Y",booking!H99&lt;&gt;booking!I99,booking!I99&gt;0),booking!I99,"-")</f>
        <v>74</v>
      </c>
      <c r="K99" s="84">
        <f>IFERROR(VLOOKUP(J99,Database!$A$2:$L$175,8,FALSE),"-")</f>
        <v>0</v>
      </c>
      <c r="L99" s="84" t="str">
        <f>IFERROR(VLOOKUP(J99,Database!$A$2:$L$175,6,FALSE),"-")</f>
        <v>DK</v>
      </c>
      <c r="M99" s="100">
        <f>IFERROR(VLOOKUP(J99,Database!$A$2:$L$175,9,FALSE),"-")</f>
        <v>0</v>
      </c>
      <c r="N99" s="103">
        <f>IF(AND(D99="Y",booking!L99&lt;&gt;booking!M99,booking!M99&gt;0),booking!M99,"-")</f>
        <v>74</v>
      </c>
      <c r="O99" s="84">
        <f>IFERROR(VLOOKUP(N99,Database!$A$2:$L$175,8,FALSE),"-")</f>
        <v>0</v>
      </c>
      <c r="P99" s="84" t="str">
        <f>IFERROR(VLOOKUP(N99,Database!$A$2:$L$175,6,FALSE),"-")</f>
        <v>DK</v>
      </c>
      <c r="Q99" s="88">
        <f>IFERROR(VLOOKUP(N99,Database!$A$2:$L$175,9,FALSE),"-")</f>
        <v>0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4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4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4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4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4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-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 t="str">
        <f>IF(AND(D104="Y",booking!T104&lt;&gt;booking!U104,booking!U104&gt;0),booking!U104,"-")</f>
        <v>-</v>
      </c>
      <c r="W104" s="85" t="str">
        <f>IFERROR(VLOOKUP(V104,Database!$A$2:$L$175,8,FALSE),"-")</f>
        <v>-</v>
      </c>
      <c r="X104" s="85" t="str">
        <f>IFERROR(VLOOKUP(V104,Database!$A$2:$L$175,6,FALSE),"-")</f>
        <v>-</v>
      </c>
      <c r="Y104" s="87" t="str">
        <f>IFERROR(VLOOKUP(V104,Database!$A$2:$L$175,9,FALSE),"-")</f>
        <v>-</v>
      </c>
    </row>
    <row r="105" spans="1:25" ht="15" customHeight="1" thickBot="1" x14ac:dyDescent="0.4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4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4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4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4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4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4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4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4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4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4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4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4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4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 t="str">
        <f>IF(AND(D118="Y",booking!P118&lt;&gt;booking!Q118,booking!Q118&gt;0),booking!Q118,"-")</f>
        <v>-</v>
      </c>
      <c r="S118" s="84" t="str">
        <f>IFERROR(VLOOKUP(R118,Database!$A$2:$L$175,8,FALSE),"-")</f>
        <v>-</v>
      </c>
      <c r="T118" s="84" t="str">
        <f>IFERROR(VLOOKUP(R118,Database!$A$2:$L$175,6,FALSE),"-")</f>
        <v>-</v>
      </c>
      <c r="U118" s="88" t="str">
        <f>IFERROR(VLOOKUP(R118,Database!$A$2:$L$175,9,FALSE),"-")</f>
        <v>-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4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>
        <f>IF(AND(D119="Y",booking!D119&lt;&gt;booking!E119,booking!E119&gt;0),booking!E119,"-")</f>
        <v>65</v>
      </c>
      <c r="F119" s="84">
        <f>IFERROR(VLOOKUP(E119,Database!$A$2:$L$175,8,FALSE),"-")</f>
        <v>0</v>
      </c>
      <c r="G119" s="84" t="str">
        <f>IFERROR(VLOOKUP(E119,Database!$A$2:$L$175,6,FALSE),"-")</f>
        <v>DK</v>
      </c>
      <c r="H119" s="100" t="str">
        <f>IFERROR(VLOOKUP(E119,Database!$A$2:$L$175,9,FALSE),"-")</f>
        <v>Dobb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 t="str">
        <f>IF(AND(D119="Y",booking!P119&lt;&gt;booking!Q119,booking!Q119&gt;0),booking!Q119,"-")</f>
        <v>-</v>
      </c>
      <c r="S119" s="84" t="str">
        <f>IFERROR(VLOOKUP(R119,Database!$A$2:$L$175,8,FALSE),"-")</f>
        <v>-</v>
      </c>
      <c r="T119" s="84" t="str">
        <f>IFERROR(VLOOKUP(R119,Database!$A$2:$L$175,6,FALSE),"-")</f>
        <v>-</v>
      </c>
      <c r="U119" s="88" t="str">
        <f>IFERROR(VLOOKUP(R119,Database!$A$2:$L$175,9,FALSE),"-")</f>
        <v>-</v>
      </c>
      <c r="V119" s="103">
        <f>IF(AND(D119="Y",booking!T119&lt;&gt;booking!U119,booking!U119&gt;0),booking!U119,"-")</f>
        <v>25</v>
      </c>
      <c r="W119" s="85">
        <f>IFERROR(VLOOKUP(V119,Database!$A$2:$L$175,8,FALSE),"-")</f>
        <v>0</v>
      </c>
      <c r="X119" s="85" t="str">
        <f>IFERROR(VLOOKUP(V119,Database!$A$2:$L$175,6,FALSE),"-")</f>
        <v>CH</v>
      </c>
      <c r="Y119" s="87" t="str">
        <f>IFERROR(VLOOKUP(V119,Database!$A$2:$L$175,9,FALSE),"-")</f>
        <v>sing</v>
      </c>
    </row>
    <row r="120" spans="1:25" ht="15" customHeight="1" thickBot="1" x14ac:dyDescent="0.4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4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4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4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>
        <f>IF(AND(D123="Y",booking!D123&lt;&gt;booking!E123,booking!E123&gt;0),booking!E123,"-")</f>
        <v>67</v>
      </c>
      <c r="F123" s="84">
        <f>IFERROR(VLOOKUP(E123,Database!$A$2:$L$175,8,FALSE),"-")</f>
        <v>0</v>
      </c>
      <c r="G123" s="84" t="str">
        <f>IFERROR(VLOOKUP(E123,Database!$A$2:$L$175,6,FALSE),"-")</f>
        <v>D</v>
      </c>
      <c r="H123" s="100">
        <f>IFERROR(VLOOKUP(E123,Database!$A$2:$L$175,9,FALSE),"-")</f>
        <v>0</v>
      </c>
      <c r="I123" s="119"/>
      <c r="J123" s="103">
        <f>IF(AND(D123="Y",booking!H123&lt;&gt;booking!I123,booking!I123&gt;0),booking!I123,"-")</f>
        <v>71</v>
      </c>
      <c r="K123" s="84">
        <f>IFERROR(VLOOKUP(J123,Database!$A$2:$L$175,8,FALSE),"-")</f>
        <v>0</v>
      </c>
      <c r="L123" s="84" t="str">
        <f>IFERROR(VLOOKUP(J123,Database!$A$2:$L$175,6,FALSE),"-")</f>
        <v>D</v>
      </c>
      <c r="M123" s="100" t="str">
        <f>IFERROR(VLOOKUP(J123,Database!$A$2:$L$175,9,FALSE),"-")</f>
        <v>sing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>
        <f>IF(AND(D123="Y",booking!P123&lt;&gt;booking!Q123,booking!Q123&gt;0),booking!Q123,"-")</f>
        <v>78</v>
      </c>
      <c r="S123" s="84">
        <f>IFERROR(VLOOKUP(R123,Database!$A$2:$L$175,8,FALSE),"-")</f>
        <v>0</v>
      </c>
      <c r="T123" s="84" t="str">
        <f>IFERROR(VLOOKUP(R123,Database!$A$2:$L$175,6,FALSE),"-")</f>
        <v>D</v>
      </c>
      <c r="U123" s="88">
        <f>IFERROR(VLOOKUP(R123,Database!$A$2:$L$175,9,FALSE),"-")</f>
        <v>0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4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-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 t="str">
        <f>IF(AND(D124="Y",booking!T124&lt;&gt;booking!U124,booking!U124&gt;0),booking!U124,"-")</f>
        <v>-</v>
      </c>
      <c r="W124" s="85" t="str">
        <f>IFERROR(VLOOKUP(V124,Database!$A$2:$L$175,8,FALSE),"-")</f>
        <v>-</v>
      </c>
      <c r="X124" s="85" t="str">
        <f>IFERROR(VLOOKUP(V124,Database!$A$2:$L$175,6,FALSE),"-")</f>
        <v>-</v>
      </c>
      <c r="Y124" s="87" t="str">
        <f>IFERROR(VLOOKUP(V124,Database!$A$2:$L$175,9,FALSE),"-")</f>
        <v>-</v>
      </c>
    </row>
    <row r="125" spans="1:25" ht="15" customHeight="1" thickBot="1" x14ac:dyDescent="0.4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4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4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4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4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4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4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4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4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4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4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4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4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4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4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-</v>
      </c>
      <c r="E139" s="102" t="str">
        <f>IF(AND(D139="Y",booking!D139&lt;&gt;booking!E139,booking!E139&gt;0),booking!E139,"-")</f>
        <v>-</v>
      </c>
      <c r="F139" s="84" t="str">
        <f>IFERROR(VLOOKUP(E139,Database!$A$2:$L$175,8,FALSE),"-")</f>
        <v>-</v>
      </c>
      <c r="G139" s="84" t="str">
        <f>IFERROR(VLOOKUP(E139,Database!$A$2:$L$175,6,FALSE),"-")</f>
        <v>-</v>
      </c>
      <c r="H139" s="100" t="str">
        <f>IFERROR(VLOOKUP(E139,Database!$A$2:$L$175,9,FALSE),"-")</f>
        <v>-</v>
      </c>
      <c r="I139" s="119"/>
      <c r="J139" s="103" t="str">
        <f>IF(AND(D139="Y",booking!H139&lt;&gt;booking!I139,booking!I139&gt;0),booking!I139,"-")</f>
        <v>-</v>
      </c>
      <c r="K139" s="84" t="str">
        <f>IFERROR(VLOOKUP(J139,Database!$A$2:$L$175,8,FALSE),"-")</f>
        <v>-</v>
      </c>
      <c r="L139" s="84" t="str">
        <f>IFERROR(VLOOKUP(J139,Database!$A$2:$L$175,6,FALSE),"-")</f>
        <v>-</v>
      </c>
      <c r="M139" s="100" t="str">
        <f>IFERROR(VLOOKUP(J139,Database!$A$2:$L$175,9,FALSE),"-")</f>
        <v>-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 t="str">
        <f>IF(AND(D139="Y",booking!P139&lt;&gt;booking!Q139,booking!Q139&gt;0),booking!Q139,"-")</f>
        <v>-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4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-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 t="str">
        <f>IF(AND(D140="Y",booking!L140&lt;&gt;booking!M140,booking!M140&gt;0),booking!M140,"-")</f>
        <v>-</v>
      </c>
      <c r="O140" s="84" t="str">
        <f>IFERROR(VLOOKUP(N140,Database!$A$2:$L$175,8,FALSE),"-")</f>
        <v>-</v>
      </c>
      <c r="P140" s="84" t="str">
        <f>IFERROR(VLOOKUP(N140,Database!$A$2:$L$175,6,FALSE),"-")</f>
        <v>-</v>
      </c>
      <c r="Q140" s="88" t="str">
        <f>IFERROR(VLOOKUP(N140,Database!$A$2:$L$175,9,FALSE),"-")</f>
        <v>-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4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4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-</v>
      </c>
      <c r="E142" s="102" t="str">
        <f>IF(AND(D142="Y",booking!D142&lt;&gt;booking!E142,booking!E142&gt;0),booking!E142,"-")</f>
        <v>-</v>
      </c>
      <c r="F142" s="84" t="str">
        <f>IFERROR(VLOOKUP(E142,Database!$A$2:$L$175,8,FALSE),"-")</f>
        <v>-</v>
      </c>
      <c r="G142" s="84" t="str">
        <f>IFERROR(VLOOKUP(E142,Database!$A$2:$L$175,6,FALSE),"-")</f>
        <v>-</v>
      </c>
      <c r="H142" s="100" t="str">
        <f>IFERROR(VLOOKUP(E142,Database!$A$2:$L$175,9,FALSE),"-")</f>
        <v>-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 t="str">
        <f>IF(AND(D142="Y",booking!P142&lt;&gt;booking!Q142,booking!Q142&gt;0),booking!Q142,"-")</f>
        <v>-</v>
      </c>
      <c r="S142" s="84" t="str">
        <f>IFERROR(VLOOKUP(R142,Database!$A$2:$L$175,8,FALSE),"-")</f>
        <v>-</v>
      </c>
      <c r="T142" s="84" t="str">
        <f>IFERROR(VLOOKUP(R142,Database!$A$2:$L$175,6,FALSE),"-")</f>
        <v>-</v>
      </c>
      <c r="U142" s="88" t="str">
        <f>IFERROR(VLOOKUP(R142,Database!$A$2:$L$175,9,FALSE),"-")</f>
        <v>-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4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4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4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4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4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4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4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4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4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4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4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4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4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4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4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4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4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4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4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4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4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4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4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4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4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4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4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4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4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 t="str">
        <f>Database!Q72</f>
        <v>N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1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 t="str">
        <f>Database!Q83</f>
        <v>Y</v>
      </c>
      <c r="C83" s="2">
        <f t="shared" si="2"/>
        <v>2</v>
      </c>
      <c r="D83" s="2">
        <f>IF(B83="Y",Database!K83,"-")</f>
        <v>1</v>
      </c>
      <c r="E83" s="2">
        <f>IF(AND(D83&gt;1,B83="Y"),Database!L83/D83,Database!L83)</f>
        <v>2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143</v>
      </c>
      <c r="B1" t="s">
        <v>6</v>
      </c>
      <c r="C1" s="5" t="s">
        <v>355</v>
      </c>
      <c r="D1" s="5" t="s">
        <v>41</v>
      </c>
      <c r="E1" t="s">
        <v>356</v>
      </c>
      <c r="F1" t="s">
        <v>357</v>
      </c>
      <c r="G1" t="s">
        <v>358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361</v>
      </c>
      <c r="M2" t="s">
        <v>360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359</v>
      </c>
      <c r="L3">
        <f>SUM(I2:I200)</f>
        <v>216</v>
      </c>
      <c r="M3">
        <f>SUM(J2:J200)</f>
        <v>207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97" t="str">
        <f>Database!G16</f>
        <v>FM</v>
      </c>
      <c r="C16" s="198">
        <f>Database!C16</f>
        <v>46181</v>
      </c>
      <c r="D16" s="198">
        <f>Database!D16</f>
        <v>46188</v>
      </c>
      <c r="E16" s="197">
        <f t="shared" si="0"/>
        <v>7</v>
      </c>
      <c r="F16" s="197">
        <f>Database!K16</f>
        <v>1</v>
      </c>
      <c r="G16" s="197">
        <f t="shared" si="1"/>
        <v>7</v>
      </c>
      <c r="H16" s="197"/>
      <c r="I16" s="197">
        <f>G16</f>
        <v>7</v>
      </c>
      <c r="J16" s="197">
        <f t="shared" si="3"/>
        <v>0</v>
      </c>
    </row>
    <row r="17" spans="1:10" x14ac:dyDescent="0.35">
      <c r="A17">
        <f>Database!A17</f>
        <v>16</v>
      </c>
      <c r="B17" s="197" t="str">
        <f>Database!G17</f>
        <v>FM</v>
      </c>
      <c r="C17" s="198">
        <f>Database!C17</f>
        <v>46182</v>
      </c>
      <c r="D17" s="198">
        <f>Database!D17</f>
        <v>46188</v>
      </c>
      <c r="E17" s="197">
        <f t="shared" si="0"/>
        <v>6</v>
      </c>
      <c r="F17" s="197">
        <f>Database!K17</f>
        <v>2</v>
      </c>
      <c r="G17" s="197">
        <f t="shared" si="1"/>
        <v>12</v>
      </c>
      <c r="H17" s="197"/>
      <c r="I17" s="197">
        <f>G17</f>
        <v>12</v>
      </c>
      <c r="J17" s="197">
        <f t="shared" si="3"/>
        <v>0</v>
      </c>
    </row>
    <row r="18" spans="1:10" x14ac:dyDescent="0.35">
      <c r="A18">
        <f>Database!A18</f>
        <v>17</v>
      </c>
      <c r="B18" s="197" t="str">
        <f>Database!G18</f>
        <v>FM</v>
      </c>
      <c r="C18" s="198">
        <f>Database!C18</f>
        <v>46181</v>
      </c>
      <c r="D18" s="198">
        <f>Database!D18</f>
        <v>46188</v>
      </c>
      <c r="E18" s="197">
        <f t="shared" si="0"/>
        <v>7</v>
      </c>
      <c r="F18" s="197">
        <f>Database!K18</f>
        <v>1</v>
      </c>
      <c r="G18" s="197">
        <f t="shared" si="1"/>
        <v>7</v>
      </c>
      <c r="H18" s="197"/>
      <c r="I18" s="197">
        <f>G18</f>
        <v>7</v>
      </c>
      <c r="J18" s="197">
        <f t="shared" si="3"/>
        <v>0</v>
      </c>
    </row>
    <row r="19" spans="1:10" x14ac:dyDescent="0.35">
      <c r="A19">
        <f>Database!A19</f>
        <v>18</v>
      </c>
      <c r="B19" s="197" t="str">
        <f>Database!G19</f>
        <v>FM</v>
      </c>
      <c r="C19" s="198">
        <f>Database!C19</f>
        <v>46182</v>
      </c>
      <c r="D19" s="198">
        <f>Database!D19</f>
        <v>46187</v>
      </c>
      <c r="E19" s="197">
        <f t="shared" si="0"/>
        <v>5</v>
      </c>
      <c r="F19" s="197">
        <f>Database!K19</f>
        <v>1</v>
      </c>
      <c r="G19" s="197">
        <f t="shared" si="1"/>
        <v>5</v>
      </c>
      <c r="H19" s="197"/>
      <c r="I19" s="197">
        <f>G19</f>
        <v>5</v>
      </c>
      <c r="J19" s="197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bc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1</v>
      </c>
      <c r="G41">
        <f t="shared" si="1"/>
        <v>3</v>
      </c>
      <c r="I41">
        <f t="shared" si="2"/>
        <v>0</v>
      </c>
      <c r="J41">
        <f t="shared" si="3"/>
        <v>3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1</v>
      </c>
      <c r="G59">
        <f t="shared" si="1"/>
        <v>4</v>
      </c>
      <c r="I59">
        <f t="shared" si="2"/>
        <v>4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bc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1</v>
      </c>
      <c r="G72">
        <f t="shared" si="5"/>
        <v>4</v>
      </c>
      <c r="I72">
        <f t="shared" si="6"/>
        <v>0</v>
      </c>
      <c r="J72">
        <f t="shared" si="7"/>
        <v>4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46201</v>
      </c>
      <c r="D77" s="5">
        <f>Database!D77</f>
        <v>46205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bc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1</v>
      </c>
      <c r="G83">
        <f t="shared" si="5"/>
        <v>2</v>
      </c>
      <c r="I83">
        <f t="shared" si="6"/>
        <v>0</v>
      </c>
      <c r="J83">
        <f t="shared" si="7"/>
        <v>2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0</v>
      </c>
      <c r="B89">
        <f>Database!G89</f>
        <v>0</v>
      </c>
      <c r="C89" s="5">
        <f>Database!C89</f>
        <v>0</v>
      </c>
      <c r="D89" s="5">
        <f>Database!D89</f>
        <v>0</v>
      </c>
      <c r="E89">
        <f t="shared" si="4"/>
        <v>0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0</v>
      </c>
      <c r="B90">
        <f>Database!G90</f>
        <v>0</v>
      </c>
      <c r="C90" s="5">
        <f>Database!C90</f>
        <v>0</v>
      </c>
      <c r="D90" s="5">
        <f>Database!D90</f>
        <v>0</v>
      </c>
      <c r="E90">
        <f t="shared" si="4"/>
        <v>0</v>
      </c>
      <c r="F90">
        <f>Database!K90</f>
        <v>0</v>
      </c>
      <c r="G90">
        <f t="shared" si="5"/>
        <v>0</v>
      </c>
      <c r="I90">
        <f t="shared" si="6"/>
        <v>0</v>
      </c>
      <c r="J90">
        <f t="shared" si="7"/>
        <v>0</v>
      </c>
    </row>
    <row r="91" spans="1:10" x14ac:dyDescent="0.35">
      <c r="A91">
        <f>Database!A91</f>
        <v>0</v>
      </c>
      <c r="B91">
        <f>Database!G91</f>
        <v>0</v>
      </c>
      <c r="C91" s="5">
        <f>Database!C91</f>
        <v>0</v>
      </c>
      <c r="D91" s="5">
        <f>Database!D91</f>
        <v>0</v>
      </c>
      <c r="E91">
        <f t="shared" si="4"/>
        <v>0</v>
      </c>
      <c r="F91">
        <f>Database!K91</f>
        <v>0</v>
      </c>
      <c r="G91">
        <f t="shared" si="5"/>
        <v>0</v>
      </c>
      <c r="I91">
        <f t="shared" si="6"/>
        <v>0</v>
      </c>
      <c r="J91">
        <f t="shared" si="7"/>
        <v>0</v>
      </c>
    </row>
    <row r="92" spans="1:10" x14ac:dyDescent="0.35">
      <c r="A92">
        <f>Database!A92</f>
        <v>0</v>
      </c>
      <c r="B92">
        <f>Database!G92</f>
        <v>0</v>
      </c>
      <c r="C92" s="5">
        <f>Database!C92</f>
        <v>0</v>
      </c>
      <c r="D92" s="5">
        <f>Database!D92</f>
        <v>0</v>
      </c>
      <c r="E92">
        <f t="shared" si="4"/>
        <v>0</v>
      </c>
      <c r="F92">
        <f>Database!K92</f>
        <v>0</v>
      </c>
      <c r="G92">
        <f t="shared" si="5"/>
        <v>0</v>
      </c>
      <c r="I92">
        <f t="shared" si="6"/>
        <v>0</v>
      </c>
      <c r="J92">
        <f t="shared" si="7"/>
        <v>0</v>
      </c>
    </row>
    <row r="93" spans="1:10" x14ac:dyDescent="0.35">
      <c r="A93">
        <f>Database!A93</f>
        <v>0</v>
      </c>
      <c r="B93">
        <f>Database!G93</f>
        <v>0</v>
      </c>
      <c r="C93" s="5">
        <f>Database!C93</f>
        <v>0</v>
      </c>
      <c r="D93" s="5">
        <f>Database!D93</f>
        <v>0</v>
      </c>
      <c r="E93">
        <f t="shared" si="4"/>
        <v>0</v>
      </c>
      <c r="F93">
        <f>Database!K93</f>
        <v>0</v>
      </c>
      <c r="G93">
        <f t="shared" si="5"/>
        <v>0</v>
      </c>
      <c r="I93">
        <f t="shared" si="6"/>
        <v>0</v>
      </c>
      <c r="J93">
        <f t="shared" si="7"/>
        <v>0</v>
      </c>
    </row>
    <row r="94" spans="1:10" x14ac:dyDescent="0.35">
      <c r="A94">
        <f>Database!A94</f>
        <v>0</v>
      </c>
      <c r="B94">
        <f>Database!G94</f>
        <v>0</v>
      </c>
      <c r="C94" s="5">
        <f>Database!C94</f>
        <v>0</v>
      </c>
      <c r="D94" s="5">
        <f>Database!D94</f>
        <v>0</v>
      </c>
      <c r="E94">
        <f t="shared" si="4"/>
        <v>0</v>
      </c>
      <c r="F94">
        <f>Database!K94</f>
        <v>0</v>
      </c>
      <c r="G94">
        <f t="shared" si="5"/>
        <v>0</v>
      </c>
      <c r="I94">
        <f t="shared" si="6"/>
        <v>0</v>
      </c>
      <c r="J94">
        <f t="shared" si="7"/>
        <v>0</v>
      </c>
    </row>
    <row r="95" spans="1:10" x14ac:dyDescent="0.35">
      <c r="A95">
        <f>Database!A95</f>
        <v>0</v>
      </c>
      <c r="B95">
        <f>Database!G95</f>
        <v>0</v>
      </c>
      <c r="C95" s="5">
        <f>Database!C95</f>
        <v>0</v>
      </c>
      <c r="D95" s="5">
        <f>Database!D95</f>
        <v>0</v>
      </c>
      <c r="E95">
        <f t="shared" si="4"/>
        <v>0</v>
      </c>
      <c r="F95">
        <f>Database!K95</f>
        <v>0</v>
      </c>
      <c r="G95">
        <f t="shared" si="5"/>
        <v>0</v>
      </c>
      <c r="I95">
        <f t="shared" si="6"/>
        <v>0</v>
      </c>
      <c r="J95">
        <f t="shared" si="7"/>
        <v>0</v>
      </c>
    </row>
    <row r="96" spans="1:10" x14ac:dyDescent="0.35">
      <c r="A96">
        <f>Database!A96</f>
        <v>0</v>
      </c>
      <c r="B96">
        <f>Database!G96</f>
        <v>0</v>
      </c>
      <c r="C96" s="5">
        <f>Database!C96</f>
        <v>0</v>
      </c>
      <c r="D96" s="5">
        <f>Database!D96</f>
        <v>0</v>
      </c>
      <c r="E96">
        <f t="shared" si="4"/>
        <v>0</v>
      </c>
      <c r="F96">
        <f>Database!K96</f>
        <v>0</v>
      </c>
      <c r="G96">
        <f t="shared" si="5"/>
        <v>0</v>
      </c>
      <c r="I96">
        <f t="shared" si="6"/>
        <v>0</v>
      </c>
      <c r="J96">
        <f t="shared" si="7"/>
        <v>0</v>
      </c>
    </row>
    <row r="97" spans="1:10" x14ac:dyDescent="0.35">
      <c r="A97">
        <f>Database!A97</f>
        <v>0</v>
      </c>
      <c r="B97">
        <f>Database!G97</f>
        <v>0</v>
      </c>
      <c r="C97" s="5">
        <f>Database!C97</f>
        <v>0</v>
      </c>
      <c r="D97" s="5">
        <f>Database!D97</f>
        <v>0</v>
      </c>
      <c r="E97">
        <f t="shared" si="4"/>
        <v>0</v>
      </c>
      <c r="F97">
        <f>Database!K97</f>
        <v>0</v>
      </c>
      <c r="G97">
        <f t="shared" si="5"/>
        <v>0</v>
      </c>
      <c r="I97">
        <f t="shared" si="6"/>
        <v>0</v>
      </c>
      <c r="J97">
        <f t="shared" si="7"/>
        <v>0</v>
      </c>
    </row>
    <row r="98" spans="1:10" x14ac:dyDescent="0.35">
      <c r="A98">
        <f>Database!A98</f>
        <v>0</v>
      </c>
      <c r="B98">
        <f>Database!G98</f>
        <v>0</v>
      </c>
      <c r="C98" s="5">
        <f>Database!C98</f>
        <v>0</v>
      </c>
      <c r="D98" s="5">
        <f>Database!D98</f>
        <v>0</v>
      </c>
      <c r="E98">
        <f t="shared" si="4"/>
        <v>0</v>
      </c>
      <c r="F98">
        <f>Database!K98</f>
        <v>0</v>
      </c>
      <c r="G98">
        <f t="shared" si="5"/>
        <v>0</v>
      </c>
      <c r="I98">
        <f t="shared" si="6"/>
        <v>0</v>
      </c>
      <c r="J98">
        <f t="shared" si="7"/>
        <v>0</v>
      </c>
    </row>
    <row r="99" spans="1:10" x14ac:dyDescent="0.35">
      <c r="A99">
        <f>Database!A99</f>
        <v>0</v>
      </c>
      <c r="B99">
        <f>Database!G99</f>
        <v>0</v>
      </c>
      <c r="C99" s="5">
        <f>Database!C99</f>
        <v>0</v>
      </c>
      <c r="D99" s="5">
        <f>Database!D99</f>
        <v>0</v>
      </c>
      <c r="E99">
        <f t="shared" si="4"/>
        <v>0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0</v>
      </c>
      <c r="B100">
        <f>Database!G100</f>
        <v>0</v>
      </c>
      <c r="C100" s="5">
        <f>Database!C100</f>
        <v>0</v>
      </c>
      <c r="D100" s="5">
        <f>Database!D100</f>
        <v>0</v>
      </c>
      <c r="E100">
        <f t="shared" si="4"/>
        <v>0</v>
      </c>
      <c r="F100">
        <f>Database!K100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Database!A101</f>
        <v>0</v>
      </c>
      <c r="B101">
        <f>Database!G101</f>
        <v>0</v>
      </c>
      <c r="C101" s="5">
        <f>Database!C101</f>
        <v>0</v>
      </c>
      <c r="D101" s="5">
        <f>Database!D101</f>
        <v>0</v>
      </c>
      <c r="E101">
        <f t="shared" si="4"/>
        <v>0</v>
      </c>
      <c r="F101">
        <f>Database!K101</f>
        <v>0</v>
      </c>
      <c r="G101">
        <f t="shared" si="5"/>
        <v>0</v>
      </c>
      <c r="I101">
        <f t="shared" si="6"/>
        <v>0</v>
      </c>
      <c r="J101">
        <f t="shared" si="7"/>
        <v>0</v>
      </c>
    </row>
    <row r="102" spans="1:10" x14ac:dyDescent="0.35">
      <c r="A102">
        <f>Database!A102</f>
        <v>0</v>
      </c>
      <c r="B102">
        <f>Database!G102</f>
        <v>0</v>
      </c>
      <c r="C102" s="5">
        <f>Database!C102</f>
        <v>0</v>
      </c>
      <c r="D102" s="5">
        <f>Database!D102</f>
        <v>0</v>
      </c>
      <c r="E102">
        <f t="shared" si="4"/>
        <v>0</v>
      </c>
      <c r="F102">
        <f>Database!K102</f>
        <v>0</v>
      </c>
      <c r="G102">
        <f t="shared" si="5"/>
        <v>0</v>
      </c>
      <c r="I102">
        <f t="shared" si="6"/>
        <v>0</v>
      </c>
      <c r="J102">
        <f t="shared" si="7"/>
        <v>0</v>
      </c>
    </row>
    <row r="103" spans="1:10" x14ac:dyDescent="0.35">
      <c r="A103">
        <f>Database!A103</f>
        <v>0</v>
      </c>
      <c r="B103">
        <f>Database!G103</f>
        <v>0</v>
      </c>
      <c r="C103" s="5">
        <f>Database!C103</f>
        <v>0</v>
      </c>
      <c r="D103" s="5">
        <f>Database!D103</f>
        <v>0</v>
      </c>
      <c r="E103">
        <f t="shared" si="4"/>
        <v>0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0</v>
      </c>
      <c r="B104">
        <f>Database!G104</f>
        <v>0</v>
      </c>
      <c r="C104" s="5">
        <f>Database!C104</f>
        <v>0</v>
      </c>
      <c r="D104" s="5">
        <f>Database!D104</f>
        <v>0</v>
      </c>
      <c r="E104">
        <f t="shared" si="4"/>
        <v>0</v>
      </c>
      <c r="F104">
        <f>Database!K104</f>
        <v>0</v>
      </c>
      <c r="G104">
        <f t="shared" si="5"/>
        <v>0</v>
      </c>
      <c r="I104">
        <f t="shared" si="6"/>
        <v>0</v>
      </c>
      <c r="J104">
        <f t="shared" si="7"/>
        <v>0</v>
      </c>
    </row>
    <row r="105" spans="1:10" x14ac:dyDescent="0.35">
      <c r="A105">
        <f>Database!A105</f>
        <v>0</v>
      </c>
      <c r="B105">
        <f>Database!G105</f>
        <v>0</v>
      </c>
      <c r="C105" s="5">
        <f>Database!C105</f>
        <v>0</v>
      </c>
      <c r="D105" s="5">
        <f>Database!D105</f>
        <v>0</v>
      </c>
      <c r="E105">
        <f t="shared" si="4"/>
        <v>0</v>
      </c>
      <c r="F105">
        <f>Database!K105</f>
        <v>0</v>
      </c>
      <c r="G105">
        <f t="shared" si="5"/>
        <v>0</v>
      </c>
      <c r="I105">
        <f t="shared" si="6"/>
        <v>0</v>
      </c>
      <c r="J105">
        <f t="shared" si="7"/>
        <v>0</v>
      </c>
    </row>
    <row r="106" spans="1:10" x14ac:dyDescent="0.35">
      <c r="A106">
        <f>Database!A106</f>
        <v>0</v>
      </c>
      <c r="B106">
        <f>Database!G106</f>
        <v>0</v>
      </c>
      <c r="C106" s="5">
        <f>Database!C106</f>
        <v>0</v>
      </c>
      <c r="D106" s="5">
        <f>Database!D106</f>
        <v>0</v>
      </c>
      <c r="E106">
        <f t="shared" si="4"/>
        <v>0</v>
      </c>
      <c r="F106">
        <f>Database!K106</f>
        <v>0</v>
      </c>
      <c r="G106">
        <f t="shared" si="5"/>
        <v>0</v>
      </c>
      <c r="I106">
        <f t="shared" si="6"/>
        <v>0</v>
      </c>
      <c r="J106">
        <f t="shared" si="7"/>
        <v>0</v>
      </c>
    </row>
    <row r="107" spans="1:10" x14ac:dyDescent="0.35">
      <c r="A107">
        <f>Database!A107</f>
        <v>0</v>
      </c>
      <c r="B107">
        <f>Database!G107</f>
        <v>0</v>
      </c>
      <c r="C107" s="5">
        <f>Database!C107</f>
        <v>0</v>
      </c>
      <c r="D107" s="5">
        <f>Database!D107</f>
        <v>0</v>
      </c>
      <c r="E107">
        <f t="shared" si="4"/>
        <v>0</v>
      </c>
      <c r="F107">
        <f>Database!K107</f>
        <v>0</v>
      </c>
      <c r="G107">
        <f t="shared" si="5"/>
        <v>0</v>
      </c>
      <c r="I107">
        <f t="shared" si="6"/>
        <v>0</v>
      </c>
      <c r="J107">
        <f t="shared" si="7"/>
        <v>0</v>
      </c>
    </row>
    <row r="108" spans="1:10" x14ac:dyDescent="0.35">
      <c r="A108">
        <f>Database!A108</f>
        <v>0</v>
      </c>
      <c r="B108">
        <f>Database!G108</f>
        <v>0</v>
      </c>
      <c r="C108" s="5">
        <f>Database!C108</f>
        <v>0</v>
      </c>
      <c r="D108" s="5">
        <f>Database!D108</f>
        <v>0</v>
      </c>
      <c r="E108">
        <f t="shared" si="4"/>
        <v>0</v>
      </c>
      <c r="F108">
        <f>Database!K108</f>
        <v>0</v>
      </c>
      <c r="G108">
        <f t="shared" si="5"/>
        <v>0</v>
      </c>
      <c r="I108">
        <f t="shared" si="6"/>
        <v>0</v>
      </c>
      <c r="J108">
        <f t="shared" si="7"/>
        <v>0</v>
      </c>
    </row>
    <row r="109" spans="1:10" x14ac:dyDescent="0.35">
      <c r="A109">
        <f>Database!A109</f>
        <v>0</v>
      </c>
      <c r="B109">
        <f>Database!G109</f>
        <v>0</v>
      </c>
      <c r="C109" s="5">
        <f>Database!C109</f>
        <v>0</v>
      </c>
      <c r="D109" s="5">
        <f>Database!D109</f>
        <v>0</v>
      </c>
      <c r="E109">
        <f t="shared" si="4"/>
        <v>0</v>
      </c>
      <c r="F109">
        <f>Database!K109</f>
        <v>0</v>
      </c>
      <c r="G109">
        <f t="shared" si="5"/>
        <v>0</v>
      </c>
      <c r="I109">
        <f t="shared" si="6"/>
        <v>0</v>
      </c>
      <c r="J109">
        <f t="shared" si="7"/>
        <v>0</v>
      </c>
    </row>
    <row r="110" spans="1:10" x14ac:dyDescent="0.35">
      <c r="A110">
        <f>Database!A110</f>
        <v>0</v>
      </c>
      <c r="B110">
        <f>Database!G110</f>
        <v>0</v>
      </c>
      <c r="C110" s="5">
        <f>Database!C110</f>
        <v>0</v>
      </c>
      <c r="D110" s="5">
        <f>Database!D110</f>
        <v>0</v>
      </c>
      <c r="E110">
        <f t="shared" si="4"/>
        <v>0</v>
      </c>
      <c r="F110">
        <f>Database!K110</f>
        <v>0</v>
      </c>
      <c r="G110">
        <f t="shared" si="5"/>
        <v>0</v>
      </c>
      <c r="I110">
        <f t="shared" si="6"/>
        <v>0</v>
      </c>
      <c r="J110">
        <f t="shared" si="7"/>
        <v>0</v>
      </c>
    </row>
    <row r="111" spans="1:10" x14ac:dyDescent="0.35">
      <c r="A111">
        <f>Database!A111</f>
        <v>0</v>
      </c>
      <c r="B111">
        <f>Database!G111</f>
        <v>0</v>
      </c>
      <c r="C111" s="5">
        <f>Database!C111</f>
        <v>0</v>
      </c>
      <c r="D111" s="5">
        <f>Database!D111</f>
        <v>0</v>
      </c>
      <c r="E111">
        <f t="shared" si="4"/>
        <v>0</v>
      </c>
      <c r="F111">
        <f>Database!K111</f>
        <v>0</v>
      </c>
      <c r="G111">
        <f t="shared" si="5"/>
        <v>0</v>
      </c>
      <c r="I111">
        <f t="shared" si="6"/>
        <v>0</v>
      </c>
      <c r="J111">
        <f t="shared" si="7"/>
        <v>0</v>
      </c>
    </row>
    <row r="112" spans="1:10" x14ac:dyDescent="0.35">
      <c r="A112">
        <f>Database!A112</f>
        <v>0</v>
      </c>
      <c r="B112">
        <f>Database!G112</f>
        <v>0</v>
      </c>
      <c r="C112" s="5">
        <f>Database!C112</f>
        <v>0</v>
      </c>
      <c r="D112" s="5">
        <f>Database!D112</f>
        <v>0</v>
      </c>
      <c r="E112">
        <f t="shared" si="4"/>
        <v>0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0</v>
      </c>
      <c r="B113">
        <f>Database!G113</f>
        <v>0</v>
      </c>
      <c r="C113" s="5">
        <f>Database!C113</f>
        <v>0</v>
      </c>
      <c r="D113" s="5">
        <f>Database!D113</f>
        <v>0</v>
      </c>
      <c r="E113">
        <f t="shared" si="4"/>
        <v>0</v>
      </c>
      <c r="F113">
        <f>Database!K113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Database!A114</f>
        <v>0</v>
      </c>
      <c r="B114">
        <f>Database!G114</f>
        <v>0</v>
      </c>
      <c r="C114" s="5">
        <f>Database!C114</f>
        <v>0</v>
      </c>
      <c r="D114" s="5">
        <f>Database!D114</f>
        <v>0</v>
      </c>
      <c r="E114">
        <f t="shared" si="4"/>
        <v>0</v>
      </c>
      <c r="F114">
        <f>Database!K114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5">
      <c r="A115">
        <f>Database!A115</f>
        <v>0</v>
      </c>
      <c r="B115">
        <f>Database!G115</f>
        <v>0</v>
      </c>
      <c r="C115" s="5">
        <f>Database!C115</f>
        <v>0</v>
      </c>
      <c r="D115" s="5">
        <f>Database!D115</f>
        <v>0</v>
      </c>
      <c r="E115">
        <f t="shared" si="4"/>
        <v>0</v>
      </c>
      <c r="F115">
        <f>Database!K115</f>
        <v>0</v>
      </c>
      <c r="G115">
        <f t="shared" si="5"/>
        <v>0</v>
      </c>
      <c r="I115">
        <f t="shared" si="6"/>
        <v>0</v>
      </c>
      <c r="J115">
        <f t="shared" si="7"/>
        <v>0</v>
      </c>
    </row>
    <row r="116" spans="1:10" x14ac:dyDescent="0.35">
      <c r="A116">
        <f>Database!A116</f>
        <v>0</v>
      </c>
      <c r="B116">
        <f>Database!G116</f>
        <v>0</v>
      </c>
      <c r="C116" s="5">
        <f>Database!C116</f>
        <v>0</v>
      </c>
      <c r="D116" s="5">
        <f>Database!D116</f>
        <v>0</v>
      </c>
      <c r="E116">
        <f t="shared" si="4"/>
        <v>0</v>
      </c>
      <c r="F116">
        <f>Database!K116</f>
        <v>0</v>
      </c>
      <c r="G116">
        <f t="shared" si="5"/>
        <v>0</v>
      </c>
      <c r="I116">
        <f t="shared" si="6"/>
        <v>0</v>
      </c>
      <c r="J116">
        <f t="shared" si="7"/>
        <v>0</v>
      </c>
    </row>
    <row r="117" spans="1:10" x14ac:dyDescent="0.35">
      <c r="A117">
        <f>Database!A117</f>
        <v>0</v>
      </c>
      <c r="B117">
        <f>Database!G117</f>
        <v>0</v>
      </c>
      <c r="C117" s="5">
        <f>Database!C117</f>
        <v>0</v>
      </c>
      <c r="D117" s="5">
        <f>Database!D117</f>
        <v>0</v>
      </c>
      <c r="E117">
        <f t="shared" si="4"/>
        <v>0</v>
      </c>
      <c r="F117">
        <f>Database!K117</f>
        <v>0</v>
      </c>
      <c r="G117">
        <f t="shared" si="5"/>
        <v>0</v>
      </c>
      <c r="I117">
        <f t="shared" si="6"/>
        <v>0</v>
      </c>
      <c r="J117">
        <f t="shared" si="7"/>
        <v>0</v>
      </c>
    </row>
    <row r="118" spans="1:10" x14ac:dyDescent="0.35">
      <c r="A118">
        <f>Database!A118</f>
        <v>0</v>
      </c>
      <c r="B118">
        <f>Database!G118</f>
        <v>0</v>
      </c>
      <c r="C118" s="5">
        <f>Database!C118</f>
        <v>0</v>
      </c>
      <c r="D118" s="5">
        <f>Database!D118</f>
        <v>0</v>
      </c>
      <c r="E118">
        <f t="shared" si="4"/>
        <v>0</v>
      </c>
      <c r="F118">
        <f>Database!K118</f>
        <v>0</v>
      </c>
      <c r="G118">
        <f t="shared" si="5"/>
        <v>0</v>
      </c>
      <c r="I118">
        <f t="shared" si="6"/>
        <v>0</v>
      </c>
      <c r="J118">
        <f t="shared" si="7"/>
        <v>0</v>
      </c>
    </row>
    <row r="119" spans="1:10" x14ac:dyDescent="0.35">
      <c r="A119">
        <f>Database!A119</f>
        <v>0</v>
      </c>
      <c r="B119">
        <f>Database!G119</f>
        <v>0</v>
      </c>
      <c r="C119" s="5">
        <f>Database!C119</f>
        <v>0</v>
      </c>
      <c r="D119" s="5">
        <f>Database!D119</f>
        <v>0</v>
      </c>
      <c r="E119">
        <f t="shared" si="4"/>
        <v>0</v>
      </c>
      <c r="F119">
        <f>Database!K119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Database!A120</f>
        <v>0</v>
      </c>
      <c r="B120">
        <f>Database!G120</f>
        <v>0</v>
      </c>
      <c r="C120" s="5">
        <f>Database!C120</f>
        <v>0</v>
      </c>
      <c r="D120" s="5">
        <f>Database!D120</f>
        <v>0</v>
      </c>
      <c r="E120">
        <f t="shared" si="4"/>
        <v>0</v>
      </c>
      <c r="F120">
        <f>Database!K120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5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5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5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5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5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oc</v>
      </c>
      <c r="D6" s="137" t="str">
        <f>IF(booking!H6&gt;0,"oc","va")</f>
        <v>va</v>
      </c>
      <c r="E6" s="138" t="str">
        <f>IF(booking!I6&gt;0,"oc","va")</f>
        <v>oc</v>
      </c>
      <c r="F6" s="137" t="str">
        <f>IF(booking!L6&gt;0,"oc","va")</f>
        <v>va</v>
      </c>
      <c r="G6" s="138" t="str">
        <f>IF(booking!M6&gt;0,"oc","va")</f>
        <v>oc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5">
      <c r="A7" s="5">
        <f>booking!C7</f>
        <v>46144</v>
      </c>
      <c r="B7" s="137" t="str">
        <f>IF(booking!D7&gt;0,"oc","va")</f>
        <v>oc</v>
      </c>
      <c r="C7" s="138" t="str">
        <f>IF(booking!E7&gt;0,"oc","va")</f>
        <v>oc</v>
      </c>
      <c r="D7" s="137" t="str">
        <f>IF(booking!H7&gt;0,"oc","va")</f>
        <v>oc</v>
      </c>
      <c r="E7" s="138" t="str">
        <f>IF(booking!I7&gt;0,"oc","va")</f>
        <v>oc</v>
      </c>
      <c r="F7" s="137" t="str">
        <f>IF(booking!L7&gt;0,"oc","va")</f>
        <v>oc</v>
      </c>
      <c r="G7" s="138" t="str">
        <f>IF(booking!M7&gt;0,"oc","va")</f>
        <v>oc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5">
      <c r="A8" s="5">
        <f>booking!C8</f>
        <v>46145</v>
      </c>
      <c r="B8" s="137" t="str">
        <f>IF(booking!D8&gt;0,"oc","va")</f>
        <v>oc</v>
      </c>
      <c r="C8" s="138" t="str">
        <f>IF(booking!E8&gt;0,"oc","va")</f>
        <v>va</v>
      </c>
      <c r="D8" s="137" t="str">
        <f>IF(booking!H8&gt;0,"oc","va")</f>
        <v>oc</v>
      </c>
      <c r="E8" s="138" t="str">
        <f>IF(booking!I8&gt;0,"oc","va")</f>
        <v>va</v>
      </c>
      <c r="F8" s="137" t="str">
        <f>IF(booking!L8&gt;0,"oc","va")</f>
        <v>oc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oc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5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oc</v>
      </c>
      <c r="I9" s="138" t="str">
        <f>IF(booking!Q9&gt;0,"oc","va")</f>
        <v>oc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5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IF(booking!I11&gt;0,"oc","va")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oc</v>
      </c>
      <c r="I10" s="138" t="str">
        <f>IF(booking!Q10&gt;0,"oc","va")</f>
        <v>oc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5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e">
        <f>IF(booking!#REF!&gt;0,"oc","va")</f>
        <v>#REF!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oc</v>
      </c>
      <c r="I11" s="138" t="str">
        <f>IF(booking!Q11&gt;0,"oc","va")</f>
        <v>oc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5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oc</v>
      </c>
      <c r="F12" s="137" t="str">
        <f>IF(booking!L12&gt;0,"oc","va")</f>
        <v>va</v>
      </c>
      <c r="G12" s="138" t="str">
        <f>IF(booking!M12&gt;0,"oc","va")</f>
        <v>oc</v>
      </c>
      <c r="H12" s="137" t="str">
        <f>IF(booking!P12&gt;0,"oc","va")</f>
        <v>oc</v>
      </c>
      <c r="I12" s="138" t="str">
        <f>IF(booking!Q12&gt;0,"oc","va")</f>
        <v>oc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5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oc</v>
      </c>
      <c r="E13" s="138" t="str">
        <f>IF(booking!I13&gt;0,"oc","va")</f>
        <v>oc</v>
      </c>
      <c r="F13" s="137" t="str">
        <f>IF(booking!L13&gt;0,"oc","va")</f>
        <v>oc</v>
      </c>
      <c r="G13" s="138" t="str">
        <f>IF(booking!M13&gt;0,"oc","va")</f>
        <v>oc</v>
      </c>
      <c r="H13" s="137" t="str">
        <f>IF(booking!P13&gt;0,"oc","va")</f>
        <v>oc</v>
      </c>
      <c r="I13" s="138" t="str">
        <f>IF(booking!Q13&gt;0,"oc","va")</f>
        <v>oc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5">
      <c r="A14" s="5">
        <f>booking!C14</f>
        <v>46151</v>
      </c>
      <c r="B14" s="137" t="str">
        <f>IF(booking!D14&gt;0,"oc","va")</f>
        <v>va</v>
      </c>
      <c r="C14" s="138" t="str">
        <f>IF(booking!E14&gt;0,"oc","va")</f>
        <v>va</v>
      </c>
      <c r="D14" s="137" t="str">
        <f>IF(booking!H14&gt;0,"oc","va")</f>
        <v>oc</v>
      </c>
      <c r="E14" s="138" t="str">
        <f>IF(booking!I14&gt;0,"oc","va")</f>
        <v>oc</v>
      </c>
      <c r="F14" s="137" t="str">
        <f>IF(booking!L14&gt;0,"oc","va")</f>
        <v>oc</v>
      </c>
      <c r="G14" s="138" t="str">
        <f>IF(booking!M14&gt;0,"oc","va")</f>
        <v>oc</v>
      </c>
      <c r="H14" s="137" t="str">
        <f>IF(booking!P14&gt;0,"oc","va")</f>
        <v>oc</v>
      </c>
      <c r="I14" s="138" t="str">
        <f>IF(booking!Q14&gt;0,"oc","va")</f>
        <v>oc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5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oc</v>
      </c>
      <c r="E15" s="138" t="str">
        <f>IF(booking!I15&gt;0,"oc","va")</f>
        <v>va</v>
      </c>
      <c r="F15" s="137" t="str">
        <f>IF(booking!L15&gt;0,"oc","va")</f>
        <v>oc</v>
      </c>
      <c r="G15" s="138" t="str">
        <f>IF(booking!M15&gt;0,"oc","va")</f>
        <v>va</v>
      </c>
      <c r="H15" s="137" t="str">
        <f>IF(booking!P15&gt;0,"oc","va")</f>
        <v>oc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5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5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5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va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oc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5">
      <c r="A19" s="5">
        <f>booking!C19</f>
        <v>46156</v>
      </c>
      <c r="B19" s="137" t="str">
        <f>IF(booking!D19&gt;0,"oc","va")</f>
        <v>va</v>
      </c>
      <c r="C19" s="138" t="str">
        <f>IF(booking!E19&gt;0,"oc","va")</f>
        <v>va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va</v>
      </c>
      <c r="H19" s="137" t="str">
        <f>IF(booking!P19&gt;0,"oc","va")</f>
        <v>oc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va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5">
      <c r="A20" s="5">
        <f>booking!C20</f>
        <v>46157</v>
      </c>
      <c r="B20" s="137" t="str">
        <f>IF(booking!D20&gt;0,"oc","va")</f>
        <v>va</v>
      </c>
      <c r="C20" s="138" t="str">
        <f>IF(booking!E20&gt;0,"oc","va")</f>
        <v>va</v>
      </c>
      <c r="D20" s="137" t="str">
        <f>IF(booking!H20&gt;0,"oc","va")</f>
        <v>va</v>
      </c>
      <c r="E20" s="138" t="str">
        <f>IF(booking!I20&gt;0,"oc","va")</f>
        <v>va</v>
      </c>
      <c r="F20" s="137" t="str">
        <f>IF(booking!L20&gt;0,"oc","va")</f>
        <v>va</v>
      </c>
      <c r="G20" s="138" t="str">
        <f>IF(booking!M20&gt;0,"oc","va")</f>
        <v>va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va</v>
      </c>
      <c r="K20" s="138" t="str">
        <f>IF(booking!U20&gt;0,"oc","va")</f>
        <v>va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5">
      <c r="A21" s="5">
        <f>booking!C21</f>
        <v>46158</v>
      </c>
      <c r="B21" s="137" t="str">
        <f>IF(booking!D21&gt;0,"oc","va")</f>
        <v>va</v>
      </c>
      <c r="C21" s="138" t="str">
        <f>IF(booking!E21&gt;0,"oc","va")</f>
        <v>oc</v>
      </c>
      <c r="D21" s="137" t="str">
        <f>IF(booking!H21&gt;0,"oc","va")</f>
        <v>va</v>
      </c>
      <c r="E21" s="138" t="str">
        <f>IF(booking!I21&gt;0,"oc","va")</f>
        <v>va</v>
      </c>
      <c r="F21" s="137" t="str">
        <f>IF(booking!L21&gt;0,"oc","va")</f>
        <v>va</v>
      </c>
      <c r="G21" s="138" t="str">
        <f>IF(booking!M21&gt;0,"oc","va")</f>
        <v>va</v>
      </c>
      <c r="H21" s="137" t="str">
        <f>IF(booking!P21&gt;0,"oc","va")</f>
        <v>oc</v>
      </c>
      <c r="I21" s="138" t="str">
        <f>IF(booking!Q21&gt;0,"oc","va")</f>
        <v>va</v>
      </c>
      <c r="J21" s="137" t="str">
        <f>IF(booking!T21&gt;0,"oc","va")</f>
        <v>va</v>
      </c>
      <c r="K21" s="138" t="str">
        <f>IF(booking!U21&gt;0,"oc","va")</f>
        <v>va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5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va</v>
      </c>
      <c r="E22" s="138" t="str">
        <f>IF(booking!I22&gt;0,"oc","va")</f>
        <v>va</v>
      </c>
      <c r="F22" s="137" t="str">
        <f>IF(booking!L22&gt;0,"oc","va")</f>
        <v>va</v>
      </c>
      <c r="G22" s="138" t="str">
        <f>IF(booking!M22&gt;0,"oc","va")</f>
        <v>va</v>
      </c>
      <c r="H22" s="137" t="str">
        <f>IF(booking!P22&gt;0,"oc","va")</f>
        <v>va</v>
      </c>
      <c r="I22" s="138" t="str">
        <f>IF(booking!Q22&gt;0,"oc","va")</f>
        <v>va</v>
      </c>
      <c r="J22" s="137" t="str">
        <f>IF(booking!T22&gt;0,"oc","va")</f>
        <v>va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5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va</v>
      </c>
      <c r="I23" s="138" t="str">
        <f>IF(booking!Q23&gt;0,"oc","va")</f>
        <v>va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5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va</v>
      </c>
      <c r="I24" s="138" t="str">
        <f>IF(booking!Q24&gt;0,"oc","va")</f>
        <v>va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5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va</v>
      </c>
      <c r="I25" s="138" t="str">
        <f>IF(booking!Q25&gt;0,"oc","va")</f>
        <v>va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5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va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5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5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5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5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5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5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5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5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va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5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va</v>
      </c>
      <c r="J35" s="137" t="str">
        <f>IF(booking!T35&gt;0,"oc","va")</f>
        <v>va</v>
      </c>
      <c r="K35" s="138" t="str">
        <f>IF(booking!U35&gt;0,"oc","va")</f>
        <v>va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5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oc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va</v>
      </c>
      <c r="I36" s="138" t="str">
        <f>IF(booking!Q36&gt;0,"oc","va")</f>
        <v>va</v>
      </c>
      <c r="J36" s="137" t="str">
        <f>IF(booking!T36&gt;0,"oc","va")</f>
        <v>va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5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oc</v>
      </c>
      <c r="E37" s="138" t="str">
        <f>IF(booking!I37&gt;0,"oc","va")</f>
        <v>oc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va</v>
      </c>
      <c r="I37" s="138" t="str">
        <f>IF(booking!Q37&gt;0,"oc","va")</f>
        <v>va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5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oc</v>
      </c>
      <c r="E38" s="138" t="str">
        <f>IF(booking!I38&gt;0,"oc","va")</f>
        <v>oc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va</v>
      </c>
      <c r="I38" s="138" t="str">
        <f>IF(booking!Q38&gt;0,"oc","va")</f>
        <v>va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5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oc</v>
      </c>
      <c r="E39" s="138" t="str">
        <f>IF(booking!I39&gt;0,"oc","va")</f>
        <v>oc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va</v>
      </c>
      <c r="I39" s="138" t="str">
        <f>IF(booking!Q39&gt;0,"oc","va")</f>
        <v>va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5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oc</v>
      </c>
      <c r="E40" s="138" t="str">
        <f>IF(booking!I40&gt;0,"oc","va")</f>
        <v>oc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va</v>
      </c>
      <c r="I40" s="138" t="str">
        <f>IF(booking!Q40&gt;0,"oc","va")</f>
        <v>va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5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oc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va</v>
      </c>
      <c r="I41" s="138" t="str">
        <f>IF(booking!Q41&gt;0,"oc","va")</f>
        <v>va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5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va</v>
      </c>
      <c r="I42" s="138" t="str">
        <f>IF(booking!Q42&gt;0,"oc","va")</f>
        <v>va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5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va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5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5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str">
        <f>IF(booking!M45&gt;0,"oc","va")</f>
        <v>oc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5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IF(booking!M46&gt;0,"oc","va")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5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5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5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5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oc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5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oc</v>
      </c>
      <c r="G51" s="138" t="str">
        <f>IF(booking!M51&gt;0,"oc","va")</f>
        <v>oc</v>
      </c>
      <c r="H51" s="137" t="str">
        <f>IF(booking!P51&gt;0,"oc","va")</f>
        <v>oc</v>
      </c>
      <c r="I51" s="138" t="str">
        <f>IF(booking!Q51&gt;0,"oc","va")</f>
        <v>oc</v>
      </c>
      <c r="J51" s="137" t="str">
        <f>IF(booking!T51&gt;0,"oc","va")</f>
        <v>oc</v>
      </c>
      <c r="K51" s="138" t="str">
        <f>IF(booking!U51&gt;0,"oc","va")</f>
        <v>oc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5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oc</v>
      </c>
      <c r="G52" s="138" t="str">
        <f>IF(booking!M52&gt;0,"oc","va")</f>
        <v>oc</v>
      </c>
      <c r="H52" s="137" t="str">
        <f>IF(booking!P52&gt;0,"oc","va")</f>
        <v>oc</v>
      </c>
      <c r="I52" s="138" t="str">
        <f>IF(booking!Q52&gt;0,"oc","va")</f>
        <v>oc</v>
      </c>
      <c r="J52" s="137" t="str">
        <f>IF(booking!T52&gt;0,"oc","va")</f>
        <v>oc</v>
      </c>
      <c r="K52" s="138" t="str">
        <f>IF(booking!U52&gt;0,"oc","va")</f>
        <v>oc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5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oc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oc</v>
      </c>
      <c r="G53" s="138" t="str">
        <f>IF(booking!M53&gt;0,"oc","va")</f>
        <v>oc</v>
      </c>
      <c r="H53" s="137" t="str">
        <f>IF(booking!P53&gt;0,"oc","va")</f>
        <v>oc</v>
      </c>
      <c r="I53" s="138" t="str">
        <f>IF(booking!Q53&gt;0,"oc","va")</f>
        <v>oc</v>
      </c>
      <c r="J53" s="137" t="str">
        <f>IF(booking!T53&gt;0,"oc","va")</f>
        <v>oc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5">
      <c r="A54" s="5">
        <f>booking!C54</f>
        <v>46191</v>
      </c>
      <c r="B54" s="137" t="str">
        <f>IF(booking!D54&gt;0,"oc","va")</f>
        <v>oc</v>
      </c>
      <c r="C54" s="138" t="str">
        <f>IF(booking!E54&gt;0,"oc","va")</f>
        <v>oc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oc</v>
      </c>
      <c r="G54" s="138" t="str">
        <f>IF(booking!M54&gt;0,"oc","va")</f>
        <v>va</v>
      </c>
      <c r="H54" s="137" t="str">
        <f>IF(booking!P54&gt;0,"oc","va")</f>
        <v>oc</v>
      </c>
      <c r="I54" s="138" t="str">
        <f>IF(booking!Q54&gt;0,"oc","va")</f>
        <v>oc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5">
      <c r="A55" s="5">
        <f>booking!C55</f>
        <v>46192</v>
      </c>
      <c r="B55" s="137" t="str">
        <f>IF(booking!D55&gt;0,"oc","va")</f>
        <v>oc</v>
      </c>
      <c r="C55" s="138" t="str">
        <f>IF(booking!E55&gt;0,"oc","va")</f>
        <v>oc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oc</v>
      </c>
      <c r="H55" s="137" t="str">
        <f>IF(booking!P55&gt;0,"oc","va")</f>
        <v>oc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5">
      <c r="A56" s="5">
        <f>booking!C56</f>
        <v>46193</v>
      </c>
      <c r="B56" s="137" t="str">
        <f>IF(booking!D56&gt;0,"oc","va")</f>
        <v>oc</v>
      </c>
      <c r="C56" s="138" t="str">
        <f>IF(booking!E56&gt;0,"oc","va")</f>
        <v>oc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oc</v>
      </c>
      <c r="G56" s="138" t="str">
        <f>IF(booking!M56&gt;0,"oc","va")</f>
        <v>oc</v>
      </c>
      <c r="H56" s="137" t="str">
        <f>IF(booking!P56&gt;0,"oc","va")</f>
        <v>oc</v>
      </c>
      <c r="I56" s="138" t="str">
        <f>IF(booking!Q56&gt;0,"oc","va")</f>
        <v>va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5">
      <c r="A57" s="5">
        <f>booking!C57</f>
        <v>46194</v>
      </c>
      <c r="B57" s="137" t="str">
        <f>IF(booking!D57&gt;0,"oc","va")</f>
        <v>oc</v>
      </c>
      <c r="C57" s="138" t="str">
        <f>IF(booking!E57&gt;0,"oc","va")</f>
        <v>oc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oc</v>
      </c>
      <c r="G57" s="138" t="str">
        <f>IF(booking!M57&gt;0,"oc","va")</f>
        <v>va</v>
      </c>
      <c r="H57" s="137" t="str">
        <f>IF(booking!P57&gt;0,"oc","va")</f>
        <v>va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5">
      <c r="A58" s="5">
        <f>booking!C58</f>
        <v>46195</v>
      </c>
      <c r="B58" s="137" t="str">
        <f>IF(booking!D58&gt;0,"oc","va")</f>
        <v>oc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oc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5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oc</v>
      </c>
      <c r="I59" s="138" t="str">
        <f>IF(booking!Q59&gt;0,"oc","va")</f>
        <v>oc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5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oc</v>
      </c>
      <c r="I60" s="138" t="str">
        <f>IF(booking!Q60&gt;0,"oc","va")</f>
        <v>oc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5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oc</v>
      </c>
      <c r="I61" s="138" t="str">
        <f>IF(booking!Q61&gt;0,"oc","va")</f>
        <v>oc</v>
      </c>
      <c r="J61" s="137" t="str">
        <f>IF(booking!T61&gt;0,"oc","va")</f>
        <v>va</v>
      </c>
      <c r="K61" s="138" t="str">
        <f>IF(booking!U61&gt;0,"oc","va")</f>
        <v>va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5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oc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oc</v>
      </c>
      <c r="I62" s="138" t="str">
        <f>IF(booking!Q62&gt;0,"oc","va")</f>
        <v>oc</v>
      </c>
      <c r="J62" s="137" t="str">
        <f>IF(booking!T62&gt;0,"oc","va")</f>
        <v>va</v>
      </c>
      <c r="K62" s="138" t="str">
        <f>IF(booking!U62&gt;0,"oc","va")</f>
        <v>va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5">
      <c r="A63" s="5">
        <f>booking!C63</f>
        <v>46200</v>
      </c>
      <c r="B63" s="137" t="str">
        <f>IF(booking!D63&gt;0,"oc","va")</f>
        <v>oc</v>
      </c>
      <c r="C63" s="138" t="str">
        <f>IF(booking!E63&gt;0,"oc","va")</f>
        <v>oc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oc</v>
      </c>
      <c r="I63" s="138" t="str">
        <f>IF(booking!Q63&gt;0,"oc","va")</f>
        <v>oc</v>
      </c>
      <c r="J63" s="137" t="str">
        <f>IF(booking!T63&gt;0,"oc","va")</f>
        <v>va</v>
      </c>
      <c r="K63" s="138" t="str">
        <f>IF(booking!U63&gt;0,"oc","va")</f>
        <v>oc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5">
      <c r="A64" s="5">
        <f>booking!C64</f>
        <v>46201</v>
      </c>
      <c r="B64" s="137" t="str">
        <f>IF(booking!D64&gt;0,"oc","va")</f>
        <v>oc</v>
      </c>
      <c r="C64" s="138" t="str">
        <f>IF(booking!E64&gt;0,"oc","va")</f>
        <v>oc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oc</v>
      </c>
      <c r="I64" s="138" t="str">
        <f>IF(booking!Q64&gt;0,"oc","va")</f>
        <v>oc</v>
      </c>
      <c r="J64" s="137" t="str">
        <f>IF(booking!T64&gt;0,"oc","va")</f>
        <v>oc</v>
      </c>
      <c r="K64" s="138" t="str">
        <f>IF(booking!U64&gt;0,"oc","va")</f>
        <v>oc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5">
      <c r="A65" s="5">
        <f>booking!C65</f>
        <v>46202</v>
      </c>
      <c r="B65" s="137" t="str">
        <f>IF(booking!D65&gt;0,"oc","va")</f>
        <v>oc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oc</v>
      </c>
      <c r="I65" s="138" t="str">
        <f>IF(booking!Q65&gt;0,"oc","va")</f>
        <v>oc</v>
      </c>
      <c r="J65" s="137" t="str">
        <f>IF(booking!T65&gt;0,"oc","va")</f>
        <v>oc</v>
      </c>
      <c r="K65" s="138" t="str">
        <f>IF(booking!U65&gt;0,"oc","va")</f>
        <v>oc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5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oc</v>
      </c>
      <c r="I66" s="138" t="str">
        <f>IF(booking!Q66&gt;0,"oc","va")</f>
        <v>oc</v>
      </c>
      <c r="J66" s="137" t="str">
        <f>IF(booking!T66&gt;0,"oc","va")</f>
        <v>oc</v>
      </c>
      <c r="K66" s="138" t="str">
        <f>IF(booking!U66&gt;0,"oc","va")</f>
        <v>oc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5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va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oc</v>
      </c>
      <c r="I67" s="138" t="str">
        <f>IF(booking!Q67&gt;0,"oc","va")</f>
        <v>oc</v>
      </c>
      <c r="J67" s="137" t="str">
        <f>IF(booking!T67&gt;0,"oc","va")</f>
        <v>oc</v>
      </c>
      <c r="K67" s="138" t="str">
        <f>IF(booking!U67&gt;0,"oc","va")</f>
        <v>oc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5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va</v>
      </c>
      <c r="E68" s="138" t="str">
        <f>IF(booking!I68&gt;0,"oc","va")</f>
        <v>va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oc</v>
      </c>
      <c r="I68" s="138" t="str">
        <f>IF(booking!Q68&gt;0,"oc","va")</f>
        <v>va</v>
      </c>
      <c r="J68" s="137" t="str">
        <f>IF(booking!T68&gt;0,"oc","va")</f>
        <v>oc</v>
      </c>
      <c r="K68" s="138" t="str">
        <f>IF(booking!U68&gt;0,"oc","va")</f>
        <v>oc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5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va</v>
      </c>
      <c r="E69" s="138" t="str">
        <f>IF(booking!I69&gt;0,"oc","va")</f>
        <v>va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va</v>
      </c>
      <c r="I69" s="138" t="str">
        <f>IF(booking!Q69&gt;0,"oc","va")</f>
        <v>oc</v>
      </c>
      <c r="J69" s="137" t="str">
        <f>IF(booking!T69&gt;0,"oc","va")</f>
        <v>oc</v>
      </c>
      <c r="K69" s="138" t="str">
        <f>IF(booking!U69&gt;0,"oc","va")</f>
        <v>oc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5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va</v>
      </c>
      <c r="E70" s="138" t="str">
        <f>IF(booking!I70&gt;0,"oc","va")</f>
        <v>va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oc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5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va</v>
      </c>
      <c r="E71" s="138" t="str">
        <f>IF(booking!I71&gt;0,"oc","va")</f>
        <v>va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5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va</v>
      </c>
      <c r="E72" s="138" t="str">
        <f>IF(booking!I72&gt;0,"oc","va")</f>
        <v>va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5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va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5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5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oc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oc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5">
      <c r="A76" s="5">
        <f>booking!C76</f>
        <v>46213</v>
      </c>
      <c r="B76" s="137" t="str">
        <f>IF(booking!D76&gt;0,"oc","va")</f>
        <v>oc</v>
      </c>
      <c r="C76" s="138" t="str">
        <f>IF(booking!E76&gt;0,"oc","va")</f>
        <v>oc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oc</v>
      </c>
      <c r="G76" s="138" t="str">
        <f>IF(booking!M76&gt;0,"oc","va")</f>
        <v>oc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5">
      <c r="A77" s="5">
        <f>booking!C77</f>
        <v>46214</v>
      </c>
      <c r="B77" s="137" t="str">
        <f>IF(booking!D77&gt;0,"oc","va")</f>
        <v>oc</v>
      </c>
      <c r="C77" s="138" t="str">
        <f>IF(booking!E77&gt;0,"oc","va")</f>
        <v>oc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oc</v>
      </c>
      <c r="G77" s="138" t="str">
        <f>IF(booking!M77&gt;0,"oc","va")</f>
        <v>oc</v>
      </c>
      <c r="H77" s="137" t="str">
        <f>IF(booking!P77&gt;0,"oc","va")</f>
        <v>va</v>
      </c>
      <c r="I77" s="138" t="str">
        <f>IF(booking!Q77&gt;0,"oc","va")</f>
        <v>oc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5">
      <c r="A78" s="5">
        <f>booking!C78</f>
        <v>46215</v>
      </c>
      <c r="B78" s="137" t="str">
        <f>IF(booking!D78&gt;0,"oc","va")</f>
        <v>oc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oc</v>
      </c>
      <c r="G78" s="138" t="str">
        <f>IF(booking!M78&gt;0,"oc","va")</f>
        <v>oc</v>
      </c>
      <c r="H78" s="137" t="str">
        <f>IF(booking!P78&gt;0,"oc","va")</f>
        <v>oc</v>
      </c>
      <c r="I78" s="138" t="str">
        <f>IF(booking!Q78&gt;0,"oc","va")</f>
        <v>oc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5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oc</v>
      </c>
      <c r="G79" s="138" t="str">
        <f>IF(booking!M79&gt;0,"oc","va")</f>
        <v>oc</v>
      </c>
      <c r="H79" s="137" t="str">
        <f>IF(booking!P79&gt;0,"oc","va")</f>
        <v>oc</v>
      </c>
      <c r="I79" s="138" t="str">
        <f>IF(booking!Q79&gt;0,"oc","va")</f>
        <v>oc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5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oc</v>
      </c>
      <c r="I80" s="138" t="str">
        <f>IF(booking!Q80&gt;0,"oc","va")</f>
        <v>oc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5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oc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oc</v>
      </c>
      <c r="I81" s="138" t="str">
        <f>IF(booking!Q81&gt;0,"oc","va")</f>
        <v>oc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5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oc</v>
      </c>
      <c r="E82" s="138" t="str">
        <f>IF(booking!I82&gt;0,"oc","va")</f>
        <v>oc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oc</v>
      </c>
      <c r="I82" s="138" t="str">
        <f>IF(booking!Q82&gt;0,"oc","va")</f>
        <v>oc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5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oc</v>
      </c>
      <c r="E83" s="138" t="str">
        <f>IF(booking!I83&gt;0,"oc","va")</f>
        <v>oc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oc</v>
      </c>
      <c r="I83" s="138" t="str">
        <f>IF(booking!Q83&gt;0,"oc","va")</f>
        <v>oc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5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oc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oc</v>
      </c>
      <c r="I84" s="138" t="str">
        <f>IF(booking!Q84&gt;0,"oc","va")</f>
        <v>oc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5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oc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5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5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5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5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5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5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5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oc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5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oc</v>
      </c>
      <c r="I93" s="138" t="str">
        <f>IF(booking!Q93&gt;0,"oc","va")</f>
        <v>oc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5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oc</v>
      </c>
      <c r="I94" s="138" t="str">
        <f>IF(booking!Q94&gt;0,"oc","va")</f>
        <v>oc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5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oc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oc</v>
      </c>
    </row>
    <row r="96" spans="1:13" x14ac:dyDescent="0.35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oc</v>
      </c>
      <c r="M96" s="138" t="str">
        <f>IF(booking!Y96&gt;0,"oc","va")</f>
        <v>va</v>
      </c>
    </row>
    <row r="97" spans="1:13" x14ac:dyDescent="0.35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va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5">
      <c r="A98" s="5">
        <f>booking!C98</f>
        <v>46235</v>
      </c>
      <c r="B98" s="137" t="str">
        <f>IF(booking!D98&gt;0,"oc","va")</f>
        <v>va</v>
      </c>
      <c r="C98" s="138" t="str">
        <f>IF(booking!E98&gt;0,"oc","va")</f>
        <v>va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5">
      <c r="A99" s="5">
        <f>booking!C99</f>
        <v>46236</v>
      </c>
      <c r="B99" s="137" t="str">
        <f>IF(booking!D99&gt;0,"oc","va")</f>
        <v>va</v>
      </c>
      <c r="C99" s="138" t="str">
        <f>IF(booking!E99&gt;0,"oc","va")</f>
        <v>va</v>
      </c>
      <c r="D99" s="137" t="str">
        <f>IF(booking!H99&gt;0,"oc","va")</f>
        <v>va</v>
      </c>
      <c r="E99" s="138" t="str">
        <f>IF(booking!I99&gt;0,"oc","va")</f>
        <v>oc</v>
      </c>
      <c r="F99" s="137" t="str">
        <f>IF(booking!L99&gt;0,"oc","va")</f>
        <v>va</v>
      </c>
      <c r="G99" s="138" t="str">
        <f>IF(booking!M99&gt;0,"oc","va")</f>
        <v>oc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5">
      <c r="A100" s="5">
        <f>booking!C100</f>
        <v>46237</v>
      </c>
      <c r="B100" s="137" t="str">
        <f>IF(booking!D100&gt;0,"oc","va")</f>
        <v>va</v>
      </c>
      <c r="C100" s="138" t="str">
        <f>IF(booking!E100&gt;0,"oc","va")</f>
        <v>oc</v>
      </c>
      <c r="D100" s="137" t="str">
        <f>IF(booking!H100&gt;0,"oc","va")</f>
        <v>oc</v>
      </c>
      <c r="E100" s="138" t="str">
        <f>IF(booking!I100&gt;0,"oc","va")</f>
        <v>oc</v>
      </c>
      <c r="F100" s="137" t="str">
        <f>IF(booking!L100&gt;0,"oc","va")</f>
        <v>oc</v>
      </c>
      <c r="G100" s="138" t="str">
        <f>IF(booking!M100&gt;0,"oc","va")</f>
        <v>oc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5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oc</v>
      </c>
      <c r="E101" s="138" t="str">
        <f>IF(booking!I101&gt;0,"oc","va")</f>
        <v>oc</v>
      </c>
      <c r="F101" s="137" t="str">
        <f>IF(booking!L101&gt;0,"oc","va")</f>
        <v>oc</v>
      </c>
      <c r="G101" s="138" t="str">
        <f>IF(booking!M101&gt;0,"oc","va")</f>
        <v>oc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5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oc</v>
      </c>
      <c r="E102" s="138" t="str">
        <f>IF(booking!I102&gt;0,"oc","va")</f>
        <v>oc</v>
      </c>
      <c r="F102" s="137" t="str">
        <f>IF(booking!L102&gt;0,"oc","va")</f>
        <v>oc</v>
      </c>
      <c r="G102" s="138" t="str">
        <f>IF(booking!M102&gt;0,"oc","va")</f>
        <v>oc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5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oc</v>
      </c>
      <c r="E103" s="138" t="str">
        <f>IF(booking!I103&gt;0,"oc","va")</f>
        <v>oc</v>
      </c>
      <c r="F103" s="137" t="str">
        <f>IF(booking!L103&gt;0,"oc","va")</f>
        <v>oc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5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va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5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va</v>
      </c>
      <c r="K105" s="138" t="str">
        <f>IF(booking!U105&gt;0,"oc","va")</f>
        <v>va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5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va</v>
      </c>
      <c r="K106" s="138" t="str">
        <f>IF(booking!U106&gt;0,"oc","va")</f>
        <v>va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5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va</v>
      </c>
      <c r="K107" s="138" t="str">
        <f>IF(booking!U107&gt;0,"oc","va")</f>
        <v>va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5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va</v>
      </c>
      <c r="K108" s="138" t="str">
        <f>IF(booking!U108&gt;0,"oc","va")</f>
        <v>va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5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va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5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5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5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5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5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5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5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5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5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va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5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oc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va</v>
      </c>
      <c r="I119" s="138" t="str">
        <f>IF(booking!Q119&gt;0,"oc","va")</f>
        <v>va</v>
      </c>
      <c r="J119" s="137" t="str">
        <f>IF(booking!T119&gt;0,"oc","va")</f>
        <v>oc</v>
      </c>
      <c r="K119" s="138" t="str">
        <f>IF(booking!U119&gt;0,"oc","va")</f>
        <v>oc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5">
      <c r="A120" s="5">
        <f>booking!C120</f>
        <v>46257</v>
      </c>
      <c r="B120" s="137" t="str">
        <f>IF(booking!D120&gt;0,"oc","va")</f>
        <v>oc</v>
      </c>
      <c r="C120" s="138" t="str">
        <f>IF(booking!E120&gt;0,"oc","va")</f>
        <v>oc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va</v>
      </c>
      <c r="I120" s="138" t="str">
        <f>IF(booking!Q120&gt;0,"oc","va")</f>
        <v>va</v>
      </c>
      <c r="J120" s="137" t="str">
        <f>IF(booking!T120&gt;0,"oc","va")</f>
        <v>oc</v>
      </c>
      <c r="K120" s="138" t="str">
        <f>IF(booking!U120&gt;0,"oc","va")</f>
        <v>oc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5">
      <c r="A121" s="5">
        <f>booking!C121</f>
        <v>46258</v>
      </c>
      <c r="B121" s="137" t="str">
        <f>IF(booking!D121&gt;0,"oc","va")</f>
        <v>oc</v>
      </c>
      <c r="C121" s="138" t="str">
        <f>IF(booking!E121&gt;0,"oc","va")</f>
        <v>oc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va</v>
      </c>
      <c r="I121" s="138" t="str">
        <f>IF(booking!Q121&gt;0,"oc","va")</f>
        <v>va</v>
      </c>
      <c r="J121" s="137" t="str">
        <f>IF(booking!T121&gt;0,"oc","va")</f>
        <v>oc</v>
      </c>
      <c r="K121" s="138" t="str">
        <f>IF(booking!U121&gt;0,"oc","va")</f>
        <v>oc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5">
      <c r="A122" s="5">
        <f>booking!C122</f>
        <v>46259</v>
      </c>
      <c r="B122" s="137" t="str">
        <f>IF(booking!D122&gt;0,"oc","va")</f>
        <v>oc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va</v>
      </c>
      <c r="I122" s="138" t="str">
        <f>IF(booking!Q122&gt;0,"oc","va")</f>
        <v>va</v>
      </c>
      <c r="J122" s="137" t="str">
        <f>IF(booking!T122&gt;0,"oc","va")</f>
        <v>oc</v>
      </c>
      <c r="K122" s="138" t="str">
        <f>IF(booking!U122&gt;0,"oc","va")</f>
        <v>oc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5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oc</v>
      </c>
      <c r="D123" s="137" t="str">
        <f>IF(booking!H123&gt;0,"oc","va")</f>
        <v>va</v>
      </c>
      <c r="E123" s="138" t="str">
        <f>IF(booking!I123&gt;0,"oc","va")</f>
        <v>oc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va</v>
      </c>
      <c r="I123" s="138" t="str">
        <f>IF(booking!Q123&gt;0,"oc","va")</f>
        <v>oc</v>
      </c>
      <c r="J123" s="137" t="str">
        <f>IF(booking!T123&gt;0,"oc","va")</f>
        <v>oc</v>
      </c>
      <c r="K123" s="138" t="str">
        <f>IF(booking!U123&gt;0,"oc","va")</f>
        <v>oc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5">
      <c r="A124" s="5">
        <f>booking!C124</f>
        <v>46261</v>
      </c>
      <c r="B124" s="137" t="str">
        <f>IF(booking!D124&gt;0,"oc","va")</f>
        <v>oc</v>
      </c>
      <c r="C124" s="138" t="str">
        <f>IF(booking!E124&gt;0,"oc","va")</f>
        <v>oc</v>
      </c>
      <c r="D124" s="137" t="str">
        <f>IF(booking!H124&gt;0,"oc","va")</f>
        <v>oc</v>
      </c>
      <c r="E124" s="138" t="str">
        <f>IF(booking!I124&gt;0,"oc","va")</f>
        <v>oc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oc</v>
      </c>
      <c r="J124" s="137" t="str">
        <f>IF(booking!T124&gt;0,"oc","va")</f>
        <v>oc</v>
      </c>
      <c r="K124" s="138" t="str">
        <f>IF(booking!U124&gt;0,"oc","va")</f>
        <v>va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5">
      <c r="A125" s="5">
        <f>booking!C125</f>
        <v>46262</v>
      </c>
      <c r="B125" s="137" t="str">
        <f>IF(booking!D125&gt;0,"oc","va")</f>
        <v>oc</v>
      </c>
      <c r="C125" s="138" t="str">
        <f>IF(booking!E125&gt;0,"oc","va")</f>
        <v>oc</v>
      </c>
      <c r="D125" s="137" t="str">
        <f>IF(booking!H125&gt;0,"oc","va")</f>
        <v>oc</v>
      </c>
      <c r="E125" s="138" t="str">
        <f>IF(booking!I125&gt;0,"oc","va")</f>
        <v>oc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oc</v>
      </c>
      <c r="I125" s="138" t="str">
        <f>IF(booking!Q125&gt;0,"oc","va")</f>
        <v>oc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5">
      <c r="A126" s="5">
        <f>booking!C126</f>
        <v>46263</v>
      </c>
      <c r="B126" s="137" t="str">
        <f>IF(booking!D126&gt;0,"oc","va")</f>
        <v>oc</v>
      </c>
      <c r="C126" s="138" t="str">
        <f>IF(booking!E126&gt;0,"oc","va")</f>
        <v>oc</v>
      </c>
      <c r="D126" s="137" t="str">
        <f>IF(booking!H126&gt;0,"oc","va")</f>
        <v>oc</v>
      </c>
      <c r="E126" s="138" t="str">
        <f>IF(booking!I126&gt;0,"oc","va")</f>
        <v>oc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oc</v>
      </c>
      <c r="I126" s="138" t="str">
        <f>IF(booking!Q126&gt;0,"oc","va")</f>
        <v>oc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5">
      <c r="A127" s="5">
        <f>booking!C127</f>
        <v>46264</v>
      </c>
      <c r="B127" s="137" t="str">
        <f>IF(booking!D127&gt;0,"oc","va")</f>
        <v>oc</v>
      </c>
      <c r="C127" s="138" t="str">
        <f>IF(booking!E127&gt;0,"oc","va")</f>
        <v>oc</v>
      </c>
      <c r="D127" s="137" t="str">
        <f>IF(booking!H127&gt;0,"oc","va")</f>
        <v>oc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oc</v>
      </c>
      <c r="I127" s="138" t="str">
        <f>IF(booking!Q127&gt;0,"oc","va")</f>
        <v>oc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5">
      <c r="A128" s="5">
        <f>booking!C128</f>
        <v>46265</v>
      </c>
      <c r="B128" s="137" t="str">
        <f>IF(booking!D128&gt;0,"oc","va")</f>
        <v>oc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oc</v>
      </c>
      <c r="I128" s="138" t="str">
        <f>IF(booking!Q128&gt;0,"oc","va")</f>
        <v>oc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5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oc</v>
      </c>
      <c r="I129" s="138" t="str">
        <f>IF(booking!Q129&gt;0,"oc","va")</f>
        <v>oc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5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oc</v>
      </c>
      <c r="I130" s="138" t="str">
        <f>IF(booking!Q130&gt;0,"oc","va")</f>
        <v>oc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5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oc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5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5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5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5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5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5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5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5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va</v>
      </c>
      <c r="D139" s="137" t="str">
        <f>IF(booking!H139&gt;0,"oc","va")</f>
        <v>va</v>
      </c>
      <c r="E139" s="138" t="str">
        <f>IF(booking!I139&gt;0,"oc","va")</f>
        <v>va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va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5">
      <c r="A140" s="5">
        <f>booking!C140</f>
        <v>46277</v>
      </c>
      <c r="B140" s="137" t="str">
        <f>IF(booking!D140&gt;0,"oc","va")</f>
        <v>va</v>
      </c>
      <c r="C140" s="138" t="str">
        <f>IF(booking!E140&gt;0,"oc","va")</f>
        <v>va</v>
      </c>
      <c r="D140" s="137" t="str">
        <f>IF(booking!H140&gt;0,"oc","va")</f>
        <v>va</v>
      </c>
      <c r="E140" s="138" t="str">
        <f>IF(booking!I140&gt;0,"oc","va")</f>
        <v>va</v>
      </c>
      <c r="F140" s="137" t="str">
        <f>IF(booking!L140&gt;0,"oc","va")</f>
        <v>va</v>
      </c>
      <c r="G140" s="138" t="str">
        <f>IF(booking!M140&gt;0,"oc","va")</f>
        <v>va</v>
      </c>
      <c r="H140" s="137" t="str">
        <f>IF(booking!P140&gt;0,"oc","va")</f>
        <v>va</v>
      </c>
      <c r="I140" s="138" t="str">
        <f>IF(booking!Q140&gt;0,"oc","va")</f>
        <v>va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5">
      <c r="A141" s="5">
        <f>booking!C141</f>
        <v>46278</v>
      </c>
      <c r="B141" s="137" t="str">
        <f>IF(booking!D141&gt;0,"oc","va")</f>
        <v>va</v>
      </c>
      <c r="C141" s="138" t="str">
        <f>IF(booking!E141&gt;0,"oc","va")</f>
        <v>va</v>
      </c>
      <c r="D141" s="137" t="str">
        <f>IF(booking!H141&gt;0,"oc","va")</f>
        <v>va</v>
      </c>
      <c r="E141" s="138" t="str">
        <f>IF(booking!I141&gt;0,"oc","va")</f>
        <v>va</v>
      </c>
      <c r="F141" s="137" t="str">
        <f>IF(booking!L141&gt;0,"oc","va")</f>
        <v>va</v>
      </c>
      <c r="G141" s="138" t="str">
        <f>IF(booking!M141&gt;0,"oc","va")</f>
        <v>va</v>
      </c>
      <c r="H141" s="137" t="str">
        <f>IF(booking!P141&gt;0,"oc","va")</f>
        <v>va</v>
      </c>
      <c r="I141" s="138" t="str">
        <f>IF(booking!Q141&gt;0,"oc","va")</f>
        <v>va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5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va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va</v>
      </c>
      <c r="G142" s="138" t="str">
        <f>IF(booking!M142&gt;0,"oc","va")</f>
        <v>va</v>
      </c>
      <c r="H142" s="137" t="str">
        <f>IF(booking!P142&gt;0,"oc","va")</f>
        <v>va</v>
      </c>
      <c r="I142" s="138" t="str">
        <f>IF(booking!Q142&gt;0,"oc","va")</f>
        <v>va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5">
      <c r="A143" s="5">
        <f>booking!C143</f>
        <v>46280</v>
      </c>
      <c r="B143" s="137" t="str">
        <f>IF(booking!D143&gt;0,"oc","va")</f>
        <v>va</v>
      </c>
      <c r="C143" s="138" t="str">
        <f>IF(booking!E143&gt;0,"oc","va")</f>
        <v>va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va</v>
      </c>
      <c r="G143" s="138" t="str">
        <f>IF(booking!M143&gt;0,"oc","va")</f>
        <v>va</v>
      </c>
      <c r="H143" s="137" t="str">
        <f>IF(booking!P143&gt;0,"oc","va")</f>
        <v>va</v>
      </c>
      <c r="I143" s="138" t="str">
        <f>IF(booking!Q143&gt;0,"oc","va")</f>
        <v>va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5">
      <c r="A144" s="5">
        <f>booking!C144</f>
        <v>46281</v>
      </c>
      <c r="B144" s="137" t="str">
        <f>IF(booking!D144&gt;0,"oc","va")</f>
        <v>va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va</v>
      </c>
      <c r="G144" s="138" t="str">
        <f>IF(booking!M144&gt;0,"oc","va")</f>
        <v>va</v>
      </c>
      <c r="H144" s="137" t="str">
        <f>IF(booking!P144&gt;0,"oc","va")</f>
        <v>va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5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va</v>
      </c>
      <c r="G145" s="138" t="str">
        <f>IF(booking!M145&gt;0,"oc","va")</f>
        <v>va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5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va</v>
      </c>
      <c r="G146" s="138" t="str">
        <f>IF(booking!M146&gt;0,"oc","va")</f>
        <v>va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5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va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5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5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5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5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5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5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5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5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5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5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5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5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5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5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5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5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5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5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5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5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5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5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5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10</vt:i4>
      </vt:variant>
      <vt:variant>
        <vt:lpstr>Navngivne områder</vt:lpstr>
      </vt:variant>
      <vt:variant>
        <vt:i4>5</vt:i4>
      </vt:variant>
    </vt:vector>
  </HeadingPairs>
  <TitlesOfParts>
    <vt:vector size="15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2026-02-20T17:46:52Z</cp:lastPrinted>
  <dcterms:created xsi:type="dcterms:W3CDTF">2024-07-25T07:35:10Z</dcterms:created>
  <dcterms:modified xsi:type="dcterms:W3CDTF">2026-03-07T12:35:25Z</dcterms:modified>
  <cp:category/>
  <cp:contentStatus/>
</cp:coreProperties>
</file>