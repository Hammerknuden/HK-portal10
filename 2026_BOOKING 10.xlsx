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703" documentId="8_{48B37ED3-8953-4CF0-98FF-01FF5DFD1860}" xr6:coauthVersionLast="47" xr6:coauthVersionMax="47" xr10:uidLastSave="{AC0A3AC3-B139-410B-B6E7-8CA8AFDBA20B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7" l="1"/>
  <c r="AB11" i="5"/>
  <c r="AC11" i="5"/>
  <c r="G45" i="9"/>
  <c r="G46" i="9"/>
  <c r="R200" i="3"/>
  <c r="Z109" i="5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W73" i="3" l="1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73" i="3" l="1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<sst xmlns="http://schemas.openxmlformats.org/spreadsheetml/2006/main" count="961" uniqueCount="338">
  <si>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</si>
  <si>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</si>
  <si>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</si>
  <si>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</si>
  <si>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</si>
  <si>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</si>
  <si>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</si>
  <si>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</si>
  <si>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</si>
  <si>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</si>
  <si>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</si>
  <si>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</si>
  <si>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</si>
  <si>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</si>
  <si>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</si>
  <si>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</si>
  <si>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</si>
  <si>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</si>
  <si>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</si>
  <si>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</si>
  <si>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</si>
  <si>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</si>
  <si>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</si>
  <si>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</si>
  <si>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</si>
  <si>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</si>
  <si>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</si>
  <si>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</si>
  <si>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</si>
  <si>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</si>
  <si>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</si>
  <si>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</si>
  <si>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</si>
  <si>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</si>
  <si>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</si>
  <si>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</si>
  <si>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</si>
  <si>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</si>
  <si>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</si>
  <si>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</si>
  <si>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</si>
  <si>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</si>
  <si>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</si>
  <si>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</si>
  <si>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</si>
  <si>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</si>
  <si>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</si>
  <si>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</si>
  <si>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</si>
  <si>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</si>
  <si>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</si>
  <si>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</si>
  <si>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</si>
  <si>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</si>
  <si>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</si>
  <si>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</si>
  <si>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</si>
  <si>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</si>
  <si>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</si>
  <si>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</si>
  <si>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</si>
  <si>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</si>
  <si>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</si>
  <si>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</si>
  <si>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</si>
  <si>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</si>
  <si>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</si>
  <si>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</si>
  <si>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</si>
  <si>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</si>
  <si>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</si>
  <si>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</si>
  <si>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</si>
  <si>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</si>
  <si>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</si>
  <si>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</si>
  <si>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</si>
  <si>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</si>
  <si>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</si>
  <si>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</si>
  <si>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</si>
  <si>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</si>
  <si>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</si>
  <si>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</si>
  <si>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</si>
  <si>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</si>
  <si>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</si>
  <si>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</si>
  <si>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</si>
  <si>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</si>
  <si>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</si>
  <si>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</si>
  <si>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</si>
  <si>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</si>
  <si>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</si>
  <si>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</si>
  <si>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</si>
  <si>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</si>
  <si>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</si>
  <si>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</si>
  <si>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</si>
  <si>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</si>
  <si>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</si>
  <si>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</si>
  <si>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</si>
  <si>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</si>
  <si>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</si>
  <si>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</si>
  <si>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</si>
  <si>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</si>
  <si>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</si>
  <si>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</si>
  <si>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</si>
  <si>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</si>
  <si>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</si>
  <si>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</si>
  <si>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</si>
  <si>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</si>
  <si>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</si>
  <si>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</si>
  <si>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</si>
  <si>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</si>
  <si>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</si>
  <si>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</si>
  <si>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</si>
  <si>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</si>
  <si>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</si>
  <si>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</si>
  <si>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</si>
  <si>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</si>
  <si>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</si>
  <si>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</si>
  <si>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</si>
  <si>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</si>
  <si>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</si>
  <si>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</si>
  <si>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</si>
  <si>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</si>
  <si>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</si>
  <si>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</si>
  <si>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</si>
  <si>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</si>
  <si>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</si>
  <si>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</si>
  <si>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</si>
  <si>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</si>
  <si>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</si>
  <si>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</si>
  <si>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</si>
  <si>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</si>
  <si>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</si>
  <si>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</si>
  <si>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</si>
  <si>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</si>
  <si>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</si>
  <si>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</si>
  <si>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</si>
  <si>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</si>
  <si>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</si>
  <si>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</si>
  <si>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</si>
  <si>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</si>
  <si>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</si>
  <si>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</si>
  <si>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</si>
  <si>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</si>
  <si>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</si>
  <si>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</si>
  <si>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</si>
  <si>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</si>
  <si>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</si>
  <si>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</si>
  <si>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</si>
  <si>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</si>
  <si>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</si>
  <si>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</si>
  <si>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</si>
  <si>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</si>
  <si>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</si>
  <si>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</si>
  <si>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</si>
  <si>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</si>
  <si>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</si>
  <si>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</si>
  <si>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</si>
  <si>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</si>
  <si>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</si>
  <si>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</si>
  <si>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</si>
  <si>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</si>
  <si>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</si>
  <si>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</si>
  <si>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</si>
  <si>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</si>
  <si>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</si>
  <si>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</si>
  <si>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</si>
  <si>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</si>
  <si>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</si>
  <si>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</si>
  <si>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</si>
  <si>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</si>
  <si>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</si>
  <si>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</si>
  <si>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</si>
  <si>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</si>
  <si>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</si>
  <si>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</si>
  <si>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</si>
  <si>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</si>
  <si>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</si>
  <si>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</si>
  <si>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</si>
  <si>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</si>
  <si>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</si>
  <si>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</si>
  <si>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</si>
  <si>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</si>
  <si>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</si>
  <si>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</si>
  <si>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</si>
  <si>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</si>
  <si>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</si>
  <si>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</si>
  <si>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</si>
  <si>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</si>
  <si>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</si>
  <si>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</si>
  <si>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</si>
  <si>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</si>
  <si>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</si>
  <si>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</si>
  <si>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</si>
  <si>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</si>
  <si>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</si>
  <si>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</si>
  <si>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</si>
  <si>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</si>
  <si>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</si>
  <si>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</si>
  <si>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</si>
  <si>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</si>
  <si>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</si>
  <si>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</si>
  <si>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</si>
  <si>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</si>
  <si>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</si>
  <si>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</si>
  <si>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</si>
  <si>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</si>
  <si>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</si>
  <si>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</si>
  <si>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</si>
  <si>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</si>
  <si>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</si>
  <si>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</si>
  <si>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</si>
  <si>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</si>
  <si>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</si>
  <si>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</si>
  <si>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</si>
  <si>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</si>
  <si>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</si>
  <si>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</si>
  <si>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</si>
  <si>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</si>
  <si>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</si>
  <si>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</si>
  <si>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</si>
  <si>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</si>
  <si>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</si>
  <si>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</si>
  <si>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</si>
  <si>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</si>
  <si>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</si>
  <si>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</si>
  <si>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</si>
  <si>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</si>
  <si>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</si>
  <si>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</si>
  <si>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</si>
  <si>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</si>
  <si>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</si>
  <si>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</si>
  <si>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</si>
  <si>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</si>
  <si>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</si>
  <si>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</si>
  <si>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</si>
  <si>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</si>
  <si>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</si>
  <si>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</si>
  <si>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</si>
  <si>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</si>
  <si>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</si>
  <si>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</si>
  <si>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</si>
  <si>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</si>
  <si>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</si>
  <si>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</si>
  <si>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</si>
  <si>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</si>
  <si>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</si>
  <si>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</si>
  <si>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</si>
  <si>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</si>
  <si>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</si>
  <si>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</si>
  <si>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</si>
  <si>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</si>
  <si>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</si>
  <si>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</si>
  <si>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</si>
  <si>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</si>
  <si>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</si>
  <si>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</si>
  <si>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</si>
  <si>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</si>
  <si>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</si>
  <si>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</si>
  <si>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</si>
  <si>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</si>
  <si>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</si>
  <si>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</si>
  <si>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</si>
  <si>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</si>
  <si>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</si>
  <si>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</si>
  <si>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</si>
  <si>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2v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</si>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</sst>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112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510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112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510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hyperlink" Target="mailto:donduckvejle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hyperlink" Target="mailto:pija@mail.tele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31" Type="http://schemas.openxmlformats.org/officeDocument/2006/relationships/comments" Target="../comments1.x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Relationship Id="rId30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">
      <c r="C12" s="120"/>
      <c r="D12" s="120"/>
      <c r="E12" s="120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4"/>
  <sheetViews>
    <sheetView workbookViewId="0">
      <pane ySplit="1" topLeftCell="A62" activePane="bottomLeft" state="frozen"/>
      <selection pane="bottomLeft" activeCell="B63" sqref="B63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160" bestFit="1" customWidth="1"/>
    <col min="15" max="15" width="16.109375" style="2" customWidth="1"/>
    <col min="16" max="16" width="8.5546875" style="2"/>
    <col min="17" max="17" width="8.5546875" style="2" customWidth="1"/>
    <col min="18" max="18" width="12.77734375" style="132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8" t="s">
        <v>174</v>
      </c>
      <c r="N3" s="186"/>
      <c r="O3" s="134" t="s">
        <v>175</v>
      </c>
      <c r="P3" s="134"/>
      <c r="Q3" s="134" t="s">
        <v>21</v>
      </c>
      <c r="R3" s="167">
        <v>8740</v>
      </c>
      <c r="S3" s="162" t="s">
        <v>20</v>
      </c>
    </row>
    <row r="4" spans="1:20" x14ac:dyDescent="0.3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">
      <c r="A71" s="2">
        <v>70</v>
      </c>
      <c r="B71" t="s">
        <v>334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335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336</v>
      </c>
    </row>
    <row r="72" spans="1:20" x14ac:dyDescent="0.3">
      <c r="A72" s="2">
        <v>71</v>
      </c>
      <c r="B72" t="s">
        <v>337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">
      <c r="A73" s="2">
        <v>72</v>
      </c>
      <c r="B73" t="s">
        <v>331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332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333</v>
      </c>
    </row>
    <row r="74" spans="1:20" x14ac:dyDescent="0.3">
      <c r="A74" s="2">
        <v>73</v>
      </c>
      <c r="B74" t="s">
        <v>330</v>
      </c>
      <c r="C74" s="24">
        <v>46143</v>
      </c>
      <c r="D74" s="24">
        <v>46145</v>
      </c>
      <c r="E74" s="24">
        <v>46061</v>
      </c>
      <c r="F74" t="s">
        <v>53</v>
      </c>
      <c r="G74" t="s">
        <v>35</v>
      </c>
      <c r="K74">
        <v>1</v>
      </c>
      <c r="L74">
        <v>2</v>
      </c>
      <c r="Q74" s="2" t="s">
        <v>20</v>
      </c>
      <c r="R74" s="132">
        <v>1900</v>
      </c>
      <c r="S74" s="2" t="s">
        <v>20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  <hyperlink ref="M71" r:id="rId28" xr:uid="{25143F69-F329-43B3-9B11-F613A3905198}"/>
    <hyperlink ref="M73" r:id="rId29" xr:uid="{085EA66D-D92F-4BED-BE50-F8FF2B578695}"/>
  </hyperlinks>
  <pageMargins left="0.7" right="0.7" top="0.75" bottom="0.75" header="0.3" footer="0.3"/>
  <legacy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S200" sqref="S200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73</v>
      </c>
      <c r="B74" s="24">
        <f>Database!E74</f>
        <v>46061</v>
      </c>
      <c r="C74">
        <f>IF(Database!G74="cansl",0,Database!K74)</f>
        <v>1</v>
      </c>
      <c r="D74">
        <f>Database!D74-Database!C74</f>
        <v>2</v>
      </c>
      <c r="F74">
        <f>Database!L74</f>
        <v>2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2</v>
      </c>
      <c r="R74">
        <f t="shared" si="85"/>
        <v>2</v>
      </c>
      <c r="S74">
        <f t="shared" si="85"/>
        <v>2</v>
      </c>
      <c r="T74">
        <f t="shared" si="85"/>
        <v>2</v>
      </c>
      <c r="U74">
        <f t="shared" si="85"/>
        <v>2</v>
      </c>
      <c r="V74">
        <f t="shared" si="85"/>
        <v>2</v>
      </c>
      <c r="W74">
        <f t="shared" si="85"/>
        <v>2</v>
      </c>
      <c r="X74">
        <f t="shared" si="86"/>
        <v>2</v>
      </c>
      <c r="Y74">
        <f t="shared" si="86"/>
        <v>2</v>
      </c>
      <c r="Z74">
        <f t="shared" si="86"/>
        <v>2</v>
      </c>
      <c r="AA74">
        <f t="shared" si="86"/>
        <v>2</v>
      </c>
      <c r="AB74">
        <f t="shared" si="86"/>
        <v>2</v>
      </c>
      <c r="AC74">
        <f t="shared" si="86"/>
        <v>2</v>
      </c>
      <c r="AD74">
        <f t="shared" si="86"/>
        <v>2</v>
      </c>
      <c r="AE74">
        <f t="shared" si="86"/>
        <v>2</v>
      </c>
      <c r="AF74">
        <f t="shared" si="86"/>
        <v>2</v>
      </c>
      <c r="AG74">
        <f t="shared" si="86"/>
        <v>2</v>
      </c>
      <c r="AH74">
        <f t="shared" si="87"/>
        <v>2</v>
      </c>
      <c r="AI74">
        <f t="shared" si="87"/>
        <v>2</v>
      </c>
      <c r="AJ74">
        <f t="shared" si="87"/>
        <v>2</v>
      </c>
      <c r="AK74">
        <f t="shared" si="87"/>
        <v>2</v>
      </c>
      <c r="AL74">
        <f t="shared" si="87"/>
        <v>2</v>
      </c>
      <c r="AM74">
        <f t="shared" si="87"/>
        <v>2</v>
      </c>
      <c r="AN74">
        <f t="shared" si="87"/>
        <v>2</v>
      </c>
      <c r="AO74">
        <f t="shared" si="87"/>
        <v>2</v>
      </c>
      <c r="AP74">
        <f t="shared" si="87"/>
        <v>2</v>
      </c>
      <c r="AQ74">
        <f t="shared" si="87"/>
        <v>2</v>
      </c>
      <c r="AR74">
        <f t="shared" si="88"/>
        <v>2</v>
      </c>
      <c r="AS74">
        <f t="shared" si="88"/>
        <v>2</v>
      </c>
      <c r="AT74">
        <f t="shared" si="88"/>
        <v>2</v>
      </c>
      <c r="AU74">
        <f t="shared" si="88"/>
        <v>2</v>
      </c>
      <c r="AV74">
        <f t="shared" si="88"/>
        <v>2</v>
      </c>
      <c r="AW74">
        <f t="shared" si="88"/>
        <v>2</v>
      </c>
      <c r="AX74">
        <f t="shared" si="88"/>
        <v>2</v>
      </c>
      <c r="BB74" s="34">
        <f t="shared" si="63"/>
        <v>2</v>
      </c>
      <c r="BC74" s="34">
        <f t="shared" si="64"/>
        <v>4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112</v>
      </c>
      <c r="BC196" s="34">
        <f t="shared" si="167"/>
        <v>510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16</v>
      </c>
      <c r="BI196" s="34">
        <f t="shared" si="167"/>
        <v>103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166</v>
      </c>
      <c r="L198">
        <f t="shared" si="168"/>
        <v>180</v>
      </c>
      <c r="M198">
        <f t="shared" si="168"/>
        <v>232</v>
      </c>
      <c r="N198">
        <f t="shared" si="168"/>
        <v>273</v>
      </c>
      <c r="O198">
        <f t="shared" si="168"/>
        <v>329</v>
      </c>
      <c r="P198">
        <f t="shared" si="168"/>
        <v>345</v>
      </c>
      <c r="Q198">
        <f t="shared" si="168"/>
        <v>373</v>
      </c>
      <c r="R198">
        <f t="shared" si="168"/>
        <v>373</v>
      </c>
      <c r="S198">
        <f t="shared" si="168"/>
        <v>373</v>
      </c>
      <c r="T198">
        <f t="shared" si="168"/>
        <v>373</v>
      </c>
      <c r="U198">
        <f t="shared" si="168"/>
        <v>373</v>
      </c>
      <c r="V198">
        <f t="shared" si="168"/>
        <v>373</v>
      </c>
      <c r="W198">
        <f t="shared" si="168"/>
        <v>373</v>
      </c>
      <c r="X198">
        <f t="shared" si="168"/>
        <v>373</v>
      </c>
      <c r="Y198">
        <f t="shared" si="168"/>
        <v>373</v>
      </c>
      <c r="Z198">
        <f t="shared" si="168"/>
        <v>373</v>
      </c>
      <c r="AA198">
        <f t="shared" si="168"/>
        <v>373</v>
      </c>
      <c r="AB198">
        <f t="shared" si="168"/>
        <v>373</v>
      </c>
      <c r="AC198">
        <f t="shared" si="168"/>
        <v>373</v>
      </c>
      <c r="AD198">
        <f t="shared" si="168"/>
        <v>373</v>
      </c>
      <c r="AE198">
        <f t="shared" si="168"/>
        <v>373</v>
      </c>
      <c r="AF198">
        <f t="shared" si="168"/>
        <v>373</v>
      </c>
      <c r="AG198">
        <f t="shared" si="168"/>
        <v>373</v>
      </c>
      <c r="AH198">
        <f t="shared" si="168"/>
        <v>373</v>
      </c>
      <c r="AI198">
        <f t="shared" si="168"/>
        <v>373</v>
      </c>
      <c r="AJ198">
        <f t="shared" si="168"/>
        <v>373</v>
      </c>
      <c r="AK198">
        <f t="shared" si="168"/>
        <v>373</v>
      </c>
      <c r="AL198">
        <f t="shared" si="168"/>
        <v>373</v>
      </c>
      <c r="AM198">
        <f t="shared" si="168"/>
        <v>373</v>
      </c>
      <c r="AN198">
        <f t="shared" si="168"/>
        <v>373</v>
      </c>
      <c r="AO198">
        <f t="shared" si="168"/>
        <v>373</v>
      </c>
      <c r="AP198">
        <f t="shared" si="168"/>
        <v>373</v>
      </c>
      <c r="AQ198">
        <f t="shared" si="168"/>
        <v>373</v>
      </c>
      <c r="AR198">
        <f t="shared" si="168"/>
        <v>373</v>
      </c>
      <c r="AS198">
        <f t="shared" si="168"/>
        <v>373</v>
      </c>
      <c r="AT198">
        <f t="shared" si="168"/>
        <v>373</v>
      </c>
      <c r="AU198">
        <f t="shared" si="168"/>
        <v>373</v>
      </c>
      <c r="AV198">
        <f t="shared" si="168"/>
        <v>373</v>
      </c>
      <c r="AW198">
        <f t="shared" si="168"/>
        <v>373</v>
      </c>
      <c r="AX198">
        <f t="shared" si="168"/>
        <v>373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R200" si="169">K198</f>
        <v>166</v>
      </c>
      <c r="L200">
        <f t="shared" si="169"/>
        <v>180</v>
      </c>
      <c r="M200">
        <f t="shared" si="169"/>
        <v>232</v>
      </c>
      <c r="N200">
        <f t="shared" si="169"/>
        <v>273</v>
      </c>
      <c r="O200">
        <f t="shared" si="169"/>
        <v>329</v>
      </c>
      <c r="P200">
        <f t="shared" si="169"/>
        <v>345</v>
      </c>
      <c r="Q200">
        <f t="shared" si="169"/>
        <v>373</v>
      </c>
      <c r="R200">
        <f t="shared" si="169"/>
        <v>373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112</v>
      </c>
      <c r="BE202" s="34">
        <f>BD196</f>
        <v>15</v>
      </c>
      <c r="BF202" s="34">
        <f>BF196</f>
        <v>0</v>
      </c>
      <c r="BG202" s="34">
        <f>BH196</f>
        <v>16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510</v>
      </c>
      <c r="BE203" s="40">
        <f>BE196</f>
        <v>55</v>
      </c>
      <c r="BF203" s="40">
        <f>BG196</f>
        <v>0</v>
      </c>
      <c r="BG203" s="40">
        <f>BI196</f>
        <v>103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112</v>
      </c>
      <c r="C30" s="34">
        <f>'book stat'!BE202</f>
        <v>15</v>
      </c>
      <c r="D30" s="34">
        <f>'book stat'!BF202</f>
        <v>0</v>
      </c>
      <c r="E30" s="34">
        <f>'book stat'!BG202</f>
        <v>16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510</v>
      </c>
      <c r="C31" s="34">
        <f>'book stat'!BE203</f>
        <v>55</v>
      </c>
      <c r="D31" s="34">
        <f>'book stat'!BF203</f>
        <v>0</v>
      </c>
      <c r="E31" s="34">
        <f>'book stat'!BG203</f>
        <v>103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" activePane="bottomLeft" state="frozen"/>
      <selection pane="bottomLeft" activeCell="H6" sqref="H6:I8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1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388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 t="s">
        <v>32</v>
      </c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3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329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/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8"/>
      <c r="J12" s="20"/>
      <c r="K12" s="19"/>
      <c r="L12" s="14"/>
      <c r="M12" s="8"/>
      <c r="N12" s="20"/>
      <c r="O12" s="20"/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1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0"/>
      <c r="G13" s="19"/>
      <c r="H13" s="8"/>
      <c r="I13" s="8"/>
      <c r="J13" s="20"/>
      <c r="K13" s="19"/>
      <c r="L13" s="14"/>
      <c r="M13" s="8"/>
      <c r="N13" s="20"/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2</v>
      </c>
      <c r="AA13" s="140">
        <f t="shared" si="3"/>
        <v>1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0"/>
      <c r="G14" s="19"/>
      <c r="H14" s="8"/>
      <c r="I14" s="8"/>
      <c r="J14" s="20"/>
      <c r="K14" s="19"/>
      <c r="L14" s="14"/>
      <c r="M14" s="8"/>
      <c r="N14" s="20"/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2</v>
      </c>
      <c r="AA14" s="140">
        <f t="shared" si="3"/>
        <v>1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0"/>
      <c r="G15" s="19"/>
      <c r="H15" s="8"/>
      <c r="I15" s="8"/>
      <c r="J15" s="20"/>
      <c r="K15" s="19"/>
      <c r="L15" s="14"/>
      <c r="M15" s="8"/>
      <c r="N15" s="20"/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1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8"/>
      <c r="Q35" s="148">
        <v>2</v>
      </c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49">
        <v>5</v>
      </c>
      <c r="M36" s="149">
        <v>5</v>
      </c>
      <c r="N36" s="124">
        <v>2</v>
      </c>
      <c r="O36" s="124"/>
      <c r="P36" s="148">
        <v>2</v>
      </c>
      <c r="Q36" s="148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5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49">
        <v>5</v>
      </c>
      <c r="M37" s="8"/>
      <c r="N37" s="20"/>
      <c r="O37" s="20"/>
      <c r="P37" s="148">
        <v>2</v>
      </c>
      <c r="Q37" s="148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8">
        <v>2</v>
      </c>
      <c r="Q38" s="148">
        <v>2</v>
      </c>
      <c r="R38" s="124">
        <v>2</v>
      </c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5">
        <v>27</v>
      </c>
      <c r="N39" s="20"/>
      <c r="O39" s="20" t="s">
        <v>165</v>
      </c>
      <c r="P39" s="148">
        <v>2</v>
      </c>
      <c r="Q39" s="148">
        <v>2</v>
      </c>
      <c r="R39" s="124">
        <v>2</v>
      </c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4">
        <v>27</v>
      </c>
      <c r="M40" s="165">
        <v>27</v>
      </c>
      <c r="N40" s="20">
        <v>2</v>
      </c>
      <c r="O40" s="20"/>
      <c r="P40" s="148">
        <v>2</v>
      </c>
      <c r="Q40" s="148">
        <v>2</v>
      </c>
      <c r="R40" s="124">
        <v>2</v>
      </c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4"/>
      <c r="I41" s="149">
        <v>6</v>
      </c>
      <c r="J41" s="20"/>
      <c r="K41" s="19"/>
      <c r="L41" s="165">
        <v>27</v>
      </c>
      <c r="M41" s="165">
        <v>27</v>
      </c>
      <c r="N41" s="20">
        <v>2</v>
      </c>
      <c r="O41" s="20"/>
      <c r="P41" s="148">
        <v>2</v>
      </c>
      <c r="Q41" s="148">
        <v>2</v>
      </c>
      <c r="R41" s="124">
        <v>2</v>
      </c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48">
        <v>2</v>
      </c>
      <c r="Q42" s="148">
        <v>2</v>
      </c>
      <c r="R42" s="124">
        <v>2</v>
      </c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48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5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8"/>
      <c r="V63" s="20"/>
      <c r="W63" s="20"/>
      <c r="X63" s="22"/>
      <c r="Y63" s="22"/>
      <c r="Z63" s="145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8"/>
      <c r="U64" s="8"/>
      <c r="V64" s="20"/>
      <c r="W64" s="20"/>
      <c r="X64" s="22"/>
      <c r="Y64" s="22"/>
      <c r="Z64" s="145">
        <f t="shared" si="2"/>
        <v>4</v>
      </c>
      <c r="AA64" s="140">
        <f t="shared" si="3"/>
        <v>3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8"/>
      <c r="U65" s="8"/>
      <c r="V65" s="20"/>
      <c r="W65" s="20"/>
      <c r="X65" s="22"/>
      <c r="Y65" s="22"/>
      <c r="Z65" s="145">
        <f t="shared" si="2"/>
        <v>6</v>
      </c>
      <c r="AA65" s="140">
        <f t="shared" si="3"/>
        <v>2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8"/>
      <c r="U66" s="8"/>
      <c r="V66" s="20"/>
      <c r="W66" s="20"/>
      <c r="X66" s="22"/>
      <c r="Y66" s="22"/>
      <c r="Z66" s="145">
        <f t="shared" si="2"/>
        <v>4</v>
      </c>
      <c r="AA66" s="140">
        <f t="shared" si="3"/>
        <v>2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8"/>
      <c r="U67" s="8"/>
      <c r="V67" s="20"/>
      <c r="W67" s="20"/>
      <c r="X67" s="22"/>
      <c r="Y67" s="22"/>
      <c r="Z67" s="145">
        <f t="shared" ref="Z67:Z130" si="6">F67+J67+N67+R67+V67</f>
        <v>4</v>
      </c>
      <c r="AA67" s="140">
        <f t="shared" ref="AA67:AA130" si="7">COUNT(E67,I67,M67,Q67,U67)</f>
        <v>2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8"/>
      <c r="U68" s="8"/>
      <c r="V68" s="20"/>
      <c r="W68" s="20"/>
      <c r="X68" s="135"/>
      <c r="Y68" s="136"/>
      <c r="Z68" s="145">
        <f t="shared" si="6"/>
        <v>4</v>
      </c>
      <c r="AA68" s="140">
        <f t="shared" si="7"/>
        <v>2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8"/>
      <c r="U69" s="121"/>
      <c r="V69" s="20"/>
      <c r="W69" s="20"/>
      <c r="X69" s="136"/>
      <c r="Y69" s="136"/>
      <c r="Z69" s="145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21"/>
      <c r="U70" s="149">
        <v>7</v>
      </c>
      <c r="V70" s="20"/>
      <c r="W70" s="20"/>
      <c r="X70" s="136"/>
      <c r="Y70" s="136"/>
      <c r="Z70" s="145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/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/>
      <c r="I82" s="8"/>
      <c r="J82" s="20"/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49">
        <v>21</v>
      </c>
      <c r="U119" s="8"/>
      <c r="V119" s="124">
        <v>2</v>
      </c>
      <c r="W119" s="124"/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49">
        <v>35</v>
      </c>
      <c r="V124" s="124"/>
      <c r="W124" s="124"/>
      <c r="X124" s="22"/>
      <c r="Y124" s="22"/>
      <c r="Z124" s="145">
        <f t="shared" si="6"/>
        <v>3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5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/>
      <c r="Q126" s="8"/>
      <c r="R126" s="124"/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4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/>
      <c r="Q127" s="8"/>
      <c r="R127" s="124"/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4"/>
      <c r="W129" s="124"/>
      <c r="X129" s="22"/>
      <c r="Y129" s="22"/>
      <c r="Z129" s="145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5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>
        <v>75</v>
      </c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2</v>
      </c>
      <c r="AB139" s="8">
        <f t="shared" si="10"/>
        <v>1</v>
      </c>
      <c r="AC139" s="23">
        <f t="shared" si="11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>
        <v>75</v>
      </c>
      <c r="Q140" s="8">
        <v>75</v>
      </c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2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>
        <v>75</v>
      </c>
      <c r="Q141" s="8">
        <v>75</v>
      </c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2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>
        <v>75</v>
      </c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1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107 D58:M115 D116:N171 D2:H8 J2:N57 I2:I9 I11:I57 D16:H57 D9:G15 H9:H10 H12:H15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4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4" customFormat="1" ht="19.350000000000001" customHeight="1" thickBot="1" x14ac:dyDescent="0.4">
      <c r="A1" s="54" t="s">
        <v>131</v>
      </c>
      <c r="B1" s="55" t="s">
        <v>116</v>
      </c>
      <c r="C1" s="73" t="s">
        <v>132</v>
      </c>
      <c r="D1" s="74">
        <f ca="1">TODAY()</f>
        <v>46068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35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35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35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35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35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4">
        <f>booking!C142</f>
        <v>46279</v>
      </c>
      <c r="D142" s="2" t="str">
        <f>IF(booking!AC142&gt;0,"Y","-")</f>
        <v>Y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udc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8" customWidth="1"/>
    <col min="9" max="10" width="6.5546875" customWidth="1"/>
    <col min="11" max="13" width="6.5546875" style="78" customWidth="1"/>
    <col min="14" max="14" width="6.5546875" customWidth="1"/>
    <col min="15" max="17" width="6.5546875" style="78" customWidth="1"/>
    <col min="18" max="18" width="6.5546875" style="77" customWidth="1"/>
    <col min="19" max="21" width="6.5546875" style="78" customWidth="1"/>
    <col min="22" max="22" width="6.5546875" customWidth="1"/>
    <col min="23" max="25" width="6.5546875" style="78" customWidth="1"/>
  </cols>
  <sheetData>
    <row r="1" spans="1:26" ht="20.100000000000001" customHeight="1" thickBot="1" x14ac:dyDescent="0.35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46068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35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35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35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35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35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35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35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35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35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35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IF(AND(D11="Y",booking!H11&lt;&gt;booking!I12,booking!I12&gt;0),booking!I12,"-")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35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35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35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35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35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35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35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35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35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35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35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35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35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35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35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35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35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35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35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35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35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35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35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35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35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35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35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35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35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35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35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35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35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35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35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35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35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35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35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35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35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35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35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35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35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35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35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35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35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35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35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35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35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35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35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35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35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35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35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35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35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35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35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35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35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35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35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35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35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35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35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35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35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35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35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35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35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35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35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35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35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35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35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35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35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35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35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35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>
        <f>IF(AND(D99="Y",booking!L99&lt;&gt;booking!M99,booking!M99&gt;0),booking!M99,"-")</f>
        <v>74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35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35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35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35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35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35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35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35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35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35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35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35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35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35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35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35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35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35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35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35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35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35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35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35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35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35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35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35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35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35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35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35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35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35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35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35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35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35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35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35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>
        <f>IF(AND(D139="Y",booking!P139&lt;&gt;booking!Q139,booking!Q139&gt;0),booking!Q139,"-")</f>
        <v>75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35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35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35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35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35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35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35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35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35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35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35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35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35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35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35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35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35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35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35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35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35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35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35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35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35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35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35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35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35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35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35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35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">
      <c r="A74">
        <f>Database!A74</f>
        <v>73</v>
      </c>
      <c r="B74" s="2" t="str">
        <f>Database!Q74</f>
        <v>N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2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4" x14ac:dyDescent="0.3"/>
  <cols>
    <col min="1" max="1" width="10.109375" bestFit="1" customWidth="1"/>
    <col min="2" max="2" width="3.5546875" style="17" customWidth="1"/>
    <col min="3" max="13" width="3.5546875" style="2" customWidth="1"/>
  </cols>
  <sheetData>
    <row r="1" spans="1:13" ht="15" customHeight="1" thickBot="1" x14ac:dyDescent="0.35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va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va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oc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oc</v>
      </c>
      <c r="I140" s="138" t="str">
        <f>IF(booking!Q140&gt;0,"oc","va")</f>
        <v>oc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oc</v>
      </c>
      <c r="I141" s="138" t="str">
        <f>IF(booking!Q141&gt;0,"oc","va")</f>
        <v>oc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oc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">
      <c r="A172" s="5"/>
      <c r="C172" s="17"/>
    </row>
    <row r="173" spans="1:13" x14ac:dyDescent="0.3">
      <c r="A173" s="5"/>
      <c r="C173" s="17"/>
    </row>
    <row r="174" spans="1:13" x14ac:dyDescent="0.3">
      <c r="A174" s="5"/>
      <c r="C174" s="17"/>
    </row>
    <row r="175" spans="1:13" x14ac:dyDescent="0.3">
      <c r="A175" s="5"/>
      <c r="C175" s="17"/>
    </row>
    <row r="176" spans="1:13" x14ac:dyDescent="0.3">
      <c r="A176" s="5"/>
      <c r="C176" s="17"/>
    </row>
    <row r="177" spans="1:3" x14ac:dyDescent="0.3">
      <c r="A177" s="5"/>
      <c r="C177" s="17"/>
    </row>
    <row r="178" spans="1:3" x14ac:dyDescent="0.3">
      <c r="A178" s="5"/>
      <c r="C178" s="17"/>
    </row>
    <row r="179" spans="1:3" x14ac:dyDescent="0.3">
      <c r="A179" s="5"/>
      <c r="C179" s="17"/>
    </row>
    <row r="180" spans="1:3" x14ac:dyDescent="0.3">
      <c r="A180" s="5"/>
      <c r="C180" s="17"/>
    </row>
    <row r="181" spans="1:3" x14ac:dyDescent="0.3">
      <c r="A181" s="5"/>
      <c r="C181" s="17"/>
    </row>
    <row r="182" spans="1:3" x14ac:dyDescent="0.3">
      <c r="A182" s="5"/>
      <c r="C182" s="17"/>
    </row>
    <row r="183" spans="1:3" x14ac:dyDescent="0.3">
      <c r="A183" s="5"/>
      <c r="C183" s="17"/>
    </row>
    <row r="184" spans="1:3" x14ac:dyDescent="0.3">
      <c r="A184" s="5"/>
      <c r="C184" s="17"/>
    </row>
    <row r="185" spans="1:3" x14ac:dyDescent="0.3">
      <c r="A185" s="5"/>
      <c r="C185" s="17"/>
    </row>
    <row r="186" spans="1:3" x14ac:dyDescent="0.3">
      <c r="A186" s="5"/>
      <c r="C186" s="17"/>
    </row>
    <row r="187" spans="1:3" x14ac:dyDescent="0.3">
      <c r="A187" s="5"/>
      <c r="C187" s="17"/>
    </row>
    <row r="188" spans="1:3" x14ac:dyDescent="0.3">
      <c r="A188" s="5"/>
      <c r="C188" s="17"/>
    </row>
    <row r="189" spans="1:3" x14ac:dyDescent="0.3">
      <c r="A189" s="5"/>
      <c r="C189" s="17"/>
    </row>
    <row r="190" spans="1:3" x14ac:dyDescent="0.3">
      <c r="A190" s="5"/>
      <c r="C190" s="17"/>
    </row>
    <row r="191" spans="1:3" x14ac:dyDescent="0.3">
      <c r="A191" s="5"/>
      <c r="C191" s="17"/>
    </row>
    <row r="192" spans="1:3" x14ac:dyDescent="0.3">
      <c r="A192" s="5"/>
      <c r="C192" s="17"/>
    </row>
    <row r="193" spans="1:3" x14ac:dyDescent="0.3">
      <c r="A193" s="5"/>
      <c r="C193" s="17"/>
    </row>
    <row r="194" spans="1:3" x14ac:dyDescent="0.3">
      <c r="A194" s="5"/>
      <c r="C194" s="17"/>
    </row>
    <row r="195" spans="1:3" x14ac:dyDescent="0.3">
      <c r="A195" s="5"/>
      <c r="C195" s="17"/>
    </row>
    <row r="196" spans="1:3" x14ac:dyDescent="0.3">
      <c r="A196" s="5"/>
      <c r="C196" s="17"/>
    </row>
    <row r="197" spans="1:3" x14ac:dyDescent="0.3">
      <c r="A197" s="5"/>
      <c r="C197" s="17"/>
    </row>
    <row r="198" spans="1:3" x14ac:dyDescent="0.3">
      <c r="A198" s="5"/>
      <c r="C198" s="17"/>
    </row>
    <row r="199" spans="1:3" x14ac:dyDescent="0.3">
      <c r="A199" s="5"/>
      <c r="C199" s="17"/>
    </row>
    <row r="200" spans="1:3" x14ac:dyDescent="0.3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2026-01-29T15:14:59Z</cp:lastPrinted>
  <dcterms:created xsi:type="dcterms:W3CDTF">2024-07-25T07:35:10Z</dcterms:created>
  <dcterms:modified xsi:type="dcterms:W3CDTF">2026-02-15T12:15:40Z</dcterms:modified>
  <cp:category/>
  <cp:contentStatus/>
</cp:coreProperties>
</file>