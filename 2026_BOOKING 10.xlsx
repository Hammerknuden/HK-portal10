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559" documentId="8_{48B37ED3-8953-4CF0-98FF-01FF5DFD1860}" xr6:coauthVersionLast="47" xr6:coauthVersionMax="47" xr10:uidLastSave="{A79FB937-355D-47DA-AC1A-EC7CFB0B7F74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" i="5" l="1"/>
  <c r="R63" i="2"/>
  <c r="BN3" i="3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73" i="3"/>
  <c r="BO73" i="3"/>
  <c r="BP73" i="3"/>
  <c r="BQ73" i="3"/>
  <c r="BR73" i="3"/>
  <c r="BS73" i="3"/>
  <c r="BT73" i="3"/>
  <c r="BU73" i="3"/>
  <c r="BV73" i="3"/>
  <c r="BW73" i="3"/>
  <c r="BX73" i="3"/>
  <c r="BL73" i="3" s="1"/>
  <c r="BY73" i="3"/>
  <c r="BM73" i="3" s="1"/>
  <c r="BN74" i="3"/>
  <c r="BO74" i="3"/>
  <c r="BP74" i="3"/>
  <c r="BQ74" i="3"/>
  <c r="BR74" i="3"/>
  <c r="BL74" i="3" s="1"/>
  <c r="BS74" i="3"/>
  <c r="BT74" i="3"/>
  <c r="BU74" i="3"/>
  <c r="BM74" i="3" s="1"/>
  <c r="BV74" i="3"/>
  <c r="BW74" i="3"/>
  <c r="BX74" i="3"/>
  <c r="BY74" i="3"/>
  <c r="BN75" i="3"/>
  <c r="BL75" i="3" s="1"/>
  <c r="BO75" i="3"/>
  <c r="BP75" i="3"/>
  <c r="BQ75" i="3"/>
  <c r="BM75" i="3" s="1"/>
  <c r="BR75" i="3"/>
  <c r="BS75" i="3"/>
  <c r="BT75" i="3"/>
  <c r="BU75" i="3"/>
  <c r="BV75" i="3"/>
  <c r="BW75" i="3"/>
  <c r="BX75" i="3"/>
  <c r="BY75" i="3"/>
  <c r="BN76" i="3"/>
  <c r="BL76" i="3" s="1"/>
  <c r="BO76" i="3"/>
  <c r="BM76" i="3" s="1"/>
  <c r="BP76" i="3"/>
  <c r="BQ76" i="3"/>
  <c r="BR76" i="3"/>
  <c r="BS76" i="3"/>
  <c r="BT76" i="3"/>
  <c r="BU76" i="3"/>
  <c r="BV76" i="3"/>
  <c r="BW76" i="3"/>
  <c r="BX76" i="3"/>
  <c r="BY76" i="3"/>
  <c r="BN77" i="3"/>
  <c r="BL77" i="3" s="1"/>
  <c r="BO77" i="3"/>
  <c r="BM77" i="3" s="1"/>
  <c r="BP77" i="3"/>
  <c r="BQ77" i="3"/>
  <c r="BR77" i="3"/>
  <c r="BS77" i="3"/>
  <c r="BT77" i="3"/>
  <c r="BU77" i="3"/>
  <c r="BV77" i="3"/>
  <c r="BW77" i="3"/>
  <c r="BX77" i="3"/>
  <c r="BY77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73" i="3"/>
  <c r="BC73" i="3"/>
  <c r="BD73" i="3"/>
  <c r="BE73" i="3"/>
  <c r="BF73" i="3"/>
  <c r="BG73" i="3"/>
  <c r="BH73" i="3"/>
  <c r="BI73" i="3"/>
  <c r="BJ73" i="3"/>
  <c r="BK73" i="3"/>
  <c r="BB74" i="3"/>
  <c r="BC74" i="3"/>
  <c r="BD74" i="3"/>
  <c r="BE74" i="3"/>
  <c r="BF74" i="3"/>
  <c r="BG74" i="3"/>
  <c r="BH74" i="3"/>
  <c r="BI74" i="3"/>
  <c r="BJ74" i="3"/>
  <c r="BK74" i="3"/>
  <c r="BB75" i="3"/>
  <c r="BC75" i="3"/>
  <c r="BD75" i="3"/>
  <c r="BE75" i="3"/>
  <c r="BF75" i="3"/>
  <c r="BG75" i="3"/>
  <c r="BH75" i="3"/>
  <c r="BI75" i="3"/>
  <c r="BJ75" i="3"/>
  <c r="BK75" i="3"/>
  <c r="BB76" i="3"/>
  <c r="BC76" i="3"/>
  <c r="BD76" i="3"/>
  <c r="BE76" i="3"/>
  <c r="BF76" i="3"/>
  <c r="BG76" i="3"/>
  <c r="BH76" i="3"/>
  <c r="BI76" i="3"/>
  <c r="BJ76" i="3"/>
  <c r="BK76" i="3"/>
  <c r="BB77" i="3"/>
  <c r="BC77" i="3"/>
  <c r="BD77" i="3"/>
  <c r="BE77" i="3"/>
  <c r="BF77" i="3"/>
  <c r="BG77" i="3"/>
  <c r="BH77" i="3"/>
  <c r="BI77" i="3"/>
  <c r="BJ77" i="3"/>
  <c r="BK77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Z72" i="3" l="1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E44" i="7" l="1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<sst xmlns="http://schemas.openxmlformats.org/spreadsheetml/2006/main" count="940" uniqueCount="330">
  <si>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</si>
  <si>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</si>
  <si>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</si>
  <si>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</si>
  <si>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</si>
  <si>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</si>
  <si>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</si>
  <si>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</si>
  <si>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</si>
  <si>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</si>
  <si>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</si>
  <si>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</si>
  <si>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</si>
  <si>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</si>
  <si>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</si>
  <si>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</si>
  <si>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</si>
  <si>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</si>
  <si>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</si>
  <si>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</si>
  <si>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</si>
  <si>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</si>
  <si>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</si>
  <si>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</si>
  <si>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</si>
  <si>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</si>
  <si>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</si>
  <si>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</si>
  <si>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</si>
  <si>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</si>
  <si>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</si>
  <si>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</si>
  <si>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</si>
  <si>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</si>
  <si>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</si>
  <si>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</si>
  <si>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</si>
  <si>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</si>
  <si>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</si>
  <si>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</si>
  <si>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</si>
  <si>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</si>
  <si>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</si>
  <si>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</si>
  <si>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</si>
  <si>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</si>
  <si>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</si>
  <si>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</si>
  <si>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</si>
  <si>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</si>
  <si>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</si>
  <si>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</si>
  <si>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</si>
  <si>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</si>
  <si>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</si>
  <si>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</si>
  <si>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</si>
  <si>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</si>
  <si>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</si>
  <si>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</si>
  <si>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</si>
  <si>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</si>
  <si>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</si>
  <si>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</si>
  <si>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</si>
  <si>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</si>
  <si>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</si>
  <si>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</si>
  <si>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</si>
  <si>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</si>
  <si>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</si>
  <si>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</si>
  <si>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</si>
  <si>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</si>
  <si>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</si>
  <si>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</si>
  <si>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</si>
  <si>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</si>
  <si>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</si>
  <si>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</si>
  <si>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</si>
  <si>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</si>
  <si>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</si>
  <si>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</si>
  <si>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</si>
  <si>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</si>
  <si>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</si>
  <si>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</si>
  <si>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</si>
  <si>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</si>
  <si>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</si>
  <si>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</si>
  <si>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</si>
  <si>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</si>
  <si>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</si>
  <si>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</si>
  <si>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</si>
  <si>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</si>
  <si>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</si>
  <si>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</si>
  <si>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</si>
  <si>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</si>
  <si>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</si>
  <si>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</si>
  <si>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</si>
  <si>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</si>
  <si>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</si>
  <si>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</si>
  <si>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</si>
  <si>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</si>
  <si>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</si>
  <si>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</si>
  <si>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</si>
  <si>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</si>
  <si>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</si>
  <si>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</si>
  <si>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</si>
  <si>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</si>
  <si>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</si>
  <si>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</si>
  <si>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</si>
  <si>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</si>
  <si>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</si>
  <si>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</si>
  <si>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</si>
  <si>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</si>
  <si>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</si>
  <si>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</si>
  <si>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</si>
  <si>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</si>
  <si>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</si>
  <si>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</si>
  <si>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</si>
  <si>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</si>
  <si>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</si>
  <si>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</si>
  <si>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</si>
  <si>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</si>
  <si>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</si>
  <si>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</si>
  <si>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</si>
  <si>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</si>
  <si>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</si>
  <si>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</si>
  <si>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</si>
  <si>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</si>
  <si>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</si>
  <si>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</si>
  <si>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</si>
  <si>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</si>
  <si>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</si>
  <si>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</si>
  <si>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</si>
  <si>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</si>
  <si>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</si>
  <si>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</si>
  <si>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</si>
  <si>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</si>
  <si>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</si>
  <si>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</si>
  <si>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</si>
  <si>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</si>
  <si>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</si>
  <si>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</si>
  <si>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</si>
  <si>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</si>
  <si>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</si>
  <si>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</si>
  <si>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</si>
  <si>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</si>
  <si>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</si>
  <si>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</si>
  <si>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</si>
  <si>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</si>
  <si>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</si>
  <si>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</si>
  <si>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</si>
  <si>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</si>
  <si>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</si>
  <si>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</si>
  <si>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</si>
  <si>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</si>
  <si>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</si>
  <si>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</si>
  <si>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</si>
  <si>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</si>
  <si>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</si>
  <si>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</si>
  <si>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</si>
  <si>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</si>
  <si>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</si>
  <si>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</si>
  <si>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</si>
  <si>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</si>
  <si>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</si>
  <si>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</si>
  <si>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</si>
  <si>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</si>
  <si>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</si>
  <si>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</si>
  <si>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</si>
  <si>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</si>
  <si>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</si>
  <si>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</si>
  <si>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</si>
  <si>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</si>
  <si>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</si>
  <si>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</si>
  <si>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</si>
  <si>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</si>
  <si>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</si>
  <si>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</si>
  <si>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</si>
  <si>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</si>
  <si>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</si>
  <si>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</si>
  <si>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</si>
  <si>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</si>
  <si>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</si>
  <si>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</si>
  <si>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</si>
  <si>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</si>
  <si>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</si>
  <si>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</si>
  <si>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</si>
  <si>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</si>
  <si>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</si>
  <si>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</si>
  <si>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</si>
  <si>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</si>
  <si>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</si>
  <si>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</si>
  <si>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</si>
  <si>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</si>
  <si>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</si>
  <si>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</si>
  <si>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</si>
  <si>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</si>
  <si>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</si>
  <si>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</si>
  <si>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</si>
  <si>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</si>
  <si>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</si>
  <si>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</si>
  <si>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</si>
  <si>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</si>
  <si>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</si>
  <si>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</si>
  <si>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</si>
  <si>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</si>
  <si>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</si>
  <si>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</si>
  <si>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</si>
  <si>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</si>
  <si>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</si>
  <si>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</si>
  <si>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</si>
  <si>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</si>
  <si>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</si>
  <si>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</si>
  <si>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</si>
  <si>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</si>
  <si>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</si>
  <si>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</si>
  <si>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</si>
  <si>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</si>
  <si>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</si>
  <si>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</si>
  <si>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</si>
  <si>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</si>
  <si>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</si>
  <si>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</si>
  <si>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</si>
  <si>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</si>
  <si>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</si>
  <si>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</si>
  <si>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</si>
  <si>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</si>
  <si>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</si>
  <si>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</si>
  <si>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</si>
  <si>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</si>
  <si>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</si>
  <si>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</si>
  <si>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</si>
  <si>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</si>
  <si>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</si>
  <si>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</si>
  <si>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</si>
  <si>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</si>
  <si>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</si>
  <si>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</si>
  <si>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</si>
  <si>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</si>
  <si>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</si>
  <si>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</si>
  <si>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</si>
  <si>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</si>
  <si>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</si>
  <si>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</si>
  <si>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</si>
  <si>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</si>
  <si>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</si>
  <si>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</si>
  <si>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</si>
  <si>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</si>
  <si>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</si>
  <si>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</si>
  <si>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</si>
  <si>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</si>
  <si>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</si>
  <si>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</si>
  <si>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</si>
  <si>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</si>
  <si>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</si>
  <si>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</si>
  <si>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</si>
  <si>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</si>
  <si>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</si>
  <si>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</si>
  <si>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</si>
  <si>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</si>
  <si>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</si>
  <si>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</si>
  <si>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</si>
  <si>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</si>
  <si>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</si>
  <si>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</si>
  <si>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</si>
  <si>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Michael Zom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</si>
</sst>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171</c:v>
                </c:pt>
                <c:pt idx="1">
                  <c:v>185</c:v>
                </c:pt>
                <c:pt idx="2">
                  <c:v>237</c:v>
                </c:pt>
                <c:pt idx="3">
                  <c:v>278</c:v>
                </c:pt>
                <c:pt idx="4">
                  <c:v>334</c:v>
                </c:pt>
                <c:pt idx="5">
                  <c:v>350</c:v>
                </c:pt>
                <c:pt idx="6">
                  <c:v>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106</c:v>
                </c:pt>
                <c:pt idx="1">
                  <c:v>15</c:v>
                </c:pt>
                <c:pt idx="2">
                  <c:v>0</c:v>
                </c:pt>
                <c:pt idx="3">
                  <c:v>16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482</c:v>
                </c:pt>
                <c:pt idx="1">
                  <c:v>55</c:v>
                </c:pt>
                <c:pt idx="2">
                  <c:v>0</c:v>
                </c:pt>
                <c:pt idx="3">
                  <c:v>103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106</c:v>
                </c:pt>
                <c:pt idx="1">
                  <c:v>15</c:v>
                </c:pt>
                <c:pt idx="2">
                  <c:v>0</c:v>
                </c:pt>
                <c:pt idx="3">
                  <c:v>16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482</c:v>
                </c:pt>
                <c:pt idx="1">
                  <c:v>55</c:v>
                </c:pt>
                <c:pt idx="2">
                  <c:v>0</c:v>
                </c:pt>
                <c:pt idx="3">
                  <c:v>103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171</c:v>
                </c:pt>
                <c:pt idx="1">
                  <c:v>185</c:v>
                </c:pt>
                <c:pt idx="2">
                  <c:v>237</c:v>
                </c:pt>
                <c:pt idx="3">
                  <c:v>278</c:v>
                </c:pt>
                <c:pt idx="4">
                  <c:v>334</c:v>
                </c:pt>
                <c:pt idx="5">
                  <c:v>350</c:v>
                </c:pt>
                <c:pt idx="6">
                  <c:v>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hyperlink" Target="mailto:musenborg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29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28" Type="http://schemas.openxmlformats.org/officeDocument/2006/relationships/vmlDrawing" Target="../drawings/vmlDrawing1.vm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hyperlink" Target="mailto:martin@ht-bendix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4" bestFit="1" customWidth="1"/>
    <col min="4" max="4" width="10.88671875" style="24" bestFit="1" customWidth="1"/>
    <col min="5" max="5" width="13.5546875" style="24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">
      <c r="C12" s="120"/>
      <c r="D12" s="120"/>
      <c r="E12" s="120"/>
    </row>
    <row r="84" spans="1:19" x14ac:dyDescent="0.3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2"/>
  <sheetViews>
    <sheetView topLeftCell="F1" workbookViewId="0">
      <pane ySplit="1" topLeftCell="A59" activePane="bottomLeft" state="frozen"/>
      <selection pane="bottomLeft" activeCell="S72" sqref="S72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4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3" max="13" width="25.21875" customWidth="1"/>
    <col min="14" max="14" width="13.88671875" style="160" bestFit="1" customWidth="1"/>
    <col min="15" max="15" width="16.109375" style="2" customWidth="1"/>
    <col min="16" max="16" width="8.5546875" style="2"/>
    <col min="17" max="17" width="8.5546875" style="2" customWidth="1"/>
    <col min="18" max="18" width="12.77734375" style="132" bestFit="1" customWidth="1"/>
    <col min="19" max="19" width="8.77734375" style="2"/>
    <col min="20" max="20" width="15.5546875" customWidth="1"/>
  </cols>
  <sheetData>
    <row r="1" spans="1:20" ht="20.100000000000001" customHeight="1" x14ac:dyDescent="0.3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4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">
      <c r="A2" s="146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7" t="s">
        <v>170</v>
      </c>
      <c r="N2" s="185"/>
      <c r="O2" s="133" t="s">
        <v>171</v>
      </c>
      <c r="P2" s="133"/>
      <c r="Q2" s="133" t="s">
        <v>21</v>
      </c>
      <c r="R2" s="167">
        <v>7267.5</v>
      </c>
      <c r="S2" s="161" t="s">
        <v>20</v>
      </c>
      <c r="T2" t="s">
        <v>172</v>
      </c>
    </row>
    <row r="3" spans="1:20" x14ac:dyDescent="0.3">
      <c r="A3" s="147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8" t="s">
        <v>174</v>
      </c>
      <c r="N3" s="186"/>
      <c r="O3" s="134" t="s">
        <v>175</v>
      </c>
      <c r="P3" s="134"/>
      <c r="Q3" s="134" t="s">
        <v>21</v>
      </c>
      <c r="R3" s="167">
        <v>8740</v>
      </c>
      <c r="S3" s="162" t="s">
        <v>20</v>
      </c>
    </row>
    <row r="4" spans="1:20" x14ac:dyDescent="0.3">
      <c r="A4" s="146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7" t="s">
        <v>174</v>
      </c>
      <c r="N4" s="185"/>
      <c r="O4" s="133" t="s">
        <v>175</v>
      </c>
      <c r="P4" s="133"/>
      <c r="Q4" s="133" t="s">
        <v>21</v>
      </c>
      <c r="R4" s="167">
        <v>2070</v>
      </c>
      <c r="S4" s="161" t="s">
        <v>20</v>
      </c>
      <c r="T4" s="131"/>
    </row>
    <row r="5" spans="1:20" x14ac:dyDescent="0.3">
      <c r="A5" s="147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8" t="s">
        <v>178</v>
      </c>
      <c r="N5" s="187">
        <v>4530267986</v>
      </c>
      <c r="O5" s="134" t="s">
        <v>179</v>
      </c>
      <c r="P5" s="134"/>
      <c r="Q5" s="134" t="s">
        <v>21</v>
      </c>
      <c r="R5" s="167">
        <v>9180</v>
      </c>
      <c r="S5" s="162" t="s">
        <v>21</v>
      </c>
      <c r="T5" t="s">
        <v>177</v>
      </c>
    </row>
    <row r="6" spans="1:20" x14ac:dyDescent="0.3">
      <c r="A6" s="146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7" t="s">
        <v>181</v>
      </c>
      <c r="N6" s="185"/>
      <c r="O6" s="133"/>
      <c r="P6" s="133"/>
      <c r="Q6" s="133" t="s">
        <v>21</v>
      </c>
      <c r="R6" s="167">
        <v>5175</v>
      </c>
      <c r="S6" s="161" t="s">
        <v>20</v>
      </c>
    </row>
    <row r="7" spans="1:20" x14ac:dyDescent="0.3">
      <c r="A7" s="146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">
      <c r="A8" s="147">
        <v>7</v>
      </c>
      <c r="B8" s="126" t="s">
        <v>185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7">
        <v>4522701312</v>
      </c>
      <c r="O8" s="2" t="s">
        <v>187</v>
      </c>
      <c r="Q8" s="2" t="s">
        <v>20</v>
      </c>
      <c r="R8" s="167">
        <v>6772.5</v>
      </c>
      <c r="S8" s="2" t="s">
        <v>21</v>
      </c>
    </row>
    <row r="9" spans="1:20" x14ac:dyDescent="0.3">
      <c r="A9" s="146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7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">
      <c r="A10" s="146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7">
        <v>7245</v>
      </c>
      <c r="S10" s="2" t="s">
        <v>21</v>
      </c>
    </row>
    <row r="11" spans="1:20" x14ac:dyDescent="0.3">
      <c r="A11" s="147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0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">
      <c r="A12" s="146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">
      <c r="A13" s="146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8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">
      <c r="A14" s="147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8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">
      <c r="A15" s="146">
        <v>14</v>
      </c>
      <c r="B15" s="126" t="s">
        <v>209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9" t="s">
        <v>212</v>
      </c>
      <c r="N15" s="188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">
      <c r="A16" s="146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0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">
      <c r="A17" s="147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8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">
      <c r="A18" s="146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8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">
      <c r="A19" s="146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9" t="s">
        <v>220</v>
      </c>
      <c r="N19" s="188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">
      <c r="A20" s="147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8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">
      <c r="A21" s="146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7">
        <v>12420</v>
      </c>
      <c r="S21" s="2" t="s">
        <v>38</v>
      </c>
      <c r="T21" t="s">
        <v>249</v>
      </c>
    </row>
    <row r="22" spans="1:20" x14ac:dyDescent="0.3">
      <c r="A22" s="146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8">
        <v>46705125490</v>
      </c>
      <c r="O22" s="2" t="s">
        <v>244</v>
      </c>
      <c r="Q22" s="2" t="s">
        <v>21</v>
      </c>
      <c r="R22" s="167">
        <v>5175</v>
      </c>
      <c r="S22" s="2" t="s">
        <v>38</v>
      </c>
      <c r="T22" t="s">
        <v>246</v>
      </c>
    </row>
    <row r="23" spans="1:20" x14ac:dyDescent="0.3">
      <c r="A23" s="147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">
      <c r="A24" s="146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7">
        <v>3825</v>
      </c>
      <c r="S24" s="2" t="s">
        <v>20</v>
      </c>
    </row>
    <row r="25" spans="1:20" x14ac:dyDescent="0.3">
      <c r="A25" s="146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7">
        <v>3825</v>
      </c>
      <c r="S25" s="2" t="s">
        <v>20</v>
      </c>
    </row>
    <row r="26" spans="1:20" x14ac:dyDescent="0.3">
      <c r="A26" s="147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">
      <c r="A27" s="146">
        <v>26</v>
      </c>
      <c r="B27" t="s">
        <v>238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9"/>
      <c r="Q27" s="2" t="s">
        <v>21</v>
      </c>
      <c r="R27" s="132">
        <v>3450</v>
      </c>
      <c r="S27" s="2" t="s">
        <v>20</v>
      </c>
      <c r="T27" t="s">
        <v>328</v>
      </c>
    </row>
    <row r="28" spans="1:20" x14ac:dyDescent="0.3">
      <c r="A28" s="146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8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">
      <c r="A29" s="147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">
      <c r="A30" s="146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">
      <c r="A31" s="146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8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">
      <c r="A32" s="147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0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">
      <c r="A33" s="146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">
      <c r="A34" s="146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">
      <c r="A35" s="147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">
      <c r="A36" s="146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8" t="s">
        <v>263</v>
      </c>
      <c r="N36" s="188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">
      <c r="A37" s="146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">
      <c r="A38" s="147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">
      <c r="A39" s="146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0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8">
        <v>4531909358</v>
      </c>
      <c r="O48" s="190" t="s">
        <v>283</v>
      </c>
      <c r="Q48" s="2" t="s">
        <v>21</v>
      </c>
      <c r="S48" s="2" t="s">
        <v>21</v>
      </c>
      <c r="T48" t="s">
        <v>284</v>
      </c>
    </row>
    <row r="49" spans="1:20" x14ac:dyDescent="0.3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8" t="s">
        <v>278</v>
      </c>
      <c r="N52" s="188">
        <v>4540474386</v>
      </c>
      <c r="O52" s="190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7">
        <v>5700</v>
      </c>
    </row>
    <row r="56" spans="1:20" x14ac:dyDescent="0.3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8">
        <v>466700686</v>
      </c>
      <c r="O58" s="2" t="s">
        <v>304</v>
      </c>
      <c r="Q58" s="2" t="s">
        <v>20</v>
      </c>
      <c r="R58" s="167">
        <v>6450</v>
      </c>
      <c r="S58" s="2" t="s">
        <v>38</v>
      </c>
      <c r="T58" t="s">
        <v>305</v>
      </c>
    </row>
    <row r="59" spans="1:20" x14ac:dyDescent="0.3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7">
        <v>4590</v>
      </c>
      <c r="S59" s="2" t="s">
        <v>38</v>
      </c>
      <c r="T59" t="s">
        <v>302</v>
      </c>
    </row>
    <row r="60" spans="1:20" x14ac:dyDescent="0.3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0">
        <v>4542401010</v>
      </c>
      <c r="Q60" s="2" t="s">
        <v>21</v>
      </c>
      <c r="R60" s="167">
        <v>5100</v>
      </c>
      <c r="S60" s="2" t="s">
        <v>20</v>
      </c>
    </row>
    <row r="61" spans="1:20" x14ac:dyDescent="0.3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7">
        <v>3800</v>
      </c>
      <c r="S61" s="2" t="s">
        <v>20</v>
      </c>
    </row>
    <row r="62" spans="1:20" x14ac:dyDescent="0.3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7">
        <v>2975</v>
      </c>
      <c r="S62" s="2" t="s">
        <v>20</v>
      </c>
    </row>
    <row r="63" spans="1:20" x14ac:dyDescent="0.3">
      <c r="A63" s="2">
        <v>62</v>
      </c>
      <c r="B63" t="s">
        <v>315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307</v>
      </c>
      <c r="J63">
        <v>10</v>
      </c>
      <c r="K63">
        <v>1</v>
      </c>
      <c r="L63">
        <v>2</v>
      </c>
      <c r="Q63" s="2" t="s">
        <v>21</v>
      </c>
      <c r="R63" s="167">
        <f>8925+3442.5</f>
        <v>12367.5</v>
      </c>
      <c r="S63" s="2" t="s">
        <v>20</v>
      </c>
      <c r="T63" t="s">
        <v>327</v>
      </c>
    </row>
    <row r="64" spans="1:20" x14ac:dyDescent="0.3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s="183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7">
        <v>1805</v>
      </c>
      <c r="S64" s="2" t="s">
        <v>20</v>
      </c>
    </row>
    <row r="65" spans="1:20" x14ac:dyDescent="0.3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">
      <c r="A66" s="2">
        <v>65</v>
      </c>
      <c r="B66" t="s">
        <v>324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307</v>
      </c>
      <c r="K66">
        <v>1</v>
      </c>
      <c r="L66">
        <v>2</v>
      </c>
      <c r="Q66" s="2" t="s">
        <v>20</v>
      </c>
      <c r="R66" s="167">
        <v>2850</v>
      </c>
      <c r="S66" s="2" t="s">
        <v>20</v>
      </c>
    </row>
    <row r="67" spans="1:20" x14ac:dyDescent="0.3">
      <c r="A67" s="2">
        <v>66</v>
      </c>
      <c r="B67" t="s">
        <v>322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323</v>
      </c>
      <c r="N67" s="159">
        <v>4521261488</v>
      </c>
      <c r="O67" s="2" t="s">
        <v>187</v>
      </c>
      <c r="Q67" s="2" t="s">
        <v>21</v>
      </c>
      <c r="R67" s="167">
        <v>9180</v>
      </c>
      <c r="S67" s="2" t="s">
        <v>38</v>
      </c>
      <c r="T67">
        <v>2021.24</v>
      </c>
    </row>
    <row r="68" spans="1:20" x14ac:dyDescent="0.3">
      <c r="A68" s="2">
        <v>67</v>
      </c>
      <c r="B68" t="s">
        <v>321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7">
        <v>5750</v>
      </c>
      <c r="S68" s="2" t="s">
        <v>20</v>
      </c>
    </row>
    <row r="69" spans="1:20" x14ac:dyDescent="0.3">
      <c r="A69" s="2">
        <v>68</v>
      </c>
      <c r="B69" t="s">
        <v>326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7">
        <v>1700</v>
      </c>
      <c r="S69" s="2" t="s">
        <v>20</v>
      </c>
    </row>
    <row r="70" spans="1:20" x14ac:dyDescent="0.3">
      <c r="A70" s="2">
        <v>69</v>
      </c>
      <c r="B70" t="s">
        <v>325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7">
        <v>3225</v>
      </c>
      <c r="S70" s="2" t="s">
        <v>20</v>
      </c>
    </row>
    <row r="71" spans="1:20" x14ac:dyDescent="0.3">
      <c r="A71" s="2">
        <v>70</v>
      </c>
      <c r="C71" s="24">
        <v>46188</v>
      </c>
      <c r="D71" s="24">
        <v>46193</v>
      </c>
      <c r="K71">
        <v>1</v>
      </c>
      <c r="L71">
        <v>2</v>
      </c>
      <c r="Q71" s="2" t="s">
        <v>21</v>
      </c>
    </row>
    <row r="72" spans="1:20" x14ac:dyDescent="0.3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  <hyperlink ref="M64" r:id="rId26" xr:uid="{92305CCC-3FDE-40E7-94AA-AE247EA1B436}"/>
    <hyperlink ref="M67" r:id="rId27" xr:uid="{00858528-A201-4B3C-A740-00B5FC5078CA}"/>
  </hyperlinks>
  <pageMargins left="0.7" right="0.7" top="0.75" bottom="0.75" header="0.3" footer="0.3"/>
  <legacyDrawing r:id="rId2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188" activePane="bottomLeft" state="frozen"/>
      <selection pane="bottomLeft" activeCell="H207" sqref="H207"/>
    </sheetView>
  </sheetViews>
  <sheetFormatPr defaultRowHeight="14.4" x14ac:dyDescent="0.3"/>
  <cols>
    <col min="1" max="1" width="6.5546875" bestFit="1" customWidth="1"/>
    <col min="2" max="2" width="8.5546875" style="24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3" t="s">
        <v>299</v>
      </c>
      <c r="BW1" s="183" t="s">
        <v>299</v>
      </c>
      <c r="BX1" s="141" t="s">
        <v>300</v>
      </c>
      <c r="BY1" s="141" t="s">
        <v>300</v>
      </c>
    </row>
    <row r="2" spans="1:77" x14ac:dyDescent="0.3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Database!A71</f>
        <v>70</v>
      </c>
      <c r="B71" s="24">
        <f>Database!E71</f>
        <v>0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>
        <f>Database!F71</f>
        <v>0</v>
      </c>
      <c r="K71">
        <f t="shared" si="60"/>
        <v>5</v>
      </c>
      <c r="L71">
        <f t="shared" si="61"/>
        <v>5</v>
      </c>
      <c r="M71">
        <f t="shared" si="84"/>
        <v>5</v>
      </c>
      <c r="N71">
        <f t="shared" si="56"/>
        <v>5</v>
      </c>
      <c r="O71">
        <f t="shared" si="56"/>
        <v>5</v>
      </c>
      <c r="P71">
        <f t="shared" si="56"/>
        <v>5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0</v>
      </c>
      <c r="BC71" s="34">
        <f t="shared" si="64"/>
        <v>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Database!A73</f>
        <v>0</v>
      </c>
      <c r="B73" s="24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0</v>
      </c>
      <c r="R73">
        <f t="shared" si="85"/>
        <v>0</v>
      </c>
      <c r="S73">
        <f t="shared" si="85"/>
        <v>0</v>
      </c>
      <c r="T73">
        <f t="shared" si="85"/>
        <v>0</v>
      </c>
      <c r="U73">
        <f t="shared" si="85"/>
        <v>0</v>
      </c>
      <c r="V73">
        <f t="shared" si="85"/>
        <v>0</v>
      </c>
      <c r="W73">
        <f t="shared" si="85"/>
        <v>0</v>
      </c>
      <c r="X73">
        <f t="shared" ref="X73:AG82" si="86">IF($B73&lt;X$1,$C73*$D73,0)</f>
        <v>0</v>
      </c>
      <c r="Y73">
        <f t="shared" si="86"/>
        <v>0</v>
      </c>
      <c r="Z73">
        <f t="shared" si="86"/>
        <v>0</v>
      </c>
      <c r="AA73">
        <f t="shared" si="86"/>
        <v>0</v>
      </c>
      <c r="AB73">
        <f t="shared" si="86"/>
        <v>0</v>
      </c>
      <c r="AC73">
        <f t="shared" si="86"/>
        <v>0</v>
      </c>
      <c r="AD73">
        <f t="shared" si="86"/>
        <v>0</v>
      </c>
      <c r="AE73">
        <f t="shared" si="86"/>
        <v>0</v>
      </c>
      <c r="AF73">
        <f t="shared" si="86"/>
        <v>0</v>
      </c>
      <c r="AG73">
        <f t="shared" si="86"/>
        <v>0</v>
      </c>
      <c r="AH73">
        <f t="shared" ref="AH73:AQ82" si="87">IF($B73&lt;AH$1,$C73*$D73,0)</f>
        <v>0</v>
      </c>
      <c r="AI73">
        <f t="shared" si="87"/>
        <v>0</v>
      </c>
      <c r="AJ73">
        <f t="shared" si="87"/>
        <v>0</v>
      </c>
      <c r="AK73">
        <f t="shared" si="87"/>
        <v>0</v>
      </c>
      <c r="AL73">
        <f t="shared" si="87"/>
        <v>0</v>
      </c>
      <c r="AM73">
        <f t="shared" si="87"/>
        <v>0</v>
      </c>
      <c r="AN73">
        <f t="shared" si="87"/>
        <v>0</v>
      </c>
      <c r="AO73">
        <f t="shared" si="87"/>
        <v>0</v>
      </c>
      <c r="AP73">
        <f t="shared" si="87"/>
        <v>0</v>
      </c>
      <c r="AQ73">
        <f t="shared" si="87"/>
        <v>0</v>
      </c>
      <c r="AR73">
        <f t="shared" ref="AR73:AX82" si="88">IF($B73&lt;AR$1,$C73*$D73,0)</f>
        <v>0</v>
      </c>
      <c r="AS73">
        <f t="shared" si="88"/>
        <v>0</v>
      </c>
      <c r="AT73">
        <f t="shared" si="88"/>
        <v>0</v>
      </c>
      <c r="AU73">
        <f t="shared" si="88"/>
        <v>0</v>
      </c>
      <c r="AV73">
        <f t="shared" si="88"/>
        <v>0</v>
      </c>
      <c r="AW73">
        <f t="shared" si="88"/>
        <v>0</v>
      </c>
      <c r="AX73">
        <f t="shared" si="88"/>
        <v>0</v>
      </c>
      <c r="BB73" s="34">
        <f t="shared" si="63"/>
        <v>0</v>
      </c>
      <c r="BC73" s="34">
        <f t="shared" si="64"/>
        <v>0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Database!A74</f>
        <v>0</v>
      </c>
      <c r="B74" s="24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Database!A75</f>
        <v>0</v>
      </c>
      <c r="B75" s="24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0</v>
      </c>
      <c r="S75">
        <f t="shared" si="85"/>
        <v>0</v>
      </c>
      <c r="T75">
        <f t="shared" si="85"/>
        <v>0</v>
      </c>
      <c r="U75">
        <f t="shared" si="85"/>
        <v>0</v>
      </c>
      <c r="V75">
        <f t="shared" si="85"/>
        <v>0</v>
      </c>
      <c r="W75">
        <f t="shared" si="85"/>
        <v>0</v>
      </c>
      <c r="X75">
        <f t="shared" si="86"/>
        <v>0</v>
      </c>
      <c r="Y75">
        <f t="shared" si="86"/>
        <v>0</v>
      </c>
      <c r="Z75">
        <f t="shared" si="86"/>
        <v>0</v>
      </c>
      <c r="AA75">
        <f t="shared" si="86"/>
        <v>0</v>
      </c>
      <c r="AB75">
        <f t="shared" si="86"/>
        <v>0</v>
      </c>
      <c r="AC75">
        <f t="shared" si="86"/>
        <v>0</v>
      </c>
      <c r="AD75">
        <f t="shared" si="86"/>
        <v>0</v>
      </c>
      <c r="AE75">
        <f t="shared" si="86"/>
        <v>0</v>
      </c>
      <c r="AF75">
        <f t="shared" si="86"/>
        <v>0</v>
      </c>
      <c r="AG75">
        <f t="shared" si="86"/>
        <v>0</v>
      </c>
      <c r="AH75">
        <f t="shared" si="87"/>
        <v>0</v>
      </c>
      <c r="AI75">
        <f t="shared" si="87"/>
        <v>0</v>
      </c>
      <c r="AJ75">
        <f t="shared" si="87"/>
        <v>0</v>
      </c>
      <c r="AK75">
        <f t="shared" si="87"/>
        <v>0</v>
      </c>
      <c r="AL75">
        <f t="shared" si="87"/>
        <v>0</v>
      </c>
      <c r="AM75">
        <f t="shared" si="87"/>
        <v>0</v>
      </c>
      <c r="AN75">
        <f t="shared" si="87"/>
        <v>0</v>
      </c>
      <c r="AO75">
        <f t="shared" si="87"/>
        <v>0</v>
      </c>
      <c r="AP75">
        <f t="shared" si="87"/>
        <v>0</v>
      </c>
      <c r="AQ75">
        <f t="shared" si="87"/>
        <v>0</v>
      </c>
      <c r="AR75">
        <f t="shared" si="88"/>
        <v>0</v>
      </c>
      <c r="AS75">
        <f t="shared" si="88"/>
        <v>0</v>
      </c>
      <c r="AT75">
        <f t="shared" si="88"/>
        <v>0</v>
      </c>
      <c r="AU75">
        <f t="shared" si="88"/>
        <v>0</v>
      </c>
      <c r="AV75">
        <f t="shared" si="88"/>
        <v>0</v>
      </c>
      <c r="AW75">
        <f t="shared" si="88"/>
        <v>0</v>
      </c>
      <c r="AX75">
        <f t="shared" si="88"/>
        <v>0</v>
      </c>
      <c r="BB75" s="34">
        <f t="shared" si="63"/>
        <v>0</v>
      </c>
      <c r="BC75" s="34">
        <f t="shared" si="64"/>
        <v>0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Database!A76</f>
        <v>0</v>
      </c>
      <c r="B76" s="24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Database!A77</f>
        <v>0</v>
      </c>
      <c r="B77" s="24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0</v>
      </c>
      <c r="S77">
        <f t="shared" si="85"/>
        <v>0</v>
      </c>
      <c r="T77">
        <f t="shared" si="85"/>
        <v>0</v>
      </c>
      <c r="U77">
        <f t="shared" si="85"/>
        <v>0</v>
      </c>
      <c r="V77">
        <f t="shared" si="85"/>
        <v>0</v>
      </c>
      <c r="W77">
        <f t="shared" si="85"/>
        <v>0</v>
      </c>
      <c r="X77">
        <f t="shared" si="86"/>
        <v>0</v>
      </c>
      <c r="Y77">
        <f t="shared" si="86"/>
        <v>0</v>
      </c>
      <c r="Z77">
        <f t="shared" si="86"/>
        <v>0</v>
      </c>
      <c r="AA77">
        <f t="shared" si="86"/>
        <v>0</v>
      </c>
      <c r="AB77">
        <f t="shared" si="86"/>
        <v>0</v>
      </c>
      <c r="AC77">
        <f t="shared" si="86"/>
        <v>0</v>
      </c>
      <c r="AD77">
        <f t="shared" si="86"/>
        <v>0</v>
      </c>
      <c r="AE77">
        <f t="shared" si="86"/>
        <v>0</v>
      </c>
      <c r="AF77">
        <f t="shared" si="86"/>
        <v>0</v>
      </c>
      <c r="AG77">
        <f t="shared" si="86"/>
        <v>0</v>
      </c>
      <c r="AH77">
        <f t="shared" si="87"/>
        <v>0</v>
      </c>
      <c r="AI77">
        <f t="shared" si="87"/>
        <v>0</v>
      </c>
      <c r="AJ77">
        <f t="shared" si="87"/>
        <v>0</v>
      </c>
      <c r="AK77">
        <f t="shared" si="87"/>
        <v>0</v>
      </c>
      <c r="AL77">
        <f t="shared" si="87"/>
        <v>0</v>
      </c>
      <c r="AM77">
        <f t="shared" si="87"/>
        <v>0</v>
      </c>
      <c r="AN77">
        <f t="shared" si="87"/>
        <v>0</v>
      </c>
      <c r="AO77">
        <f t="shared" si="87"/>
        <v>0</v>
      </c>
      <c r="AP77">
        <f t="shared" si="87"/>
        <v>0</v>
      </c>
      <c r="AQ77">
        <f t="shared" si="87"/>
        <v>0</v>
      </c>
      <c r="AR77">
        <f t="shared" si="88"/>
        <v>0</v>
      </c>
      <c r="AS77">
        <f t="shared" si="88"/>
        <v>0</v>
      </c>
      <c r="AT77">
        <f t="shared" si="88"/>
        <v>0</v>
      </c>
      <c r="AU77">
        <f t="shared" si="88"/>
        <v>0</v>
      </c>
      <c r="AV77">
        <f t="shared" si="88"/>
        <v>0</v>
      </c>
      <c r="AW77">
        <f t="shared" si="88"/>
        <v>0</v>
      </c>
      <c r="AX77">
        <f t="shared" si="88"/>
        <v>0</v>
      </c>
      <c r="BB77" s="34">
        <f t="shared" si="63"/>
        <v>0</v>
      </c>
      <c r="BC77" s="34">
        <f t="shared" si="64"/>
        <v>0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Database!A78</f>
        <v>0</v>
      </c>
      <c r="B78" s="24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4">
        <f t="shared" si="63"/>
        <v>0</v>
      </c>
      <c r="BC78" s="34">
        <f t="shared" si="64"/>
        <v>0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4">
        <f t="shared" ref="BB196:BY196" si="167">SUM(BB2:BB195)</f>
        <v>106</v>
      </c>
      <c r="BC196" s="34">
        <f t="shared" si="167"/>
        <v>482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16</v>
      </c>
      <c r="BI196" s="34">
        <f t="shared" si="167"/>
        <v>103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159</v>
      </c>
      <c r="K198">
        <f t="shared" ref="K198:AX198" si="168">SUM(K2:K195)</f>
        <v>171</v>
      </c>
      <c r="L198">
        <f t="shared" si="168"/>
        <v>185</v>
      </c>
      <c r="M198">
        <f t="shared" si="168"/>
        <v>237</v>
      </c>
      <c r="N198">
        <f t="shared" si="168"/>
        <v>278</v>
      </c>
      <c r="O198">
        <f t="shared" si="168"/>
        <v>334</v>
      </c>
      <c r="P198">
        <f t="shared" si="168"/>
        <v>350</v>
      </c>
      <c r="Q198">
        <f t="shared" si="168"/>
        <v>364</v>
      </c>
      <c r="R198">
        <f t="shared" si="168"/>
        <v>364</v>
      </c>
      <c r="S198">
        <f t="shared" si="168"/>
        <v>364</v>
      </c>
      <c r="T198">
        <f t="shared" si="168"/>
        <v>364</v>
      </c>
      <c r="U198">
        <f t="shared" si="168"/>
        <v>364</v>
      </c>
      <c r="V198">
        <f t="shared" si="168"/>
        <v>364</v>
      </c>
      <c r="W198">
        <f t="shared" si="168"/>
        <v>364</v>
      </c>
      <c r="X198">
        <f t="shared" si="168"/>
        <v>364</v>
      </c>
      <c r="Y198">
        <f t="shared" si="168"/>
        <v>364</v>
      </c>
      <c r="Z198">
        <f t="shared" si="168"/>
        <v>364</v>
      </c>
      <c r="AA198">
        <f t="shared" si="168"/>
        <v>364</v>
      </c>
      <c r="AB198">
        <f t="shared" si="168"/>
        <v>364</v>
      </c>
      <c r="AC198">
        <f t="shared" si="168"/>
        <v>364</v>
      </c>
      <c r="AD198">
        <f t="shared" si="168"/>
        <v>364</v>
      </c>
      <c r="AE198">
        <f t="shared" si="168"/>
        <v>364</v>
      </c>
      <c r="AF198">
        <f t="shared" si="168"/>
        <v>364</v>
      </c>
      <c r="AG198">
        <f t="shared" si="168"/>
        <v>364</v>
      </c>
      <c r="AH198">
        <f t="shared" si="168"/>
        <v>364</v>
      </c>
      <c r="AI198">
        <f t="shared" si="168"/>
        <v>364</v>
      </c>
      <c r="AJ198">
        <f t="shared" si="168"/>
        <v>364</v>
      </c>
      <c r="AK198">
        <f t="shared" si="168"/>
        <v>364</v>
      </c>
      <c r="AL198">
        <f t="shared" si="168"/>
        <v>364</v>
      </c>
      <c r="AM198">
        <f t="shared" si="168"/>
        <v>364</v>
      </c>
      <c r="AN198">
        <f t="shared" si="168"/>
        <v>364</v>
      </c>
      <c r="AO198">
        <f t="shared" si="168"/>
        <v>364</v>
      </c>
      <c r="AP198">
        <f t="shared" si="168"/>
        <v>364</v>
      </c>
      <c r="AQ198">
        <f t="shared" si="168"/>
        <v>364</v>
      </c>
      <c r="AR198">
        <f t="shared" si="168"/>
        <v>364</v>
      </c>
      <c r="AS198">
        <f t="shared" si="168"/>
        <v>364</v>
      </c>
      <c r="AT198">
        <f t="shared" si="168"/>
        <v>364</v>
      </c>
      <c r="AU198">
        <f t="shared" si="168"/>
        <v>364</v>
      </c>
      <c r="AV198">
        <f t="shared" si="168"/>
        <v>364</v>
      </c>
      <c r="AW198">
        <f t="shared" si="168"/>
        <v>364</v>
      </c>
      <c r="AX198">
        <f t="shared" si="168"/>
        <v>364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Q200" si="169">K198</f>
        <v>171</v>
      </c>
      <c r="L200">
        <f t="shared" si="169"/>
        <v>185</v>
      </c>
      <c r="M200">
        <f t="shared" si="169"/>
        <v>237</v>
      </c>
      <c r="N200">
        <f t="shared" si="169"/>
        <v>278</v>
      </c>
      <c r="O200">
        <f t="shared" si="169"/>
        <v>334</v>
      </c>
      <c r="P200">
        <f t="shared" si="169"/>
        <v>350</v>
      </c>
      <c r="Q200">
        <f t="shared" si="169"/>
        <v>364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106</v>
      </c>
      <c r="BE202" s="34">
        <f>BD196</f>
        <v>15</v>
      </c>
      <c r="BF202" s="34">
        <f>BF196</f>
        <v>0</v>
      </c>
      <c r="BG202" s="34">
        <f>BH196</f>
        <v>16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482</v>
      </c>
      <c r="BE203" s="40">
        <f>BE196</f>
        <v>55</v>
      </c>
      <c r="BF203" s="40">
        <f>BG196</f>
        <v>0</v>
      </c>
      <c r="BG203" s="40">
        <f>BI196</f>
        <v>103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4" x14ac:dyDescent="0.3"/>
  <sheetData>
    <row r="28" spans="1:13" ht="15" customHeight="1" thickBot="1" x14ac:dyDescent="0.35">
      <c r="A28" t="s">
        <v>160</v>
      </c>
      <c r="H28" t="s">
        <v>109</v>
      </c>
      <c r="J28" s="2"/>
    </row>
    <row r="29" spans="1:13" ht="15" thickBot="1" x14ac:dyDescent="0.35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4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35">
      <c r="A30" s="33" t="s">
        <v>112</v>
      </c>
      <c r="B30" s="34">
        <f>'book stat'!BD202</f>
        <v>106</v>
      </c>
      <c r="C30" s="34">
        <f>'book stat'!BE202</f>
        <v>15</v>
      </c>
      <c r="D30" s="34">
        <f>'book stat'!BF202</f>
        <v>0</v>
      </c>
      <c r="E30" s="34">
        <f>'book stat'!BG202</f>
        <v>16</v>
      </c>
      <c r="F30" s="34">
        <f>'book stat'!BH202</f>
        <v>0</v>
      </c>
      <c r="G30" s="35">
        <f>'book stat'!BI202</f>
        <v>5</v>
      </c>
      <c r="H30" s="175">
        <f>'book stat'!BJ202</f>
        <v>0</v>
      </c>
      <c r="I30" s="176">
        <f>'book stat'!BK202</f>
        <v>0</v>
      </c>
      <c r="J30" s="176">
        <f>'book stat'!BL202</f>
        <v>3</v>
      </c>
      <c r="K30" s="177">
        <f>'book stat'!BM202</f>
        <v>2</v>
      </c>
      <c r="L30" s="178">
        <f>'book stat'!BN202</f>
        <v>0</v>
      </c>
      <c r="M30" s="179">
        <f>'book stat'!BO202</f>
        <v>0</v>
      </c>
    </row>
    <row r="31" spans="1:13" ht="15" customHeight="1" thickBot="1" x14ac:dyDescent="0.35">
      <c r="A31" s="39" t="s">
        <v>113</v>
      </c>
      <c r="B31" s="34">
        <f>'book stat'!BD203</f>
        <v>482</v>
      </c>
      <c r="C31" s="34">
        <f>'book stat'!BE203</f>
        <v>55</v>
      </c>
      <c r="D31" s="34">
        <f>'book stat'!BF203</f>
        <v>0</v>
      </c>
      <c r="E31" s="34">
        <f>'book stat'!BG203</f>
        <v>103</v>
      </c>
      <c r="F31" s="34">
        <f>'book stat'!BH203</f>
        <v>0</v>
      </c>
      <c r="G31" s="35">
        <f>'book stat'!BI203</f>
        <v>29</v>
      </c>
      <c r="H31" s="180">
        <f>'book stat'!BJ203</f>
        <v>0</v>
      </c>
      <c r="I31" s="181">
        <f>'book stat'!BK203</f>
        <v>0</v>
      </c>
      <c r="J31" s="181">
        <f>'book stat'!BL203</f>
        <v>19</v>
      </c>
      <c r="K31" s="182">
        <f>'book stat'!BM203</f>
        <v>10</v>
      </c>
      <c r="L31" s="178">
        <f>'book stat'!BN203</f>
        <v>0</v>
      </c>
      <c r="M31" s="179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39" activePane="bottomLeft" state="frozen"/>
      <selection pane="bottomLeft" activeCell="AB11" sqref="AB11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41" customWidth="1"/>
    <col min="28" max="29" width="4.5546875" style="2" customWidth="1"/>
    <col min="30" max="30" width="8" style="17" customWidth="1"/>
  </cols>
  <sheetData>
    <row r="1" spans="1:30" s="6" customFormat="1" ht="30" customHeight="1" thickBot="1" x14ac:dyDescent="0.35">
      <c r="A1" s="58" t="s">
        <v>114</v>
      </c>
      <c r="B1" s="15" t="s">
        <v>115</v>
      </c>
      <c r="C1" s="16" t="s">
        <v>116</v>
      </c>
      <c r="D1" s="192">
        <v>1</v>
      </c>
      <c r="E1" s="193"/>
      <c r="F1" s="66" t="s">
        <v>117</v>
      </c>
      <c r="G1" s="67" t="s">
        <v>8</v>
      </c>
      <c r="H1" s="194">
        <v>2</v>
      </c>
      <c r="I1" s="193"/>
      <c r="J1" s="66" t="s">
        <v>117</v>
      </c>
      <c r="K1" s="68" t="s">
        <v>8</v>
      </c>
      <c r="L1" s="194">
        <v>3</v>
      </c>
      <c r="M1" s="193"/>
      <c r="N1" s="66" t="s">
        <v>117</v>
      </c>
      <c r="O1" s="69" t="s">
        <v>8</v>
      </c>
      <c r="P1" s="192">
        <v>4</v>
      </c>
      <c r="Q1" s="193"/>
      <c r="R1" s="66" t="s">
        <v>117</v>
      </c>
      <c r="S1" s="68" t="s">
        <v>8</v>
      </c>
      <c r="T1" s="195">
        <v>5</v>
      </c>
      <c r="U1" s="196"/>
      <c r="V1" s="66" t="s">
        <v>117</v>
      </c>
      <c r="W1" s="68" t="s">
        <v>8</v>
      </c>
      <c r="X1" s="192">
        <v>6</v>
      </c>
      <c r="Y1" s="193"/>
      <c r="Z1" s="70" t="s">
        <v>118</v>
      </c>
      <c r="AA1" s="139">
        <f>SUM(AA2:AA171)</f>
        <v>372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/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3</v>
      </c>
      <c r="AB6" s="8">
        <f t="shared" si="0"/>
        <v>3</v>
      </c>
      <c r="AC6" s="23">
        <f t="shared" si="1"/>
        <v>0</v>
      </c>
      <c r="AD6" s="18"/>
    </row>
    <row r="7" spans="1:30" ht="30" customHeight="1" x14ac:dyDescent="0.3">
      <c r="A7" s="6"/>
      <c r="B7" s="6" t="s">
        <v>127</v>
      </c>
      <c r="C7" s="7">
        <v>46144</v>
      </c>
      <c r="D7" s="10"/>
      <c r="E7" s="8"/>
      <c r="F7" s="20"/>
      <c r="G7" s="19"/>
      <c r="H7" s="14"/>
      <c r="I7" s="8"/>
      <c r="J7" s="20"/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3</v>
      </c>
      <c r="AA7" s="140">
        <f t="shared" si="3"/>
        <v>3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">
      <c r="A8" s="6"/>
      <c r="B8" s="6" t="s">
        <v>128</v>
      </c>
      <c r="C8" s="7">
        <v>46145</v>
      </c>
      <c r="D8" s="10"/>
      <c r="E8" s="8"/>
      <c r="F8" s="20"/>
      <c r="G8" s="19"/>
      <c r="H8" s="14"/>
      <c r="I8" s="8">
        <v>72</v>
      </c>
      <c r="J8" s="20"/>
      <c r="K8" s="19"/>
      <c r="L8" s="14">
        <v>68</v>
      </c>
      <c r="M8" s="8"/>
      <c r="N8" s="20"/>
      <c r="O8" s="20"/>
      <c r="P8" s="8">
        <v>28</v>
      </c>
      <c r="Q8" s="8"/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5">
        <f t="shared" si="2"/>
        <v>3</v>
      </c>
      <c r="AA8" s="140">
        <f t="shared" si="3"/>
        <v>1</v>
      </c>
      <c r="AB8" s="8">
        <f t="shared" si="0"/>
        <v>1</v>
      </c>
      <c r="AC8" s="23">
        <f t="shared" si="1"/>
        <v>3</v>
      </c>
      <c r="AD8" s="18"/>
    </row>
    <row r="9" spans="1:30" ht="30" customHeight="1" x14ac:dyDescent="0.3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>
        <v>72</v>
      </c>
      <c r="I9" s="8">
        <v>72</v>
      </c>
      <c r="J9" s="20">
        <v>2</v>
      </c>
      <c r="K9" s="19"/>
      <c r="L9" s="14"/>
      <c r="M9" s="8"/>
      <c r="N9" s="20"/>
      <c r="O9" s="20"/>
      <c r="P9" s="8"/>
      <c r="Q9" s="8"/>
      <c r="R9" s="20"/>
      <c r="S9" s="20"/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">
      <c r="A10" s="6"/>
      <c r="B10" s="6" t="s">
        <v>123</v>
      </c>
      <c r="C10" s="7">
        <v>46147</v>
      </c>
      <c r="D10" s="10"/>
      <c r="E10" s="8"/>
      <c r="F10" s="20"/>
      <c r="G10" s="19"/>
      <c r="H10" s="8">
        <v>72</v>
      </c>
      <c r="I10" s="2">
        <v>72</v>
      </c>
      <c r="J10" s="20">
        <v>2</v>
      </c>
      <c r="K10" s="19"/>
      <c r="L10" s="14"/>
      <c r="M10" s="8"/>
      <c r="N10" s="20"/>
      <c r="O10" s="20"/>
      <c r="P10" s="8"/>
      <c r="Q10" s="8"/>
      <c r="R10" s="20"/>
      <c r="S10" s="20"/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">
      <c r="A11" s="6"/>
      <c r="B11" s="6" t="s">
        <v>124</v>
      </c>
      <c r="C11" s="7">
        <v>46148</v>
      </c>
      <c r="D11" s="10"/>
      <c r="E11" s="8"/>
      <c r="F11" s="20"/>
      <c r="G11" s="19"/>
      <c r="H11" s="2">
        <v>72</v>
      </c>
      <c r="I11" s="8">
        <v>72</v>
      </c>
      <c r="J11" s="20">
        <v>2</v>
      </c>
      <c r="K11" s="19"/>
      <c r="L11" s="14"/>
      <c r="M11" s="8"/>
      <c r="N11" s="20"/>
      <c r="O11" s="20"/>
      <c r="P11" s="8"/>
      <c r="Q11" s="8"/>
      <c r="R11" s="20"/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0</v>
      </c>
      <c r="AB11" s="8" t="e">
        <f>IF(AND(D11&lt;&gt;E11,E11&gt;0),1,0)+IF(AND(H11&lt;&gt;#REF!,#REF!&gt;0),1,0)+IF(AND(L11&lt;&gt;M11,M11&gt;0),1,0)+IF(AND(P11&lt;&gt;Q11,Q11&gt;0),1,0)+IF(AND(T11&lt;&gt;U11,U11&gt;0),1,0)</f>
        <v>#REF!</v>
      </c>
      <c r="AC11" s="23" t="e">
        <f>IF(AND(D11&lt;&gt;E11,D11&gt;0),1,0)+IF(AND(H11&lt;&gt;#REF!,H11&gt;0),1,0)+IF(AND(L11&lt;&gt;M11,L11&gt;0),1,0)+IF(AND(P11&lt;&gt;Q11,P11&gt;0),1,0)+IF(AND(T11&lt;&gt;U11,T11&gt;0),1,0)</f>
        <v>#REF!</v>
      </c>
      <c r="AD11" s="18"/>
    </row>
    <row r="12" spans="1:30" ht="30" customHeight="1" x14ac:dyDescent="0.3">
      <c r="A12" s="6"/>
      <c r="B12" s="6" t="s">
        <v>125</v>
      </c>
      <c r="C12" s="7">
        <v>46149</v>
      </c>
      <c r="D12" s="10"/>
      <c r="E12" s="8"/>
      <c r="F12" s="20"/>
      <c r="G12" s="19"/>
      <c r="H12" s="8">
        <v>72</v>
      </c>
      <c r="I12" s="8">
        <v>72</v>
      </c>
      <c r="J12" s="20">
        <v>2</v>
      </c>
      <c r="K12" s="19"/>
      <c r="L12" s="14"/>
      <c r="M12" s="8"/>
      <c r="N12" s="20"/>
      <c r="O12" s="20"/>
      <c r="P12" s="8"/>
      <c r="Q12" s="8"/>
      <c r="R12" s="20"/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1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">
      <c r="A13" s="6"/>
      <c r="B13" s="6" t="s">
        <v>126</v>
      </c>
      <c r="C13" s="7">
        <v>46150</v>
      </c>
      <c r="D13" s="8"/>
      <c r="E13" s="8"/>
      <c r="F13" s="20"/>
      <c r="G13" s="19"/>
      <c r="H13" s="8">
        <v>72</v>
      </c>
      <c r="I13" s="8">
        <v>72</v>
      </c>
      <c r="J13" s="20">
        <v>2</v>
      </c>
      <c r="K13" s="19"/>
      <c r="L13" s="14"/>
      <c r="M13" s="8"/>
      <c r="N13" s="20"/>
      <c r="O13" s="20"/>
      <c r="P13" s="8"/>
      <c r="Q13" s="8"/>
      <c r="R13" s="20"/>
      <c r="S13" s="20"/>
      <c r="T13" s="8"/>
      <c r="U13" s="8"/>
      <c r="V13" s="20"/>
      <c r="W13" s="20"/>
      <c r="X13" s="22"/>
      <c r="Y13" s="22"/>
      <c r="Z13" s="145">
        <f t="shared" si="2"/>
        <v>2</v>
      </c>
      <c r="AA13" s="140">
        <f t="shared" si="3"/>
        <v>1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">
      <c r="A14" s="6"/>
      <c r="B14" s="6" t="s">
        <v>127</v>
      </c>
      <c r="C14" s="7">
        <v>46151</v>
      </c>
      <c r="D14" s="8"/>
      <c r="E14" s="8"/>
      <c r="F14" s="20"/>
      <c r="G14" s="19"/>
      <c r="H14" s="8">
        <v>72</v>
      </c>
      <c r="I14" s="8">
        <v>72</v>
      </c>
      <c r="J14" s="20">
        <v>2</v>
      </c>
      <c r="K14" s="19"/>
      <c r="L14" s="14"/>
      <c r="M14" s="8"/>
      <c r="N14" s="20"/>
      <c r="O14" s="20"/>
      <c r="P14" s="8"/>
      <c r="Q14" s="8"/>
      <c r="R14" s="20"/>
      <c r="S14" s="20"/>
      <c r="T14" s="8"/>
      <c r="U14" s="8"/>
      <c r="V14" s="20"/>
      <c r="W14" s="20"/>
      <c r="X14" s="22"/>
      <c r="Y14" s="22"/>
      <c r="Z14" s="145">
        <f t="shared" si="2"/>
        <v>2</v>
      </c>
      <c r="AA14" s="140">
        <f t="shared" si="3"/>
        <v>1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">
      <c r="A15" s="6"/>
      <c r="B15" s="6" t="s">
        <v>128</v>
      </c>
      <c r="C15" s="7">
        <v>46152</v>
      </c>
      <c r="D15" s="8"/>
      <c r="E15" s="8"/>
      <c r="F15" s="20"/>
      <c r="G15" s="19"/>
      <c r="H15" s="8">
        <v>72</v>
      </c>
      <c r="I15" s="8"/>
      <c r="J15" s="20">
        <v>2</v>
      </c>
      <c r="K15" s="19"/>
      <c r="L15" s="14"/>
      <c r="M15" s="8"/>
      <c r="N15" s="20"/>
      <c r="O15" s="20"/>
      <c r="P15" s="8"/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2</v>
      </c>
      <c r="AA15" s="140">
        <f t="shared" si="3"/>
        <v>0</v>
      </c>
      <c r="AB15" s="8">
        <f t="shared" si="0"/>
        <v>0</v>
      </c>
      <c r="AC15" s="23">
        <f t="shared" si="1"/>
        <v>1</v>
      </c>
      <c r="AD15" s="18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297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5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5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">
      <c r="A21" s="6"/>
      <c r="B21" s="6" t="s">
        <v>127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5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3">
        <v>20</v>
      </c>
      <c r="I27" s="148">
        <v>20</v>
      </c>
      <c r="J27" s="20">
        <v>2</v>
      </c>
      <c r="K27" s="19"/>
      <c r="L27" s="163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3">
        <v>20</v>
      </c>
      <c r="I28" s="148">
        <v>20</v>
      </c>
      <c r="J28" s="20">
        <v>2</v>
      </c>
      <c r="K28" s="19"/>
      <c r="L28" s="163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3">
        <v>20</v>
      </c>
      <c r="I29" s="148">
        <v>20</v>
      </c>
      <c r="J29" s="20">
        <v>2</v>
      </c>
      <c r="K29" s="19"/>
      <c r="L29" s="163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3">
        <v>20</v>
      </c>
      <c r="I30" s="8"/>
      <c r="J30" s="20">
        <v>2</v>
      </c>
      <c r="K30" s="19"/>
      <c r="L30" s="163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8"/>
      <c r="Q35" s="148">
        <v>2</v>
      </c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49">
        <v>5</v>
      </c>
      <c r="M36" s="149">
        <v>5</v>
      </c>
      <c r="N36" s="124">
        <v>2</v>
      </c>
      <c r="O36" s="124"/>
      <c r="P36" s="148">
        <v>2</v>
      </c>
      <c r="Q36" s="148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5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49">
        <v>5</v>
      </c>
      <c r="M37" s="8"/>
      <c r="N37" s="20"/>
      <c r="O37" s="20"/>
      <c r="P37" s="148">
        <v>2</v>
      </c>
      <c r="Q37" s="148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8">
        <v>2</v>
      </c>
      <c r="Q38" s="148">
        <v>2</v>
      </c>
      <c r="R38" s="124">
        <v>2</v>
      </c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65">
        <v>27</v>
      </c>
      <c r="N39" s="20"/>
      <c r="O39" s="20" t="s">
        <v>165</v>
      </c>
      <c r="P39" s="148">
        <v>2</v>
      </c>
      <c r="Q39" s="148">
        <v>2</v>
      </c>
      <c r="R39" s="124">
        <v>2</v>
      </c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64">
        <v>27</v>
      </c>
      <c r="M40" s="165">
        <v>27</v>
      </c>
      <c r="N40" s="20">
        <v>2</v>
      </c>
      <c r="O40" s="20"/>
      <c r="P40" s="148">
        <v>2</v>
      </c>
      <c r="Q40" s="148">
        <v>2</v>
      </c>
      <c r="R40" s="124">
        <v>2</v>
      </c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4"/>
      <c r="I41" s="149">
        <v>6</v>
      </c>
      <c r="J41" s="20"/>
      <c r="K41" s="19"/>
      <c r="L41" s="165">
        <v>27</v>
      </c>
      <c r="M41" s="165">
        <v>27</v>
      </c>
      <c r="N41" s="20">
        <v>2</v>
      </c>
      <c r="O41" s="20"/>
      <c r="P41" s="148">
        <v>2</v>
      </c>
      <c r="Q41" s="148">
        <v>2</v>
      </c>
      <c r="R41" s="124">
        <v>2</v>
      </c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5">
        <v>27</v>
      </c>
      <c r="M42" s="165">
        <v>27</v>
      </c>
      <c r="N42" s="20">
        <v>2</v>
      </c>
      <c r="O42" s="20" t="s">
        <v>162</v>
      </c>
      <c r="P42" s="148">
        <v>2</v>
      </c>
      <c r="Q42" s="148">
        <v>2</v>
      </c>
      <c r="R42" s="124">
        <v>2</v>
      </c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5">
        <v>27</v>
      </c>
      <c r="M43" s="165">
        <v>27</v>
      </c>
      <c r="N43" s="20">
        <v>2</v>
      </c>
      <c r="O43" s="20"/>
      <c r="P43" s="148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5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5">
        <v>27</v>
      </c>
      <c r="M44" s="165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5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/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3">
        <v>15</v>
      </c>
      <c r="Q51" s="191">
        <v>70</v>
      </c>
      <c r="R51" s="124"/>
      <c r="S51" s="124"/>
      <c r="T51" s="149">
        <v>17</v>
      </c>
      <c r="U51" s="121"/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1</v>
      </c>
      <c r="AB51" s="8">
        <f t="shared" si="4"/>
        <v>1</v>
      </c>
      <c r="AC51" s="23">
        <f t="shared" si="5"/>
        <v>4</v>
      </c>
      <c r="AD51" s="18"/>
    </row>
    <row r="52" spans="1:30" ht="30" customHeight="1" x14ac:dyDescent="0.3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91">
        <v>70</v>
      </c>
      <c r="Q52" s="191">
        <v>70</v>
      </c>
      <c r="R52" s="124">
        <v>2</v>
      </c>
      <c r="S52" s="124"/>
      <c r="T52" s="121"/>
      <c r="U52" s="8"/>
      <c r="V52" s="20"/>
      <c r="W52" s="20"/>
      <c r="X52" s="22"/>
      <c r="Y52" s="22"/>
      <c r="Z52" s="145">
        <f t="shared" si="2"/>
        <v>2</v>
      </c>
      <c r="AA52" s="140">
        <f t="shared" si="3"/>
        <v>1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91">
        <v>70</v>
      </c>
      <c r="Q53" s="149">
        <v>70</v>
      </c>
      <c r="R53" s="124">
        <v>2</v>
      </c>
      <c r="S53" s="124"/>
      <c r="T53" s="8"/>
      <c r="U53" s="149">
        <v>31</v>
      </c>
      <c r="V53" s="20"/>
      <c r="W53" s="20" t="s">
        <v>32</v>
      </c>
      <c r="X53" s="22"/>
      <c r="Y53" s="22"/>
      <c r="Z53" s="145">
        <f t="shared" si="2"/>
        <v>2</v>
      </c>
      <c r="AA53" s="140">
        <f t="shared" si="3"/>
        <v>2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149">
        <v>70</v>
      </c>
      <c r="Q54" s="149">
        <v>70</v>
      </c>
      <c r="R54" s="124">
        <v>2</v>
      </c>
      <c r="S54" s="124"/>
      <c r="T54" s="149">
        <v>31</v>
      </c>
      <c r="U54" s="149">
        <v>31</v>
      </c>
      <c r="V54" s="20">
        <v>1</v>
      </c>
      <c r="W54" s="20"/>
      <c r="X54" s="22"/>
      <c r="Y54" s="22"/>
      <c r="Z54" s="145">
        <f t="shared" si="2"/>
        <v>3</v>
      </c>
      <c r="AA54" s="140">
        <f t="shared" si="3"/>
        <v>2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31</v>
      </c>
      <c r="U55" s="149">
        <v>31</v>
      </c>
      <c r="V55" s="20">
        <v>1</v>
      </c>
      <c r="W55" s="20"/>
      <c r="X55" s="22"/>
      <c r="Y55" s="22"/>
      <c r="Z55" s="145">
        <f t="shared" si="2"/>
        <v>3</v>
      </c>
      <c r="AA55" s="140">
        <f t="shared" si="3"/>
        <v>3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31</v>
      </c>
      <c r="U56" s="149">
        <v>31</v>
      </c>
      <c r="V56" s="20">
        <v>1</v>
      </c>
      <c r="W56" s="20"/>
      <c r="X56" s="22"/>
      <c r="Y56" s="22"/>
      <c r="Z56" s="145">
        <f t="shared" si="2"/>
        <v>5</v>
      </c>
      <c r="AA56" s="140">
        <f t="shared" si="3"/>
        <v>2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31</v>
      </c>
      <c r="U57" s="149">
        <v>31</v>
      </c>
      <c r="V57" s="20">
        <v>1</v>
      </c>
      <c r="W57" s="20"/>
      <c r="X57" s="22"/>
      <c r="Y57" s="22"/>
      <c r="Z57" s="145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8">
        <v>37</v>
      </c>
      <c r="R58" s="124"/>
      <c r="S58" s="124"/>
      <c r="T58" s="149">
        <v>31</v>
      </c>
      <c r="U58" s="8"/>
      <c r="V58" s="20">
        <v>1</v>
      </c>
      <c r="W58" s="20"/>
      <c r="X58" s="22"/>
      <c r="Y58" s="22"/>
      <c r="Z58" s="145">
        <f t="shared" si="2"/>
        <v>1</v>
      </c>
      <c r="AA58" s="140">
        <f t="shared" si="3"/>
        <v>1</v>
      </c>
      <c r="AB58" s="8">
        <f t="shared" si="4"/>
        <v>1</v>
      </c>
      <c r="AC58" s="23">
        <f t="shared" si="5"/>
        <v>1</v>
      </c>
      <c r="AD58" s="18"/>
    </row>
    <row r="59" spans="1:30" ht="30" customHeight="1" x14ac:dyDescent="0.3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8">
        <v>37</v>
      </c>
      <c r="Q59" s="8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8">
        <v>37</v>
      </c>
      <c r="Q60" s="8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8">
        <v>37</v>
      </c>
      <c r="Q61" s="8"/>
      <c r="R61" s="124">
        <v>2</v>
      </c>
      <c r="S61" s="124"/>
      <c r="T61" s="8"/>
      <c r="U61" s="8">
        <v>64</v>
      </c>
      <c r="V61" s="20"/>
      <c r="W61" s="20" t="s">
        <v>165</v>
      </c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/>
      <c r="Q62" s="8"/>
      <c r="R62" s="124"/>
      <c r="S62" s="124"/>
      <c r="T62" s="8">
        <v>64</v>
      </c>
      <c r="U62" s="8">
        <v>64</v>
      </c>
      <c r="V62" s="20"/>
      <c r="W62" s="20" t="s">
        <v>297</v>
      </c>
      <c r="X62" s="22"/>
      <c r="Y62" s="22"/>
      <c r="Z62" s="145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/>
      <c r="Q63" s="8"/>
      <c r="R63" s="124"/>
      <c r="S63" s="124"/>
      <c r="T63" s="8">
        <v>64</v>
      </c>
      <c r="U63" s="8">
        <v>64</v>
      </c>
      <c r="V63" s="20"/>
      <c r="W63" s="20"/>
      <c r="X63" s="22"/>
      <c r="Y63" s="22"/>
      <c r="Z63" s="145">
        <f t="shared" si="2"/>
        <v>4</v>
      </c>
      <c r="AA63" s="140">
        <f t="shared" si="3"/>
        <v>3</v>
      </c>
      <c r="AB63" s="8">
        <f t="shared" si="4"/>
        <v>0</v>
      </c>
      <c r="AC63" s="23">
        <f t="shared" si="5"/>
        <v>0</v>
      </c>
      <c r="AD63" s="18"/>
    </row>
    <row r="64" spans="1:30" ht="30" customHeight="1" x14ac:dyDescent="0.3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/>
      <c r="Q64" s="8"/>
      <c r="R64" s="124"/>
      <c r="S64" s="124"/>
      <c r="T64" s="8">
        <v>64</v>
      </c>
      <c r="U64" s="8"/>
      <c r="V64" s="20"/>
      <c r="W64" s="20"/>
      <c r="X64" s="22"/>
      <c r="Y64" s="22"/>
      <c r="Z64" s="145">
        <f t="shared" si="2"/>
        <v>4</v>
      </c>
      <c r="AA64" s="140">
        <f t="shared" si="3"/>
        <v>2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8"/>
      <c r="Q65" s="8"/>
      <c r="R65" s="124"/>
      <c r="S65" s="124"/>
      <c r="T65" s="8"/>
      <c r="U65" s="8"/>
      <c r="V65" s="20"/>
      <c r="W65" s="20"/>
      <c r="X65" s="22"/>
      <c r="Y65" s="22"/>
      <c r="Z65" s="145">
        <f t="shared" si="2"/>
        <v>4</v>
      </c>
      <c r="AA65" s="140">
        <f t="shared" si="3"/>
        <v>1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8"/>
      <c r="Q66" s="8"/>
      <c r="R66" s="124"/>
      <c r="S66" s="124"/>
      <c r="T66" s="8"/>
      <c r="U66" s="8"/>
      <c r="V66" s="20"/>
      <c r="W66" s="20"/>
      <c r="X66" s="22"/>
      <c r="Y66" s="22"/>
      <c r="Z66" s="145">
        <f t="shared" si="2"/>
        <v>2</v>
      </c>
      <c r="AA66" s="140">
        <f t="shared" si="3"/>
        <v>1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8"/>
      <c r="Q67" s="8"/>
      <c r="R67" s="124"/>
      <c r="S67" s="124"/>
      <c r="T67" s="8"/>
      <c r="U67" s="8"/>
      <c r="V67" s="20"/>
      <c r="W67" s="20"/>
      <c r="X67" s="22"/>
      <c r="Y67" s="22"/>
      <c r="Z67" s="145">
        <f t="shared" ref="Z67:Z130" si="6">F67+J67+N67+R67+V67</f>
        <v>2</v>
      </c>
      <c r="AA67" s="140">
        <f t="shared" ref="AA67:AA130" si="7">COUNT(E67,I67,M67,Q67,U67)</f>
        <v>1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0"/>
      <c r="Q68" s="9"/>
      <c r="R68" s="124"/>
      <c r="S68" s="143"/>
      <c r="T68" s="8"/>
      <c r="U68" s="8"/>
      <c r="V68" s="20"/>
      <c r="W68" s="20"/>
      <c r="X68" s="135"/>
      <c r="Y68" s="136"/>
      <c r="Z68" s="145">
        <f t="shared" si="6"/>
        <v>2</v>
      </c>
      <c r="AA68" s="140">
        <f t="shared" si="7"/>
        <v>2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2">
        <v>14</v>
      </c>
      <c r="R69" s="124"/>
      <c r="S69" s="143"/>
      <c r="T69" s="8"/>
      <c r="U69" s="121"/>
      <c r="V69" s="20"/>
      <c r="W69" s="20"/>
      <c r="X69" s="136"/>
      <c r="Y69" s="136"/>
      <c r="Z69" s="145">
        <f t="shared" si="6"/>
        <v>4</v>
      </c>
      <c r="AA69" s="140">
        <f t="shared" si="7"/>
        <v>3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21"/>
      <c r="U70" s="149">
        <v>7</v>
      </c>
      <c r="V70" s="20"/>
      <c r="W70" s="20"/>
      <c r="X70" s="136"/>
      <c r="Y70" s="136"/>
      <c r="Z70" s="145">
        <f t="shared" si="6"/>
        <v>6</v>
      </c>
      <c r="AA70" s="140">
        <f t="shared" si="7"/>
        <v>4</v>
      </c>
      <c r="AB70" s="8">
        <f t="shared" si="4"/>
        <v>1</v>
      </c>
      <c r="AC70" s="23">
        <f t="shared" si="5"/>
        <v>0</v>
      </c>
      <c r="AD70" s="18"/>
    </row>
    <row r="71" spans="1:30" ht="30" customHeight="1" x14ac:dyDescent="0.3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8"/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4</v>
      </c>
      <c r="AB75" s="8">
        <f t="shared" si="4"/>
        <v>1</v>
      </c>
      <c r="AC75" s="23">
        <f t="shared" si="5"/>
        <v>2</v>
      </c>
      <c r="AD75" s="18"/>
    </row>
    <row r="76" spans="1:30" ht="30" customHeight="1" x14ac:dyDescent="0.3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8"/>
      <c r="M76" s="8"/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3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8"/>
      <c r="M77" s="8"/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4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8"/>
      <c r="M78" s="8"/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8"/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/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4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/>
      <c r="I82" s="8"/>
      <c r="J82" s="20"/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6</v>
      </c>
      <c r="AA82" s="140">
        <f t="shared" si="7"/>
        <v>3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3</v>
      </c>
      <c r="AA83" s="140">
        <f t="shared" si="7"/>
        <v>3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3</v>
      </c>
      <c r="AA84" s="140">
        <f t="shared" si="7"/>
        <v>4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298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298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3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2">
        <v>57</v>
      </c>
      <c r="Q96" s="173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2">
        <v>57</v>
      </c>
      <c r="Q97" s="173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2">
        <v>57</v>
      </c>
      <c r="Q98" s="173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8"/>
      <c r="J99" s="20"/>
      <c r="K99" s="19"/>
      <c r="L99" s="8"/>
      <c r="M99" s="8"/>
      <c r="N99" s="20"/>
      <c r="O99" s="20"/>
      <c r="P99" s="172">
        <v>57</v>
      </c>
      <c r="Q99" s="173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1</v>
      </c>
      <c r="AB99" s="8">
        <f t="shared" si="8"/>
        <v>0</v>
      </c>
      <c r="AC99" s="23">
        <f t="shared" si="9"/>
        <v>0</v>
      </c>
      <c r="AD99" s="18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0"/>
      <c r="E100" s="148">
        <v>11</v>
      </c>
      <c r="F100" s="20"/>
      <c r="G100" s="19" t="s">
        <v>164</v>
      </c>
      <c r="H100" s="14"/>
      <c r="I100" s="8"/>
      <c r="J100" s="20"/>
      <c r="K100" s="19"/>
      <c r="L100" s="8"/>
      <c r="M100" s="8"/>
      <c r="N100" s="20"/>
      <c r="O100" s="20"/>
      <c r="P100" s="172">
        <v>57</v>
      </c>
      <c r="Q100" s="173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0</v>
      </c>
      <c r="AA100" s="140">
        <f t="shared" si="7"/>
        <v>3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4"/>
      <c r="I101" s="8"/>
      <c r="J101" s="20"/>
      <c r="K101" s="19"/>
      <c r="L101" s="8"/>
      <c r="M101" s="8"/>
      <c r="N101" s="20"/>
      <c r="O101" s="20"/>
      <c r="P101" s="172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2</v>
      </c>
      <c r="AA101" s="140">
        <f t="shared" si="7"/>
        <v>2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8"/>
      <c r="I102" s="8"/>
      <c r="J102" s="20"/>
      <c r="K102" s="19"/>
      <c r="L102" s="8"/>
      <c r="M102" s="8"/>
      <c r="N102" s="20"/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2</v>
      </c>
      <c r="AA102" s="140">
        <f t="shared" si="7"/>
        <v>2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8"/>
      <c r="I103" s="8">
        <v>32</v>
      </c>
      <c r="J103" s="20"/>
      <c r="K103" s="19" t="s">
        <v>162</v>
      </c>
      <c r="L103" s="8"/>
      <c r="M103" s="166">
        <v>33</v>
      </c>
      <c r="N103" s="20"/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2</v>
      </c>
      <c r="AA103" s="140">
        <f t="shared" si="7"/>
        <v>5</v>
      </c>
      <c r="AB103" s="8">
        <f t="shared" si="8"/>
        <v>3</v>
      </c>
      <c r="AC103" s="23">
        <f t="shared" si="9"/>
        <v>0</v>
      </c>
      <c r="AD103" s="18"/>
    </row>
    <row r="104" spans="1:30" ht="30" customHeight="1" x14ac:dyDescent="0.3">
      <c r="A104" s="6" t="s">
        <v>166</v>
      </c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55">
        <v>32</v>
      </c>
      <c r="I104" s="155">
        <v>32</v>
      </c>
      <c r="J104" s="155">
        <v>2</v>
      </c>
      <c r="K104" s="156" t="s">
        <v>163</v>
      </c>
      <c r="L104" s="166">
        <v>33</v>
      </c>
      <c r="M104" s="166">
        <v>33</v>
      </c>
      <c r="N104" s="155">
        <v>1</v>
      </c>
      <c r="O104" s="155" t="s">
        <v>163</v>
      </c>
      <c r="P104" s="8">
        <v>45</v>
      </c>
      <c r="Q104" s="155">
        <v>45</v>
      </c>
      <c r="R104" s="155">
        <v>2</v>
      </c>
      <c r="S104" s="155"/>
      <c r="T104" s="8">
        <v>50</v>
      </c>
      <c r="U104" s="155"/>
      <c r="V104" s="155">
        <v>2</v>
      </c>
      <c r="W104" s="155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">
      <c r="A105" s="6" t="s">
        <v>166</v>
      </c>
      <c r="B105" s="6" t="s">
        <v>127</v>
      </c>
      <c r="C105" s="7">
        <v>46242</v>
      </c>
      <c r="D105" s="148">
        <v>11</v>
      </c>
      <c r="E105" s="8"/>
      <c r="F105" s="20"/>
      <c r="G105" s="19"/>
      <c r="H105" s="155">
        <v>32</v>
      </c>
      <c r="I105" s="155">
        <v>32</v>
      </c>
      <c r="J105" s="155">
        <v>2</v>
      </c>
      <c r="K105" s="156"/>
      <c r="L105" s="166">
        <v>33</v>
      </c>
      <c r="M105" s="166">
        <v>33</v>
      </c>
      <c r="N105" s="155">
        <v>1</v>
      </c>
      <c r="O105" s="155"/>
      <c r="P105" s="155">
        <v>45</v>
      </c>
      <c r="Q105" s="155">
        <v>45</v>
      </c>
      <c r="R105" s="155">
        <v>2</v>
      </c>
      <c r="S105" s="155"/>
      <c r="T105" s="155"/>
      <c r="U105" s="155"/>
      <c r="V105" s="155"/>
      <c r="W105" s="155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6">
        <v>33</v>
      </c>
      <c r="M106" s="166">
        <v>33</v>
      </c>
      <c r="N106" s="20">
        <v>1</v>
      </c>
      <c r="O106" s="20"/>
      <c r="P106" s="155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6">
        <v>33</v>
      </c>
      <c r="M107" s="166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6">
        <v>33</v>
      </c>
      <c r="M108" s="166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6">
        <v>33</v>
      </c>
      <c r="M109" s="166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6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6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5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6">
        <v>46</v>
      </c>
      <c r="I114" s="166">
        <v>46</v>
      </c>
      <c r="J114" s="20"/>
      <c r="K114" s="19"/>
      <c r="L114" s="14"/>
      <c r="M114" s="8">
        <v>52</v>
      </c>
      <c r="N114" s="20"/>
      <c r="O114" s="20"/>
      <c r="P114" s="169">
        <v>51</v>
      </c>
      <c r="Q114" s="165">
        <v>51</v>
      </c>
      <c r="R114" s="124">
        <v>2</v>
      </c>
      <c r="S114" s="124" t="s">
        <v>274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6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9">
        <v>51</v>
      </c>
      <c r="Q115" s="165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275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9">
        <v>51</v>
      </c>
      <c r="Q116" s="165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9">
        <v>51</v>
      </c>
      <c r="Q117" s="165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70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1">
        <v>54</v>
      </c>
      <c r="I118" s="170">
        <v>54</v>
      </c>
      <c r="J118" s="20">
        <v>2</v>
      </c>
      <c r="K118" s="19"/>
      <c r="L118" s="14">
        <v>52</v>
      </c>
      <c r="M118" s="170">
        <v>54</v>
      </c>
      <c r="N118" s="20">
        <v>2</v>
      </c>
      <c r="O118" s="20"/>
      <c r="P118" s="169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70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1">
        <v>54</v>
      </c>
      <c r="I119" s="170">
        <v>54</v>
      </c>
      <c r="J119" s="20">
        <v>2</v>
      </c>
      <c r="K119" s="19"/>
      <c r="L119" s="170">
        <v>54</v>
      </c>
      <c r="M119" s="170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49">
        <v>21</v>
      </c>
      <c r="U119" s="8"/>
      <c r="V119" s="124">
        <v>2</v>
      </c>
      <c r="W119" s="124"/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1">
        <v>54</v>
      </c>
      <c r="I120" s="8"/>
      <c r="J120" s="20">
        <v>2</v>
      </c>
      <c r="K120" s="19"/>
      <c r="L120" s="170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>
        <v>25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5">
        <f t="shared" si="6"/>
        <v>1</v>
      </c>
      <c r="AA123" s="140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>
        <v>71</v>
      </c>
      <c r="I124" s="8">
        <v>71</v>
      </c>
      <c r="J124" s="124"/>
      <c r="K124" s="124" t="s">
        <v>163</v>
      </c>
      <c r="L124" s="8">
        <v>60</v>
      </c>
      <c r="M124" s="8">
        <v>60</v>
      </c>
      <c r="N124" s="20">
        <v>1</v>
      </c>
      <c r="O124" s="20"/>
      <c r="P124" s="8">
        <v>25</v>
      </c>
      <c r="Q124" s="8"/>
      <c r="R124" s="124"/>
      <c r="S124" s="124"/>
      <c r="T124" s="8"/>
      <c r="U124" s="149">
        <v>35</v>
      </c>
      <c r="V124" s="124"/>
      <c r="W124" s="124"/>
      <c r="X124" s="22"/>
      <c r="Y124" s="22"/>
      <c r="Z124" s="145">
        <f t="shared" si="6"/>
        <v>3</v>
      </c>
      <c r="AA124" s="140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/>
      <c r="Q125" s="8"/>
      <c r="R125" s="124"/>
      <c r="S125" s="124"/>
      <c r="T125" s="149">
        <v>35</v>
      </c>
      <c r="U125" s="149">
        <v>35</v>
      </c>
      <c r="V125" s="124">
        <v>2</v>
      </c>
      <c r="W125" s="124" t="s">
        <v>234</v>
      </c>
      <c r="X125" s="22"/>
      <c r="Y125" s="22"/>
      <c r="Z125" s="145">
        <f t="shared" si="6"/>
        <v>5</v>
      </c>
      <c r="AA125" s="140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/>
      <c r="Q126" s="8"/>
      <c r="R126" s="124"/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4</v>
      </c>
      <c r="AA126" s="140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/>
      <c r="Q127" s="8"/>
      <c r="R127" s="124"/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4</v>
      </c>
      <c r="AA127" s="140">
        <f t="shared" si="7"/>
        <v>2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4</v>
      </c>
      <c r="AA128" s="140">
        <f t="shared" si="7"/>
        <v>0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4"/>
      <c r="W129" s="124"/>
      <c r="X129" s="22"/>
      <c r="Y129" s="22"/>
      <c r="Z129" s="145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5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35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35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35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35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35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35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N109:N115 N58:N107 D58:M115 O2:Y171 D116:N171 D2:H8 J2:N57 I2:I9 I11:I57 D16:H57 D9:G15 H9:H10 H12:H15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4" x14ac:dyDescent="0.3"/>
  <cols>
    <col min="2" max="2" width="8.5546875" style="24" customWidth="1"/>
    <col min="3" max="3" width="2.5546875" bestFit="1" customWidth="1"/>
    <col min="4" max="4" width="8.44140625" style="2" bestFit="1" customWidth="1"/>
    <col min="5" max="5" width="5.5546875" style="3" customWidth="1"/>
    <col min="6" max="7" width="5.5546875" style="2" customWidth="1"/>
    <col min="8" max="8" width="5.5546875" style="3" customWidth="1"/>
    <col min="9" max="10" width="5.5546875" style="2" customWidth="1"/>
    <col min="11" max="11" width="5.5546875" style="3" customWidth="1"/>
    <col min="12" max="13" width="5.5546875" style="2" customWidth="1"/>
    <col min="14" max="14" width="5.5546875" style="3" customWidth="1"/>
    <col min="15" max="16" width="5.5546875" style="2" customWidth="1"/>
    <col min="17" max="17" width="5.5546875" style="3" customWidth="1"/>
    <col min="18" max="19" width="5.5546875" style="2" customWidth="1"/>
    <col min="20" max="20" width="4.5546875" customWidth="1"/>
  </cols>
  <sheetData>
    <row r="1" spans="1:19" s="54" customFormat="1" ht="19.350000000000001" customHeight="1" thickBot="1" x14ac:dyDescent="0.4">
      <c r="A1" s="54" t="s">
        <v>131</v>
      </c>
      <c r="B1" s="55" t="s">
        <v>116</v>
      </c>
      <c r="C1" s="73" t="s">
        <v>132</v>
      </c>
      <c r="D1" s="74">
        <f ca="1">TODAY()</f>
        <v>46060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35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35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35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35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35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-</v>
      </c>
      <c r="J6" s="49" t="str">
        <f>IFERROR(IF(AND(booking!AB6&gt;0,booking!H6&lt;&gt;booking!I6),VLOOKUP(booking!I6,Database!$A$1:'Database'!$L$175,9,FALSE),"-"),"-")</f>
        <v>-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35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35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-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-</v>
      </c>
      <c r="P8" s="49" t="str">
        <f>IFERROR(IF(AND(booking!AB8&gt;0,booking!P8&lt;&gt;booking!Q8),VLOOKUP(booking!Q8,Database!$A$1:'Database'!$L$175,9,FALSE),"-"),"-")</f>
        <v>-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35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35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35">
      <c r="A11" t="str">
        <f>booking!B11</f>
        <v>onsdag</v>
      </c>
      <c r="B11" s="24">
        <f>booking!C11</f>
        <v>46148</v>
      </c>
      <c r="D11" s="2" t="e">
        <f>IF(booking!AC11&gt;0,"Y","-")</f>
        <v>#REF!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35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35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35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" customHeight="1" thickBot="1" x14ac:dyDescent="0.35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-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35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35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35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35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35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35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35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35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35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35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35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35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35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35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35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35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35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35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35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35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35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35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35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35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35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35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35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35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35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35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35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35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35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35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35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35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>
        <f>IFERROR(IF(AND(booking!AB51&gt;0,booking!P51&lt;&gt;booking!Q51),VLOOKUP(booking!Q51,Database!$A$1:'Database'!$L$175,6,FALSE),"-"),"-")</f>
        <v>0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35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35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35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35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35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35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35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35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35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35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-</v>
      </c>
      <c r="P61" s="49" t="str">
        <f>IFERROR(IF(AND(booking!AB61&gt;0,booking!P61&lt;&gt;booking!Q61),VLOOKUP(booking!Q61,Database!$A$1:'Database'!$L$175,9,FALSE),"-"),"-")</f>
        <v>-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S</v>
      </c>
      <c r="S61" s="49" t="str">
        <f>IFERROR(IF(AND(booking!AB61&gt;0,booking!T61&lt;&gt;booking!U61),VLOOKUP(booking!U61,Database!$A$1:'Database'!$L$175,9,FALSE),"-"),"-")</f>
        <v>sing</v>
      </c>
    </row>
    <row r="62" spans="1:19" ht="15" customHeight="1" thickBot="1" x14ac:dyDescent="0.35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35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-</v>
      </c>
      <c r="S63" s="49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35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-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udc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35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35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35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35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35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35">
      <c r="A70" t="str">
        <f>booking!B70</f>
        <v>lørdag</v>
      </c>
      <c r="B70" s="24">
        <f>booking!C70</f>
        <v>46207</v>
      </c>
      <c r="D70" s="2" t="str">
        <f>IF(booking!AC70&gt;0,"Y","-")</f>
        <v>-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-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35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35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35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35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35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35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35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35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35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35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35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35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35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35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35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35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35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35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35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35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35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35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35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35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35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35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35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35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35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-</v>
      </c>
      <c r="J99" s="49" t="str">
        <f>IFERROR(IF(AND(booking!AB99&gt;0,booking!H99&lt;&gt;booking!I99),VLOOKUP(booking!I99,Database!$A$1:'Database'!$L$175,9,FALSE),"-"),"-")</f>
        <v>-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-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35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35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35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35">
      <c r="A103" t="str">
        <f>booking!B103</f>
        <v>torsdag</v>
      </c>
      <c r="B103" s="24">
        <f>booking!C103</f>
        <v>46240</v>
      </c>
      <c r="D103" s="2" t="str">
        <f>IF(booking!AC103&gt;0,"Y","-")</f>
        <v>-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-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-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35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35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35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35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35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35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35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35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35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35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35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35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35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35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35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35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35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35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35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35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 t="str">
        <f>IFERROR(IF(AND(booking!AB123&gt;0,booking!H123&lt;&gt;booking!I123),VLOOKUP(booking!I123,Database!$A$1:'Database'!$L$175,9,FALSE),"-"),"-")</f>
        <v>sing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35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35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35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35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35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35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35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35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35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35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35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35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35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35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35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35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35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35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35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35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35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35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35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35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35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35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35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35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35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35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35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35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35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35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35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35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35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35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35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35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35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35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35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35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35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35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35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35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4" x14ac:dyDescent="0.3"/>
  <cols>
    <col min="1" max="1" width="7.44140625" bestFit="1" customWidth="1"/>
    <col min="2" max="2" width="8.109375" style="24" bestFit="1" customWidth="1"/>
    <col min="3" max="3" width="3.88671875" bestFit="1" customWidth="1"/>
    <col min="4" max="4" width="8.44140625" style="2" bestFit="1" customWidth="1"/>
    <col min="5" max="5" width="6.5546875" style="2" customWidth="1"/>
    <col min="6" max="8" width="6.5546875" style="78" customWidth="1"/>
    <col min="9" max="10" width="6.5546875" customWidth="1"/>
    <col min="11" max="13" width="6.5546875" style="78" customWidth="1"/>
    <col min="14" max="14" width="6.5546875" customWidth="1"/>
    <col min="15" max="17" width="6.5546875" style="78" customWidth="1"/>
    <col min="18" max="18" width="6.5546875" style="77" customWidth="1"/>
    <col min="19" max="21" width="6.5546875" style="78" customWidth="1"/>
    <col min="22" max="22" width="6.5546875" customWidth="1"/>
    <col min="23" max="25" width="6.5546875" style="78" customWidth="1"/>
  </cols>
  <sheetData>
    <row r="1" spans="1:26" ht="20.100000000000001" customHeight="1" thickBot="1" x14ac:dyDescent="0.35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46060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35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35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35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35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35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 t="str">
        <f>IF(AND(D6="Y",booking!H6&lt;&gt;booking!I6,booking!I6&gt;0),booking!I6,"-")</f>
        <v>-</v>
      </c>
      <c r="K6" s="84" t="str">
        <f>IFERROR(VLOOKUP(J6,Database!$A$2:$L$175,8,FALSE),"-")</f>
        <v>-</v>
      </c>
      <c r="L6" s="84" t="str">
        <f>IFERROR(VLOOKUP(J6,Database!$A$2:$L$175,6,FALSE),"-")</f>
        <v>-</v>
      </c>
      <c r="M6" s="100" t="str">
        <f>IFERROR(VLOOKUP(J6,Database!$A$2:$L$175,9,FALSE),"-")</f>
        <v>-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35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35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>
        <f>IF(AND(D8="Y",booking!H8&lt;&gt;booking!I8,booking!I8&gt;0),booking!I8,"-")</f>
        <v>72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 t="str">
        <f>IF(AND(D8="Y",booking!P8&lt;&gt;booking!Q8,booking!Q8&gt;0),booking!Q8,"-")</f>
        <v>-</v>
      </c>
      <c r="S8" s="84" t="str">
        <f>IFERROR(VLOOKUP(R8,Database!$A$2:$L$175,8,FALSE),"-")</f>
        <v>-</v>
      </c>
      <c r="T8" s="84" t="str">
        <f>IFERROR(VLOOKUP(R8,Database!$A$2:$L$175,6,FALSE),"-")</f>
        <v>-</v>
      </c>
      <c r="U8" s="88" t="str">
        <f>IFERROR(VLOOKUP(R8,Database!$A$2:$L$175,9,FALSE),"-")</f>
        <v>-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35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35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35">
      <c r="A11" s="94" t="str">
        <f>rengøring!A11</f>
        <v>onsdag</v>
      </c>
      <c r="B11" s="90">
        <f>rengøring!B11</f>
        <v>46148</v>
      </c>
      <c r="C11" s="9"/>
      <c r="D11" s="95" t="e">
        <f>IF(booking!AB11&gt;0,"Y","-")</f>
        <v>#REF!</v>
      </c>
      <c r="E11" s="102" t="e">
        <f>IF(AND(D11="Y",booking!D11&lt;&gt;booking!E11,booking!E11&gt;0),booking!E11,"-")</f>
        <v>#REF!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e">
        <f>IF(AND(D11="Y",booking!H11&lt;&gt;booking!#REF!,booking!#REF!&gt;0),booking!#REF!,"-")</f>
        <v>#REF!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e">
        <f>IF(AND(D11="Y",booking!L11&lt;&gt;booking!M11,booking!M11&gt;0),booking!M11,"-")</f>
        <v>#REF!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e">
        <f>IF(AND(D11="Y",booking!P11&lt;&gt;booking!Q11,booking!Q11&gt;0),booking!Q11,"-")</f>
        <v>#REF!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e">
        <f>IF(AND(D11="Y",booking!T11&lt;&gt;booking!U11,booking!U11&gt;0),booking!U11,"-")</f>
        <v>#REF!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35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35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35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35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35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35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35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35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35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35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35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35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35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35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35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35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35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35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35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35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35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35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35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35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35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35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35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35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35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35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35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35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35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35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35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35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35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35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35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35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>
        <f>IFERROR(VLOOKUP(R51,Database!$A$2:$L$175,6,FALSE),"-")</f>
        <v>0</v>
      </c>
      <c r="U51" s="88">
        <f>IFERROR(VLOOKUP(R51,Database!$A$2:$L$175,9,FALSE),"-")</f>
        <v>0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35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35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35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35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35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35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35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35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35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35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 t="str">
        <f>IF(AND(D61="Y",booking!P61&lt;&gt;booking!Q61,booking!Q61&gt;0),booking!Q61,"-")</f>
        <v>-</v>
      </c>
      <c r="S61" s="84" t="str">
        <f>IFERROR(VLOOKUP(R61,Database!$A$2:$L$175,8,FALSE),"-")</f>
        <v>-</v>
      </c>
      <c r="T61" s="84" t="str">
        <f>IFERROR(VLOOKUP(R61,Database!$A$2:$L$175,6,FALSE),"-")</f>
        <v>-</v>
      </c>
      <c r="U61" s="88" t="str">
        <f>IFERROR(VLOOKUP(R61,Database!$A$2:$L$175,9,FALSE),"-")</f>
        <v>-</v>
      </c>
      <c r="V61" s="103">
        <f>IF(AND(D61="Y",booking!T61&lt;&gt;booking!U61,booking!U61&gt;0),booking!U61,"-")</f>
        <v>64</v>
      </c>
      <c r="W61" s="85">
        <f>IFERROR(VLOOKUP(V61,Database!$A$2:$L$175,8,FALSE),"-")</f>
        <v>0</v>
      </c>
      <c r="X61" s="85" t="str">
        <f>IFERROR(VLOOKUP(V61,Database!$A$2:$L$175,6,FALSE),"-")</f>
        <v>S</v>
      </c>
      <c r="Y61" s="87" t="str">
        <f>IFERROR(VLOOKUP(V61,Database!$A$2:$L$175,9,FALSE),"-")</f>
        <v>sing</v>
      </c>
    </row>
    <row r="62" spans="1:25" ht="15" customHeight="1" thickBot="1" x14ac:dyDescent="0.35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35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-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 t="str">
        <f>IF(AND(D63="Y",booking!T63&lt;&gt;booking!U63,booking!U63&gt;0),booking!U63,"-")</f>
        <v>-</v>
      </c>
      <c r="W63" s="85" t="str">
        <f>IFERROR(VLOOKUP(V63,Database!$A$2:$L$175,8,FALSE),"-")</f>
        <v>-</v>
      </c>
      <c r="X63" s="85" t="str">
        <f>IFERROR(VLOOKUP(V63,Database!$A$2:$L$175,6,FALSE),"-")</f>
        <v>-</v>
      </c>
      <c r="Y63" s="87" t="str">
        <f>IFERROR(VLOOKUP(V63,Database!$A$2:$L$175,9,FALSE),"-")</f>
        <v>-</v>
      </c>
    </row>
    <row r="64" spans="1:25" ht="15" customHeight="1" thickBot="1" x14ac:dyDescent="0.35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35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35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35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35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35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35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35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35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35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35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35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35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35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35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35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35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35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35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35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35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35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35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35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35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35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35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35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35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35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35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35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35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35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35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35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-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 t="str">
        <f>IF(AND(D99="Y",booking!H99&lt;&gt;booking!I99,booking!I99&gt;0),booking!I99,"-")</f>
        <v>-</v>
      </c>
      <c r="K99" s="84" t="str">
        <f>IFERROR(VLOOKUP(J99,Database!$A$2:$L$175,8,FALSE),"-")</f>
        <v>-</v>
      </c>
      <c r="L99" s="84" t="str">
        <f>IFERROR(VLOOKUP(J99,Database!$A$2:$L$175,6,FALSE),"-")</f>
        <v>-</v>
      </c>
      <c r="M99" s="100" t="str">
        <f>IFERROR(VLOOKUP(J99,Database!$A$2:$L$175,9,FALSE),"-")</f>
        <v>-</v>
      </c>
      <c r="N99" s="103" t="str">
        <f>IF(AND(D99="Y",booking!L99&lt;&gt;booking!M99,booking!M99&gt;0),booking!M99,"-")</f>
        <v>-</v>
      </c>
      <c r="O99" s="84" t="str">
        <f>IFERROR(VLOOKUP(N99,Database!$A$2:$L$175,8,FALSE),"-")</f>
        <v>-</v>
      </c>
      <c r="P99" s="84" t="str">
        <f>IFERROR(VLOOKUP(N99,Database!$A$2:$L$175,6,FALSE),"-")</f>
        <v>-</v>
      </c>
      <c r="Q99" s="88" t="str">
        <f>IFERROR(VLOOKUP(N99,Database!$A$2:$L$175,9,FALSE),"-")</f>
        <v>-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35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35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35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35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35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35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35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35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35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35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35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35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35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35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35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35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35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35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35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35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35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35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35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35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 t="str">
        <f>IFERROR(VLOOKUP(J123,Database!$A$2:$L$175,9,FALSE),"-")</f>
        <v>sing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 t="str">
        <f>IF(AND(D123="Y",booking!P123&lt;&gt;booking!Q123,booking!Q123&gt;0),booking!Q123,"-")</f>
        <v>-</v>
      </c>
      <c r="S123" s="84" t="str">
        <f>IFERROR(VLOOKUP(R123,Database!$A$2:$L$175,8,FALSE),"-")</f>
        <v>-</v>
      </c>
      <c r="T123" s="84" t="str">
        <f>IFERROR(VLOOKUP(R123,Database!$A$2:$L$175,6,FALSE),"-")</f>
        <v>-</v>
      </c>
      <c r="U123" s="88" t="str">
        <f>IFERROR(VLOOKUP(R123,Database!$A$2:$L$175,9,FALSE),"-")</f>
        <v>-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35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35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35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35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35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35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35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35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35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35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35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35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35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35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35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35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35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35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35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35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35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35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35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35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35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35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35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35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35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35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35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35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35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35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35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35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35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35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35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35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35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35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35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35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35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35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35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35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4" x14ac:dyDescent="0.3"/>
  <cols>
    <col min="1" max="1" width="10.109375" bestFit="1" customWidth="1"/>
    <col min="2" max="2" width="3.5546875" style="17" customWidth="1"/>
    <col min="3" max="13" width="3.5546875" style="2" customWidth="1"/>
  </cols>
  <sheetData>
    <row r="1" spans="1:13" ht="15" customHeight="1" thickBot="1" x14ac:dyDescent="0.35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va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va</v>
      </c>
      <c r="E7" s="138" t="str">
        <f>IF(booking!I7&gt;0,"oc","va")</f>
        <v>va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va</v>
      </c>
      <c r="E8" s="138" t="str">
        <f>IF(booking!I8&gt;0,"oc","va")</f>
        <v>oc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va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oc</v>
      </c>
      <c r="E9" s="138" t="str">
        <f>IF(booking!I9&gt;0,"oc","va")</f>
        <v>oc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va</v>
      </c>
      <c r="I9" s="138" t="str">
        <f>IF(booking!Q9&gt;0,"oc","va")</f>
        <v>va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oc</v>
      </c>
      <c r="E10" s="138" t="str">
        <f>IF(booking!I11&gt;0,"oc","va")</f>
        <v>oc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va</v>
      </c>
      <c r="I10" s="138" t="str">
        <f>IF(booking!Q10&gt;0,"oc","va")</f>
        <v>va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oc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va</v>
      </c>
      <c r="I11" s="138" t="str">
        <f>IF(booking!Q11&gt;0,"oc","va")</f>
        <v>va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oc</v>
      </c>
      <c r="E12" s="138" t="str">
        <f>IF(booking!I12&gt;0,"oc","va")</f>
        <v>oc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va</v>
      </c>
      <c r="I12" s="138" t="str">
        <f>IF(booking!Q12&gt;0,"oc","va")</f>
        <v>va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oc</v>
      </c>
      <c r="E13" s="138" t="str">
        <f>IF(booking!I13&gt;0,"oc","va")</f>
        <v>oc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va</v>
      </c>
      <c r="I13" s="138" t="str">
        <f>IF(booking!Q13&gt;0,"oc","va")</f>
        <v>va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oc</v>
      </c>
      <c r="E14" s="138" t="str">
        <f>IF(booking!I14&gt;0,"oc","va")</f>
        <v>oc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va</v>
      </c>
      <c r="I14" s="138" t="str">
        <f>IF(booking!Q14&gt;0,"oc","va")</f>
        <v>va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oc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va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e">
        <f>IF(booking!#REF!&gt;0,"oc","va")</f>
        <v>#REF!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IF(booking!M45&gt;0,"oc","va")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va</v>
      </c>
      <c r="J61" s="137" t="str">
        <f>IF(booking!T61&gt;0,"oc","va")</f>
        <v>va</v>
      </c>
      <c r="K61" s="138" t="str">
        <f>IF(booking!U61&gt;0,"oc","va")</f>
        <v>oc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va</v>
      </c>
      <c r="I62" s="138" t="str">
        <f>IF(booking!Q62&gt;0,"oc","va")</f>
        <v>va</v>
      </c>
      <c r="J62" s="137" t="str">
        <f>IF(booking!T62&gt;0,"oc","va")</f>
        <v>oc</v>
      </c>
      <c r="K62" s="138" t="str">
        <f>IF(booking!U62&gt;0,"oc","va")</f>
        <v>oc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va</v>
      </c>
      <c r="I63" s="138" t="str">
        <f>IF(booking!Q63&gt;0,"oc","va")</f>
        <v>va</v>
      </c>
      <c r="J63" s="137" t="str">
        <f>IF(booking!T63&gt;0,"oc","va")</f>
        <v>oc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va</v>
      </c>
      <c r="I64" s="138" t="str">
        <f>IF(booking!Q64&gt;0,"oc","va")</f>
        <v>va</v>
      </c>
      <c r="J64" s="137" t="str">
        <f>IF(booking!T64&gt;0,"oc","va")</f>
        <v>oc</v>
      </c>
      <c r="K64" s="138" t="str">
        <f>IF(booking!U64&gt;0,"oc","va")</f>
        <v>va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va</v>
      </c>
      <c r="J65" s="137" t="str">
        <f>IF(booking!T65&gt;0,"oc","va")</f>
        <v>va</v>
      </c>
      <c r="K65" s="138" t="str">
        <f>IF(booking!U65&gt;0,"oc","va")</f>
        <v>va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va</v>
      </c>
      <c r="I66" s="138" t="str">
        <f>IF(booking!Q66&gt;0,"oc","va")</f>
        <v>va</v>
      </c>
      <c r="J66" s="137" t="str">
        <f>IF(booking!T66&gt;0,"oc","va")</f>
        <v>va</v>
      </c>
      <c r="K66" s="138" t="str">
        <f>IF(booking!U66&gt;0,"oc","va")</f>
        <v>va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va</v>
      </c>
      <c r="I67" s="138" t="str">
        <f>IF(booking!Q67&gt;0,"oc","va")</f>
        <v>va</v>
      </c>
      <c r="J67" s="137" t="str">
        <f>IF(booking!T67&gt;0,"oc","va")</f>
        <v>va</v>
      </c>
      <c r="K67" s="138" t="str">
        <f>IF(booking!U67&gt;0,"oc","va")</f>
        <v>va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va</v>
      </c>
      <c r="I68" s="138" t="str">
        <f>IF(booking!Q68&gt;0,"oc","va")</f>
        <v>va</v>
      </c>
      <c r="J68" s="137" t="str">
        <f>IF(booking!T68&gt;0,"oc","va")</f>
        <v>va</v>
      </c>
      <c r="K68" s="138" t="str">
        <f>IF(booking!U68&gt;0,"oc","va")</f>
        <v>va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va</v>
      </c>
      <c r="K69" s="138" t="str">
        <f>IF(booking!U69&gt;0,"oc","va")</f>
        <v>va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va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va</v>
      </c>
      <c r="F99" s="137" t="str">
        <f>IF(booking!L99&gt;0,"oc","va")</f>
        <v>va</v>
      </c>
      <c r="G99" s="138" t="str">
        <f>IF(booking!M99&gt;0,"oc","va")</f>
        <v>va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va</v>
      </c>
      <c r="E100" s="138" t="str">
        <f>IF(booking!I100&gt;0,"oc","va")</f>
        <v>va</v>
      </c>
      <c r="F100" s="137" t="str">
        <f>IF(booking!L100&gt;0,"oc","va")</f>
        <v>va</v>
      </c>
      <c r="G100" s="138" t="str">
        <f>IF(booking!M100&gt;0,"oc","va")</f>
        <v>va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va</v>
      </c>
      <c r="E101" s="138" t="str">
        <f>IF(booking!I101&gt;0,"oc","va")</f>
        <v>va</v>
      </c>
      <c r="F101" s="137" t="str">
        <f>IF(booking!L101&gt;0,"oc","va")</f>
        <v>va</v>
      </c>
      <c r="G101" s="138" t="str">
        <f>IF(booking!M101&gt;0,"oc","va")</f>
        <v>va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va</v>
      </c>
      <c r="E102" s="138" t="str">
        <f>IF(booking!I102&gt;0,"oc","va")</f>
        <v>va</v>
      </c>
      <c r="F102" s="137" t="str">
        <f>IF(booking!L102&gt;0,"oc","va")</f>
        <v>va</v>
      </c>
      <c r="G102" s="138" t="str">
        <f>IF(booking!M102&gt;0,"oc","va")</f>
        <v>va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va</v>
      </c>
      <c r="E103" s="138" t="str">
        <f>IF(booking!I103&gt;0,"oc","va")</f>
        <v>oc</v>
      </c>
      <c r="F103" s="137" t="str">
        <f>IF(booking!L103&gt;0,"oc","va")</f>
        <v>va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">
      <c r="A172" s="5"/>
      <c r="C172" s="17"/>
    </row>
    <row r="173" spans="1:13" x14ac:dyDescent="0.3">
      <c r="A173" s="5"/>
      <c r="C173" s="17"/>
    </row>
    <row r="174" spans="1:13" x14ac:dyDescent="0.3">
      <c r="A174" s="5"/>
      <c r="C174" s="17"/>
    </row>
    <row r="175" spans="1:13" x14ac:dyDescent="0.3">
      <c r="A175" s="5"/>
      <c r="C175" s="17"/>
    </row>
    <row r="176" spans="1:13" x14ac:dyDescent="0.3">
      <c r="A176" s="5"/>
      <c r="C176" s="17"/>
    </row>
    <row r="177" spans="1:3" x14ac:dyDescent="0.3">
      <c r="A177" s="5"/>
      <c r="C177" s="17"/>
    </row>
    <row r="178" spans="1:3" x14ac:dyDescent="0.3">
      <c r="A178" s="5"/>
      <c r="C178" s="17"/>
    </row>
    <row r="179" spans="1:3" x14ac:dyDescent="0.3">
      <c r="A179" s="5"/>
      <c r="C179" s="17"/>
    </row>
    <row r="180" spans="1:3" x14ac:dyDescent="0.3">
      <c r="A180" s="5"/>
      <c r="C180" s="17"/>
    </row>
    <row r="181" spans="1:3" x14ac:dyDescent="0.3">
      <c r="A181" s="5"/>
      <c r="C181" s="17"/>
    </row>
    <row r="182" spans="1:3" x14ac:dyDescent="0.3">
      <c r="A182" s="5"/>
      <c r="C182" s="17"/>
    </row>
    <row r="183" spans="1:3" x14ac:dyDescent="0.3">
      <c r="A183" s="5"/>
      <c r="C183" s="17"/>
    </row>
    <row r="184" spans="1:3" x14ac:dyDescent="0.3">
      <c r="A184" s="5"/>
      <c r="C184" s="17"/>
    </row>
    <row r="185" spans="1:3" x14ac:dyDescent="0.3">
      <c r="A185" s="5"/>
      <c r="C185" s="17"/>
    </row>
    <row r="186" spans="1:3" x14ac:dyDescent="0.3">
      <c r="A186" s="5"/>
      <c r="C186" s="17"/>
    </row>
    <row r="187" spans="1:3" x14ac:dyDescent="0.3">
      <c r="A187" s="5"/>
      <c r="C187" s="17"/>
    </row>
    <row r="188" spans="1:3" x14ac:dyDescent="0.3">
      <c r="A188" s="5"/>
      <c r="C188" s="17"/>
    </row>
    <row r="189" spans="1:3" x14ac:dyDescent="0.3">
      <c r="A189" s="5"/>
      <c r="C189" s="17"/>
    </row>
    <row r="190" spans="1:3" x14ac:dyDescent="0.3">
      <c r="A190" s="5"/>
      <c r="C190" s="17"/>
    </row>
    <row r="191" spans="1:3" x14ac:dyDescent="0.3">
      <c r="A191" s="5"/>
      <c r="C191" s="17"/>
    </row>
    <row r="192" spans="1:3" x14ac:dyDescent="0.3">
      <c r="A192" s="5"/>
      <c r="C192" s="17"/>
    </row>
    <row r="193" spans="1:3" x14ac:dyDescent="0.3">
      <c r="A193" s="5"/>
      <c r="C193" s="17"/>
    </row>
    <row r="194" spans="1:3" x14ac:dyDescent="0.3">
      <c r="A194" s="5"/>
      <c r="C194" s="17"/>
    </row>
    <row r="195" spans="1:3" x14ac:dyDescent="0.3">
      <c r="A195" s="5"/>
      <c r="C195" s="17"/>
    </row>
    <row r="196" spans="1:3" x14ac:dyDescent="0.3">
      <c r="A196" s="5"/>
      <c r="C196" s="17"/>
    </row>
    <row r="197" spans="1:3" x14ac:dyDescent="0.3">
      <c r="A197" s="5"/>
      <c r="C197" s="17"/>
    </row>
    <row r="198" spans="1:3" x14ac:dyDescent="0.3">
      <c r="A198" s="5"/>
      <c r="C198" s="17"/>
    </row>
    <row r="199" spans="1:3" x14ac:dyDescent="0.3">
      <c r="A199" s="5"/>
      <c r="C199" s="17"/>
    </row>
    <row r="200" spans="1:3" x14ac:dyDescent="0.3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2026-01-29T15:14:59Z</cp:lastPrinted>
  <dcterms:created xsi:type="dcterms:W3CDTF">2024-07-25T07:35:10Z</dcterms:created>
  <dcterms:modified xsi:type="dcterms:W3CDTF">2026-02-07T14:38:50Z</dcterms:modified>
  <cp:category/>
  <cp:contentStatus/>
</cp:coreProperties>
</file>