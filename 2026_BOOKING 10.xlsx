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060" documentId="8_{48B37ED3-8953-4CF0-98FF-01FF5DFD1860}" xr6:coauthVersionLast="47" xr6:coauthVersionMax="47" xr10:uidLastSave="{F554DD50-2BC8-4475-A2EC-0B4D5435EC51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0" l="1"/>
  <c r="I18" i="10"/>
  <c r="I17" i="10"/>
  <c r="I16" i="10"/>
  <c r="L3" i="10" s="1"/>
  <c r="M3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49" i="10"/>
  <c r="J49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I85" i="10"/>
  <c r="J85" i="10"/>
  <c r="I86" i="10"/>
  <c r="J86" i="10"/>
  <c r="I87" i="10"/>
  <c r="J87" i="10"/>
  <c r="I88" i="10"/>
  <c r="J88" i="10"/>
  <c r="I89" i="10"/>
  <c r="J89" i="10"/>
  <c r="I90" i="10"/>
  <c r="J90" i="10"/>
  <c r="I91" i="10"/>
  <c r="J91" i="10"/>
  <c r="I92" i="10"/>
  <c r="J92" i="10"/>
  <c r="I93" i="10"/>
  <c r="J93" i="10"/>
  <c r="I94" i="10"/>
  <c r="J94" i="10"/>
  <c r="I95" i="10"/>
  <c r="J95" i="10"/>
  <c r="I96" i="10"/>
  <c r="J96" i="10"/>
  <c r="I97" i="10"/>
  <c r="J97" i="10"/>
  <c r="I98" i="10"/>
  <c r="J98" i="10"/>
  <c r="I99" i="10"/>
  <c r="J99" i="10"/>
  <c r="I100" i="10"/>
  <c r="J100" i="10"/>
  <c r="I101" i="10"/>
  <c r="J101" i="10"/>
  <c r="I102" i="10"/>
  <c r="J102" i="10"/>
  <c r="I103" i="10"/>
  <c r="J103" i="10"/>
  <c r="I104" i="10"/>
  <c r="J104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E85" i="10" s="1"/>
  <c r="G85" i="10" s="1"/>
  <c r="D85" i="10"/>
  <c r="F85" i="10"/>
  <c r="A86" i="10"/>
  <c r="B86" i="10"/>
  <c r="C86" i="10"/>
  <c r="D86" i="10"/>
  <c r="E86" i="10"/>
  <c r="F86" i="10"/>
  <c r="G86" i="10"/>
  <c r="A87" i="10"/>
  <c r="B87" i="10"/>
  <c r="C87" i="10"/>
  <c r="E87" i="10" s="1"/>
  <c r="G87" i="10" s="1"/>
  <c r="D87" i="10"/>
  <c r="F87" i="10"/>
  <c r="A88" i="10"/>
  <c r="B88" i="10"/>
  <c r="C88" i="10"/>
  <c r="D88" i="10"/>
  <c r="E88" i="10"/>
  <c r="G88" i="10" s="1"/>
  <c r="F88" i="10"/>
  <c r="A89" i="10"/>
  <c r="B89" i="10"/>
  <c r="C89" i="10"/>
  <c r="D89" i="10"/>
  <c r="E89" i="10"/>
  <c r="F89" i="10"/>
  <c r="G89" i="10"/>
  <c r="A90" i="10"/>
  <c r="B90" i="10"/>
  <c r="C90" i="10"/>
  <c r="D90" i="10"/>
  <c r="E90" i="10" s="1"/>
  <c r="G90" i="10" s="1"/>
  <c r="F90" i="10"/>
  <c r="A91" i="10"/>
  <c r="B91" i="10"/>
  <c r="C91" i="10"/>
  <c r="D91" i="10"/>
  <c r="E91" i="10"/>
  <c r="F91" i="10"/>
  <c r="G91" i="10"/>
  <c r="A92" i="10"/>
  <c r="B92" i="10"/>
  <c r="C92" i="10"/>
  <c r="D92" i="10"/>
  <c r="E92" i="10" s="1"/>
  <c r="G92" i="10" s="1"/>
  <c r="F92" i="10"/>
  <c r="A93" i="10"/>
  <c r="B93" i="10"/>
  <c r="C93" i="10"/>
  <c r="D93" i="10"/>
  <c r="E93" i="10"/>
  <c r="G93" i="10" s="1"/>
  <c r="F93" i="10"/>
  <c r="A94" i="10"/>
  <c r="B94" i="10"/>
  <c r="C94" i="10"/>
  <c r="D94" i="10"/>
  <c r="E94" i="10"/>
  <c r="F94" i="10"/>
  <c r="G94" i="10"/>
  <c r="A95" i="10"/>
  <c r="B95" i="10"/>
  <c r="C95" i="10"/>
  <c r="D95" i="10"/>
  <c r="E95" i="10" s="1"/>
  <c r="G95" i="10" s="1"/>
  <c r="F95" i="10"/>
  <c r="A96" i="10"/>
  <c r="B96" i="10"/>
  <c r="C96" i="10"/>
  <c r="D96" i="10"/>
  <c r="E96" i="10"/>
  <c r="F96" i="10"/>
  <c r="G96" i="10"/>
  <c r="A97" i="10"/>
  <c r="B97" i="10"/>
  <c r="C97" i="10"/>
  <c r="E97" i="10" s="1"/>
  <c r="G97" i="10" s="1"/>
  <c r="D97" i="10"/>
  <c r="F97" i="10"/>
  <c r="A98" i="10"/>
  <c r="B98" i="10"/>
  <c r="C98" i="10"/>
  <c r="D98" i="10"/>
  <c r="E98" i="10"/>
  <c r="F98" i="10"/>
  <c r="G98" i="10"/>
  <c r="A99" i="10"/>
  <c r="B99" i="10"/>
  <c r="C99" i="10"/>
  <c r="E99" i="10" s="1"/>
  <c r="G99" i="10" s="1"/>
  <c r="D99" i="10"/>
  <c r="F99" i="10"/>
  <c r="A100" i="10"/>
  <c r="B100" i="10"/>
  <c r="C100" i="10"/>
  <c r="D100" i="10"/>
  <c r="E100" i="10"/>
  <c r="G100" i="10" s="1"/>
  <c r="F100" i="10"/>
  <c r="A101" i="10"/>
  <c r="B101" i="10"/>
  <c r="C101" i="10"/>
  <c r="D101" i="10"/>
  <c r="E101" i="10"/>
  <c r="F101" i="10"/>
  <c r="G101" i="10"/>
  <c r="A102" i="10"/>
  <c r="B102" i="10"/>
  <c r="C102" i="10"/>
  <c r="D102" i="10"/>
  <c r="E102" i="10" s="1"/>
  <c r="G102" i="10" s="1"/>
  <c r="F102" i="10"/>
  <c r="A103" i="10"/>
  <c r="B103" i="10"/>
  <c r="C103" i="10"/>
  <c r="D103" i="10"/>
  <c r="E103" i="10"/>
  <c r="F103" i="10"/>
  <c r="G103" i="10"/>
  <c r="A104" i="10"/>
  <c r="B104" i="10"/>
  <c r="C104" i="10"/>
  <c r="D104" i="10"/>
  <c r="E104" i="10" s="1"/>
  <c r="G104" i="10" s="1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200" i="3"/>
  <c r="T200" i="3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3" i="3" l="1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C84" i="8" l="1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84" i="3" l="1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<sst xmlns="http://schemas.openxmlformats.org/spreadsheetml/2006/main" count="1032" uniqueCount="363">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</sst>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0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375</c:v>
                </c:pt>
                <c:pt idx="8">
                  <c:v>406</c:v>
                </c:pt>
                <c:pt idx="9">
                  <c:v>410</c:v>
                </c:pt>
                <c:pt idx="10">
                  <c:v>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127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564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127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564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375</c:v>
                </c:pt>
                <c:pt idx="8">
                  <c:v>406</c:v>
                </c:pt>
                <c:pt idx="9">
                  <c:v>410</c:v>
                </c:pt>
                <c:pt idx="10">
                  <c:v>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205</c:v>
                </c:pt>
                <c:pt idx="1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205</c:v>
                </c:pt>
                <c:pt idx="1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" Type="http://schemas.openxmlformats.org/officeDocument/2006/relationships/hyperlink" Target="mailto:stinechri@hotmail.com" TargetMode="External"/><Relationship Id="rId21" Type="http://schemas.openxmlformats.org/officeDocument/2006/relationships/hyperlink" Target="mailto:lentonssonken@hotmail.com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comments" Target="../comments1.xml"/><Relationship Id="rId8" Type="http://schemas.openxmlformats.org/officeDocument/2006/relationships/hyperlink" Target="mailto:erik@erikfriis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4"/>
  <sheetViews>
    <sheetView workbookViewId="0">
      <pane ySplit="1" topLeftCell="A2" activePane="bottomLeft" state="frozen"/>
      <selection pane="bottomLeft" activeCell="O5" sqref="O5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1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273</v>
      </c>
      <c r="H3" s="113"/>
      <c r="I3" s="134"/>
      <c r="J3" s="113"/>
      <c r="K3" s="113"/>
      <c r="L3" s="113"/>
      <c r="M3" s="158"/>
      <c r="N3" s="186"/>
      <c r="O3" s="134"/>
      <c r="P3" s="134"/>
      <c r="Q3" s="134"/>
      <c r="R3" s="167"/>
      <c r="S3" s="162"/>
    </row>
    <row r="4" spans="1:21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1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1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1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1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1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1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1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1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1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1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1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1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  <c r="U16" s="198">
        <f>R16*0.5</f>
        <v>4462.5</v>
      </c>
    </row>
    <row r="17" spans="1:21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  <c r="U17" s="199">
        <f t="shared" ref="U17:U19" si="0">R17*0.5</f>
        <v>8925</v>
      </c>
    </row>
    <row r="18" spans="1:21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  <c r="U18" s="199">
        <f t="shared" si="0"/>
        <v>4462.5</v>
      </c>
    </row>
    <row r="19" spans="1:21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  <c r="U19" s="199">
        <f t="shared" si="0"/>
        <v>3187.5</v>
      </c>
    </row>
    <row r="20" spans="1:21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1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1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1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1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1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1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1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1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1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1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1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1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201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334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335</v>
      </c>
    </row>
    <row r="72" spans="1:20" x14ac:dyDescent="0.35">
      <c r="A72" s="2">
        <v>71</v>
      </c>
      <c r="B72" t="s">
        <v>336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331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332</v>
      </c>
    </row>
    <row r="74" spans="1:20" x14ac:dyDescent="0.35">
      <c r="A74" s="2">
        <v>73</v>
      </c>
      <c r="B74" t="s">
        <v>329</v>
      </c>
      <c r="C74" s="24">
        <v>46143</v>
      </c>
      <c r="D74" s="24">
        <v>46145</v>
      </c>
      <c r="E74" s="24">
        <v>46061</v>
      </c>
      <c r="F74" t="s">
        <v>53</v>
      </c>
      <c r="G74" t="s">
        <v>273</v>
      </c>
    </row>
    <row r="75" spans="1:20" x14ac:dyDescent="0.35">
      <c r="A75" s="2">
        <v>74</v>
      </c>
      <c r="B75" t="s">
        <v>339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340</v>
      </c>
      <c r="Q75" s="2" t="s">
        <v>21</v>
      </c>
      <c r="R75" s="167">
        <v>8460</v>
      </c>
      <c r="S75" s="2" t="s">
        <v>21</v>
      </c>
      <c r="T75" t="s">
        <v>341</v>
      </c>
    </row>
    <row r="76" spans="1:20" x14ac:dyDescent="0.35">
      <c r="A76" s="2">
        <v>75</v>
      </c>
      <c r="B76" t="s">
        <v>338</v>
      </c>
      <c r="C76" s="24">
        <v>46276</v>
      </c>
      <c r="D76" s="24">
        <v>46279</v>
      </c>
      <c r="E76" s="24">
        <v>46067</v>
      </c>
      <c r="F76" t="s">
        <v>53</v>
      </c>
      <c r="G76" t="s">
        <v>273</v>
      </c>
      <c r="R76" s="167"/>
    </row>
    <row r="77" spans="1:20" x14ac:dyDescent="0.35">
      <c r="A77" s="2">
        <v>76</v>
      </c>
      <c r="B77" t="s">
        <v>337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  <row r="78" spans="1:20" x14ac:dyDescent="0.35">
      <c r="A78" s="2">
        <v>77</v>
      </c>
      <c r="B78" t="s">
        <v>342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8" t="s">
        <v>343</v>
      </c>
      <c r="N78" s="159">
        <v>4525240507</v>
      </c>
      <c r="Q78" s="2" t="s">
        <v>21</v>
      </c>
      <c r="R78" s="201">
        <v>8032.5</v>
      </c>
      <c r="S78" s="2" t="s">
        <v>21</v>
      </c>
      <c r="T78" t="s">
        <v>344</v>
      </c>
    </row>
    <row r="79" spans="1:20" x14ac:dyDescent="0.35">
      <c r="A79" s="2">
        <v>78</v>
      </c>
      <c r="B79" t="s">
        <v>352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350</v>
      </c>
      <c r="N80" s="159">
        <v>4520646004</v>
      </c>
      <c r="Q80" s="2" t="s">
        <v>21</v>
      </c>
      <c r="R80" s="167">
        <v>5175</v>
      </c>
      <c r="S80" s="2" t="s">
        <v>38</v>
      </c>
      <c r="T80" t="s">
        <v>351</v>
      </c>
    </row>
    <row r="81" spans="1:20" x14ac:dyDescent="0.35">
      <c r="A81" s="2">
        <v>80</v>
      </c>
      <c r="B81" t="s">
        <v>347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348</v>
      </c>
      <c r="N81" s="159">
        <v>4520143818</v>
      </c>
      <c r="Q81" s="2" t="s">
        <v>21</v>
      </c>
      <c r="R81" s="132">
        <v>10350</v>
      </c>
      <c r="S81" s="2" t="s">
        <v>21</v>
      </c>
      <c r="T81" t="s">
        <v>349</v>
      </c>
    </row>
    <row r="82" spans="1:20" x14ac:dyDescent="0.35">
      <c r="A82" s="2">
        <v>81</v>
      </c>
      <c r="B82" t="s">
        <v>353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5">
      <c r="A83" s="2">
        <v>82</v>
      </c>
      <c r="B83" s="192" t="s">
        <v>354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7">
        <v>2300</v>
      </c>
      <c r="S83" s="2" t="s">
        <v>20</v>
      </c>
    </row>
    <row r="84" spans="1:20" x14ac:dyDescent="0.35">
      <c r="A84" s="2">
        <v>83</v>
      </c>
      <c r="B84" s="200" t="s">
        <v>355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2">
        <v>4600</v>
      </c>
      <c r="S84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</hyperlinks>
  <pageMargins left="0.7" right="0.7" top="0.75" bottom="0.75" header="0.3" footer="0.3"/>
  <pageSetup paperSize="9" orientation="portrait" r:id="rId33"/>
  <legacy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S197" sqref="S19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127</v>
      </c>
      <c r="BC196" s="34">
        <f t="shared" si="167"/>
        <v>564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18</v>
      </c>
      <c r="BI196" s="34">
        <f t="shared" si="167"/>
        <v>119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265</v>
      </c>
      <c r="O198">
        <f t="shared" si="168"/>
        <v>321</v>
      </c>
      <c r="P198">
        <f t="shared" si="168"/>
        <v>337</v>
      </c>
      <c r="Q198">
        <f t="shared" si="168"/>
        <v>363</v>
      </c>
      <c r="R198">
        <f t="shared" si="168"/>
        <v>375</v>
      </c>
      <c r="S198">
        <f t="shared" si="168"/>
        <v>406</v>
      </c>
      <c r="T198">
        <f t="shared" si="168"/>
        <v>410</v>
      </c>
      <c r="U198">
        <f t="shared" si="168"/>
        <v>410</v>
      </c>
      <c r="V198">
        <f t="shared" si="168"/>
        <v>410</v>
      </c>
      <c r="W198">
        <f t="shared" si="168"/>
        <v>410</v>
      </c>
      <c r="X198">
        <f t="shared" si="168"/>
        <v>410</v>
      </c>
      <c r="Y198">
        <f t="shared" si="168"/>
        <v>410</v>
      </c>
      <c r="Z198">
        <f t="shared" si="168"/>
        <v>410</v>
      </c>
      <c r="AA198">
        <f t="shared" si="168"/>
        <v>410</v>
      </c>
      <c r="AB198">
        <f t="shared" si="168"/>
        <v>410</v>
      </c>
      <c r="AC198">
        <f t="shared" si="168"/>
        <v>410</v>
      </c>
      <c r="AD198">
        <f t="shared" si="168"/>
        <v>410</v>
      </c>
      <c r="AE198">
        <f t="shared" si="168"/>
        <v>410</v>
      </c>
      <c r="AF198">
        <f t="shared" si="168"/>
        <v>410</v>
      </c>
      <c r="AG198">
        <f t="shared" si="168"/>
        <v>410</v>
      </c>
      <c r="AH198">
        <f t="shared" si="168"/>
        <v>410</v>
      </c>
      <c r="AI198">
        <f t="shared" si="168"/>
        <v>410</v>
      </c>
      <c r="AJ198">
        <f t="shared" si="168"/>
        <v>410</v>
      </c>
      <c r="AK198">
        <f t="shared" si="168"/>
        <v>410</v>
      </c>
      <c r="AL198">
        <f t="shared" si="168"/>
        <v>410</v>
      </c>
      <c r="AM198">
        <f t="shared" si="168"/>
        <v>410</v>
      </c>
      <c r="AN198">
        <f t="shared" si="168"/>
        <v>410</v>
      </c>
      <c r="AO198">
        <f t="shared" si="168"/>
        <v>410</v>
      </c>
      <c r="AP198">
        <f t="shared" si="168"/>
        <v>410</v>
      </c>
      <c r="AQ198">
        <f t="shared" si="168"/>
        <v>410</v>
      </c>
      <c r="AR198">
        <f t="shared" si="168"/>
        <v>410</v>
      </c>
      <c r="AS198">
        <f t="shared" si="168"/>
        <v>410</v>
      </c>
      <c r="AT198">
        <f t="shared" si="168"/>
        <v>410</v>
      </c>
      <c r="AU198">
        <f t="shared" si="168"/>
        <v>410</v>
      </c>
      <c r="AV198">
        <f t="shared" si="168"/>
        <v>410</v>
      </c>
      <c r="AW198">
        <f t="shared" si="168"/>
        <v>410</v>
      </c>
      <c r="AX198">
        <f t="shared" si="168"/>
        <v>410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U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265</v>
      </c>
      <c r="O200">
        <f t="shared" si="169"/>
        <v>321</v>
      </c>
      <c r="P200">
        <f t="shared" si="169"/>
        <v>337</v>
      </c>
      <c r="Q200">
        <f t="shared" si="169"/>
        <v>363</v>
      </c>
      <c r="R200">
        <f t="shared" si="169"/>
        <v>375</v>
      </c>
      <c r="S200">
        <f t="shared" si="169"/>
        <v>406</v>
      </c>
      <c r="T200">
        <f t="shared" si="169"/>
        <v>410</v>
      </c>
      <c r="U200">
        <f t="shared" si="169"/>
        <v>410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127</v>
      </c>
      <c r="BE202" s="34">
        <f>BD196</f>
        <v>15</v>
      </c>
      <c r="BF202" s="34">
        <f>BF196</f>
        <v>0</v>
      </c>
      <c r="BG202" s="34">
        <f>BH196</f>
        <v>18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564</v>
      </c>
      <c r="BE203" s="40">
        <f>BE196</f>
        <v>55</v>
      </c>
      <c r="BF203" s="40">
        <f>BG196</f>
        <v>0</v>
      </c>
      <c r="BG203" s="40">
        <f>BI196</f>
        <v>119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127</v>
      </c>
      <c r="C30" s="34">
        <f>'book stat'!BE202</f>
        <v>15</v>
      </c>
      <c r="D30" s="34">
        <f>'book stat'!BF202</f>
        <v>0</v>
      </c>
      <c r="E30" s="34">
        <f>'book stat'!BG202</f>
        <v>18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564</v>
      </c>
      <c r="C31" s="34">
        <f>'book stat'!BE203</f>
        <v>55</v>
      </c>
      <c r="D31" s="34">
        <f>'book stat'!BF203</f>
        <v>0</v>
      </c>
      <c r="E31" s="34">
        <f>'book stat'!BG203</f>
        <v>119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46" activePane="bottomLeft" state="frozen"/>
      <selection pane="bottomLeft" activeCell="AF46" sqref="AF4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3">
        <v>1</v>
      </c>
      <c r="E1" s="194"/>
      <c r="F1" s="66" t="s">
        <v>117</v>
      </c>
      <c r="G1" s="67" t="s">
        <v>8</v>
      </c>
      <c r="H1" s="195">
        <v>2</v>
      </c>
      <c r="I1" s="194"/>
      <c r="J1" s="66" t="s">
        <v>117</v>
      </c>
      <c r="K1" s="68" t="s">
        <v>8</v>
      </c>
      <c r="L1" s="195">
        <v>3</v>
      </c>
      <c r="M1" s="194"/>
      <c r="N1" s="66" t="s">
        <v>117</v>
      </c>
      <c r="O1" s="69" t="s">
        <v>8</v>
      </c>
      <c r="P1" s="193">
        <v>4</v>
      </c>
      <c r="Q1" s="194"/>
      <c r="R1" s="66" t="s">
        <v>117</v>
      </c>
      <c r="S1" s="68" t="s">
        <v>8</v>
      </c>
      <c r="T1" s="196">
        <v>5</v>
      </c>
      <c r="U1" s="197"/>
      <c r="V1" s="66" t="s">
        <v>117</v>
      </c>
      <c r="W1" s="68" t="s">
        <v>8</v>
      </c>
      <c r="X1" s="193">
        <v>6</v>
      </c>
      <c r="Y1" s="194"/>
      <c r="Z1" s="70" t="s">
        <v>118</v>
      </c>
      <c r="AA1" s="139">
        <f>SUM(AA2:AA171)</f>
        <v>411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4</v>
      </c>
      <c r="AB6" s="8">
        <f t="shared" si="0"/>
        <v>4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4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4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345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346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5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5">
        <v>79</v>
      </c>
      <c r="I37" s="165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5">
        <v>79</v>
      </c>
      <c r="I38" s="165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5">
        <v>79</v>
      </c>
      <c r="I39" s="165">
        <v>79</v>
      </c>
      <c r="J39" s="20">
        <v>2</v>
      </c>
      <c r="K39" s="19"/>
      <c r="L39" s="8"/>
      <c r="M39" s="165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5">
        <v>79</v>
      </c>
      <c r="I40" s="165">
        <v>79</v>
      </c>
      <c r="J40" s="20">
        <v>2</v>
      </c>
      <c r="K40" s="19"/>
      <c r="L40" s="164">
        <v>27</v>
      </c>
      <c r="M40" s="165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5">
        <v>79</v>
      </c>
      <c r="I41" s="149">
        <v>6</v>
      </c>
      <c r="J41" s="20">
        <v>2</v>
      </c>
      <c r="K41" s="19"/>
      <c r="L41" s="165">
        <v>27</v>
      </c>
      <c r="M41" s="165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2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>
        <v>83</v>
      </c>
      <c r="M52" s="8">
        <v>83</v>
      </c>
      <c r="N52" s="20">
        <v>2</v>
      </c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4</v>
      </c>
      <c r="AA52" s="140">
        <f t="shared" si="3"/>
        <v>2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>
        <v>83</v>
      </c>
      <c r="M53" s="8">
        <v>83</v>
      </c>
      <c r="N53" s="20">
        <v>2</v>
      </c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4</v>
      </c>
      <c r="AA53" s="140">
        <f t="shared" si="3"/>
        <v>3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5</v>
      </c>
      <c r="AA54" s="140">
        <f t="shared" si="3"/>
        <v>2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5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4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165">
        <v>77</v>
      </c>
      <c r="U64" s="165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165">
        <v>77</v>
      </c>
      <c r="U65" s="165">
        <v>77</v>
      </c>
      <c r="V65" s="20">
        <v>2</v>
      </c>
      <c r="W65" s="20"/>
      <c r="X65" s="22"/>
      <c r="Y65" s="22"/>
      <c r="Z65" s="145">
        <f t="shared" si="2"/>
        <v>8</v>
      </c>
      <c r="AA65" s="140">
        <f t="shared" si="3"/>
        <v>3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165">
        <v>77</v>
      </c>
      <c r="U66" s="165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165">
        <v>77</v>
      </c>
      <c r="U67" s="165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165">
        <v>77</v>
      </c>
      <c r="U68" s="165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3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165">
        <v>77</v>
      </c>
      <c r="U69" s="165">
        <v>77</v>
      </c>
      <c r="V69" s="20">
        <v>2</v>
      </c>
      <c r="W69" s="20"/>
      <c r="X69" s="136"/>
      <c r="Y69" s="136"/>
      <c r="Z69" s="145">
        <f t="shared" si="6"/>
        <v>6</v>
      </c>
      <c r="AA69" s="140">
        <f t="shared" si="7"/>
        <v>4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5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/>
      <c r="Q120" s="8"/>
      <c r="R120" s="124"/>
      <c r="S120" s="124" t="s">
        <v>57</v>
      </c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8"/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0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I2:I9 I11:I57 D9:G15 H9:H10 H12:H15 O2:Y171 D16:H57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46078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-</v>
      </c>
      <c r="S124" s="49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46078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-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 t="str">
        <f>IF(AND(D124="Y",booking!T124&lt;&gt;booking!U124,booking!U124&gt;0),booking!U124,"-")</f>
        <v>-</v>
      </c>
      <c r="W124" s="85" t="str">
        <f>IFERROR(VLOOKUP(V124,Database!$A$2:$L$175,8,FALSE),"-")</f>
        <v>-</v>
      </c>
      <c r="X124" s="85" t="str">
        <f>IFERROR(VLOOKUP(V124,Database!$A$2:$L$175,6,FALSE),"-")</f>
        <v>-</v>
      </c>
      <c r="Y124" s="87" t="str">
        <f>IFERROR(VLOOKUP(V124,Database!$A$2:$L$175,9,FALSE),"-")</f>
        <v>-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356</v>
      </c>
      <c r="D1" s="5" t="s">
        <v>41</v>
      </c>
      <c r="E1" t="s">
        <v>357</v>
      </c>
      <c r="F1" t="s">
        <v>358</v>
      </c>
      <c r="G1" t="s">
        <v>359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362</v>
      </c>
      <c r="M2" t="s">
        <v>361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360</v>
      </c>
      <c r="L3">
        <f>SUM(I2:I200)</f>
        <v>205</v>
      </c>
      <c r="M3">
        <f>SUM(J2:J200)</f>
        <v>205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202" t="str">
        <f>Database!G16</f>
        <v>FM</v>
      </c>
      <c r="C16" s="203">
        <f>Database!C16</f>
        <v>46181</v>
      </c>
      <c r="D16" s="203">
        <f>Database!D16</f>
        <v>46188</v>
      </c>
      <c r="E16" s="202">
        <f t="shared" si="0"/>
        <v>7</v>
      </c>
      <c r="F16" s="202">
        <f>Database!K16</f>
        <v>1</v>
      </c>
      <c r="G16" s="202">
        <f t="shared" si="1"/>
        <v>7</v>
      </c>
      <c r="H16" s="202"/>
      <c r="I16" s="202">
        <f>G16</f>
        <v>7</v>
      </c>
      <c r="J16" s="202">
        <f t="shared" si="3"/>
        <v>0</v>
      </c>
    </row>
    <row r="17" spans="1:10" x14ac:dyDescent="0.35">
      <c r="A17">
        <f>Database!A17</f>
        <v>16</v>
      </c>
      <c r="B17" s="202" t="str">
        <f>Database!G17</f>
        <v>FM</v>
      </c>
      <c r="C17" s="203">
        <f>Database!C17</f>
        <v>46182</v>
      </c>
      <c r="D17" s="203">
        <f>Database!D17</f>
        <v>46188</v>
      </c>
      <c r="E17" s="202">
        <f t="shared" si="0"/>
        <v>6</v>
      </c>
      <c r="F17" s="202">
        <f>Database!K17</f>
        <v>2</v>
      </c>
      <c r="G17" s="202">
        <f t="shared" si="1"/>
        <v>12</v>
      </c>
      <c r="H17" s="202"/>
      <c r="I17" s="202">
        <f>G17</f>
        <v>12</v>
      </c>
      <c r="J17" s="202">
        <f t="shared" si="3"/>
        <v>0</v>
      </c>
    </row>
    <row r="18" spans="1:10" x14ac:dyDescent="0.35">
      <c r="A18">
        <f>Database!A18</f>
        <v>17</v>
      </c>
      <c r="B18" s="202" t="str">
        <f>Database!G18</f>
        <v>FM</v>
      </c>
      <c r="C18" s="203">
        <f>Database!C18</f>
        <v>46181</v>
      </c>
      <c r="D18" s="203">
        <f>Database!D18</f>
        <v>46188</v>
      </c>
      <c r="E18" s="202">
        <f t="shared" si="0"/>
        <v>7</v>
      </c>
      <c r="F18" s="202">
        <f>Database!K18</f>
        <v>1</v>
      </c>
      <c r="G18" s="202">
        <f t="shared" si="1"/>
        <v>7</v>
      </c>
      <c r="H18" s="202"/>
      <c r="I18" s="202">
        <f>G18</f>
        <v>7</v>
      </c>
      <c r="J18" s="202">
        <f t="shared" si="3"/>
        <v>0</v>
      </c>
    </row>
    <row r="19" spans="1:10" x14ac:dyDescent="0.35">
      <c r="A19">
        <f>Database!A19</f>
        <v>18</v>
      </c>
      <c r="B19" s="202" t="str">
        <f>Database!G19</f>
        <v>FM</v>
      </c>
      <c r="C19" s="203">
        <f>Database!C19</f>
        <v>46182</v>
      </c>
      <c r="D19" s="203">
        <f>Database!D19</f>
        <v>46187</v>
      </c>
      <c r="E19" s="202">
        <f t="shared" si="0"/>
        <v>5</v>
      </c>
      <c r="F19" s="202">
        <f>Database!K19</f>
        <v>1</v>
      </c>
      <c r="G19" s="202">
        <f t="shared" si="1"/>
        <v>5</v>
      </c>
      <c r="H19" s="202"/>
      <c r="I19" s="202">
        <f>G19</f>
        <v>5</v>
      </c>
      <c r="J19" s="202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bc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1</v>
      </c>
      <c r="G49">
        <f t="shared" si="1"/>
        <v>3</v>
      </c>
      <c r="I49">
        <f t="shared" si="2"/>
        <v>0</v>
      </c>
      <c r="J49">
        <f t="shared" si="3"/>
        <v>3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0</v>
      </c>
      <c r="B85">
        <f>Database!G85</f>
        <v>0</v>
      </c>
      <c r="C85" s="5">
        <f>Database!C85</f>
        <v>0</v>
      </c>
      <c r="D85" s="5">
        <f>Database!D85</f>
        <v>0</v>
      </c>
      <c r="E85">
        <f t="shared" si="4"/>
        <v>0</v>
      </c>
      <c r="F85">
        <f>Database!K85</f>
        <v>0</v>
      </c>
      <c r="G85">
        <f t="shared" si="5"/>
        <v>0</v>
      </c>
      <c r="I85">
        <f t="shared" si="6"/>
        <v>0</v>
      </c>
      <c r="J85">
        <f t="shared" si="7"/>
        <v>0</v>
      </c>
    </row>
    <row r="86" spans="1:10" x14ac:dyDescent="0.35">
      <c r="A86">
        <f>Database!A86</f>
        <v>0</v>
      </c>
      <c r="B86">
        <f>Database!G86</f>
        <v>0</v>
      </c>
      <c r="C86" s="5">
        <f>Database!C86</f>
        <v>0</v>
      </c>
      <c r="D86" s="5">
        <f>Database!D86</f>
        <v>0</v>
      </c>
      <c r="E86">
        <f t="shared" si="4"/>
        <v>0</v>
      </c>
      <c r="F86">
        <f>Database!K86</f>
        <v>0</v>
      </c>
      <c r="G86">
        <f t="shared" si="5"/>
        <v>0</v>
      </c>
      <c r="I86">
        <f t="shared" si="6"/>
        <v>0</v>
      </c>
      <c r="J86">
        <f t="shared" si="7"/>
        <v>0</v>
      </c>
    </row>
    <row r="87" spans="1:10" x14ac:dyDescent="0.35">
      <c r="A87">
        <f>Database!A87</f>
        <v>0</v>
      </c>
      <c r="B87">
        <f>Database!G87</f>
        <v>0</v>
      </c>
      <c r="C87" s="5">
        <f>Database!C87</f>
        <v>0</v>
      </c>
      <c r="D87" s="5">
        <f>Database!D87</f>
        <v>0</v>
      </c>
      <c r="E87">
        <f t="shared" si="4"/>
        <v>0</v>
      </c>
      <c r="F87">
        <f>Database!K87</f>
        <v>0</v>
      </c>
      <c r="G87">
        <f t="shared" si="5"/>
        <v>0</v>
      </c>
      <c r="I87">
        <f t="shared" si="6"/>
        <v>0</v>
      </c>
      <c r="J87">
        <f t="shared" si="7"/>
        <v>0</v>
      </c>
    </row>
    <row r="88" spans="1:10" x14ac:dyDescent="0.35">
      <c r="A88">
        <f>Database!A88</f>
        <v>0</v>
      </c>
      <c r="B88">
        <f>Database!G88</f>
        <v>0</v>
      </c>
      <c r="C88" s="5">
        <f>Database!C88</f>
        <v>0</v>
      </c>
      <c r="D88" s="5">
        <f>Database!D88</f>
        <v>0</v>
      </c>
      <c r="E88">
        <f t="shared" si="4"/>
        <v>0</v>
      </c>
      <c r="F88">
        <f>Database!K88</f>
        <v>0</v>
      </c>
      <c r="G88">
        <f t="shared" si="5"/>
        <v>0</v>
      </c>
      <c r="I88">
        <f t="shared" si="6"/>
        <v>0</v>
      </c>
      <c r="J88">
        <f t="shared" si="7"/>
        <v>0</v>
      </c>
    </row>
    <row r="89" spans="1:10" x14ac:dyDescent="0.35">
      <c r="A89">
        <f>Database!A89</f>
        <v>0</v>
      </c>
      <c r="B89">
        <f>Database!G89</f>
        <v>0</v>
      </c>
      <c r="C89" s="5">
        <f>Database!C89</f>
        <v>0</v>
      </c>
      <c r="D89" s="5">
        <f>Database!D89</f>
        <v>0</v>
      </c>
      <c r="E89">
        <f t="shared" si="4"/>
        <v>0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0</v>
      </c>
      <c r="B90">
        <f>Database!G90</f>
        <v>0</v>
      </c>
      <c r="C90" s="5">
        <f>Database!C90</f>
        <v>0</v>
      </c>
      <c r="D90" s="5">
        <f>Database!D90</f>
        <v>0</v>
      </c>
      <c r="E90">
        <f t="shared" si="4"/>
        <v>0</v>
      </c>
      <c r="F90">
        <f>Database!K90</f>
        <v>0</v>
      </c>
      <c r="G90">
        <f t="shared" si="5"/>
        <v>0</v>
      </c>
      <c r="I90">
        <f t="shared" si="6"/>
        <v>0</v>
      </c>
      <c r="J90">
        <f t="shared" si="7"/>
        <v>0</v>
      </c>
    </row>
    <row r="91" spans="1:10" x14ac:dyDescent="0.35">
      <c r="A91">
        <f>Database!A91</f>
        <v>0</v>
      </c>
      <c r="B91">
        <f>Database!G91</f>
        <v>0</v>
      </c>
      <c r="C91" s="5">
        <f>Database!C91</f>
        <v>0</v>
      </c>
      <c r="D91" s="5">
        <f>Database!D91</f>
        <v>0</v>
      </c>
      <c r="E91">
        <f t="shared" si="4"/>
        <v>0</v>
      </c>
      <c r="F91">
        <f>Database!K91</f>
        <v>0</v>
      </c>
      <c r="G91">
        <f t="shared" si="5"/>
        <v>0</v>
      </c>
      <c r="I91">
        <f t="shared" si="6"/>
        <v>0</v>
      </c>
      <c r="J91">
        <f t="shared" si="7"/>
        <v>0</v>
      </c>
    </row>
    <row r="92" spans="1:10" x14ac:dyDescent="0.35">
      <c r="A92">
        <f>Database!A92</f>
        <v>0</v>
      </c>
      <c r="B92">
        <f>Database!G92</f>
        <v>0</v>
      </c>
      <c r="C92" s="5">
        <f>Database!C92</f>
        <v>0</v>
      </c>
      <c r="D92" s="5">
        <f>Database!D92</f>
        <v>0</v>
      </c>
      <c r="E92">
        <f t="shared" si="4"/>
        <v>0</v>
      </c>
      <c r="F92">
        <f>Database!K92</f>
        <v>0</v>
      </c>
      <c r="G92">
        <f t="shared" si="5"/>
        <v>0</v>
      </c>
      <c r="I92">
        <f t="shared" si="6"/>
        <v>0</v>
      </c>
      <c r="J92">
        <f t="shared" si="7"/>
        <v>0</v>
      </c>
    </row>
    <row r="93" spans="1:10" x14ac:dyDescent="0.35">
      <c r="A93">
        <f>Database!A93</f>
        <v>0</v>
      </c>
      <c r="B93">
        <f>Database!G93</f>
        <v>0</v>
      </c>
      <c r="C93" s="5">
        <f>Database!C93</f>
        <v>0</v>
      </c>
      <c r="D93" s="5">
        <f>Database!D93</f>
        <v>0</v>
      </c>
      <c r="E93">
        <f t="shared" si="4"/>
        <v>0</v>
      </c>
      <c r="F93">
        <f>Database!K93</f>
        <v>0</v>
      </c>
      <c r="G93">
        <f t="shared" si="5"/>
        <v>0</v>
      </c>
      <c r="I93">
        <f t="shared" si="6"/>
        <v>0</v>
      </c>
      <c r="J93">
        <f t="shared" si="7"/>
        <v>0</v>
      </c>
    </row>
    <row r="94" spans="1:10" x14ac:dyDescent="0.35">
      <c r="A94">
        <f>Database!A94</f>
        <v>0</v>
      </c>
      <c r="B94">
        <f>Database!G94</f>
        <v>0</v>
      </c>
      <c r="C94" s="5">
        <f>Database!C94</f>
        <v>0</v>
      </c>
      <c r="D94" s="5">
        <f>Database!D94</f>
        <v>0</v>
      </c>
      <c r="E94">
        <f t="shared" si="4"/>
        <v>0</v>
      </c>
      <c r="F94">
        <f>Database!K94</f>
        <v>0</v>
      </c>
      <c r="G94">
        <f t="shared" si="5"/>
        <v>0</v>
      </c>
      <c r="I94">
        <f t="shared" si="6"/>
        <v>0</v>
      </c>
      <c r="J94">
        <f t="shared" si="7"/>
        <v>0</v>
      </c>
    </row>
    <row r="95" spans="1:10" x14ac:dyDescent="0.35">
      <c r="A95">
        <f>Database!A95</f>
        <v>0</v>
      </c>
      <c r="B95">
        <f>Database!G95</f>
        <v>0</v>
      </c>
      <c r="C95" s="5">
        <f>Database!C95</f>
        <v>0</v>
      </c>
      <c r="D95" s="5">
        <f>Database!D95</f>
        <v>0</v>
      </c>
      <c r="E95">
        <f t="shared" si="4"/>
        <v>0</v>
      </c>
      <c r="F95">
        <f>Database!K95</f>
        <v>0</v>
      </c>
      <c r="G95">
        <f t="shared" si="5"/>
        <v>0</v>
      </c>
      <c r="I95">
        <f t="shared" si="6"/>
        <v>0</v>
      </c>
      <c r="J95">
        <f t="shared" si="7"/>
        <v>0</v>
      </c>
    </row>
    <row r="96" spans="1:10" x14ac:dyDescent="0.35">
      <c r="A96">
        <f>Database!A96</f>
        <v>0</v>
      </c>
      <c r="B96">
        <f>Database!G96</f>
        <v>0</v>
      </c>
      <c r="C96" s="5">
        <f>Database!C96</f>
        <v>0</v>
      </c>
      <c r="D96" s="5">
        <f>Database!D96</f>
        <v>0</v>
      </c>
      <c r="E96">
        <f t="shared" si="4"/>
        <v>0</v>
      </c>
      <c r="F96">
        <f>Database!K96</f>
        <v>0</v>
      </c>
      <c r="G96">
        <f t="shared" si="5"/>
        <v>0</v>
      </c>
      <c r="I96">
        <f t="shared" si="6"/>
        <v>0</v>
      </c>
      <c r="J96">
        <f t="shared" si="7"/>
        <v>0</v>
      </c>
    </row>
    <row r="97" spans="1:10" x14ac:dyDescent="0.35">
      <c r="A97">
        <f>Database!A97</f>
        <v>0</v>
      </c>
      <c r="B97">
        <f>Database!G97</f>
        <v>0</v>
      </c>
      <c r="C97" s="5">
        <f>Database!C97</f>
        <v>0</v>
      </c>
      <c r="D97" s="5">
        <f>Database!D97</f>
        <v>0</v>
      </c>
      <c r="E97">
        <f t="shared" si="4"/>
        <v>0</v>
      </c>
      <c r="F97">
        <f>Database!K97</f>
        <v>0</v>
      </c>
      <c r="G97">
        <f t="shared" si="5"/>
        <v>0</v>
      </c>
      <c r="I97">
        <f t="shared" si="6"/>
        <v>0</v>
      </c>
      <c r="J97">
        <f t="shared" si="7"/>
        <v>0</v>
      </c>
    </row>
    <row r="98" spans="1:10" x14ac:dyDescent="0.35">
      <c r="A98">
        <f>Database!A98</f>
        <v>0</v>
      </c>
      <c r="B98">
        <f>Database!G98</f>
        <v>0</v>
      </c>
      <c r="C98" s="5">
        <f>Database!C98</f>
        <v>0</v>
      </c>
      <c r="D98" s="5">
        <f>Database!D98</f>
        <v>0</v>
      </c>
      <c r="E98">
        <f t="shared" si="4"/>
        <v>0</v>
      </c>
      <c r="F98">
        <f>Database!K98</f>
        <v>0</v>
      </c>
      <c r="G98">
        <f t="shared" si="5"/>
        <v>0</v>
      </c>
      <c r="I98">
        <f t="shared" si="6"/>
        <v>0</v>
      </c>
      <c r="J98">
        <f t="shared" si="7"/>
        <v>0</v>
      </c>
    </row>
    <row r="99" spans="1:10" x14ac:dyDescent="0.35">
      <c r="A99">
        <f>Database!A99</f>
        <v>0</v>
      </c>
      <c r="B99">
        <f>Database!G99</f>
        <v>0</v>
      </c>
      <c r="C99" s="5">
        <f>Database!C99</f>
        <v>0</v>
      </c>
      <c r="D99" s="5">
        <f>Database!D99</f>
        <v>0</v>
      </c>
      <c r="E99">
        <f t="shared" si="4"/>
        <v>0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0</v>
      </c>
      <c r="B100">
        <f>Database!G100</f>
        <v>0</v>
      </c>
      <c r="C100" s="5">
        <f>Database!C100</f>
        <v>0</v>
      </c>
      <c r="D100" s="5">
        <f>Database!D100</f>
        <v>0</v>
      </c>
      <c r="E100">
        <f t="shared" si="4"/>
        <v>0</v>
      </c>
      <c r="F100">
        <f>Database!K100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Database!A101</f>
        <v>0</v>
      </c>
      <c r="B101">
        <f>Database!G101</f>
        <v>0</v>
      </c>
      <c r="C101" s="5">
        <f>Database!C101</f>
        <v>0</v>
      </c>
      <c r="D101" s="5">
        <f>Database!D101</f>
        <v>0</v>
      </c>
      <c r="E101">
        <f t="shared" si="4"/>
        <v>0</v>
      </c>
      <c r="F101">
        <f>Database!K101</f>
        <v>0</v>
      </c>
      <c r="G101">
        <f t="shared" si="5"/>
        <v>0</v>
      </c>
      <c r="I101">
        <f t="shared" si="6"/>
        <v>0</v>
      </c>
      <c r="J101">
        <f t="shared" si="7"/>
        <v>0</v>
      </c>
    </row>
    <row r="102" spans="1:10" x14ac:dyDescent="0.35">
      <c r="A102">
        <f>Database!A102</f>
        <v>0</v>
      </c>
      <c r="B102">
        <f>Database!G102</f>
        <v>0</v>
      </c>
      <c r="C102" s="5">
        <f>Database!C102</f>
        <v>0</v>
      </c>
      <c r="D102" s="5">
        <f>Database!D102</f>
        <v>0</v>
      </c>
      <c r="E102">
        <f t="shared" si="4"/>
        <v>0</v>
      </c>
      <c r="F102">
        <f>Database!K102</f>
        <v>0</v>
      </c>
      <c r="G102">
        <f t="shared" si="5"/>
        <v>0</v>
      </c>
      <c r="I102">
        <f t="shared" si="6"/>
        <v>0</v>
      </c>
      <c r="J102">
        <f t="shared" si="7"/>
        <v>0</v>
      </c>
    </row>
    <row r="103" spans="1:10" x14ac:dyDescent="0.35">
      <c r="A103">
        <f>Database!A103</f>
        <v>0</v>
      </c>
      <c r="B103">
        <f>Database!G103</f>
        <v>0</v>
      </c>
      <c r="C103" s="5">
        <f>Database!C103</f>
        <v>0</v>
      </c>
      <c r="D103" s="5">
        <f>Database!D103</f>
        <v>0</v>
      </c>
      <c r="E103">
        <f t="shared" si="4"/>
        <v>0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0</v>
      </c>
      <c r="B104">
        <f>Database!G104</f>
        <v>0</v>
      </c>
      <c r="C104" s="5">
        <f>Database!C104</f>
        <v>0</v>
      </c>
      <c r="D104" s="5">
        <f>Database!D104</f>
        <v>0</v>
      </c>
      <c r="E104">
        <f t="shared" si="4"/>
        <v>0</v>
      </c>
      <c r="F104">
        <f>Database!K104</f>
        <v>0</v>
      </c>
      <c r="G104">
        <f t="shared" si="5"/>
        <v>0</v>
      </c>
      <c r="I104">
        <f t="shared" si="6"/>
        <v>0</v>
      </c>
      <c r="J104">
        <f t="shared" si="7"/>
        <v>0</v>
      </c>
    </row>
    <row r="105" spans="1:10" x14ac:dyDescent="0.35">
      <c r="A105">
        <f>Database!A105</f>
        <v>0</v>
      </c>
      <c r="B105">
        <f>Database!G105</f>
        <v>0</v>
      </c>
      <c r="C105" s="5">
        <f>Database!C105</f>
        <v>0</v>
      </c>
      <c r="D105" s="5">
        <f>Database!D105</f>
        <v>0</v>
      </c>
      <c r="E105">
        <f t="shared" si="4"/>
        <v>0</v>
      </c>
      <c r="F105">
        <f>Database!K105</f>
        <v>0</v>
      </c>
      <c r="G105">
        <f t="shared" si="5"/>
        <v>0</v>
      </c>
      <c r="I105">
        <f t="shared" si="6"/>
        <v>0</v>
      </c>
      <c r="J105">
        <f t="shared" si="7"/>
        <v>0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va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2026-02-20T17:46:52Z</cp:lastPrinted>
  <dcterms:created xsi:type="dcterms:W3CDTF">2024-07-25T07:35:10Z</dcterms:created>
  <dcterms:modified xsi:type="dcterms:W3CDTF">2026-02-25T11:04:29Z</dcterms:modified>
  <cp:category/>
  <cp:contentStatus/>
</cp:coreProperties>
</file>