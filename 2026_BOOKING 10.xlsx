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67" documentId="8_{48B37ED3-8953-4CF0-98FF-01FF5DFD1860}" xr6:coauthVersionLast="47" xr6:coauthVersionMax="47" xr10:uidLastSave="{2F83580A-F666-41BC-989F-004BAAE9E2EE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0" i="3" l="1"/>
  <c r="K200" i="3"/>
  <c r="AB45" i="5" l="1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M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M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M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M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M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M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M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M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M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M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M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M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M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M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M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M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M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M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W19" i="5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C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C40" i="8" s="1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M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M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M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M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M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K54" i="3" s="1"/>
  <c r="A54" i="3"/>
  <c r="G53" i="3"/>
  <c r="F53" i="3"/>
  <c r="D53" i="3"/>
  <c r="B53" i="3"/>
  <c r="A53" i="3"/>
  <c r="G52" i="3"/>
  <c r="F52" i="3"/>
  <c r="D52" i="3"/>
  <c r="B52" i="3"/>
  <c r="AA52" i="3" s="1"/>
  <c r="A52" i="3"/>
  <c r="G51" i="3"/>
  <c r="F51" i="3"/>
  <c r="D51" i="3"/>
  <c r="B51" i="3"/>
  <c r="W51" i="3" s="1"/>
  <c r="A51" i="3"/>
  <c r="G50" i="3"/>
  <c r="F50" i="3"/>
  <c r="D50" i="3"/>
  <c r="B50" i="3"/>
  <c r="AM50" i="3" s="1"/>
  <c r="A50" i="3"/>
  <c r="G49" i="3"/>
  <c r="F49" i="3"/>
  <c r="D49" i="3"/>
  <c r="AI49" i="3" s="1"/>
  <c r="B49" i="3"/>
  <c r="A49" i="3"/>
  <c r="G48" i="3"/>
  <c r="F48" i="3"/>
  <c r="D48" i="3"/>
  <c r="B48" i="3"/>
  <c r="A48" i="3"/>
  <c r="G47" i="3"/>
  <c r="F47" i="3"/>
  <c r="D47" i="3"/>
  <c r="B47" i="3"/>
  <c r="A47" i="3"/>
  <c r="G46" i="3"/>
  <c r="F46" i="3"/>
  <c r="D46" i="3"/>
  <c r="B46" i="3"/>
  <c r="A46" i="3"/>
  <c r="G45" i="3"/>
  <c r="F45" i="3"/>
  <c r="D45" i="3"/>
  <c r="B45" i="3"/>
  <c r="AW45" i="3" s="1"/>
  <c r="A45" i="3"/>
  <c r="G44" i="3"/>
  <c r="F44" i="3"/>
  <c r="D44" i="3"/>
  <c r="AN44" i="3" s="1"/>
  <c r="B44" i="3"/>
  <c r="A44" i="3"/>
  <c r="G43" i="3"/>
  <c r="F43" i="3"/>
  <c r="D43" i="3"/>
  <c r="B43" i="3"/>
  <c r="W43" i="3" s="1"/>
  <c r="A43" i="3"/>
  <c r="G42" i="3"/>
  <c r="F42" i="3"/>
  <c r="D42" i="3"/>
  <c r="B42" i="3"/>
  <c r="AU42" i="3" s="1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AT30" i="3"/>
  <c r="G30" i="3"/>
  <c r="BR30" i="3" s="1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" i="3"/>
  <c r="BT137" i="3" s="1"/>
  <c r="BR1" i="3"/>
  <c r="BP1" i="3"/>
  <c r="BP133" i="3" s="1"/>
  <c r="BN1" i="3"/>
  <c r="G1" i="3"/>
  <c r="F1" i="3"/>
  <c r="C1" i="3"/>
  <c r="B1" i="3"/>
  <c r="A1" i="3"/>
  <c r="D12" i="8" l="1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M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M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M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M93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M13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M14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M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M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M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M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M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M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M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M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M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M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L7" i="3"/>
  <c r="N7" i="3"/>
  <c r="AQ7" i="3"/>
  <c r="AE7" i="3"/>
  <c r="AK7" i="3"/>
  <c r="AL7" i="3"/>
  <c r="AP7" i="3"/>
  <c r="O7" i="3"/>
  <c r="AV7" i="3"/>
  <c r="P7" i="3"/>
  <c r="AW7" i="3"/>
  <c r="AJ7" i="3"/>
  <c r="M7" i="3"/>
  <c r="Q7" i="3"/>
  <c r="AA7" i="3"/>
  <c r="AX7" i="3"/>
  <c r="AB7" i="3"/>
  <c r="AC7" i="3"/>
  <c r="C8" i="8"/>
  <c r="AW8" i="3"/>
  <c r="AI8" i="3"/>
  <c r="BR8" i="3"/>
  <c r="L8" i="3"/>
  <c r="AK8" i="3"/>
  <c r="AG8" i="3"/>
  <c r="AH8" i="3"/>
  <c r="K8" i="3"/>
  <c r="AJ8" i="3"/>
  <c r="BT8" i="3"/>
  <c r="M8" i="3"/>
  <c r="AU8" i="3"/>
  <c r="R8" i="3"/>
  <c r="AV8" i="3"/>
  <c r="S8" i="3"/>
  <c r="AE9" i="3"/>
  <c r="AJ9" i="3"/>
  <c r="Q9" i="3"/>
  <c r="R9" i="3"/>
  <c r="S9" i="3"/>
  <c r="AK9" i="3"/>
  <c r="AL9" i="3"/>
  <c r="AX9" i="3"/>
  <c r="N9" i="3"/>
  <c r="O9" i="3"/>
  <c r="P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M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M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M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M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M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M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M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M37" i="3"/>
  <c r="V37" i="3"/>
  <c r="T38" i="3"/>
  <c r="V38" i="3"/>
  <c r="BP39" i="3"/>
  <c r="M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U128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U164" i="3"/>
  <c r="BP164" i="3"/>
  <c r="BN164" i="3"/>
  <c r="BR164" i="3"/>
  <c r="BQ164" i="3"/>
  <c r="BT164" i="3"/>
  <c r="V4" i="3"/>
  <c r="AO10" i="3"/>
  <c r="AC10" i="3"/>
  <c r="Q10" i="3"/>
  <c r="AN10" i="3"/>
  <c r="AB10" i="3"/>
  <c r="P10" i="3"/>
  <c r="Z10" i="3"/>
  <c r="N10" i="3"/>
  <c r="AL10" i="3"/>
  <c r="AM10" i="3"/>
  <c r="AA10" i="3"/>
  <c r="O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M32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M76" i="3"/>
  <c r="AW76" i="3"/>
  <c r="AX76" i="3"/>
  <c r="AE76" i="3"/>
  <c r="L76" i="3"/>
  <c r="AC76" i="3"/>
  <c r="BT131" i="3"/>
  <c r="BP143" i="3"/>
  <c r="C198" i="8"/>
  <c r="K6" i="3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U76" i="3"/>
  <c r="BP83" i="3"/>
  <c r="BQ88" i="3"/>
  <c r="BR88" i="3"/>
  <c r="BN88" i="3"/>
  <c r="BL88" i="3" s="1"/>
  <c r="BT88" i="3"/>
  <c r="AQ92" i="3"/>
  <c r="AA92" i="3"/>
  <c r="M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M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U163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M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M28" i="3"/>
  <c r="AN28" i="3"/>
  <c r="AA28" i="3"/>
  <c r="N28" i="3"/>
  <c r="AM28" i="3"/>
  <c r="BT30" i="3"/>
  <c r="BP30" i="3"/>
  <c r="BN30" i="3"/>
  <c r="BL30" i="3" s="1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M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M57" i="3"/>
  <c r="K57" i="3"/>
  <c r="AP57" i="3"/>
  <c r="Z57" i="3"/>
  <c r="L57" i="3"/>
  <c r="Y57" i="3"/>
  <c r="AN5" i="3"/>
  <c r="AS6" i="3"/>
  <c r="Y12" i="3"/>
  <c r="X28" i="3"/>
  <c r="BN28" i="3"/>
  <c r="BU30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M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M73" i="3"/>
  <c r="AX73" i="3"/>
  <c r="S83" i="3"/>
  <c r="AN83" i="3"/>
  <c r="U83" i="3"/>
  <c r="AL83" i="3"/>
  <c r="AM83" i="3"/>
  <c r="T83" i="3"/>
  <c r="BQ126" i="3"/>
  <c r="BR126" i="3"/>
  <c r="BP126" i="3"/>
  <c r="BN139" i="3"/>
  <c r="BL139" i="3" s="1"/>
  <c r="BU146" i="3"/>
  <c r="BT146" i="3"/>
  <c r="BR146" i="3"/>
  <c r="Z5" i="3"/>
  <c r="AE6" i="3"/>
  <c r="AQ10" i="3"/>
  <c r="AD28" i="3"/>
  <c r="AM31" i="3"/>
  <c r="AA31" i="3"/>
  <c r="O31" i="3"/>
  <c r="AN31" i="3"/>
  <c r="Z31" i="3"/>
  <c r="M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M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L138" i="3" s="1"/>
  <c r="BR151" i="3"/>
  <c r="BP151" i="3"/>
  <c r="BT151" i="3"/>
  <c r="BU151" i="3"/>
  <c r="BN151" i="3"/>
  <c r="BL151" i="3" s="1"/>
  <c r="BN190" i="3"/>
  <c r="BL190" i="3" s="1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M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U85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L5" i="3"/>
  <c r="AG6" i="3"/>
  <c r="X9" i="3"/>
  <c r="M12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M5" i="3"/>
  <c r="AC5" i="3"/>
  <c r="AW5" i="3"/>
  <c r="BP5" i="3"/>
  <c r="R6" i="3"/>
  <c r="AO8" i="3"/>
  <c r="AC8" i="3"/>
  <c r="Q8" i="3"/>
  <c r="AN8" i="3"/>
  <c r="AB8" i="3"/>
  <c r="P8" i="3"/>
  <c r="AL8" i="3"/>
  <c r="AX8" i="3"/>
  <c r="N8" i="3"/>
  <c r="AM8" i="3"/>
  <c r="AA8" i="3"/>
  <c r="O8" i="3"/>
  <c r="Z8" i="3"/>
  <c r="V8" i="3"/>
  <c r="AP8" i="3"/>
  <c r="Y9" i="3"/>
  <c r="AD10" i="3"/>
  <c r="M11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M17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M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BU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U119" i="3"/>
  <c r="BP119" i="3"/>
  <c r="BN119" i="3"/>
  <c r="BL119" i="3" s="1"/>
  <c r="BR119" i="3"/>
  <c r="BT119" i="3"/>
  <c r="BR132" i="3"/>
  <c r="BP132" i="3"/>
  <c r="BP140" i="3"/>
  <c r="BU172" i="3"/>
  <c r="BT172" i="3"/>
  <c r="BR172" i="3"/>
  <c r="BQ172" i="3"/>
  <c r="BP172" i="3"/>
  <c r="W2" i="3"/>
  <c r="N5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L4" i="3"/>
  <c r="AF4" i="3"/>
  <c r="AV4" i="3"/>
  <c r="O5" i="3"/>
  <c r="BR5" i="3"/>
  <c r="T6" i="3"/>
  <c r="AJ6" i="3"/>
  <c r="AU7" i="3"/>
  <c r="AI7" i="3"/>
  <c r="W7" i="3"/>
  <c r="K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L10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BU25" i="3"/>
  <c r="AR25" i="3"/>
  <c r="AE25" i="3"/>
  <c r="R25" i="3"/>
  <c r="Q25" i="3"/>
  <c r="Y25" i="3"/>
  <c r="AU25" i="3"/>
  <c r="BP25" i="3"/>
  <c r="M26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M38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M45" i="3"/>
  <c r="K45" i="3"/>
  <c r="AP45" i="3"/>
  <c r="Z45" i="3"/>
  <c r="L45" i="3"/>
  <c r="X45" i="3"/>
  <c r="AV45" i="3"/>
  <c r="T46" i="3"/>
  <c r="AN46" i="3"/>
  <c r="L47" i="3"/>
  <c r="AF47" i="3"/>
  <c r="BU48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M63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M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M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M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M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M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M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M103" i="3"/>
  <c r="AX103" i="3"/>
  <c r="AB103" i="3"/>
  <c r="O104" i="3"/>
  <c r="BU117" i="3"/>
  <c r="BN117" i="3"/>
  <c r="BL117" i="3" s="1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U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K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U123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M100" i="3"/>
  <c r="K100" i="3"/>
  <c r="AX100" i="3"/>
  <c r="AE100" i="3"/>
  <c r="L100" i="3"/>
  <c r="AC100" i="3"/>
  <c r="BU126" i="3"/>
  <c r="BU131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BU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M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K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M18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M41" i="3"/>
  <c r="L41" i="3"/>
  <c r="AK42" i="3"/>
  <c r="AI43" i="3"/>
  <c r="BR44" i="3"/>
  <c r="M46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L9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M58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M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M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M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U101" i="3"/>
  <c r="BN101" i="3"/>
  <c r="AG101" i="3"/>
  <c r="BP101" i="3"/>
  <c r="Q104" i="3"/>
  <c r="AV104" i="3"/>
  <c r="BR106" i="3"/>
  <c r="BN106" i="3"/>
  <c r="BT106" i="3"/>
  <c r="BU106" i="3"/>
  <c r="BN110" i="3"/>
  <c r="BL110" i="3" s="1"/>
  <c r="BU113" i="3"/>
  <c r="BN113" i="3"/>
  <c r="BL113" i="3" s="1"/>
  <c r="BP113" i="3"/>
  <c r="BT120" i="3"/>
  <c r="BP130" i="3"/>
  <c r="BR137" i="3"/>
  <c r="BP138" i="3"/>
  <c r="BN143" i="3"/>
  <c r="BT143" i="3"/>
  <c r="BU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U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L155" i="3" s="1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L189" i="3" s="1"/>
  <c r="BN171" i="3"/>
  <c r="BN114" i="3"/>
  <c r="BL114" i="3" s="1"/>
  <c r="BN108" i="3"/>
  <c r="BN102" i="3"/>
  <c r="BN96" i="3"/>
  <c r="BN90" i="3"/>
  <c r="BL90" i="3" s="1"/>
  <c r="BN84" i="3"/>
  <c r="BN78" i="3"/>
  <c r="BN72" i="3"/>
  <c r="BN66" i="3"/>
  <c r="BN144" i="3"/>
  <c r="BL144" i="3" s="1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U46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Q4" i="3"/>
  <c r="AN4" i="3"/>
  <c r="AB4" i="3"/>
  <c r="P4" i="3"/>
  <c r="AA4" i="3"/>
  <c r="AL4" i="3"/>
  <c r="Z4" i="3"/>
  <c r="AM4" i="3"/>
  <c r="O4" i="3"/>
  <c r="AX4" i="3"/>
  <c r="N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M54" i="3"/>
  <c r="Y54" i="3"/>
  <c r="AN54" i="3"/>
  <c r="Z54" i="3"/>
  <c r="L54" i="3"/>
  <c r="K54" i="3"/>
  <c r="AK61" i="3"/>
  <c r="BR64" i="3"/>
  <c r="BN64" i="3"/>
  <c r="BT64" i="3"/>
  <c r="BU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M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M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M97" i="3"/>
  <c r="AX97" i="3"/>
  <c r="AB97" i="3"/>
  <c r="AJ100" i="3"/>
  <c r="BT147" i="3"/>
  <c r="BR147" i="3"/>
  <c r="BQ147" i="3"/>
  <c r="BN153" i="3"/>
  <c r="BL153" i="3" s="1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M59" i="3"/>
  <c r="AO59" i="3"/>
  <c r="AQ59" i="3"/>
  <c r="AB59" i="3"/>
  <c r="L59" i="3"/>
  <c r="Y59" i="3"/>
  <c r="AP59" i="3"/>
  <c r="Z59" i="3"/>
  <c r="K59" i="3"/>
  <c r="AL61" i="3"/>
  <c r="BU63" i="3"/>
  <c r="BR63" i="3"/>
  <c r="BP63" i="3"/>
  <c r="BQ63" i="3"/>
  <c r="AL64" i="3"/>
  <c r="AQ68" i="3"/>
  <c r="AA68" i="3"/>
  <c r="M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L6" i="3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U109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M6" i="3"/>
  <c r="BT6" i="3"/>
  <c r="AN9" i="3"/>
  <c r="Y10" i="3"/>
  <c r="AV11" i="3"/>
  <c r="Y16" i="3"/>
  <c r="BT18" i="3"/>
  <c r="BU23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U162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K4" i="3"/>
  <c r="BR4" i="3"/>
  <c r="W8" i="3"/>
  <c r="Z9" i="3"/>
  <c r="K10" i="3"/>
  <c r="BR10" i="3"/>
  <c r="AX11" i="3"/>
  <c r="AI12" i="3"/>
  <c r="AP15" i="3"/>
  <c r="AE16" i="3"/>
  <c r="N17" i="3"/>
  <c r="W20" i="3"/>
  <c r="AB21" i="3"/>
  <c r="BR21" i="3"/>
  <c r="M22" i="3"/>
  <c r="AD22" i="3"/>
  <c r="L26" i="3"/>
  <c r="W27" i="3"/>
  <c r="AI28" i="3"/>
  <c r="AU29" i="3"/>
  <c r="AO30" i="3"/>
  <c r="AE31" i="3"/>
  <c r="BU31" i="3"/>
  <c r="AS33" i="3"/>
  <c r="M34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M43" i="3"/>
  <c r="AM46" i="3"/>
  <c r="K47" i="3"/>
  <c r="AE47" i="3"/>
  <c r="M50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M4" i="3"/>
  <c r="AW4" i="3"/>
  <c r="BT4" i="3"/>
  <c r="P5" i="3"/>
  <c r="AJ5" i="3"/>
  <c r="AS8" i="3"/>
  <c r="AB9" i="3"/>
  <c r="AV9" i="3"/>
  <c r="M10" i="3"/>
  <c r="BT10" i="3"/>
  <c r="Y14" i="3"/>
  <c r="AS14" i="3"/>
  <c r="L15" i="3"/>
  <c r="AV15" i="3"/>
  <c r="M16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U39" i="3"/>
  <c r="BR39" i="3"/>
  <c r="BT39" i="3"/>
  <c r="Y39" i="3"/>
  <c r="AU39" i="3"/>
  <c r="S40" i="3"/>
  <c r="AK40" i="3"/>
  <c r="AW41" i="3"/>
  <c r="U43" i="3"/>
  <c r="BP43" i="3"/>
  <c r="AC44" i="3"/>
  <c r="AO46" i="3"/>
  <c r="M47" i="3"/>
  <c r="AG47" i="3"/>
  <c r="Y49" i="3"/>
  <c r="O50" i="3"/>
  <c r="AD2" i="3"/>
  <c r="AT2" i="3"/>
  <c r="BQ2" i="3"/>
  <c r="M3" i="3"/>
  <c r="AC3" i="3"/>
  <c r="AW3" i="3"/>
  <c r="BP3" i="3"/>
  <c r="R4" i="3"/>
  <c r="AH4" i="3"/>
  <c r="Q5" i="3"/>
  <c r="AK5" i="3"/>
  <c r="AO6" i="3"/>
  <c r="AC6" i="3"/>
  <c r="Q6" i="3"/>
  <c r="AN6" i="3"/>
  <c r="AB6" i="3"/>
  <c r="P6" i="3"/>
  <c r="N6" i="3"/>
  <c r="AX6" i="3"/>
  <c r="AM6" i="3"/>
  <c r="AA6" i="3"/>
  <c r="O6" i="3"/>
  <c r="AL6" i="3"/>
  <c r="Z6" i="3"/>
  <c r="V6" i="3"/>
  <c r="AP6" i="3"/>
  <c r="Y7" i="3"/>
  <c r="AO7" i="3"/>
  <c r="AD8" i="3"/>
  <c r="AT8" i="3"/>
  <c r="BQ8" i="3"/>
  <c r="M9" i="3"/>
  <c r="AC9" i="3"/>
  <c r="AW9" i="3"/>
  <c r="BP9" i="3"/>
  <c r="R10" i="3"/>
  <c r="AH10" i="3"/>
  <c r="BU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M15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M21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M30" i="3"/>
  <c r="K30" i="3"/>
  <c r="AL30" i="3"/>
  <c r="Y30" i="3"/>
  <c r="L30" i="3"/>
  <c r="AK30" i="3"/>
  <c r="W30" i="3"/>
  <c r="AR30" i="3"/>
  <c r="Q31" i="3"/>
  <c r="AH31" i="3"/>
  <c r="Z32" i="3"/>
  <c r="AQ32" i="3"/>
  <c r="BP32" i="3"/>
  <c r="M33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M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M75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M87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M99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U125" i="3"/>
  <c r="BQ125" i="3"/>
  <c r="BP125" i="3"/>
  <c r="BR125" i="3"/>
  <c r="BN125" i="3"/>
  <c r="BL125" i="3" s="1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L124" i="3" s="1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U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L121" i="3" s="1"/>
  <c r="BT121" i="3"/>
  <c r="BR130" i="3"/>
  <c r="BN130" i="3"/>
  <c r="BU130" i="3"/>
  <c r="BU139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U148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5" i="3"/>
  <c r="BU7" i="3"/>
  <c r="BU9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M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M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M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M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M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M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M101" i="3"/>
  <c r="AQ101" i="3"/>
  <c r="AA101" i="3"/>
  <c r="K101" i="3"/>
  <c r="W101" i="3"/>
  <c r="AO101" i="3"/>
  <c r="AP104" i="3"/>
  <c r="BU141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U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U69" i="3"/>
  <c r="BT69" i="3"/>
  <c r="BQ72" i="3"/>
  <c r="W72" i="3"/>
  <c r="AL72" i="3"/>
  <c r="BU72" i="3"/>
  <c r="BU75" i="3"/>
  <c r="BT75" i="3"/>
  <c r="BO78" i="3"/>
  <c r="W78" i="3"/>
  <c r="AL78" i="3"/>
  <c r="BU78" i="3"/>
  <c r="BU81" i="3"/>
  <c r="BT81" i="3"/>
  <c r="BQ84" i="3"/>
  <c r="W84" i="3"/>
  <c r="AL84" i="3"/>
  <c r="BU84" i="3"/>
  <c r="BU87" i="3"/>
  <c r="BT87" i="3"/>
  <c r="W90" i="3"/>
  <c r="AL90" i="3"/>
  <c r="BU90" i="3"/>
  <c r="BU93" i="3"/>
  <c r="BT93" i="3"/>
  <c r="BQ96" i="3"/>
  <c r="W96" i="3"/>
  <c r="AL96" i="3"/>
  <c r="BU96" i="3"/>
  <c r="BU99" i="3"/>
  <c r="BT99" i="3"/>
  <c r="W102" i="3"/>
  <c r="AL102" i="3"/>
  <c r="BU102" i="3"/>
  <c r="BU105" i="3"/>
  <c r="BT105" i="3"/>
  <c r="BQ108" i="3"/>
  <c r="BU108" i="3"/>
  <c r="BU111" i="3"/>
  <c r="BT111" i="3"/>
  <c r="BU114" i="3"/>
  <c r="BR157" i="3"/>
  <c r="BP157" i="3"/>
  <c r="BU160" i="3"/>
  <c r="BT160" i="3"/>
  <c r="BR160" i="3"/>
  <c r="BP160" i="3"/>
  <c r="BN160" i="3"/>
  <c r="BL160" i="3" s="1"/>
  <c r="BR180" i="3"/>
  <c r="BU194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U178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U166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U144" i="3"/>
  <c r="BU150" i="3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U154" i="3"/>
  <c r="BN154" i="3"/>
  <c r="BL154" i="3" s="1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U190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0" i="3" l="1"/>
  <c r="BL4" i="3"/>
  <c r="N44" i="7"/>
  <c r="E40" i="7"/>
  <c r="Y174" i="7"/>
  <c r="N9" i="7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M21" i="3" s="1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M119" i="3" s="1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198" i="3"/>
  <c r="AK198" i="3"/>
  <c r="L198" i="3"/>
  <c r="BE196" i="3"/>
  <c r="BE203" i="3" s="1"/>
  <c r="C31" i="4" s="1"/>
  <c r="K198" i="3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BM39" i="3" s="1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N43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BM132" i="3" s="1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Q9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M32" i="3" s="1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BM191" i="3" s="1"/>
  <c r="G40" i="7"/>
  <c r="F40" i="7"/>
  <c r="H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N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Q44" i="7"/>
  <c r="O44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M153" i="3" s="1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M154" i="3" s="1"/>
  <c r="BO111" i="3"/>
  <c r="BM111" i="3" s="1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M34" i="3" s="1"/>
  <c r="BO95" i="3"/>
  <c r="BO83" i="3"/>
  <c r="BM83" i="3" s="1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M29" i="3" s="1"/>
  <c r="BO117" i="3"/>
  <c r="BM117" i="3" s="1"/>
  <c r="BO190" i="3"/>
  <c r="BO52" i="3"/>
  <c r="BO48" i="3"/>
  <c r="BO71" i="3"/>
  <c r="BO188" i="3"/>
  <c r="BO168" i="3"/>
  <c r="BO166" i="3"/>
  <c r="BO162" i="3"/>
  <c r="BM162" i="3" s="1"/>
  <c r="BO5" i="3"/>
  <c r="BO35" i="3"/>
  <c r="BM35" i="3" s="1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BM65" i="3" s="1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BM177" i="3" s="1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M126" i="3" s="1"/>
  <c r="BQ30" i="3"/>
  <c r="BU24" i="3"/>
  <c r="BU137" i="3"/>
  <c r="BS42" i="3"/>
  <c r="BO113" i="3"/>
  <c r="BM113" i="3" s="1"/>
  <c r="BS24" i="3"/>
  <c r="BM17" i="3" l="1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<sst xmlns="http://schemas.openxmlformats.org/spreadsheetml/2006/main" count="592" uniqueCount="237">
  <si>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</si>
  <si>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</si>
  <si>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</si>
  <si>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</si>
  <si>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</si>
  <si>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</si>
  <si>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</si>
  <si>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</si>
  <si>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</si>
  <si>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</si>
  <si>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</si>
  <si>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</si>
  <si>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</si>
  <si>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</si>
  <si>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</si>
  <si>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</si>
  <si>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</si>
  <si>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</si>
  <si>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</si>
  <si>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</si>
  <si>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</si>
  <si>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</si>
  <si>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</si>
  <si>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</si>
  <si>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</si>
  <si>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</si>
  <si>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</si>
  <si>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</si>
  <si>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</si>
  <si>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</si>
  <si>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</si>
  <si>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</si>
  <si>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</si>
  <si>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</si>
  <si>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</si>
  <si>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</si>
  <si>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</si>
  <si>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</si>
  <si>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</si>
  <si>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</si>
  <si>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</si>
  <si>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</si>
  <si>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</si>
  <si>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</si>
  <si>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</si>
  <si>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</si>
  <si>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</si>
  <si>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</si>
  <si>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</si>
  <si>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</si>
  <si>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</si>
  <si>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</si>
  <si>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</si>
  <si>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</si>
  <si>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</si>
  <si>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</si>
  <si>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</si>
  <si>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</si>
  <si>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</si>
  <si>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</si>
  <si>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</si>
  <si>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</si>
  <si>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</si>
  <si>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</si>
  <si>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</si>
  <si>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</si>
  <si>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</si>
  <si>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</si>
  <si>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</si>
  <si>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</si>
  <si>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</si>
  <si>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</si>
  <si>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</si>
  <si>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</si>
  <si>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</si>
  <si>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</si>
  <si>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</si>
  <si>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</si>
  <si>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</si>
  <si>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</si>
  <si>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</si>
  <si>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</si>
  <si>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</si>
  <si>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</si>
  <si>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</si>
  <si>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</si>
  <si>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</si>
  <si>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</si>
  <si>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</si>
  <si>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</si>
  <si>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</si>
  <si>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</si>
  <si>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</si>
  <si>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</si>
  <si>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</si>
  <si>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</si>
  <si>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</si>
  <si>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</si>
  <si>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</si>
  <si>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</si>
  <si>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</si>
  <si>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</si>
  <si>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</si>
  <si>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</si>
  <si>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</si>
  <si>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</si>
  <si>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</si>
  <si>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</si>
  <si>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</si>
  <si>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</si>
  <si>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</si>
  <si>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</si>
  <si>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</si>
  <si>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</si>
  <si>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</si>
  <si>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</si>
  <si>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</si>
  <si>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</si>
  <si>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</si>
  <si>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</si>
  <si>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</si>
  <si>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</si>
  <si>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</si>
  <si>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</si>
  <si>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</si>
  <si>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</si>
  <si>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</si>
  <si>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</si>
  <si>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</si>
  <si>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</si>
  <si>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</si>
  <si>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</si>
  <si>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</si>
  <si>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</si>
  <si>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</si>
  <si>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</si>
  <si>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</si>
  <si>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</si>
  <si>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</si>
  <si>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</si>
  <si>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</si>
  <si>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</si>
  <si>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</si>
  <si>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</si>
  <si>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</si>
  <si>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</si>
  <si>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</si>
  <si>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</si>
  <si>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</si>
  <si>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</si>
  <si>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</si>
  <si>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</si>
  <si>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</si>
  <si>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</si>
  <si>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</si>
  <si>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</si>
  <si>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</si>
  <si>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</si>
  <si>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</si>
  <si>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</si>
  <si>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</si>
  <si>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</si>
  <si>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</si>
  <si>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</si>
  <si>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</si>
  <si>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</si>
  <si>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</si>
  <si>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</si>
  <si>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</si>
  <si>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</si>
  <si>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</si>
  <si>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</si>
  <si>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</si>
  <si>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</si>
  <si>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</si>
  <si>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</si>
  <si>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</si>
  <si>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</si>
  <si>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</si>
  <si>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</si>
  <si>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</si>
  <si>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</si>
  <si>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</si>
  <si>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</si>
  <si>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</si>
  <si>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</si>
  <si>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</si>
  <si>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</si>
  <si>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</si>
  <si>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</si>
  <si>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</si>
  <si>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</si>
  <si>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</si>
  <si>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</si>
  <si>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</si>
  <si>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</si>
  <si>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</si>
  <si>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</si>
  <si>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</si>
  <si>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</si>
  <si>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</si>
  <si>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</si>
  <si>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</si>
  <si>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</si>
  <si>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</si>
  <si>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</si>
  <si>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</si>
  <si>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</si>
  <si>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</si>
  <si>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</si>
  <si>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</si>
  <si>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</si>
  <si>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</si>
  <si>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</si>
  <si>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</si>
  <si>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</si>
  <si>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</si>
  <si>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</si>
  <si>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</si>
  <si>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</si>
  <si>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</si>
  <si>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</si>
  <si>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</si>
  <si>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</si>
  <si>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</si>
  <si>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</si>
  <si>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</si>
  <si>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</si>
  <si>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</si>
  <si>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</si>
  <si>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</si>
  <si>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</si>
  <si>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</si>
  <si>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</si>
  <si>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</si>
  <si>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</si>
  <si>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baby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</si>
</sst>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ptos Narrow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77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2DCE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39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9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104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127</c:v>
                </c:pt>
                <c:pt idx="1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comments" Target="../comments1.xm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5" bestFit="1" customWidth="1"/>
    <col min="4" max="4" width="10.88671875" style="25" bestFit="1" customWidth="1"/>
    <col min="5" max="5" width="13.5546875" style="25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">
      <c r="C12" s="121"/>
      <c r="D12" s="121"/>
      <c r="E12" s="121"/>
    </row>
    <row r="84" spans="1:19" x14ac:dyDescent="0.3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topLeftCell="D1" workbookViewId="0">
      <pane ySplit="1" topLeftCell="A5" activePane="bottomLeft" state="frozen"/>
      <selection pane="bottomLeft" activeCell="D1" sqref="D1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5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3" max="13" width="25.21875" customWidth="1"/>
    <col min="14" max="14" width="13.88671875" style="78" bestFit="1" customWidth="1"/>
    <col min="16" max="16" width="8.5546875" style="2"/>
    <col min="17" max="17" width="8.5546875" style="2" customWidth="1"/>
    <col min="18" max="18" width="12.5546875" style="133" bestFit="1" customWidth="1"/>
    <col min="19" max="19" width="8.77734375" style="2"/>
    <col min="20" max="20" width="15.5546875" customWidth="1"/>
  </cols>
  <sheetData>
    <row r="1" spans="1:20" ht="20.100000000000001" customHeight="1" x14ac:dyDescent="0.3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10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33">
        <v>6885</v>
      </c>
      <c r="S2" s="169" t="s">
        <v>20</v>
      </c>
      <c r="T2" t="s">
        <v>172</v>
      </c>
    </row>
    <row r="3" spans="1:20" x14ac:dyDescent="0.3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10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33">
        <v>8280</v>
      </c>
      <c r="S3" s="170" t="s">
        <v>20</v>
      </c>
    </row>
    <row r="4" spans="1:20" x14ac:dyDescent="0.3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33">
        <v>2070</v>
      </c>
      <c r="S4" s="169" t="s">
        <v>20</v>
      </c>
      <c r="T4" s="132"/>
    </row>
    <row r="5" spans="1:20" x14ac:dyDescent="0.3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33">
        <v>8955</v>
      </c>
      <c r="S5" s="170" t="s">
        <v>21</v>
      </c>
      <c r="T5" t="s">
        <v>178</v>
      </c>
    </row>
    <row r="6" spans="1:20" x14ac:dyDescent="0.3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33">
        <v>5175</v>
      </c>
      <c r="S6" s="169" t="s">
        <v>20</v>
      </c>
    </row>
    <row r="7" spans="1:20" x14ac:dyDescent="0.3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33">
        <v>7740</v>
      </c>
      <c r="S8" s="2" t="s">
        <v>21</v>
      </c>
    </row>
    <row r="9" spans="1:20" x14ac:dyDescent="0.3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33">
        <v>7245</v>
      </c>
      <c r="S10" s="2" t="s">
        <v>21</v>
      </c>
    </row>
    <row r="11" spans="1:20" x14ac:dyDescent="0.3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">
      <c r="A21" s="148">
        <v>20</v>
      </c>
    </row>
    <row r="22" spans="1:20" x14ac:dyDescent="0.3">
      <c r="A22" s="148">
        <v>21</v>
      </c>
      <c r="M22" s="124"/>
    </row>
    <row r="23" spans="1:20" x14ac:dyDescent="0.3">
      <c r="A23" s="149">
        <v>22</v>
      </c>
      <c r="M23" s="124"/>
    </row>
    <row r="24" spans="1:20" x14ac:dyDescent="0.3">
      <c r="A24" s="148">
        <v>23</v>
      </c>
    </row>
    <row r="25" spans="1:20" x14ac:dyDescent="0.3">
      <c r="A25" s="148">
        <v>24</v>
      </c>
      <c r="M25" s="124"/>
    </row>
    <row r="26" spans="1:20" x14ac:dyDescent="0.3">
      <c r="A26" s="149">
        <v>25</v>
      </c>
      <c r="M26" s="124"/>
    </row>
    <row r="27" spans="1:20" x14ac:dyDescent="0.3">
      <c r="A27" s="148">
        <v>26</v>
      </c>
      <c r="N27" s="168"/>
    </row>
    <row r="28" spans="1:20" x14ac:dyDescent="0.3">
      <c r="A28" s="148">
        <v>27</v>
      </c>
      <c r="M28" s="124"/>
    </row>
    <row r="29" spans="1:20" x14ac:dyDescent="0.3">
      <c r="A29" s="149">
        <v>28</v>
      </c>
      <c r="M29" s="124"/>
    </row>
    <row r="30" spans="1:20" x14ac:dyDescent="0.3">
      <c r="A30" s="148">
        <v>29</v>
      </c>
      <c r="M30" s="124"/>
    </row>
    <row r="31" spans="1:20" x14ac:dyDescent="0.3">
      <c r="A31" s="148">
        <v>30</v>
      </c>
    </row>
    <row r="32" spans="1:20" x14ac:dyDescent="0.3">
      <c r="A32" s="149">
        <v>31</v>
      </c>
    </row>
    <row r="33" spans="1:13" x14ac:dyDescent="0.3">
      <c r="A33" s="148">
        <v>32</v>
      </c>
    </row>
    <row r="34" spans="1:13" x14ac:dyDescent="0.3">
      <c r="A34" s="148">
        <v>33</v>
      </c>
      <c r="M34" s="124"/>
    </row>
    <row r="35" spans="1:13" x14ac:dyDescent="0.3">
      <c r="A35" s="149">
        <v>34</v>
      </c>
    </row>
    <row r="36" spans="1:13" x14ac:dyDescent="0.3">
      <c r="A36" s="148">
        <v>35</v>
      </c>
    </row>
    <row r="37" spans="1:13" x14ac:dyDescent="0.3">
      <c r="A37" s="148">
        <v>36</v>
      </c>
      <c r="M37" s="124"/>
    </row>
    <row r="38" spans="1:13" x14ac:dyDescent="0.3">
      <c r="A38" s="149">
        <v>37</v>
      </c>
      <c r="M38" s="124"/>
    </row>
    <row r="39" spans="1:13" x14ac:dyDescent="0.3">
      <c r="A39" s="148">
        <v>38</v>
      </c>
      <c r="M39" s="124"/>
    </row>
    <row r="40" spans="1:13" x14ac:dyDescent="0.3">
      <c r="A40" s="2">
        <v>39</v>
      </c>
    </row>
    <row r="41" spans="1:13" x14ac:dyDescent="0.3">
      <c r="A41" s="2">
        <v>40</v>
      </c>
      <c r="M41" s="124"/>
    </row>
    <row r="42" spans="1:13" x14ac:dyDescent="0.3">
      <c r="A42" s="2">
        <v>41</v>
      </c>
      <c r="M42" s="124"/>
    </row>
    <row r="43" spans="1:13" x14ac:dyDescent="0.3">
      <c r="A43" s="2">
        <v>42</v>
      </c>
      <c r="M43" s="124"/>
    </row>
    <row r="44" spans="1:13" x14ac:dyDescent="0.3">
      <c r="A44" s="2">
        <v>43</v>
      </c>
    </row>
    <row r="45" spans="1:13" x14ac:dyDescent="0.3">
      <c r="A45" s="2">
        <v>44</v>
      </c>
    </row>
    <row r="46" spans="1:13" x14ac:dyDescent="0.3">
      <c r="A46" s="2">
        <v>45</v>
      </c>
    </row>
    <row r="47" spans="1:13" x14ac:dyDescent="0.3">
      <c r="A47" s="2">
        <v>46</v>
      </c>
      <c r="M47" s="124"/>
    </row>
    <row r="48" spans="1:13" x14ac:dyDescent="0.3">
      <c r="A48" s="2">
        <v>47</v>
      </c>
    </row>
    <row r="49" spans="1:13" x14ac:dyDescent="0.3">
      <c r="A49" s="2">
        <v>48</v>
      </c>
      <c r="M49" s="124"/>
    </row>
    <row r="50" spans="1:13" x14ac:dyDescent="0.3">
      <c r="A50" s="2">
        <v>49</v>
      </c>
      <c r="M50" s="124"/>
    </row>
    <row r="51" spans="1:13" x14ac:dyDescent="0.3">
      <c r="A51" s="2">
        <v>50</v>
      </c>
    </row>
    <row r="52" spans="1:13" x14ac:dyDescent="0.3">
      <c r="A52" s="2">
        <v>51</v>
      </c>
      <c r="M52" s="124"/>
    </row>
    <row r="53" spans="1:13" x14ac:dyDescent="0.3">
      <c r="A53" s="2">
        <v>52</v>
      </c>
      <c r="M53" s="124"/>
    </row>
    <row r="54" spans="1:13" x14ac:dyDescent="0.3">
      <c r="A54" s="2">
        <v>53</v>
      </c>
    </row>
    <row r="55" spans="1:13" x14ac:dyDescent="0.3">
      <c r="A55" s="2">
        <v>54</v>
      </c>
      <c r="M55" s="124"/>
    </row>
    <row r="56" spans="1:13" x14ac:dyDescent="0.3">
      <c r="A56" s="2">
        <v>55</v>
      </c>
      <c r="M56" s="124"/>
    </row>
    <row r="57" spans="1:13" x14ac:dyDescent="0.3">
      <c r="A57" s="2">
        <v>56</v>
      </c>
      <c r="M57" s="124"/>
    </row>
    <row r="58" spans="1:13" x14ac:dyDescent="0.3">
      <c r="A58" s="2">
        <v>57</v>
      </c>
    </row>
    <row r="59" spans="1:13" x14ac:dyDescent="0.3">
      <c r="A59" s="2">
        <v>58</v>
      </c>
      <c r="M59" s="124"/>
    </row>
    <row r="60" spans="1:13" x14ac:dyDescent="0.3">
      <c r="A60" s="2">
        <v>59</v>
      </c>
      <c r="M60" s="124"/>
    </row>
    <row r="61" spans="1:13" x14ac:dyDescent="0.3">
      <c r="A61" s="2">
        <v>60</v>
      </c>
    </row>
    <row r="62" spans="1:13" x14ac:dyDescent="0.3">
      <c r="A62" s="2">
        <v>61</v>
      </c>
      <c r="M62" s="124"/>
    </row>
    <row r="63" spans="1:13" x14ac:dyDescent="0.3">
      <c r="A63" s="2">
        <v>62</v>
      </c>
    </row>
    <row r="64" spans="1:13" x14ac:dyDescent="0.3">
      <c r="A64" s="2">
        <v>63</v>
      </c>
      <c r="M64" s="124"/>
    </row>
    <row r="65" spans="1:13" x14ac:dyDescent="0.3">
      <c r="A65" s="2">
        <v>64</v>
      </c>
    </row>
    <row r="66" spans="1:13" x14ac:dyDescent="0.3">
      <c r="A66" s="2">
        <v>65</v>
      </c>
    </row>
    <row r="67" spans="1:13" x14ac:dyDescent="0.3">
      <c r="A67" s="2">
        <v>66</v>
      </c>
    </row>
    <row r="68" spans="1:13" x14ac:dyDescent="0.3">
      <c r="A68" s="2">
        <v>67</v>
      </c>
      <c r="M68" s="124"/>
    </row>
    <row r="69" spans="1:13" x14ac:dyDescent="0.3">
      <c r="A69" s="2">
        <v>68</v>
      </c>
    </row>
    <row r="70" spans="1:13" x14ac:dyDescent="0.3">
      <c r="A70" s="2">
        <v>69</v>
      </c>
    </row>
    <row r="71" spans="1:13" x14ac:dyDescent="0.3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</hyperlinks>
  <pageMargins left="0.7" right="0.7" top="0.75" bottom="0.75" header="0.3" footer="0.3"/>
  <legacyDrawing r:id="rId1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AP1" workbookViewId="0">
      <pane ySplit="1" topLeftCell="A197" activePane="bottomLeft" state="frozen"/>
      <selection pane="bottomLeft" activeCell="BP199" sqref="BP199"/>
    </sheetView>
  </sheetViews>
  <sheetFormatPr defaultRowHeight="14.4" x14ac:dyDescent="0.3"/>
  <cols>
    <col min="1" max="1" width="6.5546875" bestFit="1" customWidth="1"/>
    <col min="2" max="2" width="8.5546875" style="25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</cols>
  <sheetData>
    <row r="1" spans="1:73" x14ac:dyDescent="0.3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>
        <f>BM201</f>
        <v>0</v>
      </c>
      <c r="BU1" s="2">
        <f>BT1</f>
        <v>0</v>
      </c>
    </row>
    <row r="2" spans="1:73" x14ac:dyDescent="0.3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 t="shared" ref="M3:M34" si="9">IF(B3&lt;$L$1,C3*D3,0)</f>
        <v>8</v>
      </c>
      <c r="N3">
        <f t="shared" ref="N3:W12" si="10">IF($B3&lt;N$1,$C3*$D3,0)</f>
        <v>8</v>
      </c>
      <c r="O3">
        <f t="shared" si="10"/>
        <v>8</v>
      </c>
      <c r="P3">
        <f t="shared" si="10"/>
        <v>8</v>
      </c>
      <c r="Q3">
        <f t="shared" si="10"/>
        <v>8</v>
      </c>
      <c r="R3">
        <f t="shared" si="10"/>
        <v>8</v>
      </c>
      <c r="S3">
        <f t="shared" si="10"/>
        <v>8</v>
      </c>
      <c r="T3">
        <f t="shared" si="10"/>
        <v>8</v>
      </c>
      <c r="U3">
        <f t="shared" si="10"/>
        <v>8</v>
      </c>
      <c r="V3">
        <f t="shared" si="10"/>
        <v>8</v>
      </c>
      <c r="W3">
        <f t="shared" si="10"/>
        <v>8</v>
      </c>
      <c r="X3">
        <f t="shared" ref="X3:AG12" si="11">IF($B3&lt;X$1,$C3*$D3,0)</f>
        <v>8</v>
      </c>
      <c r="Y3">
        <f t="shared" si="11"/>
        <v>8</v>
      </c>
      <c r="Z3">
        <f t="shared" si="11"/>
        <v>8</v>
      </c>
      <c r="AA3">
        <f t="shared" si="11"/>
        <v>8</v>
      </c>
      <c r="AB3">
        <f t="shared" si="11"/>
        <v>8</v>
      </c>
      <c r="AC3">
        <f t="shared" si="11"/>
        <v>8</v>
      </c>
      <c r="AD3">
        <f t="shared" si="11"/>
        <v>8</v>
      </c>
      <c r="AE3">
        <f t="shared" si="11"/>
        <v>8</v>
      </c>
      <c r="AF3">
        <f t="shared" si="11"/>
        <v>8</v>
      </c>
      <c r="AG3">
        <f t="shared" si="11"/>
        <v>8</v>
      </c>
      <c r="AH3">
        <f t="shared" ref="AH3:AQ12" si="12">IF($B3&lt;AH$1,$C3*$D3,0)</f>
        <v>8</v>
      </c>
      <c r="AI3">
        <f t="shared" si="12"/>
        <v>8</v>
      </c>
      <c r="AJ3">
        <f t="shared" si="12"/>
        <v>8</v>
      </c>
      <c r="AK3">
        <f t="shared" si="12"/>
        <v>8</v>
      </c>
      <c r="AL3">
        <f t="shared" si="12"/>
        <v>8</v>
      </c>
      <c r="AM3">
        <f t="shared" si="12"/>
        <v>8</v>
      </c>
      <c r="AN3">
        <f t="shared" si="12"/>
        <v>8</v>
      </c>
      <c r="AO3">
        <f t="shared" si="12"/>
        <v>8</v>
      </c>
      <c r="AP3">
        <f t="shared" si="12"/>
        <v>8</v>
      </c>
      <c r="AQ3">
        <f t="shared" si="12"/>
        <v>8</v>
      </c>
      <c r="AR3">
        <f t="shared" ref="AR3:AX12" si="13">IF($B3&lt;AR$1,$C3*$D3,0)</f>
        <v>8</v>
      </c>
      <c r="AS3">
        <f t="shared" si="13"/>
        <v>8</v>
      </c>
      <c r="AT3">
        <f t="shared" si="13"/>
        <v>8</v>
      </c>
      <c r="AU3">
        <f t="shared" si="13"/>
        <v>8</v>
      </c>
      <c r="AV3">
        <f t="shared" si="13"/>
        <v>8</v>
      </c>
      <c r="AW3">
        <f t="shared" si="13"/>
        <v>8</v>
      </c>
      <c r="AX3">
        <f t="shared" si="13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si="0"/>
        <v>2</v>
      </c>
      <c r="L4">
        <f t="shared" si="1"/>
        <v>2</v>
      </c>
      <c r="M4">
        <f t="shared" si="9"/>
        <v>2</v>
      </c>
      <c r="N4">
        <f t="shared" si="10"/>
        <v>2</v>
      </c>
      <c r="O4">
        <f t="shared" si="10"/>
        <v>2</v>
      </c>
      <c r="P4">
        <f t="shared" si="10"/>
        <v>2</v>
      </c>
      <c r="Q4">
        <f t="shared" si="10"/>
        <v>2</v>
      </c>
      <c r="R4">
        <f t="shared" si="10"/>
        <v>2</v>
      </c>
      <c r="S4">
        <f t="shared" si="10"/>
        <v>2</v>
      </c>
      <c r="T4">
        <f t="shared" si="10"/>
        <v>2</v>
      </c>
      <c r="U4">
        <f t="shared" si="10"/>
        <v>2</v>
      </c>
      <c r="V4">
        <f t="shared" si="10"/>
        <v>2</v>
      </c>
      <c r="W4">
        <f t="shared" si="10"/>
        <v>2</v>
      </c>
      <c r="X4">
        <f t="shared" si="11"/>
        <v>2</v>
      </c>
      <c r="Y4">
        <f t="shared" si="11"/>
        <v>2</v>
      </c>
      <c r="Z4">
        <f t="shared" si="11"/>
        <v>2</v>
      </c>
      <c r="AA4">
        <f t="shared" si="11"/>
        <v>2</v>
      </c>
      <c r="AB4">
        <f t="shared" si="11"/>
        <v>2</v>
      </c>
      <c r="AC4">
        <f t="shared" si="11"/>
        <v>2</v>
      </c>
      <c r="AD4">
        <f t="shared" si="11"/>
        <v>2</v>
      </c>
      <c r="AE4">
        <f t="shared" si="11"/>
        <v>2</v>
      </c>
      <c r="AF4">
        <f t="shared" si="11"/>
        <v>2</v>
      </c>
      <c r="AG4">
        <f t="shared" si="11"/>
        <v>2</v>
      </c>
      <c r="AH4">
        <f t="shared" si="12"/>
        <v>2</v>
      </c>
      <c r="AI4">
        <f t="shared" si="12"/>
        <v>2</v>
      </c>
      <c r="AJ4">
        <f t="shared" si="12"/>
        <v>2</v>
      </c>
      <c r="AK4">
        <f t="shared" si="12"/>
        <v>2</v>
      </c>
      <c r="AL4">
        <f t="shared" si="12"/>
        <v>2</v>
      </c>
      <c r="AM4">
        <f t="shared" si="12"/>
        <v>2</v>
      </c>
      <c r="AN4">
        <f t="shared" si="12"/>
        <v>2</v>
      </c>
      <c r="AO4">
        <f t="shared" si="12"/>
        <v>2</v>
      </c>
      <c r="AP4">
        <f t="shared" si="12"/>
        <v>2</v>
      </c>
      <c r="AQ4">
        <f t="shared" si="12"/>
        <v>2</v>
      </c>
      <c r="AR4">
        <f t="shared" si="13"/>
        <v>2</v>
      </c>
      <c r="AS4">
        <f t="shared" si="13"/>
        <v>2</v>
      </c>
      <c r="AT4">
        <f t="shared" si="13"/>
        <v>2</v>
      </c>
      <c r="AU4">
        <f t="shared" si="13"/>
        <v>2</v>
      </c>
      <c r="AV4">
        <f t="shared" si="13"/>
        <v>2</v>
      </c>
      <c r="AW4">
        <f t="shared" si="13"/>
        <v>2</v>
      </c>
      <c r="AX4">
        <f t="shared" si="13"/>
        <v>2</v>
      </c>
      <c r="BB4" s="35">
        <f t="shared" ref="BB4:BB67" si="14">IF(AND($D4&gt;0,$G4=BB$1),$F4,0)</f>
        <v>2</v>
      </c>
      <c r="BC4" s="35">
        <f t="shared" ref="BC4:BC67" si="15">IF(AND($D4&gt;0,$G4=BC$1),$D4,0)</f>
        <v>2</v>
      </c>
      <c r="BD4" s="35">
        <f t="shared" ref="BD4:BD67" si="16">IF(AND($D4&gt;0,$G4=BD$1),$F4,0)</f>
        <v>0</v>
      </c>
      <c r="BE4" s="35">
        <f t="shared" ref="BE4:BE67" si="17">IF(AND($D4&gt;0,$G4=BE$1),$D4,0)</f>
        <v>0</v>
      </c>
      <c r="BF4" s="35">
        <f t="shared" ref="BF4:BF67" si="18">IF(AND($D4&gt;0,$G4=BF$1),$F4,0)</f>
        <v>0</v>
      </c>
      <c r="BG4" s="35">
        <f t="shared" ref="BG4:BG67" si="19">IF(AND($D4&gt;0,$G4=BG$1),$D4,0)</f>
        <v>0</v>
      </c>
      <c r="BH4" s="35">
        <f t="shared" ref="BH4:BH67" si="20">IF(AND($D4&gt;0,$G4=BH$1),$F4,0)</f>
        <v>0</v>
      </c>
      <c r="BI4" s="35">
        <f t="shared" ref="BI4:BI67" si="21">IF(AND($D4&gt;0,$G4=BI$1),$D4,0)</f>
        <v>0</v>
      </c>
      <c r="BJ4" s="35">
        <f t="shared" ref="BJ4:BJ67" si="22">IF(AND($D4&gt;0,$G4=BJ$1),$F4,0)</f>
        <v>0</v>
      </c>
      <c r="BK4" s="35">
        <f t="shared" ref="BK4:BK67" si="23">IF(AND($D4&gt;0,$G4=BK$1),$D4,0)</f>
        <v>0</v>
      </c>
      <c r="BL4" s="35">
        <f t="shared" ref="BL4:BL67" si="24">BN4+BP4+BR4+BT4</f>
        <v>0</v>
      </c>
      <c r="BM4" s="35">
        <f t="shared" ref="BM4:BM67" si="25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0"/>
        <v>8</v>
      </c>
      <c r="L5">
        <f t="shared" si="1"/>
        <v>8</v>
      </c>
      <c r="M5">
        <f t="shared" si="9"/>
        <v>8</v>
      </c>
      <c r="N5">
        <f t="shared" si="10"/>
        <v>8</v>
      </c>
      <c r="O5">
        <f t="shared" si="10"/>
        <v>8</v>
      </c>
      <c r="P5">
        <f t="shared" si="10"/>
        <v>8</v>
      </c>
      <c r="Q5">
        <f t="shared" si="10"/>
        <v>8</v>
      </c>
      <c r="R5">
        <f t="shared" si="10"/>
        <v>8</v>
      </c>
      <c r="S5">
        <f t="shared" si="10"/>
        <v>8</v>
      </c>
      <c r="T5">
        <f t="shared" si="10"/>
        <v>8</v>
      </c>
      <c r="U5">
        <f t="shared" si="10"/>
        <v>8</v>
      </c>
      <c r="V5">
        <f t="shared" si="10"/>
        <v>8</v>
      </c>
      <c r="W5">
        <f t="shared" si="10"/>
        <v>8</v>
      </c>
      <c r="X5">
        <f t="shared" si="11"/>
        <v>8</v>
      </c>
      <c r="Y5">
        <f t="shared" si="11"/>
        <v>8</v>
      </c>
      <c r="Z5">
        <f t="shared" si="11"/>
        <v>8</v>
      </c>
      <c r="AA5">
        <f t="shared" si="11"/>
        <v>8</v>
      </c>
      <c r="AB5">
        <f t="shared" si="11"/>
        <v>8</v>
      </c>
      <c r="AC5">
        <f t="shared" si="11"/>
        <v>8</v>
      </c>
      <c r="AD5">
        <f t="shared" si="11"/>
        <v>8</v>
      </c>
      <c r="AE5">
        <f t="shared" si="11"/>
        <v>8</v>
      </c>
      <c r="AF5">
        <f t="shared" si="11"/>
        <v>8</v>
      </c>
      <c r="AG5">
        <f t="shared" si="11"/>
        <v>8</v>
      </c>
      <c r="AH5">
        <f t="shared" si="12"/>
        <v>8</v>
      </c>
      <c r="AI5">
        <f t="shared" si="12"/>
        <v>8</v>
      </c>
      <c r="AJ5">
        <f t="shared" si="12"/>
        <v>8</v>
      </c>
      <c r="AK5">
        <f t="shared" si="12"/>
        <v>8</v>
      </c>
      <c r="AL5">
        <f t="shared" si="12"/>
        <v>8</v>
      </c>
      <c r="AM5">
        <f t="shared" si="12"/>
        <v>8</v>
      </c>
      <c r="AN5">
        <f t="shared" si="12"/>
        <v>8</v>
      </c>
      <c r="AO5">
        <f t="shared" si="12"/>
        <v>8</v>
      </c>
      <c r="AP5">
        <f t="shared" si="12"/>
        <v>8</v>
      </c>
      <c r="AQ5">
        <f t="shared" si="12"/>
        <v>8</v>
      </c>
      <c r="AR5">
        <f t="shared" si="13"/>
        <v>8</v>
      </c>
      <c r="AS5">
        <f t="shared" si="13"/>
        <v>8</v>
      </c>
      <c r="AT5">
        <f t="shared" si="13"/>
        <v>8</v>
      </c>
      <c r="AU5">
        <f t="shared" si="13"/>
        <v>8</v>
      </c>
      <c r="AV5">
        <f t="shared" si="13"/>
        <v>8</v>
      </c>
      <c r="AW5">
        <f t="shared" si="13"/>
        <v>8</v>
      </c>
      <c r="AX5">
        <f t="shared" si="13"/>
        <v>8</v>
      </c>
      <c r="BB5" s="35">
        <f t="shared" si="14"/>
        <v>4</v>
      </c>
      <c r="BC5" s="35">
        <f t="shared" si="15"/>
        <v>4</v>
      </c>
      <c r="BD5" s="35">
        <f t="shared" si="16"/>
        <v>0</v>
      </c>
      <c r="BE5" s="35">
        <f t="shared" si="17"/>
        <v>0</v>
      </c>
      <c r="BF5" s="35">
        <f t="shared" si="18"/>
        <v>0</v>
      </c>
      <c r="BG5" s="35">
        <f t="shared" si="19"/>
        <v>0</v>
      </c>
      <c r="BH5" s="35">
        <f t="shared" si="20"/>
        <v>0</v>
      </c>
      <c r="BI5" s="35">
        <f t="shared" si="21"/>
        <v>0</v>
      </c>
      <c r="BJ5" s="35">
        <f t="shared" si="22"/>
        <v>0</v>
      </c>
      <c r="BK5" s="35">
        <f t="shared" si="23"/>
        <v>0</v>
      </c>
      <c r="BL5" s="35">
        <f t="shared" si="24"/>
        <v>0</v>
      </c>
      <c r="BM5" s="35">
        <f t="shared" si="25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0"/>
        <v>5</v>
      </c>
      <c r="L6">
        <f t="shared" si="1"/>
        <v>5</v>
      </c>
      <c r="M6">
        <f t="shared" si="9"/>
        <v>5</v>
      </c>
      <c r="N6">
        <f t="shared" si="10"/>
        <v>5</v>
      </c>
      <c r="O6">
        <f t="shared" si="10"/>
        <v>5</v>
      </c>
      <c r="P6">
        <f t="shared" si="10"/>
        <v>5</v>
      </c>
      <c r="Q6">
        <f t="shared" si="10"/>
        <v>5</v>
      </c>
      <c r="R6">
        <f t="shared" si="10"/>
        <v>5</v>
      </c>
      <c r="S6">
        <f t="shared" si="10"/>
        <v>5</v>
      </c>
      <c r="T6">
        <f t="shared" si="10"/>
        <v>5</v>
      </c>
      <c r="U6">
        <f t="shared" si="10"/>
        <v>5</v>
      </c>
      <c r="V6">
        <f t="shared" si="10"/>
        <v>5</v>
      </c>
      <c r="W6">
        <f t="shared" si="10"/>
        <v>5</v>
      </c>
      <c r="X6">
        <f t="shared" si="11"/>
        <v>5</v>
      </c>
      <c r="Y6">
        <f t="shared" si="11"/>
        <v>5</v>
      </c>
      <c r="Z6">
        <f t="shared" si="11"/>
        <v>5</v>
      </c>
      <c r="AA6">
        <f t="shared" si="11"/>
        <v>5</v>
      </c>
      <c r="AB6">
        <f t="shared" si="11"/>
        <v>5</v>
      </c>
      <c r="AC6">
        <f t="shared" si="11"/>
        <v>5</v>
      </c>
      <c r="AD6">
        <f t="shared" si="11"/>
        <v>5</v>
      </c>
      <c r="AE6">
        <f t="shared" si="11"/>
        <v>5</v>
      </c>
      <c r="AF6">
        <f t="shared" si="11"/>
        <v>5</v>
      </c>
      <c r="AG6">
        <f t="shared" si="11"/>
        <v>5</v>
      </c>
      <c r="AH6">
        <f t="shared" si="12"/>
        <v>5</v>
      </c>
      <c r="AI6">
        <f t="shared" si="12"/>
        <v>5</v>
      </c>
      <c r="AJ6">
        <f t="shared" si="12"/>
        <v>5</v>
      </c>
      <c r="AK6">
        <f t="shared" si="12"/>
        <v>5</v>
      </c>
      <c r="AL6">
        <f t="shared" si="12"/>
        <v>5</v>
      </c>
      <c r="AM6">
        <f t="shared" si="12"/>
        <v>5</v>
      </c>
      <c r="AN6">
        <f t="shared" si="12"/>
        <v>5</v>
      </c>
      <c r="AO6">
        <f t="shared" si="12"/>
        <v>5</v>
      </c>
      <c r="AP6">
        <f t="shared" si="12"/>
        <v>5</v>
      </c>
      <c r="AQ6">
        <f t="shared" si="12"/>
        <v>5</v>
      </c>
      <c r="AR6">
        <f t="shared" si="13"/>
        <v>5</v>
      </c>
      <c r="AS6">
        <f t="shared" si="13"/>
        <v>5</v>
      </c>
      <c r="AT6">
        <f t="shared" si="13"/>
        <v>5</v>
      </c>
      <c r="AU6">
        <f t="shared" si="13"/>
        <v>5</v>
      </c>
      <c r="AV6">
        <f t="shared" si="13"/>
        <v>5</v>
      </c>
      <c r="AW6">
        <f t="shared" si="13"/>
        <v>5</v>
      </c>
      <c r="AX6">
        <f t="shared" si="13"/>
        <v>5</v>
      </c>
      <c r="BB6" s="35">
        <f t="shared" si="14"/>
        <v>2</v>
      </c>
      <c r="BC6" s="35">
        <f t="shared" si="15"/>
        <v>5</v>
      </c>
      <c r="BD6" s="35">
        <f t="shared" si="16"/>
        <v>0</v>
      </c>
      <c r="BE6" s="35">
        <f t="shared" si="17"/>
        <v>0</v>
      </c>
      <c r="BF6" s="35">
        <f t="shared" si="18"/>
        <v>0</v>
      </c>
      <c r="BG6" s="35">
        <f t="shared" si="19"/>
        <v>0</v>
      </c>
      <c r="BH6" s="35">
        <f t="shared" si="20"/>
        <v>0</v>
      </c>
      <c r="BI6" s="35">
        <f t="shared" si="21"/>
        <v>0</v>
      </c>
      <c r="BJ6" s="35">
        <f t="shared" si="22"/>
        <v>0</v>
      </c>
      <c r="BK6" s="35">
        <f t="shared" si="23"/>
        <v>0</v>
      </c>
      <c r="BL6" s="35">
        <f t="shared" si="24"/>
        <v>0</v>
      </c>
      <c r="BM6" s="35">
        <f t="shared" si="25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0"/>
        <v>4</v>
      </c>
      <c r="L7">
        <f t="shared" si="1"/>
        <v>4</v>
      </c>
      <c r="M7">
        <f t="shared" si="9"/>
        <v>4</v>
      </c>
      <c r="N7">
        <f t="shared" si="10"/>
        <v>4</v>
      </c>
      <c r="O7">
        <f t="shared" si="10"/>
        <v>4</v>
      </c>
      <c r="P7">
        <f t="shared" si="10"/>
        <v>4</v>
      </c>
      <c r="Q7">
        <f t="shared" si="10"/>
        <v>4</v>
      </c>
      <c r="R7">
        <f t="shared" si="10"/>
        <v>4</v>
      </c>
      <c r="S7">
        <f t="shared" si="10"/>
        <v>4</v>
      </c>
      <c r="T7">
        <f t="shared" si="10"/>
        <v>4</v>
      </c>
      <c r="U7">
        <f t="shared" si="10"/>
        <v>4</v>
      </c>
      <c r="V7">
        <f t="shared" si="10"/>
        <v>4</v>
      </c>
      <c r="W7">
        <f t="shared" si="10"/>
        <v>4</v>
      </c>
      <c r="X7">
        <f t="shared" si="11"/>
        <v>4</v>
      </c>
      <c r="Y7">
        <f t="shared" si="11"/>
        <v>4</v>
      </c>
      <c r="Z7">
        <f t="shared" si="11"/>
        <v>4</v>
      </c>
      <c r="AA7">
        <f t="shared" si="11"/>
        <v>4</v>
      </c>
      <c r="AB7">
        <f t="shared" si="11"/>
        <v>4</v>
      </c>
      <c r="AC7">
        <f t="shared" si="11"/>
        <v>4</v>
      </c>
      <c r="AD7">
        <f t="shared" si="11"/>
        <v>4</v>
      </c>
      <c r="AE7">
        <f t="shared" si="11"/>
        <v>4</v>
      </c>
      <c r="AF7">
        <f t="shared" si="11"/>
        <v>4</v>
      </c>
      <c r="AG7">
        <f t="shared" si="11"/>
        <v>4</v>
      </c>
      <c r="AH7">
        <f t="shared" si="12"/>
        <v>4</v>
      </c>
      <c r="AI7">
        <f t="shared" si="12"/>
        <v>4</v>
      </c>
      <c r="AJ7">
        <f t="shared" si="12"/>
        <v>4</v>
      </c>
      <c r="AK7">
        <f t="shared" si="12"/>
        <v>4</v>
      </c>
      <c r="AL7">
        <f t="shared" si="12"/>
        <v>4</v>
      </c>
      <c r="AM7">
        <f t="shared" si="12"/>
        <v>4</v>
      </c>
      <c r="AN7">
        <f t="shared" si="12"/>
        <v>4</v>
      </c>
      <c r="AO7">
        <f t="shared" si="12"/>
        <v>4</v>
      </c>
      <c r="AP7">
        <f t="shared" si="12"/>
        <v>4</v>
      </c>
      <c r="AQ7">
        <f t="shared" si="12"/>
        <v>4</v>
      </c>
      <c r="AR7">
        <f t="shared" si="13"/>
        <v>4</v>
      </c>
      <c r="AS7">
        <f t="shared" si="13"/>
        <v>4</v>
      </c>
      <c r="AT7">
        <f t="shared" si="13"/>
        <v>4</v>
      </c>
      <c r="AU7">
        <f t="shared" si="13"/>
        <v>4</v>
      </c>
      <c r="AV7">
        <f t="shared" si="13"/>
        <v>4</v>
      </c>
      <c r="AW7">
        <f t="shared" si="13"/>
        <v>4</v>
      </c>
      <c r="AX7">
        <f t="shared" si="13"/>
        <v>4</v>
      </c>
      <c r="BB7" s="35">
        <f t="shared" si="14"/>
        <v>4</v>
      </c>
      <c r="BC7" s="35">
        <f t="shared" si="15"/>
        <v>2</v>
      </c>
      <c r="BD7" s="35">
        <f t="shared" si="16"/>
        <v>0</v>
      </c>
      <c r="BE7" s="35">
        <f t="shared" si="17"/>
        <v>0</v>
      </c>
      <c r="BF7" s="35">
        <f t="shared" si="18"/>
        <v>0</v>
      </c>
      <c r="BG7" s="35">
        <f t="shared" si="19"/>
        <v>0</v>
      </c>
      <c r="BH7" s="35">
        <f t="shared" si="20"/>
        <v>0</v>
      </c>
      <c r="BI7" s="35">
        <f t="shared" si="21"/>
        <v>0</v>
      </c>
      <c r="BJ7" s="35">
        <f t="shared" si="22"/>
        <v>0</v>
      </c>
      <c r="BK7" s="35">
        <f t="shared" si="23"/>
        <v>0</v>
      </c>
      <c r="BL7" s="35">
        <f t="shared" si="24"/>
        <v>0</v>
      </c>
      <c r="BM7" s="35">
        <f t="shared" si="25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0"/>
        <v>8</v>
      </c>
      <c r="L8">
        <f t="shared" si="1"/>
        <v>8</v>
      </c>
      <c r="M8">
        <f t="shared" si="9"/>
        <v>8</v>
      </c>
      <c r="N8">
        <f t="shared" si="10"/>
        <v>8</v>
      </c>
      <c r="O8">
        <f t="shared" si="10"/>
        <v>8</v>
      </c>
      <c r="P8">
        <f t="shared" si="10"/>
        <v>8</v>
      </c>
      <c r="Q8">
        <f t="shared" si="10"/>
        <v>8</v>
      </c>
      <c r="R8">
        <f t="shared" si="10"/>
        <v>8</v>
      </c>
      <c r="S8">
        <f t="shared" si="10"/>
        <v>8</v>
      </c>
      <c r="T8">
        <f t="shared" si="10"/>
        <v>8</v>
      </c>
      <c r="U8">
        <f t="shared" si="10"/>
        <v>8</v>
      </c>
      <c r="V8">
        <f t="shared" si="10"/>
        <v>8</v>
      </c>
      <c r="W8">
        <f t="shared" si="10"/>
        <v>8</v>
      </c>
      <c r="X8">
        <f t="shared" si="11"/>
        <v>8</v>
      </c>
      <c r="Y8">
        <f t="shared" si="11"/>
        <v>8</v>
      </c>
      <c r="Z8">
        <f t="shared" si="11"/>
        <v>8</v>
      </c>
      <c r="AA8">
        <f t="shared" si="11"/>
        <v>8</v>
      </c>
      <c r="AB8">
        <f t="shared" si="11"/>
        <v>8</v>
      </c>
      <c r="AC8">
        <f t="shared" si="11"/>
        <v>8</v>
      </c>
      <c r="AD8">
        <f t="shared" si="11"/>
        <v>8</v>
      </c>
      <c r="AE8">
        <f t="shared" si="11"/>
        <v>8</v>
      </c>
      <c r="AF8">
        <f t="shared" si="11"/>
        <v>8</v>
      </c>
      <c r="AG8">
        <f t="shared" si="11"/>
        <v>8</v>
      </c>
      <c r="AH8">
        <f t="shared" si="12"/>
        <v>8</v>
      </c>
      <c r="AI8">
        <f t="shared" si="12"/>
        <v>8</v>
      </c>
      <c r="AJ8">
        <f t="shared" si="12"/>
        <v>8</v>
      </c>
      <c r="AK8">
        <f t="shared" si="12"/>
        <v>8</v>
      </c>
      <c r="AL8">
        <f t="shared" si="12"/>
        <v>8</v>
      </c>
      <c r="AM8">
        <f t="shared" si="12"/>
        <v>8</v>
      </c>
      <c r="AN8">
        <f t="shared" si="12"/>
        <v>8</v>
      </c>
      <c r="AO8">
        <f t="shared" si="12"/>
        <v>8</v>
      </c>
      <c r="AP8">
        <f t="shared" si="12"/>
        <v>8</v>
      </c>
      <c r="AQ8">
        <f t="shared" si="12"/>
        <v>8</v>
      </c>
      <c r="AR8">
        <f t="shared" si="13"/>
        <v>8</v>
      </c>
      <c r="AS8">
        <f t="shared" si="13"/>
        <v>8</v>
      </c>
      <c r="AT8">
        <f t="shared" si="13"/>
        <v>8</v>
      </c>
      <c r="AU8">
        <f t="shared" si="13"/>
        <v>8</v>
      </c>
      <c r="AV8">
        <f t="shared" si="13"/>
        <v>8</v>
      </c>
      <c r="AW8">
        <f t="shared" si="13"/>
        <v>8</v>
      </c>
      <c r="AX8">
        <f t="shared" si="13"/>
        <v>8</v>
      </c>
      <c r="BB8" s="35">
        <f t="shared" si="14"/>
        <v>2</v>
      </c>
      <c r="BC8" s="35">
        <f t="shared" si="15"/>
        <v>8</v>
      </c>
      <c r="BD8" s="35">
        <f t="shared" si="16"/>
        <v>0</v>
      </c>
      <c r="BE8" s="35">
        <f t="shared" si="17"/>
        <v>0</v>
      </c>
      <c r="BF8" s="35">
        <f t="shared" si="18"/>
        <v>0</v>
      </c>
      <c r="BG8" s="35">
        <f t="shared" si="19"/>
        <v>0</v>
      </c>
      <c r="BH8" s="35">
        <f t="shared" si="20"/>
        <v>0</v>
      </c>
      <c r="BI8" s="35">
        <f t="shared" si="21"/>
        <v>0</v>
      </c>
      <c r="BJ8" s="35">
        <f t="shared" si="22"/>
        <v>0</v>
      </c>
      <c r="BK8" s="35">
        <f t="shared" si="23"/>
        <v>0</v>
      </c>
      <c r="BL8" s="35">
        <f t="shared" si="24"/>
        <v>0</v>
      </c>
      <c r="BM8" s="35">
        <f t="shared" si="25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0"/>
        <v>5</v>
      </c>
      <c r="L9">
        <f t="shared" si="1"/>
        <v>5</v>
      </c>
      <c r="M9">
        <f t="shared" si="9"/>
        <v>5</v>
      </c>
      <c r="N9">
        <f t="shared" si="10"/>
        <v>5</v>
      </c>
      <c r="O9">
        <f t="shared" si="10"/>
        <v>5</v>
      </c>
      <c r="P9">
        <f t="shared" si="10"/>
        <v>5</v>
      </c>
      <c r="Q9">
        <f t="shared" si="10"/>
        <v>5</v>
      </c>
      <c r="R9">
        <f t="shared" si="10"/>
        <v>5</v>
      </c>
      <c r="S9">
        <f t="shared" si="10"/>
        <v>5</v>
      </c>
      <c r="T9">
        <f t="shared" si="10"/>
        <v>5</v>
      </c>
      <c r="U9">
        <f t="shared" si="10"/>
        <v>5</v>
      </c>
      <c r="V9">
        <f t="shared" si="10"/>
        <v>5</v>
      </c>
      <c r="W9">
        <f t="shared" si="10"/>
        <v>5</v>
      </c>
      <c r="X9">
        <f t="shared" si="11"/>
        <v>5</v>
      </c>
      <c r="Y9">
        <f t="shared" si="11"/>
        <v>5</v>
      </c>
      <c r="Z9">
        <f t="shared" si="11"/>
        <v>5</v>
      </c>
      <c r="AA9">
        <f t="shared" si="11"/>
        <v>5</v>
      </c>
      <c r="AB9">
        <f t="shared" si="11"/>
        <v>5</v>
      </c>
      <c r="AC9">
        <f t="shared" si="11"/>
        <v>5</v>
      </c>
      <c r="AD9">
        <f t="shared" si="11"/>
        <v>5</v>
      </c>
      <c r="AE9">
        <f t="shared" si="11"/>
        <v>5</v>
      </c>
      <c r="AF9">
        <f t="shared" si="11"/>
        <v>5</v>
      </c>
      <c r="AG9">
        <f t="shared" si="11"/>
        <v>5</v>
      </c>
      <c r="AH9">
        <f t="shared" si="12"/>
        <v>5</v>
      </c>
      <c r="AI9">
        <f t="shared" si="12"/>
        <v>5</v>
      </c>
      <c r="AJ9">
        <f t="shared" si="12"/>
        <v>5</v>
      </c>
      <c r="AK9">
        <f t="shared" si="12"/>
        <v>5</v>
      </c>
      <c r="AL9">
        <f t="shared" si="12"/>
        <v>5</v>
      </c>
      <c r="AM9">
        <f t="shared" si="12"/>
        <v>5</v>
      </c>
      <c r="AN9">
        <f t="shared" si="12"/>
        <v>5</v>
      </c>
      <c r="AO9">
        <f t="shared" si="12"/>
        <v>5</v>
      </c>
      <c r="AP9">
        <f t="shared" si="12"/>
        <v>5</v>
      </c>
      <c r="AQ9">
        <f t="shared" si="12"/>
        <v>5</v>
      </c>
      <c r="AR9">
        <f t="shared" si="13"/>
        <v>5</v>
      </c>
      <c r="AS9">
        <f t="shared" si="13"/>
        <v>5</v>
      </c>
      <c r="AT9">
        <f t="shared" si="13"/>
        <v>5</v>
      </c>
      <c r="AU9">
        <f t="shared" si="13"/>
        <v>5</v>
      </c>
      <c r="AV9">
        <f t="shared" si="13"/>
        <v>5</v>
      </c>
      <c r="AW9">
        <f t="shared" si="13"/>
        <v>5</v>
      </c>
      <c r="AX9">
        <f t="shared" si="13"/>
        <v>5</v>
      </c>
      <c r="BB9" s="35">
        <f t="shared" si="14"/>
        <v>0</v>
      </c>
      <c r="BC9" s="35">
        <f t="shared" si="15"/>
        <v>0</v>
      </c>
      <c r="BD9" s="35">
        <f t="shared" si="16"/>
        <v>0</v>
      </c>
      <c r="BE9" s="35">
        <f t="shared" si="17"/>
        <v>0</v>
      </c>
      <c r="BF9" s="35">
        <f t="shared" si="18"/>
        <v>0</v>
      </c>
      <c r="BG9" s="35">
        <f t="shared" si="19"/>
        <v>0</v>
      </c>
      <c r="BH9" s="35">
        <f t="shared" si="20"/>
        <v>2</v>
      </c>
      <c r="BI9" s="35">
        <f t="shared" si="21"/>
        <v>5</v>
      </c>
      <c r="BJ9" s="35">
        <f t="shared" si="22"/>
        <v>0</v>
      </c>
      <c r="BK9" s="35">
        <f t="shared" si="23"/>
        <v>0</v>
      </c>
      <c r="BL9" s="35">
        <f t="shared" si="24"/>
        <v>0</v>
      </c>
      <c r="BM9" s="35">
        <f t="shared" si="25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0"/>
        <v>7</v>
      </c>
      <c r="L10">
        <f t="shared" si="1"/>
        <v>7</v>
      </c>
      <c r="M10">
        <f t="shared" si="9"/>
        <v>7</v>
      </c>
      <c r="N10">
        <f t="shared" si="10"/>
        <v>7</v>
      </c>
      <c r="O10">
        <f t="shared" si="10"/>
        <v>7</v>
      </c>
      <c r="P10">
        <f t="shared" si="10"/>
        <v>7</v>
      </c>
      <c r="Q10">
        <f t="shared" si="10"/>
        <v>7</v>
      </c>
      <c r="R10">
        <f t="shared" si="10"/>
        <v>7</v>
      </c>
      <c r="S10">
        <f t="shared" si="10"/>
        <v>7</v>
      </c>
      <c r="T10">
        <f t="shared" si="10"/>
        <v>7</v>
      </c>
      <c r="U10">
        <f t="shared" si="10"/>
        <v>7</v>
      </c>
      <c r="V10">
        <f t="shared" si="10"/>
        <v>7</v>
      </c>
      <c r="W10">
        <f t="shared" si="10"/>
        <v>7</v>
      </c>
      <c r="X10">
        <f t="shared" si="11"/>
        <v>7</v>
      </c>
      <c r="Y10">
        <f t="shared" si="11"/>
        <v>7</v>
      </c>
      <c r="Z10">
        <f t="shared" si="11"/>
        <v>7</v>
      </c>
      <c r="AA10">
        <f t="shared" si="11"/>
        <v>7</v>
      </c>
      <c r="AB10">
        <f t="shared" si="11"/>
        <v>7</v>
      </c>
      <c r="AC10">
        <f t="shared" si="11"/>
        <v>7</v>
      </c>
      <c r="AD10">
        <f t="shared" si="11"/>
        <v>7</v>
      </c>
      <c r="AE10">
        <f t="shared" si="11"/>
        <v>7</v>
      </c>
      <c r="AF10">
        <f t="shared" si="11"/>
        <v>7</v>
      </c>
      <c r="AG10">
        <f t="shared" si="11"/>
        <v>7</v>
      </c>
      <c r="AH10">
        <f t="shared" si="12"/>
        <v>7</v>
      </c>
      <c r="AI10">
        <f t="shared" si="12"/>
        <v>7</v>
      </c>
      <c r="AJ10">
        <f t="shared" si="12"/>
        <v>7</v>
      </c>
      <c r="AK10">
        <f t="shared" si="12"/>
        <v>7</v>
      </c>
      <c r="AL10">
        <f t="shared" si="12"/>
        <v>7</v>
      </c>
      <c r="AM10">
        <f t="shared" si="12"/>
        <v>7</v>
      </c>
      <c r="AN10">
        <f t="shared" si="12"/>
        <v>7</v>
      </c>
      <c r="AO10">
        <f t="shared" si="12"/>
        <v>7</v>
      </c>
      <c r="AP10">
        <f t="shared" si="12"/>
        <v>7</v>
      </c>
      <c r="AQ10">
        <f t="shared" si="12"/>
        <v>7</v>
      </c>
      <c r="AR10">
        <f t="shared" si="13"/>
        <v>7</v>
      </c>
      <c r="AS10">
        <f t="shared" si="13"/>
        <v>7</v>
      </c>
      <c r="AT10">
        <f t="shared" si="13"/>
        <v>7</v>
      </c>
      <c r="AU10">
        <f t="shared" si="13"/>
        <v>7</v>
      </c>
      <c r="AV10">
        <f t="shared" si="13"/>
        <v>7</v>
      </c>
      <c r="AW10">
        <f t="shared" si="13"/>
        <v>7</v>
      </c>
      <c r="AX10">
        <f t="shared" si="13"/>
        <v>7</v>
      </c>
      <c r="BB10" s="35">
        <f t="shared" si="14"/>
        <v>2</v>
      </c>
      <c r="BC10" s="35">
        <f t="shared" si="15"/>
        <v>7</v>
      </c>
      <c r="BD10" s="35">
        <f t="shared" si="16"/>
        <v>0</v>
      </c>
      <c r="BE10" s="35">
        <f t="shared" si="17"/>
        <v>0</v>
      </c>
      <c r="BF10" s="35">
        <f t="shared" si="18"/>
        <v>0</v>
      </c>
      <c r="BG10" s="35">
        <f t="shared" si="19"/>
        <v>0</v>
      </c>
      <c r="BH10" s="35">
        <f t="shared" si="20"/>
        <v>0</v>
      </c>
      <c r="BI10" s="35">
        <f t="shared" si="21"/>
        <v>0</v>
      </c>
      <c r="BJ10" s="35">
        <f t="shared" si="22"/>
        <v>0</v>
      </c>
      <c r="BK10" s="35">
        <f t="shared" si="23"/>
        <v>0</v>
      </c>
      <c r="BL10" s="35">
        <f t="shared" si="24"/>
        <v>0</v>
      </c>
      <c r="BM10" s="35">
        <f t="shared" si="25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9"/>
        <v>3</v>
      </c>
      <c r="N11">
        <f t="shared" si="10"/>
        <v>3</v>
      </c>
      <c r="O11">
        <f t="shared" si="10"/>
        <v>3</v>
      </c>
      <c r="P11">
        <f t="shared" si="10"/>
        <v>3</v>
      </c>
      <c r="Q11">
        <f t="shared" si="10"/>
        <v>3</v>
      </c>
      <c r="R11">
        <f t="shared" si="10"/>
        <v>3</v>
      </c>
      <c r="S11">
        <f t="shared" si="10"/>
        <v>3</v>
      </c>
      <c r="T11">
        <f t="shared" si="10"/>
        <v>3</v>
      </c>
      <c r="U11">
        <f t="shared" si="10"/>
        <v>3</v>
      </c>
      <c r="V11">
        <f t="shared" si="10"/>
        <v>3</v>
      </c>
      <c r="W11">
        <f t="shared" si="10"/>
        <v>3</v>
      </c>
      <c r="X11">
        <f t="shared" si="11"/>
        <v>3</v>
      </c>
      <c r="Y11">
        <f t="shared" si="11"/>
        <v>3</v>
      </c>
      <c r="Z11">
        <f t="shared" si="11"/>
        <v>3</v>
      </c>
      <c r="AA11">
        <f t="shared" si="11"/>
        <v>3</v>
      </c>
      <c r="AB11">
        <f t="shared" si="11"/>
        <v>3</v>
      </c>
      <c r="AC11">
        <f t="shared" si="11"/>
        <v>3</v>
      </c>
      <c r="AD11">
        <f t="shared" si="11"/>
        <v>3</v>
      </c>
      <c r="AE11">
        <f t="shared" si="11"/>
        <v>3</v>
      </c>
      <c r="AF11">
        <f t="shared" si="11"/>
        <v>3</v>
      </c>
      <c r="AG11">
        <f t="shared" si="11"/>
        <v>3</v>
      </c>
      <c r="AH11">
        <f t="shared" si="12"/>
        <v>3</v>
      </c>
      <c r="AI11">
        <f t="shared" si="12"/>
        <v>3</v>
      </c>
      <c r="AJ11">
        <f t="shared" si="12"/>
        <v>3</v>
      </c>
      <c r="AK11">
        <f t="shared" si="12"/>
        <v>3</v>
      </c>
      <c r="AL11">
        <f t="shared" si="12"/>
        <v>3</v>
      </c>
      <c r="AM11">
        <f t="shared" si="12"/>
        <v>3</v>
      </c>
      <c r="AN11">
        <f t="shared" si="12"/>
        <v>3</v>
      </c>
      <c r="AO11">
        <f t="shared" si="12"/>
        <v>3</v>
      </c>
      <c r="AP11">
        <f t="shared" si="12"/>
        <v>3</v>
      </c>
      <c r="AQ11">
        <f t="shared" si="12"/>
        <v>3</v>
      </c>
      <c r="AR11">
        <f t="shared" si="13"/>
        <v>3</v>
      </c>
      <c r="AS11">
        <f t="shared" si="13"/>
        <v>3</v>
      </c>
      <c r="AT11">
        <f t="shared" si="13"/>
        <v>3</v>
      </c>
      <c r="AU11">
        <f t="shared" si="13"/>
        <v>3</v>
      </c>
      <c r="AV11">
        <f t="shared" si="13"/>
        <v>3</v>
      </c>
      <c r="AW11">
        <f t="shared" si="13"/>
        <v>3</v>
      </c>
      <c r="AX11">
        <f t="shared" si="13"/>
        <v>3</v>
      </c>
      <c r="BB11" s="35">
        <f t="shared" si="14"/>
        <v>2</v>
      </c>
      <c r="BC11" s="35">
        <f t="shared" si="15"/>
        <v>3</v>
      </c>
      <c r="BD11" s="35">
        <f t="shared" si="16"/>
        <v>0</v>
      </c>
      <c r="BE11" s="35">
        <f t="shared" si="17"/>
        <v>0</v>
      </c>
      <c r="BF11" s="35">
        <f t="shared" si="18"/>
        <v>0</v>
      </c>
      <c r="BG11" s="35">
        <f t="shared" si="19"/>
        <v>0</v>
      </c>
      <c r="BH11" s="35">
        <f t="shared" si="20"/>
        <v>0</v>
      </c>
      <c r="BI11" s="35">
        <f t="shared" si="21"/>
        <v>0</v>
      </c>
      <c r="BJ11" s="35">
        <f t="shared" si="22"/>
        <v>0</v>
      </c>
      <c r="BK11" s="35">
        <f t="shared" si="23"/>
        <v>0</v>
      </c>
      <c r="BL11" s="35">
        <f t="shared" si="24"/>
        <v>0</v>
      </c>
      <c r="BM11" s="35">
        <f t="shared" si="25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9"/>
        <v>5</v>
      </c>
      <c r="N12">
        <f t="shared" si="10"/>
        <v>5</v>
      </c>
      <c r="O12">
        <f t="shared" si="10"/>
        <v>5</v>
      </c>
      <c r="P12">
        <f t="shared" si="10"/>
        <v>5</v>
      </c>
      <c r="Q12">
        <f t="shared" si="10"/>
        <v>5</v>
      </c>
      <c r="R12">
        <f t="shared" si="10"/>
        <v>5</v>
      </c>
      <c r="S12">
        <f t="shared" si="10"/>
        <v>5</v>
      </c>
      <c r="T12">
        <f t="shared" si="10"/>
        <v>5</v>
      </c>
      <c r="U12">
        <f t="shared" si="10"/>
        <v>5</v>
      </c>
      <c r="V12">
        <f t="shared" si="10"/>
        <v>5</v>
      </c>
      <c r="W12">
        <f t="shared" si="10"/>
        <v>5</v>
      </c>
      <c r="X12">
        <f t="shared" si="11"/>
        <v>5</v>
      </c>
      <c r="Y12">
        <f t="shared" si="11"/>
        <v>5</v>
      </c>
      <c r="Z12">
        <f t="shared" si="11"/>
        <v>5</v>
      </c>
      <c r="AA12">
        <f t="shared" si="11"/>
        <v>5</v>
      </c>
      <c r="AB12">
        <f t="shared" si="11"/>
        <v>5</v>
      </c>
      <c r="AC12">
        <f t="shared" si="11"/>
        <v>5</v>
      </c>
      <c r="AD12">
        <f t="shared" si="11"/>
        <v>5</v>
      </c>
      <c r="AE12">
        <f t="shared" si="11"/>
        <v>5</v>
      </c>
      <c r="AF12">
        <f t="shared" si="11"/>
        <v>5</v>
      </c>
      <c r="AG12">
        <f t="shared" si="11"/>
        <v>5</v>
      </c>
      <c r="AH12">
        <f t="shared" si="12"/>
        <v>5</v>
      </c>
      <c r="AI12">
        <f t="shared" si="12"/>
        <v>5</v>
      </c>
      <c r="AJ12">
        <f t="shared" si="12"/>
        <v>5</v>
      </c>
      <c r="AK12">
        <f t="shared" si="12"/>
        <v>5</v>
      </c>
      <c r="AL12">
        <f t="shared" si="12"/>
        <v>5</v>
      </c>
      <c r="AM12">
        <f t="shared" si="12"/>
        <v>5</v>
      </c>
      <c r="AN12">
        <f t="shared" si="12"/>
        <v>5</v>
      </c>
      <c r="AO12">
        <f t="shared" si="12"/>
        <v>5</v>
      </c>
      <c r="AP12">
        <f t="shared" si="12"/>
        <v>5</v>
      </c>
      <c r="AQ12">
        <f t="shared" si="12"/>
        <v>5</v>
      </c>
      <c r="AR12">
        <f t="shared" si="13"/>
        <v>5</v>
      </c>
      <c r="AS12">
        <f t="shared" si="13"/>
        <v>5</v>
      </c>
      <c r="AT12">
        <f t="shared" si="13"/>
        <v>5</v>
      </c>
      <c r="AU12">
        <f t="shared" si="13"/>
        <v>5</v>
      </c>
      <c r="AV12">
        <f t="shared" si="13"/>
        <v>5</v>
      </c>
      <c r="AW12">
        <f t="shared" si="13"/>
        <v>5</v>
      </c>
      <c r="AX12">
        <f t="shared" si="13"/>
        <v>5</v>
      </c>
      <c r="BB12" s="35">
        <f t="shared" si="14"/>
        <v>0</v>
      </c>
      <c r="BC12" s="35">
        <f t="shared" si="15"/>
        <v>0</v>
      </c>
      <c r="BD12" s="35">
        <f t="shared" si="16"/>
        <v>0</v>
      </c>
      <c r="BE12" s="35">
        <f t="shared" si="17"/>
        <v>0</v>
      </c>
      <c r="BF12" s="35">
        <f t="shared" si="18"/>
        <v>0</v>
      </c>
      <c r="BG12" s="35">
        <f t="shared" si="19"/>
        <v>0</v>
      </c>
      <c r="BH12" s="35">
        <f t="shared" si="20"/>
        <v>2</v>
      </c>
      <c r="BI12" s="35">
        <f t="shared" si="21"/>
        <v>5</v>
      </c>
      <c r="BJ12" s="35">
        <f t="shared" si="22"/>
        <v>0</v>
      </c>
      <c r="BK12" s="35">
        <f t="shared" si="23"/>
        <v>0</v>
      </c>
      <c r="BL12" s="35">
        <f t="shared" si="24"/>
        <v>0</v>
      </c>
      <c r="BM12" s="35">
        <f t="shared" si="25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9"/>
        <v>4</v>
      </c>
      <c r="N13">
        <f t="shared" ref="N13:W22" si="26">IF($B13&lt;N$1,$C13*$D13,0)</f>
        <v>4</v>
      </c>
      <c r="O13">
        <f t="shared" si="26"/>
        <v>4</v>
      </c>
      <c r="P13">
        <f t="shared" si="26"/>
        <v>4</v>
      </c>
      <c r="Q13">
        <f t="shared" si="26"/>
        <v>4</v>
      </c>
      <c r="R13">
        <f t="shared" si="26"/>
        <v>4</v>
      </c>
      <c r="S13">
        <f t="shared" si="26"/>
        <v>4</v>
      </c>
      <c r="T13">
        <f t="shared" si="26"/>
        <v>4</v>
      </c>
      <c r="U13">
        <f t="shared" si="26"/>
        <v>4</v>
      </c>
      <c r="V13">
        <f t="shared" si="26"/>
        <v>4</v>
      </c>
      <c r="W13">
        <f t="shared" si="26"/>
        <v>4</v>
      </c>
      <c r="X13">
        <f t="shared" ref="X13:AG22" si="27">IF($B13&lt;X$1,$C13*$D13,0)</f>
        <v>4</v>
      </c>
      <c r="Y13">
        <f t="shared" si="27"/>
        <v>4</v>
      </c>
      <c r="Z13">
        <f t="shared" si="27"/>
        <v>4</v>
      </c>
      <c r="AA13">
        <f t="shared" si="27"/>
        <v>4</v>
      </c>
      <c r="AB13">
        <f t="shared" si="27"/>
        <v>4</v>
      </c>
      <c r="AC13">
        <f t="shared" si="27"/>
        <v>4</v>
      </c>
      <c r="AD13">
        <f t="shared" si="27"/>
        <v>4</v>
      </c>
      <c r="AE13">
        <f t="shared" si="27"/>
        <v>4</v>
      </c>
      <c r="AF13">
        <f t="shared" si="27"/>
        <v>4</v>
      </c>
      <c r="AG13">
        <f t="shared" si="27"/>
        <v>4</v>
      </c>
      <c r="AH13">
        <f t="shared" ref="AH13:AQ22" si="28">IF($B13&lt;AH$1,$C13*$D13,0)</f>
        <v>4</v>
      </c>
      <c r="AI13">
        <f t="shared" si="28"/>
        <v>4</v>
      </c>
      <c r="AJ13">
        <f t="shared" si="28"/>
        <v>4</v>
      </c>
      <c r="AK13">
        <f t="shared" si="28"/>
        <v>4</v>
      </c>
      <c r="AL13">
        <f t="shared" si="28"/>
        <v>4</v>
      </c>
      <c r="AM13">
        <f t="shared" si="28"/>
        <v>4</v>
      </c>
      <c r="AN13">
        <f t="shared" si="28"/>
        <v>4</v>
      </c>
      <c r="AO13">
        <f t="shared" si="28"/>
        <v>4</v>
      </c>
      <c r="AP13">
        <f t="shared" si="28"/>
        <v>4</v>
      </c>
      <c r="AQ13">
        <f t="shared" si="28"/>
        <v>4</v>
      </c>
      <c r="AR13">
        <f t="shared" ref="AR13:AX22" si="29">IF($B13&lt;AR$1,$C13*$D13,0)</f>
        <v>4</v>
      </c>
      <c r="AS13">
        <f t="shared" si="29"/>
        <v>4</v>
      </c>
      <c r="AT13">
        <f t="shared" si="29"/>
        <v>4</v>
      </c>
      <c r="AU13">
        <f t="shared" si="29"/>
        <v>4</v>
      </c>
      <c r="AV13">
        <f t="shared" si="29"/>
        <v>4</v>
      </c>
      <c r="AW13">
        <f t="shared" si="29"/>
        <v>4</v>
      </c>
      <c r="AX13">
        <f t="shared" si="29"/>
        <v>4</v>
      </c>
      <c r="BB13" s="35">
        <f t="shared" si="14"/>
        <v>2</v>
      </c>
      <c r="BC13" s="35">
        <f t="shared" si="15"/>
        <v>4</v>
      </c>
      <c r="BD13" s="35">
        <f t="shared" si="16"/>
        <v>0</v>
      </c>
      <c r="BE13" s="35">
        <f t="shared" si="17"/>
        <v>0</v>
      </c>
      <c r="BF13" s="35">
        <f t="shared" si="18"/>
        <v>0</v>
      </c>
      <c r="BG13" s="35">
        <f t="shared" si="19"/>
        <v>0</v>
      </c>
      <c r="BH13" s="35">
        <f t="shared" si="20"/>
        <v>0</v>
      </c>
      <c r="BI13" s="35">
        <f t="shared" si="21"/>
        <v>0</v>
      </c>
      <c r="BJ13" s="35">
        <f t="shared" si="22"/>
        <v>0</v>
      </c>
      <c r="BK13" s="35">
        <f t="shared" si="23"/>
        <v>0</v>
      </c>
      <c r="BL13" s="35">
        <f t="shared" si="24"/>
        <v>0</v>
      </c>
      <c r="BM13" s="35">
        <f t="shared" si="25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9"/>
        <v>7</v>
      </c>
      <c r="N14">
        <f t="shared" si="26"/>
        <v>7</v>
      </c>
      <c r="O14">
        <f t="shared" si="26"/>
        <v>7</v>
      </c>
      <c r="P14">
        <f t="shared" si="26"/>
        <v>7</v>
      </c>
      <c r="Q14">
        <f t="shared" si="26"/>
        <v>7</v>
      </c>
      <c r="R14">
        <f t="shared" si="26"/>
        <v>7</v>
      </c>
      <c r="S14">
        <f t="shared" si="26"/>
        <v>7</v>
      </c>
      <c r="T14">
        <f t="shared" si="26"/>
        <v>7</v>
      </c>
      <c r="U14">
        <f t="shared" si="26"/>
        <v>7</v>
      </c>
      <c r="V14">
        <f t="shared" si="26"/>
        <v>7</v>
      </c>
      <c r="W14">
        <f t="shared" si="26"/>
        <v>7</v>
      </c>
      <c r="X14">
        <f t="shared" si="27"/>
        <v>7</v>
      </c>
      <c r="Y14">
        <f t="shared" si="27"/>
        <v>7</v>
      </c>
      <c r="Z14">
        <f t="shared" si="27"/>
        <v>7</v>
      </c>
      <c r="AA14">
        <f t="shared" si="27"/>
        <v>7</v>
      </c>
      <c r="AB14">
        <f t="shared" si="27"/>
        <v>7</v>
      </c>
      <c r="AC14">
        <f t="shared" si="27"/>
        <v>7</v>
      </c>
      <c r="AD14">
        <f t="shared" si="27"/>
        <v>7</v>
      </c>
      <c r="AE14">
        <f t="shared" si="27"/>
        <v>7</v>
      </c>
      <c r="AF14">
        <f t="shared" si="27"/>
        <v>7</v>
      </c>
      <c r="AG14">
        <f t="shared" si="27"/>
        <v>7</v>
      </c>
      <c r="AH14">
        <f t="shared" si="28"/>
        <v>7</v>
      </c>
      <c r="AI14">
        <f t="shared" si="28"/>
        <v>7</v>
      </c>
      <c r="AJ14">
        <f t="shared" si="28"/>
        <v>7</v>
      </c>
      <c r="AK14">
        <f t="shared" si="28"/>
        <v>7</v>
      </c>
      <c r="AL14">
        <f t="shared" si="28"/>
        <v>7</v>
      </c>
      <c r="AM14">
        <f t="shared" si="28"/>
        <v>7</v>
      </c>
      <c r="AN14">
        <f t="shared" si="28"/>
        <v>7</v>
      </c>
      <c r="AO14">
        <f t="shared" si="28"/>
        <v>7</v>
      </c>
      <c r="AP14">
        <f t="shared" si="28"/>
        <v>7</v>
      </c>
      <c r="AQ14">
        <f t="shared" si="28"/>
        <v>7</v>
      </c>
      <c r="AR14">
        <f t="shared" si="29"/>
        <v>7</v>
      </c>
      <c r="AS14">
        <f t="shared" si="29"/>
        <v>7</v>
      </c>
      <c r="AT14">
        <f t="shared" si="29"/>
        <v>7</v>
      </c>
      <c r="AU14">
        <f t="shared" si="29"/>
        <v>7</v>
      </c>
      <c r="AV14">
        <f t="shared" si="29"/>
        <v>7</v>
      </c>
      <c r="AW14">
        <f t="shared" si="29"/>
        <v>7</v>
      </c>
      <c r="AX14">
        <f t="shared" si="29"/>
        <v>7</v>
      </c>
      <c r="BB14" s="35">
        <f t="shared" si="14"/>
        <v>2</v>
      </c>
      <c r="BC14" s="35">
        <f t="shared" si="15"/>
        <v>7</v>
      </c>
      <c r="BD14" s="35">
        <f t="shared" si="16"/>
        <v>0</v>
      </c>
      <c r="BE14" s="35">
        <f t="shared" si="17"/>
        <v>0</v>
      </c>
      <c r="BF14" s="35">
        <f t="shared" si="18"/>
        <v>0</v>
      </c>
      <c r="BG14" s="35">
        <f t="shared" si="19"/>
        <v>0</v>
      </c>
      <c r="BH14" s="35">
        <f t="shared" si="20"/>
        <v>0</v>
      </c>
      <c r="BI14" s="35">
        <f t="shared" si="21"/>
        <v>0</v>
      </c>
      <c r="BJ14" s="35">
        <f t="shared" si="22"/>
        <v>0</v>
      </c>
      <c r="BK14" s="35">
        <f t="shared" si="23"/>
        <v>0</v>
      </c>
      <c r="BL14" s="35">
        <f t="shared" si="24"/>
        <v>0</v>
      </c>
      <c r="BM14" s="35">
        <f t="shared" si="25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9"/>
        <v>8</v>
      </c>
      <c r="N15">
        <f t="shared" si="26"/>
        <v>8</v>
      </c>
      <c r="O15">
        <f t="shared" si="26"/>
        <v>8</v>
      </c>
      <c r="P15">
        <f t="shared" si="26"/>
        <v>8</v>
      </c>
      <c r="Q15">
        <f t="shared" si="26"/>
        <v>8</v>
      </c>
      <c r="R15">
        <f t="shared" si="26"/>
        <v>8</v>
      </c>
      <c r="S15">
        <f t="shared" si="26"/>
        <v>8</v>
      </c>
      <c r="T15">
        <f t="shared" si="26"/>
        <v>8</v>
      </c>
      <c r="U15">
        <f t="shared" si="26"/>
        <v>8</v>
      </c>
      <c r="V15">
        <f t="shared" si="26"/>
        <v>8</v>
      </c>
      <c r="W15">
        <f t="shared" si="26"/>
        <v>8</v>
      </c>
      <c r="X15">
        <f t="shared" si="27"/>
        <v>8</v>
      </c>
      <c r="Y15">
        <f t="shared" si="27"/>
        <v>8</v>
      </c>
      <c r="Z15">
        <f t="shared" si="27"/>
        <v>8</v>
      </c>
      <c r="AA15">
        <f t="shared" si="27"/>
        <v>8</v>
      </c>
      <c r="AB15">
        <f t="shared" si="27"/>
        <v>8</v>
      </c>
      <c r="AC15">
        <f t="shared" si="27"/>
        <v>8</v>
      </c>
      <c r="AD15">
        <f t="shared" si="27"/>
        <v>8</v>
      </c>
      <c r="AE15">
        <f t="shared" si="27"/>
        <v>8</v>
      </c>
      <c r="AF15">
        <f t="shared" si="27"/>
        <v>8</v>
      </c>
      <c r="AG15">
        <f t="shared" si="27"/>
        <v>8</v>
      </c>
      <c r="AH15">
        <f t="shared" si="28"/>
        <v>8</v>
      </c>
      <c r="AI15">
        <f t="shared" si="28"/>
        <v>8</v>
      </c>
      <c r="AJ15">
        <f t="shared" si="28"/>
        <v>8</v>
      </c>
      <c r="AK15">
        <f t="shared" si="28"/>
        <v>8</v>
      </c>
      <c r="AL15">
        <f t="shared" si="28"/>
        <v>8</v>
      </c>
      <c r="AM15">
        <f t="shared" si="28"/>
        <v>8</v>
      </c>
      <c r="AN15">
        <f t="shared" si="28"/>
        <v>8</v>
      </c>
      <c r="AO15">
        <f t="shared" si="28"/>
        <v>8</v>
      </c>
      <c r="AP15">
        <f t="shared" si="28"/>
        <v>8</v>
      </c>
      <c r="AQ15">
        <f t="shared" si="28"/>
        <v>8</v>
      </c>
      <c r="AR15">
        <f t="shared" si="29"/>
        <v>8</v>
      </c>
      <c r="AS15">
        <f t="shared" si="29"/>
        <v>8</v>
      </c>
      <c r="AT15">
        <f t="shared" si="29"/>
        <v>8</v>
      </c>
      <c r="AU15">
        <f t="shared" si="29"/>
        <v>8</v>
      </c>
      <c r="AV15">
        <f t="shared" si="29"/>
        <v>8</v>
      </c>
      <c r="AW15">
        <f t="shared" si="29"/>
        <v>8</v>
      </c>
      <c r="AX15">
        <f t="shared" si="29"/>
        <v>8</v>
      </c>
      <c r="BB15" s="35">
        <f t="shared" si="14"/>
        <v>2</v>
      </c>
      <c r="BC15" s="35">
        <f t="shared" si="15"/>
        <v>8</v>
      </c>
      <c r="BD15" s="35">
        <f t="shared" si="16"/>
        <v>0</v>
      </c>
      <c r="BE15" s="35">
        <f t="shared" si="17"/>
        <v>0</v>
      </c>
      <c r="BF15" s="35">
        <f t="shared" si="18"/>
        <v>0</v>
      </c>
      <c r="BG15" s="35">
        <f t="shared" si="19"/>
        <v>0</v>
      </c>
      <c r="BH15" s="35">
        <f t="shared" si="20"/>
        <v>0</v>
      </c>
      <c r="BI15" s="35">
        <f t="shared" si="21"/>
        <v>0</v>
      </c>
      <c r="BJ15" s="35">
        <f t="shared" si="22"/>
        <v>0</v>
      </c>
      <c r="BK15" s="35">
        <f t="shared" si="23"/>
        <v>0</v>
      </c>
      <c r="BL15" s="35">
        <f t="shared" si="24"/>
        <v>0</v>
      </c>
      <c r="BM15" s="35">
        <f t="shared" si="25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9"/>
        <v>7</v>
      </c>
      <c r="N16">
        <f t="shared" si="26"/>
        <v>7</v>
      </c>
      <c r="O16">
        <f t="shared" si="26"/>
        <v>7</v>
      </c>
      <c r="P16">
        <f t="shared" si="26"/>
        <v>7</v>
      </c>
      <c r="Q16">
        <f t="shared" si="26"/>
        <v>7</v>
      </c>
      <c r="R16">
        <f t="shared" si="26"/>
        <v>7</v>
      </c>
      <c r="S16">
        <f t="shared" si="26"/>
        <v>7</v>
      </c>
      <c r="T16">
        <f t="shared" si="26"/>
        <v>7</v>
      </c>
      <c r="U16">
        <f t="shared" si="26"/>
        <v>7</v>
      </c>
      <c r="V16">
        <f t="shared" si="26"/>
        <v>7</v>
      </c>
      <c r="W16">
        <f t="shared" si="26"/>
        <v>7</v>
      </c>
      <c r="X16">
        <f t="shared" si="27"/>
        <v>7</v>
      </c>
      <c r="Y16">
        <f t="shared" si="27"/>
        <v>7</v>
      </c>
      <c r="Z16">
        <f t="shared" si="27"/>
        <v>7</v>
      </c>
      <c r="AA16">
        <f t="shared" si="27"/>
        <v>7</v>
      </c>
      <c r="AB16">
        <f t="shared" si="27"/>
        <v>7</v>
      </c>
      <c r="AC16">
        <f t="shared" si="27"/>
        <v>7</v>
      </c>
      <c r="AD16">
        <f t="shared" si="27"/>
        <v>7</v>
      </c>
      <c r="AE16">
        <f t="shared" si="27"/>
        <v>7</v>
      </c>
      <c r="AF16">
        <f t="shared" si="27"/>
        <v>7</v>
      </c>
      <c r="AG16">
        <f t="shared" si="27"/>
        <v>7</v>
      </c>
      <c r="AH16">
        <f t="shared" si="28"/>
        <v>7</v>
      </c>
      <c r="AI16">
        <f t="shared" si="28"/>
        <v>7</v>
      </c>
      <c r="AJ16">
        <f t="shared" si="28"/>
        <v>7</v>
      </c>
      <c r="AK16">
        <f t="shared" si="28"/>
        <v>7</v>
      </c>
      <c r="AL16">
        <f t="shared" si="28"/>
        <v>7</v>
      </c>
      <c r="AM16">
        <f t="shared" si="28"/>
        <v>7</v>
      </c>
      <c r="AN16">
        <f t="shared" si="28"/>
        <v>7</v>
      </c>
      <c r="AO16">
        <f t="shared" si="28"/>
        <v>7</v>
      </c>
      <c r="AP16">
        <f t="shared" si="28"/>
        <v>7</v>
      </c>
      <c r="AQ16">
        <f t="shared" si="28"/>
        <v>7</v>
      </c>
      <c r="AR16">
        <f t="shared" si="29"/>
        <v>7</v>
      </c>
      <c r="AS16">
        <f t="shared" si="29"/>
        <v>7</v>
      </c>
      <c r="AT16">
        <f t="shared" si="29"/>
        <v>7</v>
      </c>
      <c r="AU16">
        <f t="shared" si="29"/>
        <v>7</v>
      </c>
      <c r="AV16">
        <f t="shared" si="29"/>
        <v>7</v>
      </c>
      <c r="AW16">
        <f t="shared" si="29"/>
        <v>7</v>
      </c>
      <c r="AX16">
        <f t="shared" si="29"/>
        <v>7</v>
      </c>
      <c r="BB16" s="35">
        <f t="shared" si="14"/>
        <v>2</v>
      </c>
      <c r="BC16" s="35">
        <f t="shared" si="15"/>
        <v>7</v>
      </c>
      <c r="BD16" s="35">
        <f t="shared" si="16"/>
        <v>0</v>
      </c>
      <c r="BE16" s="35">
        <f t="shared" si="17"/>
        <v>0</v>
      </c>
      <c r="BF16" s="35">
        <f t="shared" si="18"/>
        <v>0</v>
      </c>
      <c r="BG16" s="35">
        <f t="shared" si="19"/>
        <v>0</v>
      </c>
      <c r="BH16" s="35">
        <f t="shared" si="20"/>
        <v>0</v>
      </c>
      <c r="BI16" s="35">
        <f t="shared" si="21"/>
        <v>0</v>
      </c>
      <c r="BJ16" s="35">
        <f t="shared" si="22"/>
        <v>0</v>
      </c>
      <c r="BK16" s="35">
        <f t="shared" si="23"/>
        <v>0</v>
      </c>
      <c r="BL16" s="35">
        <f t="shared" si="24"/>
        <v>0</v>
      </c>
      <c r="BM16" s="35">
        <f t="shared" si="25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9"/>
        <v>14</v>
      </c>
      <c r="N17">
        <f t="shared" si="26"/>
        <v>14</v>
      </c>
      <c r="O17">
        <f t="shared" si="26"/>
        <v>14</v>
      </c>
      <c r="P17">
        <f t="shared" si="26"/>
        <v>14</v>
      </c>
      <c r="Q17">
        <f t="shared" si="26"/>
        <v>14</v>
      </c>
      <c r="R17">
        <f t="shared" si="26"/>
        <v>14</v>
      </c>
      <c r="S17">
        <f t="shared" si="26"/>
        <v>14</v>
      </c>
      <c r="T17">
        <f t="shared" si="26"/>
        <v>14</v>
      </c>
      <c r="U17">
        <f t="shared" si="26"/>
        <v>14</v>
      </c>
      <c r="V17">
        <f t="shared" si="26"/>
        <v>14</v>
      </c>
      <c r="W17">
        <f t="shared" si="26"/>
        <v>14</v>
      </c>
      <c r="X17">
        <f t="shared" si="27"/>
        <v>14</v>
      </c>
      <c r="Y17">
        <f t="shared" si="27"/>
        <v>14</v>
      </c>
      <c r="Z17">
        <f t="shared" si="27"/>
        <v>14</v>
      </c>
      <c r="AA17">
        <f t="shared" si="27"/>
        <v>14</v>
      </c>
      <c r="AB17">
        <f t="shared" si="27"/>
        <v>14</v>
      </c>
      <c r="AC17">
        <f t="shared" si="27"/>
        <v>14</v>
      </c>
      <c r="AD17">
        <f t="shared" si="27"/>
        <v>14</v>
      </c>
      <c r="AE17">
        <f t="shared" si="27"/>
        <v>14</v>
      </c>
      <c r="AF17">
        <f t="shared" si="27"/>
        <v>14</v>
      </c>
      <c r="AG17">
        <f t="shared" si="27"/>
        <v>14</v>
      </c>
      <c r="AH17">
        <f t="shared" si="28"/>
        <v>14</v>
      </c>
      <c r="AI17">
        <f t="shared" si="28"/>
        <v>14</v>
      </c>
      <c r="AJ17">
        <f t="shared" si="28"/>
        <v>14</v>
      </c>
      <c r="AK17">
        <f t="shared" si="28"/>
        <v>14</v>
      </c>
      <c r="AL17">
        <f t="shared" si="28"/>
        <v>14</v>
      </c>
      <c r="AM17">
        <f t="shared" si="28"/>
        <v>14</v>
      </c>
      <c r="AN17">
        <f t="shared" si="28"/>
        <v>14</v>
      </c>
      <c r="AO17">
        <f t="shared" si="28"/>
        <v>14</v>
      </c>
      <c r="AP17">
        <f t="shared" si="28"/>
        <v>14</v>
      </c>
      <c r="AQ17">
        <f t="shared" si="28"/>
        <v>14</v>
      </c>
      <c r="AR17">
        <f t="shared" si="29"/>
        <v>14</v>
      </c>
      <c r="AS17">
        <f t="shared" si="29"/>
        <v>14</v>
      </c>
      <c r="AT17">
        <f t="shared" si="29"/>
        <v>14</v>
      </c>
      <c r="AU17">
        <f t="shared" si="29"/>
        <v>14</v>
      </c>
      <c r="AV17">
        <f t="shared" si="29"/>
        <v>14</v>
      </c>
      <c r="AW17">
        <f t="shared" si="29"/>
        <v>14</v>
      </c>
      <c r="AX17">
        <f t="shared" si="29"/>
        <v>14</v>
      </c>
      <c r="BB17" s="35">
        <f t="shared" si="14"/>
        <v>4</v>
      </c>
      <c r="BC17" s="35">
        <f t="shared" si="15"/>
        <v>7</v>
      </c>
      <c r="BD17" s="35">
        <f t="shared" si="16"/>
        <v>0</v>
      </c>
      <c r="BE17" s="35">
        <f t="shared" si="17"/>
        <v>0</v>
      </c>
      <c r="BF17" s="35">
        <f t="shared" si="18"/>
        <v>0</v>
      </c>
      <c r="BG17" s="35">
        <f t="shared" si="19"/>
        <v>0</v>
      </c>
      <c r="BH17" s="35">
        <f t="shared" si="20"/>
        <v>0</v>
      </c>
      <c r="BI17" s="35">
        <f t="shared" si="21"/>
        <v>0</v>
      </c>
      <c r="BJ17" s="35">
        <f t="shared" si="22"/>
        <v>0</v>
      </c>
      <c r="BK17" s="35">
        <f t="shared" si="23"/>
        <v>0</v>
      </c>
      <c r="BL17" s="35">
        <f t="shared" si="24"/>
        <v>0</v>
      </c>
      <c r="BM17" s="35">
        <f t="shared" si="25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9"/>
        <v>7</v>
      </c>
      <c r="N18">
        <f t="shared" si="26"/>
        <v>7</v>
      </c>
      <c r="O18">
        <f t="shared" si="26"/>
        <v>7</v>
      </c>
      <c r="P18">
        <f t="shared" si="26"/>
        <v>7</v>
      </c>
      <c r="Q18">
        <f t="shared" si="26"/>
        <v>7</v>
      </c>
      <c r="R18">
        <f t="shared" si="26"/>
        <v>7</v>
      </c>
      <c r="S18">
        <f t="shared" si="26"/>
        <v>7</v>
      </c>
      <c r="T18">
        <f t="shared" si="26"/>
        <v>7</v>
      </c>
      <c r="U18">
        <f t="shared" si="26"/>
        <v>7</v>
      </c>
      <c r="V18">
        <f t="shared" si="26"/>
        <v>7</v>
      </c>
      <c r="W18">
        <f t="shared" si="26"/>
        <v>7</v>
      </c>
      <c r="X18">
        <f t="shared" si="27"/>
        <v>7</v>
      </c>
      <c r="Y18">
        <f t="shared" si="27"/>
        <v>7</v>
      </c>
      <c r="Z18">
        <f t="shared" si="27"/>
        <v>7</v>
      </c>
      <c r="AA18">
        <f t="shared" si="27"/>
        <v>7</v>
      </c>
      <c r="AB18">
        <f t="shared" si="27"/>
        <v>7</v>
      </c>
      <c r="AC18">
        <f t="shared" si="27"/>
        <v>7</v>
      </c>
      <c r="AD18">
        <f t="shared" si="27"/>
        <v>7</v>
      </c>
      <c r="AE18">
        <f t="shared" si="27"/>
        <v>7</v>
      </c>
      <c r="AF18">
        <f t="shared" si="27"/>
        <v>7</v>
      </c>
      <c r="AG18">
        <f t="shared" si="27"/>
        <v>7</v>
      </c>
      <c r="AH18">
        <f t="shared" si="28"/>
        <v>7</v>
      </c>
      <c r="AI18">
        <f t="shared" si="28"/>
        <v>7</v>
      </c>
      <c r="AJ18">
        <f t="shared" si="28"/>
        <v>7</v>
      </c>
      <c r="AK18">
        <f t="shared" si="28"/>
        <v>7</v>
      </c>
      <c r="AL18">
        <f t="shared" si="28"/>
        <v>7</v>
      </c>
      <c r="AM18">
        <f t="shared" si="28"/>
        <v>7</v>
      </c>
      <c r="AN18">
        <f t="shared" si="28"/>
        <v>7</v>
      </c>
      <c r="AO18">
        <f t="shared" si="28"/>
        <v>7</v>
      </c>
      <c r="AP18">
        <f t="shared" si="28"/>
        <v>7</v>
      </c>
      <c r="AQ18">
        <f t="shared" si="28"/>
        <v>7</v>
      </c>
      <c r="AR18">
        <f t="shared" si="29"/>
        <v>7</v>
      </c>
      <c r="AS18">
        <f t="shared" si="29"/>
        <v>7</v>
      </c>
      <c r="AT18">
        <f t="shared" si="29"/>
        <v>7</v>
      </c>
      <c r="AU18">
        <f t="shared" si="29"/>
        <v>7</v>
      </c>
      <c r="AV18">
        <f t="shared" si="29"/>
        <v>7</v>
      </c>
      <c r="AW18">
        <f t="shared" si="29"/>
        <v>7</v>
      </c>
      <c r="AX18">
        <f t="shared" si="29"/>
        <v>7</v>
      </c>
      <c r="BB18" s="35">
        <f t="shared" si="14"/>
        <v>2</v>
      </c>
      <c r="BC18" s="35">
        <f t="shared" si="15"/>
        <v>7</v>
      </c>
      <c r="BD18" s="35">
        <f t="shared" si="16"/>
        <v>0</v>
      </c>
      <c r="BE18" s="35">
        <f t="shared" si="17"/>
        <v>0</v>
      </c>
      <c r="BF18" s="35">
        <f t="shared" si="18"/>
        <v>0</v>
      </c>
      <c r="BG18" s="35">
        <f t="shared" si="19"/>
        <v>0</v>
      </c>
      <c r="BH18" s="35">
        <f t="shared" si="20"/>
        <v>0</v>
      </c>
      <c r="BI18" s="35">
        <f t="shared" si="21"/>
        <v>0</v>
      </c>
      <c r="BJ18" s="35">
        <f t="shared" si="22"/>
        <v>0</v>
      </c>
      <c r="BK18" s="35">
        <f t="shared" si="23"/>
        <v>0</v>
      </c>
      <c r="BL18" s="35">
        <f t="shared" si="24"/>
        <v>0</v>
      </c>
      <c r="BM18" s="35">
        <f t="shared" si="25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9"/>
        <v>5</v>
      </c>
      <c r="N19">
        <f t="shared" si="26"/>
        <v>5</v>
      </c>
      <c r="O19">
        <f t="shared" si="26"/>
        <v>5</v>
      </c>
      <c r="P19">
        <f t="shared" si="26"/>
        <v>5</v>
      </c>
      <c r="Q19">
        <f t="shared" si="26"/>
        <v>5</v>
      </c>
      <c r="R19">
        <f t="shared" si="26"/>
        <v>5</v>
      </c>
      <c r="S19">
        <f t="shared" si="26"/>
        <v>5</v>
      </c>
      <c r="T19">
        <f t="shared" si="26"/>
        <v>5</v>
      </c>
      <c r="U19">
        <f t="shared" si="26"/>
        <v>5</v>
      </c>
      <c r="V19">
        <f t="shared" si="26"/>
        <v>5</v>
      </c>
      <c r="W19">
        <f t="shared" si="26"/>
        <v>5</v>
      </c>
      <c r="X19">
        <f t="shared" si="27"/>
        <v>5</v>
      </c>
      <c r="Y19">
        <f t="shared" si="27"/>
        <v>5</v>
      </c>
      <c r="Z19">
        <f t="shared" si="27"/>
        <v>5</v>
      </c>
      <c r="AA19">
        <f t="shared" si="27"/>
        <v>5</v>
      </c>
      <c r="AB19">
        <f t="shared" si="27"/>
        <v>5</v>
      </c>
      <c r="AC19">
        <f t="shared" si="27"/>
        <v>5</v>
      </c>
      <c r="AD19">
        <f t="shared" si="27"/>
        <v>5</v>
      </c>
      <c r="AE19">
        <f t="shared" si="27"/>
        <v>5</v>
      </c>
      <c r="AF19">
        <f t="shared" si="27"/>
        <v>5</v>
      </c>
      <c r="AG19">
        <f t="shared" si="27"/>
        <v>5</v>
      </c>
      <c r="AH19">
        <f t="shared" si="28"/>
        <v>5</v>
      </c>
      <c r="AI19">
        <f t="shared" si="28"/>
        <v>5</v>
      </c>
      <c r="AJ19">
        <f t="shared" si="28"/>
        <v>5</v>
      </c>
      <c r="AK19">
        <f t="shared" si="28"/>
        <v>5</v>
      </c>
      <c r="AL19">
        <f t="shared" si="28"/>
        <v>5</v>
      </c>
      <c r="AM19">
        <f t="shared" si="28"/>
        <v>5</v>
      </c>
      <c r="AN19">
        <f t="shared" si="28"/>
        <v>5</v>
      </c>
      <c r="AO19">
        <f t="shared" si="28"/>
        <v>5</v>
      </c>
      <c r="AP19">
        <f t="shared" si="28"/>
        <v>5</v>
      </c>
      <c r="AQ19">
        <f t="shared" si="28"/>
        <v>5</v>
      </c>
      <c r="AR19">
        <f t="shared" si="29"/>
        <v>5</v>
      </c>
      <c r="AS19">
        <f t="shared" si="29"/>
        <v>5</v>
      </c>
      <c r="AT19">
        <f t="shared" si="29"/>
        <v>5</v>
      </c>
      <c r="AU19">
        <f t="shared" si="29"/>
        <v>5</v>
      </c>
      <c r="AV19">
        <f t="shared" si="29"/>
        <v>5</v>
      </c>
      <c r="AW19">
        <f t="shared" si="29"/>
        <v>5</v>
      </c>
      <c r="AX19">
        <f t="shared" si="29"/>
        <v>5</v>
      </c>
      <c r="BB19" s="35">
        <f t="shared" si="14"/>
        <v>2</v>
      </c>
      <c r="BC19" s="35">
        <f t="shared" si="15"/>
        <v>5</v>
      </c>
      <c r="BD19" s="35">
        <f t="shared" si="16"/>
        <v>0</v>
      </c>
      <c r="BE19" s="35">
        <f t="shared" si="17"/>
        <v>0</v>
      </c>
      <c r="BF19" s="35">
        <f t="shared" si="18"/>
        <v>0</v>
      </c>
      <c r="BG19" s="35">
        <f t="shared" si="19"/>
        <v>0</v>
      </c>
      <c r="BH19" s="35">
        <f t="shared" si="20"/>
        <v>0</v>
      </c>
      <c r="BI19" s="35">
        <f t="shared" si="21"/>
        <v>0</v>
      </c>
      <c r="BJ19" s="35">
        <f t="shared" si="22"/>
        <v>0</v>
      </c>
      <c r="BK19" s="35">
        <f t="shared" si="23"/>
        <v>0</v>
      </c>
      <c r="BL19" s="35">
        <f t="shared" si="24"/>
        <v>0</v>
      </c>
      <c r="BM19" s="35">
        <f t="shared" si="25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9"/>
        <v>14</v>
      </c>
      <c r="N20">
        <f t="shared" si="26"/>
        <v>14</v>
      </c>
      <c r="O20">
        <f t="shared" si="26"/>
        <v>14</v>
      </c>
      <c r="P20">
        <f t="shared" si="26"/>
        <v>14</v>
      </c>
      <c r="Q20">
        <f t="shared" si="26"/>
        <v>14</v>
      </c>
      <c r="R20">
        <f t="shared" si="26"/>
        <v>14</v>
      </c>
      <c r="S20">
        <f t="shared" si="26"/>
        <v>14</v>
      </c>
      <c r="T20">
        <f t="shared" si="26"/>
        <v>14</v>
      </c>
      <c r="U20">
        <f t="shared" si="26"/>
        <v>14</v>
      </c>
      <c r="V20">
        <f t="shared" si="26"/>
        <v>14</v>
      </c>
      <c r="W20">
        <f t="shared" si="26"/>
        <v>14</v>
      </c>
      <c r="X20">
        <f t="shared" si="27"/>
        <v>14</v>
      </c>
      <c r="Y20">
        <f t="shared" si="27"/>
        <v>14</v>
      </c>
      <c r="Z20">
        <f t="shared" si="27"/>
        <v>14</v>
      </c>
      <c r="AA20">
        <f t="shared" si="27"/>
        <v>14</v>
      </c>
      <c r="AB20">
        <f t="shared" si="27"/>
        <v>14</v>
      </c>
      <c r="AC20">
        <f t="shared" si="27"/>
        <v>14</v>
      </c>
      <c r="AD20">
        <f t="shared" si="27"/>
        <v>14</v>
      </c>
      <c r="AE20">
        <f t="shared" si="27"/>
        <v>14</v>
      </c>
      <c r="AF20">
        <f t="shared" si="27"/>
        <v>14</v>
      </c>
      <c r="AG20">
        <f t="shared" si="27"/>
        <v>14</v>
      </c>
      <c r="AH20">
        <f t="shared" si="28"/>
        <v>14</v>
      </c>
      <c r="AI20">
        <f t="shared" si="28"/>
        <v>14</v>
      </c>
      <c r="AJ20">
        <f t="shared" si="28"/>
        <v>14</v>
      </c>
      <c r="AK20">
        <f t="shared" si="28"/>
        <v>14</v>
      </c>
      <c r="AL20">
        <f t="shared" si="28"/>
        <v>14</v>
      </c>
      <c r="AM20">
        <f t="shared" si="28"/>
        <v>14</v>
      </c>
      <c r="AN20">
        <f t="shared" si="28"/>
        <v>14</v>
      </c>
      <c r="AO20">
        <f t="shared" si="28"/>
        <v>14</v>
      </c>
      <c r="AP20">
        <f t="shared" si="28"/>
        <v>14</v>
      </c>
      <c r="AQ20">
        <f t="shared" si="28"/>
        <v>14</v>
      </c>
      <c r="AR20">
        <f t="shared" si="29"/>
        <v>14</v>
      </c>
      <c r="AS20">
        <f t="shared" si="29"/>
        <v>14</v>
      </c>
      <c r="AT20">
        <f t="shared" si="29"/>
        <v>14</v>
      </c>
      <c r="AU20">
        <f t="shared" si="29"/>
        <v>14</v>
      </c>
      <c r="AV20">
        <f t="shared" si="29"/>
        <v>14</v>
      </c>
      <c r="AW20">
        <f t="shared" si="29"/>
        <v>14</v>
      </c>
      <c r="AX20">
        <f t="shared" si="29"/>
        <v>14</v>
      </c>
      <c r="BB20" s="35">
        <f t="shared" si="14"/>
        <v>1</v>
      </c>
      <c r="BC20" s="35">
        <f t="shared" si="15"/>
        <v>14</v>
      </c>
      <c r="BD20" s="35">
        <f t="shared" si="16"/>
        <v>0</v>
      </c>
      <c r="BE20" s="35">
        <f t="shared" si="17"/>
        <v>0</v>
      </c>
      <c r="BF20" s="35">
        <f t="shared" si="18"/>
        <v>0</v>
      </c>
      <c r="BG20" s="35">
        <f t="shared" si="19"/>
        <v>0</v>
      </c>
      <c r="BH20" s="35">
        <f t="shared" si="20"/>
        <v>0</v>
      </c>
      <c r="BI20" s="35">
        <f t="shared" si="21"/>
        <v>0</v>
      </c>
      <c r="BJ20" s="35">
        <f t="shared" si="22"/>
        <v>0</v>
      </c>
      <c r="BK20" s="35">
        <f t="shared" si="23"/>
        <v>0</v>
      </c>
      <c r="BL20" s="35">
        <f t="shared" si="24"/>
        <v>0</v>
      </c>
      <c r="BM20" s="35">
        <f t="shared" si="25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">
      <c r="A21">
        <f>Database!A21</f>
        <v>20</v>
      </c>
      <c r="B21" s="25">
        <f>Database!E21</f>
        <v>0</v>
      </c>
      <c r="C21">
        <f>IF(Database!G21="cansl",0,Database!K21)</f>
        <v>0</v>
      </c>
      <c r="D21">
        <f>Database!D21-Database!C21</f>
        <v>0</v>
      </c>
      <c r="F21">
        <f>Database!L21</f>
        <v>0</v>
      </c>
      <c r="G21">
        <f>Database!F21</f>
        <v>0</v>
      </c>
      <c r="K21">
        <f t="shared" si="0"/>
        <v>0</v>
      </c>
      <c r="L21">
        <f t="shared" si="1"/>
        <v>0</v>
      </c>
      <c r="M21">
        <f t="shared" si="9"/>
        <v>0</v>
      </c>
      <c r="N21">
        <f t="shared" si="26"/>
        <v>0</v>
      </c>
      <c r="O21">
        <f t="shared" si="26"/>
        <v>0</v>
      </c>
      <c r="P21">
        <f t="shared" si="26"/>
        <v>0</v>
      </c>
      <c r="Q21">
        <f t="shared" si="26"/>
        <v>0</v>
      </c>
      <c r="R21">
        <f t="shared" si="26"/>
        <v>0</v>
      </c>
      <c r="S21">
        <f t="shared" si="26"/>
        <v>0</v>
      </c>
      <c r="T21">
        <f t="shared" si="26"/>
        <v>0</v>
      </c>
      <c r="U21">
        <f t="shared" si="26"/>
        <v>0</v>
      </c>
      <c r="V21">
        <f t="shared" si="26"/>
        <v>0</v>
      </c>
      <c r="W21">
        <f t="shared" si="26"/>
        <v>0</v>
      </c>
      <c r="X21">
        <f t="shared" si="27"/>
        <v>0</v>
      </c>
      <c r="Y21">
        <f t="shared" si="27"/>
        <v>0</v>
      </c>
      <c r="Z21">
        <f t="shared" si="27"/>
        <v>0</v>
      </c>
      <c r="AA21">
        <f t="shared" si="27"/>
        <v>0</v>
      </c>
      <c r="AB21">
        <f t="shared" si="27"/>
        <v>0</v>
      </c>
      <c r="AC21">
        <f t="shared" si="27"/>
        <v>0</v>
      </c>
      <c r="AD21">
        <f t="shared" si="27"/>
        <v>0</v>
      </c>
      <c r="AE21">
        <f t="shared" si="27"/>
        <v>0</v>
      </c>
      <c r="AF21">
        <f t="shared" si="27"/>
        <v>0</v>
      </c>
      <c r="AG21">
        <f t="shared" si="27"/>
        <v>0</v>
      </c>
      <c r="AH21">
        <f t="shared" si="28"/>
        <v>0</v>
      </c>
      <c r="AI21">
        <f t="shared" si="28"/>
        <v>0</v>
      </c>
      <c r="AJ21">
        <f t="shared" si="28"/>
        <v>0</v>
      </c>
      <c r="AK21">
        <f t="shared" si="28"/>
        <v>0</v>
      </c>
      <c r="AL21">
        <f t="shared" si="28"/>
        <v>0</v>
      </c>
      <c r="AM21">
        <f t="shared" si="28"/>
        <v>0</v>
      </c>
      <c r="AN21">
        <f t="shared" si="28"/>
        <v>0</v>
      </c>
      <c r="AO21">
        <f t="shared" si="28"/>
        <v>0</v>
      </c>
      <c r="AP21">
        <f t="shared" si="28"/>
        <v>0</v>
      </c>
      <c r="AQ21">
        <f t="shared" si="28"/>
        <v>0</v>
      </c>
      <c r="AR21">
        <f t="shared" si="29"/>
        <v>0</v>
      </c>
      <c r="AS21">
        <f t="shared" si="29"/>
        <v>0</v>
      </c>
      <c r="AT21">
        <f t="shared" si="29"/>
        <v>0</v>
      </c>
      <c r="AU21">
        <f t="shared" si="29"/>
        <v>0</v>
      </c>
      <c r="AV21">
        <f t="shared" si="29"/>
        <v>0</v>
      </c>
      <c r="AW21">
        <f t="shared" si="29"/>
        <v>0</v>
      </c>
      <c r="AX21">
        <f t="shared" si="29"/>
        <v>0</v>
      </c>
      <c r="BB21" s="35">
        <f t="shared" si="14"/>
        <v>0</v>
      </c>
      <c r="BC21" s="35">
        <f t="shared" si="15"/>
        <v>0</v>
      </c>
      <c r="BD21" s="35">
        <f t="shared" si="16"/>
        <v>0</v>
      </c>
      <c r="BE21" s="35">
        <f t="shared" si="17"/>
        <v>0</v>
      </c>
      <c r="BF21" s="35">
        <f t="shared" si="18"/>
        <v>0</v>
      </c>
      <c r="BG21" s="35">
        <f t="shared" si="19"/>
        <v>0</v>
      </c>
      <c r="BH21" s="35">
        <f t="shared" si="20"/>
        <v>0</v>
      </c>
      <c r="BI21" s="35">
        <f t="shared" si="21"/>
        <v>0</v>
      </c>
      <c r="BJ21" s="35">
        <f t="shared" si="22"/>
        <v>0</v>
      </c>
      <c r="BK21" s="35">
        <f t="shared" si="23"/>
        <v>0</v>
      </c>
      <c r="BL21" s="35">
        <f t="shared" si="24"/>
        <v>0</v>
      </c>
      <c r="BM21" s="35">
        <f t="shared" si="25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">
      <c r="A22">
        <f>Database!A22</f>
        <v>21</v>
      </c>
      <c r="B22" s="25">
        <f>Database!E22</f>
        <v>0</v>
      </c>
      <c r="C22">
        <f>IF(Database!G22="cansl",0,Database!K22)</f>
        <v>0</v>
      </c>
      <c r="D22">
        <f>Database!D22-Database!C22</f>
        <v>0</v>
      </c>
      <c r="F22">
        <f>Database!L22</f>
        <v>0</v>
      </c>
      <c r="G22">
        <f>Database!F22</f>
        <v>0</v>
      </c>
      <c r="K22">
        <f t="shared" si="0"/>
        <v>0</v>
      </c>
      <c r="L22">
        <f t="shared" si="1"/>
        <v>0</v>
      </c>
      <c r="M22">
        <f t="shared" si="9"/>
        <v>0</v>
      </c>
      <c r="N22">
        <f t="shared" si="26"/>
        <v>0</v>
      </c>
      <c r="O22">
        <f t="shared" si="26"/>
        <v>0</v>
      </c>
      <c r="P22">
        <f t="shared" si="26"/>
        <v>0</v>
      </c>
      <c r="Q22">
        <f t="shared" si="26"/>
        <v>0</v>
      </c>
      <c r="R22">
        <f t="shared" si="26"/>
        <v>0</v>
      </c>
      <c r="S22">
        <f t="shared" si="26"/>
        <v>0</v>
      </c>
      <c r="T22">
        <f t="shared" si="26"/>
        <v>0</v>
      </c>
      <c r="U22">
        <f t="shared" si="26"/>
        <v>0</v>
      </c>
      <c r="V22">
        <f t="shared" si="26"/>
        <v>0</v>
      </c>
      <c r="W22">
        <f t="shared" si="26"/>
        <v>0</v>
      </c>
      <c r="X22">
        <f t="shared" si="27"/>
        <v>0</v>
      </c>
      <c r="Y22">
        <f t="shared" si="27"/>
        <v>0</v>
      </c>
      <c r="Z22">
        <f t="shared" si="27"/>
        <v>0</v>
      </c>
      <c r="AA22">
        <f t="shared" si="27"/>
        <v>0</v>
      </c>
      <c r="AB22">
        <f t="shared" si="27"/>
        <v>0</v>
      </c>
      <c r="AC22">
        <f t="shared" si="27"/>
        <v>0</v>
      </c>
      <c r="AD22">
        <f t="shared" si="27"/>
        <v>0</v>
      </c>
      <c r="AE22">
        <f t="shared" si="27"/>
        <v>0</v>
      </c>
      <c r="AF22">
        <f t="shared" si="27"/>
        <v>0</v>
      </c>
      <c r="AG22">
        <f t="shared" si="27"/>
        <v>0</v>
      </c>
      <c r="AH22">
        <f t="shared" si="28"/>
        <v>0</v>
      </c>
      <c r="AI22">
        <f t="shared" si="28"/>
        <v>0</v>
      </c>
      <c r="AJ22">
        <f t="shared" si="28"/>
        <v>0</v>
      </c>
      <c r="AK22">
        <f t="shared" si="28"/>
        <v>0</v>
      </c>
      <c r="AL22">
        <f t="shared" si="28"/>
        <v>0</v>
      </c>
      <c r="AM22">
        <f t="shared" si="28"/>
        <v>0</v>
      </c>
      <c r="AN22">
        <f t="shared" si="28"/>
        <v>0</v>
      </c>
      <c r="AO22">
        <f t="shared" si="28"/>
        <v>0</v>
      </c>
      <c r="AP22">
        <f t="shared" si="28"/>
        <v>0</v>
      </c>
      <c r="AQ22">
        <f t="shared" si="28"/>
        <v>0</v>
      </c>
      <c r="AR22">
        <f t="shared" si="29"/>
        <v>0</v>
      </c>
      <c r="AS22">
        <f t="shared" si="29"/>
        <v>0</v>
      </c>
      <c r="AT22">
        <f t="shared" si="29"/>
        <v>0</v>
      </c>
      <c r="AU22">
        <f t="shared" si="29"/>
        <v>0</v>
      </c>
      <c r="AV22">
        <f t="shared" si="29"/>
        <v>0</v>
      </c>
      <c r="AW22">
        <f t="shared" si="29"/>
        <v>0</v>
      </c>
      <c r="AX22">
        <f t="shared" si="29"/>
        <v>0</v>
      </c>
      <c r="BB22" s="35">
        <f t="shared" si="14"/>
        <v>0</v>
      </c>
      <c r="BC22" s="35">
        <f t="shared" si="15"/>
        <v>0</v>
      </c>
      <c r="BD22" s="35">
        <f t="shared" si="16"/>
        <v>0</v>
      </c>
      <c r="BE22" s="35">
        <f t="shared" si="17"/>
        <v>0</v>
      </c>
      <c r="BF22" s="35">
        <f t="shared" si="18"/>
        <v>0</v>
      </c>
      <c r="BG22" s="35">
        <f t="shared" si="19"/>
        <v>0</v>
      </c>
      <c r="BH22" s="35">
        <f t="shared" si="20"/>
        <v>0</v>
      </c>
      <c r="BI22" s="35">
        <f t="shared" si="21"/>
        <v>0</v>
      </c>
      <c r="BJ22" s="35">
        <f t="shared" si="22"/>
        <v>0</v>
      </c>
      <c r="BK22" s="35">
        <f t="shared" si="23"/>
        <v>0</v>
      </c>
      <c r="BL22" s="35">
        <f t="shared" si="24"/>
        <v>0</v>
      </c>
      <c r="BM22" s="35">
        <f t="shared" si="25"/>
        <v>0</v>
      </c>
      <c r="BN22">
        <f t="shared" ref="BN22:BP41" si="30">IF(AND($D22&gt;0,$G22=BN$1),$F22,0)</f>
        <v>0</v>
      </c>
      <c r="BO22">
        <f t="shared" si="30"/>
        <v>0</v>
      </c>
      <c r="BP22">
        <f t="shared" si="30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">
      <c r="A23">
        <f>Database!A23</f>
        <v>22</v>
      </c>
      <c r="B23" s="25">
        <f>Database!E23</f>
        <v>0</v>
      </c>
      <c r="C23">
        <f>IF(Database!G23="cansl",0,Database!K23)</f>
        <v>0</v>
      </c>
      <c r="D23">
        <f>Database!D23-Database!C23</f>
        <v>0</v>
      </c>
      <c r="F23">
        <f>Database!L23</f>
        <v>0</v>
      </c>
      <c r="G23">
        <f>Database!F23</f>
        <v>0</v>
      </c>
      <c r="K23">
        <f t="shared" si="0"/>
        <v>0</v>
      </c>
      <c r="L23">
        <f t="shared" si="1"/>
        <v>0</v>
      </c>
      <c r="M23">
        <f t="shared" si="9"/>
        <v>0</v>
      </c>
      <c r="N23">
        <f t="shared" ref="N23:W32" si="31">IF($B23&lt;N$1,$C23*$D23,0)</f>
        <v>0</v>
      </c>
      <c r="O23">
        <f t="shared" si="31"/>
        <v>0</v>
      </c>
      <c r="P23">
        <f t="shared" si="31"/>
        <v>0</v>
      </c>
      <c r="Q23">
        <f t="shared" si="31"/>
        <v>0</v>
      </c>
      <c r="R23">
        <f t="shared" si="31"/>
        <v>0</v>
      </c>
      <c r="S23">
        <f t="shared" si="31"/>
        <v>0</v>
      </c>
      <c r="T23">
        <f t="shared" si="31"/>
        <v>0</v>
      </c>
      <c r="U23">
        <f t="shared" si="31"/>
        <v>0</v>
      </c>
      <c r="V23">
        <f t="shared" si="31"/>
        <v>0</v>
      </c>
      <c r="W23">
        <f t="shared" si="31"/>
        <v>0</v>
      </c>
      <c r="X23">
        <f t="shared" ref="X23:AG32" si="32">IF($B23&lt;X$1,$C23*$D23,0)</f>
        <v>0</v>
      </c>
      <c r="Y23">
        <f t="shared" si="32"/>
        <v>0</v>
      </c>
      <c r="Z23">
        <f t="shared" si="32"/>
        <v>0</v>
      </c>
      <c r="AA23">
        <f t="shared" si="32"/>
        <v>0</v>
      </c>
      <c r="AB23">
        <f t="shared" si="32"/>
        <v>0</v>
      </c>
      <c r="AC23">
        <f t="shared" si="32"/>
        <v>0</v>
      </c>
      <c r="AD23">
        <f t="shared" si="32"/>
        <v>0</v>
      </c>
      <c r="AE23">
        <f t="shared" si="32"/>
        <v>0</v>
      </c>
      <c r="AF23">
        <f t="shared" si="32"/>
        <v>0</v>
      </c>
      <c r="AG23">
        <f t="shared" si="32"/>
        <v>0</v>
      </c>
      <c r="AH23">
        <f t="shared" ref="AH23:AQ32" si="33">IF($B23&lt;AH$1,$C23*$D23,0)</f>
        <v>0</v>
      </c>
      <c r="AI23">
        <f t="shared" si="33"/>
        <v>0</v>
      </c>
      <c r="AJ23">
        <f t="shared" si="33"/>
        <v>0</v>
      </c>
      <c r="AK23">
        <f t="shared" si="33"/>
        <v>0</v>
      </c>
      <c r="AL23">
        <f t="shared" si="33"/>
        <v>0</v>
      </c>
      <c r="AM23">
        <f t="shared" si="33"/>
        <v>0</v>
      </c>
      <c r="AN23">
        <f t="shared" si="33"/>
        <v>0</v>
      </c>
      <c r="AO23">
        <f t="shared" si="33"/>
        <v>0</v>
      </c>
      <c r="AP23">
        <f t="shared" si="33"/>
        <v>0</v>
      </c>
      <c r="AQ23">
        <f t="shared" si="33"/>
        <v>0</v>
      </c>
      <c r="AR23">
        <f t="shared" ref="AR23:AX32" si="34">IF($B23&lt;AR$1,$C23*$D23,0)</f>
        <v>0</v>
      </c>
      <c r="AS23">
        <f t="shared" si="34"/>
        <v>0</v>
      </c>
      <c r="AT23">
        <f t="shared" si="34"/>
        <v>0</v>
      </c>
      <c r="AU23">
        <f t="shared" si="34"/>
        <v>0</v>
      </c>
      <c r="AV23">
        <f t="shared" si="34"/>
        <v>0</v>
      </c>
      <c r="AW23">
        <f t="shared" si="34"/>
        <v>0</v>
      </c>
      <c r="AX23">
        <f t="shared" si="34"/>
        <v>0</v>
      </c>
      <c r="BB23" s="35">
        <f t="shared" si="14"/>
        <v>0</v>
      </c>
      <c r="BC23" s="35">
        <f t="shared" si="15"/>
        <v>0</v>
      </c>
      <c r="BD23" s="35">
        <f t="shared" si="16"/>
        <v>0</v>
      </c>
      <c r="BE23" s="35">
        <f t="shared" si="17"/>
        <v>0</v>
      </c>
      <c r="BF23" s="35">
        <f t="shared" si="18"/>
        <v>0</v>
      </c>
      <c r="BG23" s="35">
        <f t="shared" si="19"/>
        <v>0</v>
      </c>
      <c r="BH23" s="35">
        <f t="shared" si="20"/>
        <v>0</v>
      </c>
      <c r="BI23" s="35">
        <f t="shared" si="21"/>
        <v>0</v>
      </c>
      <c r="BJ23" s="35">
        <f t="shared" si="22"/>
        <v>0</v>
      </c>
      <c r="BK23" s="35">
        <f t="shared" si="23"/>
        <v>0</v>
      </c>
      <c r="BL23" s="35">
        <f t="shared" si="24"/>
        <v>0</v>
      </c>
      <c r="BM23" s="35">
        <f t="shared" si="25"/>
        <v>0</v>
      </c>
      <c r="BN23">
        <f t="shared" si="30"/>
        <v>0</v>
      </c>
      <c r="BO23">
        <f t="shared" si="30"/>
        <v>0</v>
      </c>
      <c r="BP23">
        <f t="shared" si="30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">
      <c r="A24">
        <f>Database!A24</f>
        <v>23</v>
      </c>
      <c r="B24" s="25">
        <f>Database!E24</f>
        <v>0</v>
      </c>
      <c r="C24">
        <f>IF(Database!G24="cansl",0,Database!K24)</f>
        <v>0</v>
      </c>
      <c r="D24">
        <f>Database!D24-Database!C24</f>
        <v>0</v>
      </c>
      <c r="F24">
        <f>Database!L24</f>
        <v>0</v>
      </c>
      <c r="G24">
        <f>Database!F24</f>
        <v>0</v>
      </c>
      <c r="K24">
        <f t="shared" si="0"/>
        <v>0</v>
      </c>
      <c r="L24">
        <f t="shared" si="1"/>
        <v>0</v>
      </c>
      <c r="M24">
        <f t="shared" si="9"/>
        <v>0</v>
      </c>
      <c r="N24">
        <f t="shared" si="31"/>
        <v>0</v>
      </c>
      <c r="O24">
        <f t="shared" si="31"/>
        <v>0</v>
      </c>
      <c r="P24">
        <f t="shared" si="31"/>
        <v>0</v>
      </c>
      <c r="Q24">
        <f t="shared" si="31"/>
        <v>0</v>
      </c>
      <c r="R24">
        <f t="shared" si="31"/>
        <v>0</v>
      </c>
      <c r="S24">
        <f t="shared" si="31"/>
        <v>0</v>
      </c>
      <c r="T24">
        <f t="shared" si="31"/>
        <v>0</v>
      </c>
      <c r="U24">
        <f t="shared" si="31"/>
        <v>0</v>
      </c>
      <c r="V24">
        <f t="shared" si="31"/>
        <v>0</v>
      </c>
      <c r="W24">
        <f t="shared" si="31"/>
        <v>0</v>
      </c>
      <c r="X24">
        <f t="shared" si="32"/>
        <v>0</v>
      </c>
      <c r="Y24">
        <f t="shared" si="32"/>
        <v>0</v>
      </c>
      <c r="Z24">
        <f t="shared" si="32"/>
        <v>0</v>
      </c>
      <c r="AA24">
        <f t="shared" si="32"/>
        <v>0</v>
      </c>
      <c r="AB24">
        <f t="shared" si="32"/>
        <v>0</v>
      </c>
      <c r="AC24">
        <f t="shared" si="32"/>
        <v>0</v>
      </c>
      <c r="AD24">
        <f t="shared" si="32"/>
        <v>0</v>
      </c>
      <c r="AE24">
        <f t="shared" si="32"/>
        <v>0</v>
      </c>
      <c r="AF24">
        <f t="shared" si="32"/>
        <v>0</v>
      </c>
      <c r="AG24">
        <f t="shared" si="32"/>
        <v>0</v>
      </c>
      <c r="AH24">
        <f t="shared" si="33"/>
        <v>0</v>
      </c>
      <c r="AI24">
        <f t="shared" si="33"/>
        <v>0</v>
      </c>
      <c r="AJ24">
        <f t="shared" si="33"/>
        <v>0</v>
      </c>
      <c r="AK24">
        <f t="shared" si="33"/>
        <v>0</v>
      </c>
      <c r="AL24">
        <f t="shared" si="33"/>
        <v>0</v>
      </c>
      <c r="AM24">
        <f t="shared" si="33"/>
        <v>0</v>
      </c>
      <c r="AN24">
        <f t="shared" si="33"/>
        <v>0</v>
      </c>
      <c r="AO24">
        <f t="shared" si="33"/>
        <v>0</v>
      </c>
      <c r="AP24">
        <f t="shared" si="33"/>
        <v>0</v>
      </c>
      <c r="AQ24">
        <f t="shared" si="33"/>
        <v>0</v>
      </c>
      <c r="AR24">
        <f t="shared" si="34"/>
        <v>0</v>
      </c>
      <c r="AS24">
        <f t="shared" si="34"/>
        <v>0</v>
      </c>
      <c r="AT24">
        <f t="shared" si="34"/>
        <v>0</v>
      </c>
      <c r="AU24">
        <f t="shared" si="34"/>
        <v>0</v>
      </c>
      <c r="AV24">
        <f t="shared" si="34"/>
        <v>0</v>
      </c>
      <c r="AW24">
        <f t="shared" si="34"/>
        <v>0</v>
      </c>
      <c r="AX24">
        <f t="shared" si="34"/>
        <v>0</v>
      </c>
      <c r="BB24" s="35">
        <f t="shared" si="14"/>
        <v>0</v>
      </c>
      <c r="BC24" s="35">
        <f t="shared" si="15"/>
        <v>0</v>
      </c>
      <c r="BD24" s="35">
        <f t="shared" si="16"/>
        <v>0</v>
      </c>
      <c r="BE24" s="35">
        <f t="shared" si="17"/>
        <v>0</v>
      </c>
      <c r="BF24" s="35">
        <f t="shared" si="18"/>
        <v>0</v>
      </c>
      <c r="BG24" s="35">
        <f t="shared" si="19"/>
        <v>0</v>
      </c>
      <c r="BH24" s="35">
        <f t="shared" si="20"/>
        <v>0</v>
      </c>
      <c r="BI24" s="35">
        <f t="shared" si="21"/>
        <v>0</v>
      </c>
      <c r="BJ24" s="35">
        <f t="shared" si="22"/>
        <v>0</v>
      </c>
      <c r="BK24" s="35">
        <f t="shared" si="23"/>
        <v>0</v>
      </c>
      <c r="BL24" s="35">
        <f t="shared" si="24"/>
        <v>0</v>
      </c>
      <c r="BM24" s="35">
        <f t="shared" si="25"/>
        <v>0</v>
      </c>
      <c r="BN24">
        <f t="shared" si="30"/>
        <v>0</v>
      </c>
      <c r="BO24">
        <f t="shared" si="30"/>
        <v>0</v>
      </c>
      <c r="BP24">
        <f t="shared" si="30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">
      <c r="A25">
        <f>Database!A25</f>
        <v>24</v>
      </c>
      <c r="B25" s="25">
        <f>Database!E25</f>
        <v>0</v>
      </c>
      <c r="C25">
        <f>IF(Database!G25="cansl",0,Database!K25)</f>
        <v>0</v>
      </c>
      <c r="D25">
        <f>Database!D25-Database!C25</f>
        <v>0</v>
      </c>
      <c r="F25">
        <f>Database!L25</f>
        <v>0</v>
      </c>
      <c r="G25">
        <f>Database!F25</f>
        <v>0</v>
      </c>
      <c r="K25">
        <f t="shared" si="0"/>
        <v>0</v>
      </c>
      <c r="L25">
        <f t="shared" si="1"/>
        <v>0</v>
      </c>
      <c r="M25">
        <f t="shared" si="9"/>
        <v>0</v>
      </c>
      <c r="N25">
        <f t="shared" si="31"/>
        <v>0</v>
      </c>
      <c r="O25">
        <f t="shared" si="31"/>
        <v>0</v>
      </c>
      <c r="P25">
        <f t="shared" si="31"/>
        <v>0</v>
      </c>
      <c r="Q25">
        <f t="shared" si="31"/>
        <v>0</v>
      </c>
      <c r="R25">
        <f t="shared" si="31"/>
        <v>0</v>
      </c>
      <c r="S25">
        <f t="shared" si="31"/>
        <v>0</v>
      </c>
      <c r="T25">
        <f t="shared" si="31"/>
        <v>0</v>
      </c>
      <c r="U25">
        <f t="shared" si="31"/>
        <v>0</v>
      </c>
      <c r="V25">
        <f t="shared" si="31"/>
        <v>0</v>
      </c>
      <c r="W25">
        <f t="shared" si="31"/>
        <v>0</v>
      </c>
      <c r="X25">
        <f t="shared" si="32"/>
        <v>0</v>
      </c>
      <c r="Y25">
        <f t="shared" si="32"/>
        <v>0</v>
      </c>
      <c r="Z25">
        <f t="shared" si="32"/>
        <v>0</v>
      </c>
      <c r="AA25">
        <f t="shared" si="32"/>
        <v>0</v>
      </c>
      <c r="AB25">
        <f t="shared" si="32"/>
        <v>0</v>
      </c>
      <c r="AC25">
        <f t="shared" si="32"/>
        <v>0</v>
      </c>
      <c r="AD25">
        <f t="shared" si="32"/>
        <v>0</v>
      </c>
      <c r="AE25">
        <f t="shared" si="32"/>
        <v>0</v>
      </c>
      <c r="AF25">
        <f t="shared" si="32"/>
        <v>0</v>
      </c>
      <c r="AG25">
        <f t="shared" si="32"/>
        <v>0</v>
      </c>
      <c r="AH25">
        <f t="shared" si="33"/>
        <v>0</v>
      </c>
      <c r="AI25">
        <f t="shared" si="33"/>
        <v>0</v>
      </c>
      <c r="AJ25">
        <f t="shared" si="33"/>
        <v>0</v>
      </c>
      <c r="AK25">
        <f t="shared" si="33"/>
        <v>0</v>
      </c>
      <c r="AL25">
        <f t="shared" si="33"/>
        <v>0</v>
      </c>
      <c r="AM25">
        <f t="shared" si="33"/>
        <v>0</v>
      </c>
      <c r="AN25">
        <f t="shared" si="33"/>
        <v>0</v>
      </c>
      <c r="AO25">
        <f t="shared" si="33"/>
        <v>0</v>
      </c>
      <c r="AP25">
        <f t="shared" si="33"/>
        <v>0</v>
      </c>
      <c r="AQ25">
        <f t="shared" si="33"/>
        <v>0</v>
      </c>
      <c r="AR25">
        <f t="shared" si="34"/>
        <v>0</v>
      </c>
      <c r="AS25">
        <f t="shared" si="34"/>
        <v>0</v>
      </c>
      <c r="AT25">
        <f t="shared" si="34"/>
        <v>0</v>
      </c>
      <c r="AU25">
        <f t="shared" si="34"/>
        <v>0</v>
      </c>
      <c r="AV25">
        <f t="shared" si="34"/>
        <v>0</v>
      </c>
      <c r="AW25">
        <f t="shared" si="34"/>
        <v>0</v>
      </c>
      <c r="AX25">
        <f t="shared" si="34"/>
        <v>0</v>
      </c>
      <c r="BB25" s="35">
        <f t="shared" si="14"/>
        <v>0</v>
      </c>
      <c r="BC25" s="35">
        <f t="shared" si="15"/>
        <v>0</v>
      </c>
      <c r="BD25" s="35">
        <f t="shared" si="16"/>
        <v>0</v>
      </c>
      <c r="BE25" s="35">
        <f t="shared" si="17"/>
        <v>0</v>
      </c>
      <c r="BF25" s="35">
        <f t="shared" si="18"/>
        <v>0</v>
      </c>
      <c r="BG25" s="35">
        <f t="shared" si="19"/>
        <v>0</v>
      </c>
      <c r="BH25" s="35">
        <f t="shared" si="20"/>
        <v>0</v>
      </c>
      <c r="BI25" s="35">
        <f t="shared" si="21"/>
        <v>0</v>
      </c>
      <c r="BJ25" s="35">
        <f t="shared" si="22"/>
        <v>0</v>
      </c>
      <c r="BK25" s="35">
        <f t="shared" si="23"/>
        <v>0</v>
      </c>
      <c r="BL25" s="35">
        <f t="shared" si="24"/>
        <v>0</v>
      </c>
      <c r="BM25" s="35">
        <f t="shared" si="25"/>
        <v>0</v>
      </c>
      <c r="BN25">
        <f t="shared" si="30"/>
        <v>0</v>
      </c>
      <c r="BO25">
        <f t="shared" si="30"/>
        <v>0</v>
      </c>
      <c r="BP25">
        <f t="shared" si="30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">
      <c r="A26">
        <f>Database!A26</f>
        <v>25</v>
      </c>
      <c r="B26" s="25">
        <f>Database!E26</f>
        <v>0</v>
      </c>
      <c r="C26">
        <f>IF(Database!G26="cansl",0,Database!K26)</f>
        <v>0</v>
      </c>
      <c r="D26">
        <f>Database!D26-Database!C26</f>
        <v>0</v>
      </c>
      <c r="F26">
        <f>Database!L26</f>
        <v>0</v>
      </c>
      <c r="G26">
        <f>Database!F26</f>
        <v>0</v>
      </c>
      <c r="K26">
        <f t="shared" si="0"/>
        <v>0</v>
      </c>
      <c r="L26">
        <f t="shared" si="1"/>
        <v>0</v>
      </c>
      <c r="M26">
        <f t="shared" si="9"/>
        <v>0</v>
      </c>
      <c r="N26">
        <f t="shared" si="31"/>
        <v>0</v>
      </c>
      <c r="O26">
        <f t="shared" si="31"/>
        <v>0</v>
      </c>
      <c r="P26">
        <f t="shared" si="31"/>
        <v>0</v>
      </c>
      <c r="Q26">
        <f t="shared" si="31"/>
        <v>0</v>
      </c>
      <c r="R26">
        <f t="shared" si="31"/>
        <v>0</v>
      </c>
      <c r="S26">
        <f t="shared" si="31"/>
        <v>0</v>
      </c>
      <c r="T26">
        <f t="shared" si="31"/>
        <v>0</v>
      </c>
      <c r="U26">
        <f t="shared" si="31"/>
        <v>0</v>
      </c>
      <c r="V26">
        <f t="shared" si="31"/>
        <v>0</v>
      </c>
      <c r="W26">
        <f t="shared" si="31"/>
        <v>0</v>
      </c>
      <c r="X26">
        <f t="shared" si="32"/>
        <v>0</v>
      </c>
      <c r="Y26">
        <f t="shared" si="32"/>
        <v>0</v>
      </c>
      <c r="Z26">
        <f t="shared" si="32"/>
        <v>0</v>
      </c>
      <c r="AA26">
        <f t="shared" si="32"/>
        <v>0</v>
      </c>
      <c r="AB26">
        <f t="shared" si="32"/>
        <v>0</v>
      </c>
      <c r="AC26">
        <f t="shared" si="32"/>
        <v>0</v>
      </c>
      <c r="AD26">
        <f t="shared" si="32"/>
        <v>0</v>
      </c>
      <c r="AE26">
        <f t="shared" si="32"/>
        <v>0</v>
      </c>
      <c r="AF26">
        <f t="shared" si="32"/>
        <v>0</v>
      </c>
      <c r="AG26">
        <f t="shared" si="32"/>
        <v>0</v>
      </c>
      <c r="AH26">
        <f t="shared" si="33"/>
        <v>0</v>
      </c>
      <c r="AI26">
        <f t="shared" si="33"/>
        <v>0</v>
      </c>
      <c r="AJ26">
        <f t="shared" si="33"/>
        <v>0</v>
      </c>
      <c r="AK26">
        <f t="shared" si="33"/>
        <v>0</v>
      </c>
      <c r="AL26">
        <f t="shared" si="33"/>
        <v>0</v>
      </c>
      <c r="AM26">
        <f t="shared" si="33"/>
        <v>0</v>
      </c>
      <c r="AN26">
        <f t="shared" si="33"/>
        <v>0</v>
      </c>
      <c r="AO26">
        <f t="shared" si="33"/>
        <v>0</v>
      </c>
      <c r="AP26">
        <f t="shared" si="33"/>
        <v>0</v>
      </c>
      <c r="AQ26">
        <f t="shared" si="33"/>
        <v>0</v>
      </c>
      <c r="AR26">
        <f t="shared" si="34"/>
        <v>0</v>
      </c>
      <c r="AS26">
        <f t="shared" si="34"/>
        <v>0</v>
      </c>
      <c r="AT26">
        <f t="shared" si="34"/>
        <v>0</v>
      </c>
      <c r="AU26">
        <f t="shared" si="34"/>
        <v>0</v>
      </c>
      <c r="AV26">
        <f t="shared" si="34"/>
        <v>0</v>
      </c>
      <c r="AW26">
        <f t="shared" si="34"/>
        <v>0</v>
      </c>
      <c r="AX26">
        <f t="shared" si="34"/>
        <v>0</v>
      </c>
      <c r="BB26" s="35">
        <f t="shared" si="14"/>
        <v>0</v>
      </c>
      <c r="BC26" s="35">
        <f t="shared" si="15"/>
        <v>0</v>
      </c>
      <c r="BD26" s="35">
        <f t="shared" si="16"/>
        <v>0</v>
      </c>
      <c r="BE26" s="35">
        <f t="shared" si="17"/>
        <v>0</v>
      </c>
      <c r="BF26" s="35">
        <f t="shared" si="18"/>
        <v>0</v>
      </c>
      <c r="BG26" s="35">
        <f t="shared" si="19"/>
        <v>0</v>
      </c>
      <c r="BH26" s="35">
        <f t="shared" si="20"/>
        <v>0</v>
      </c>
      <c r="BI26" s="35">
        <f t="shared" si="21"/>
        <v>0</v>
      </c>
      <c r="BJ26" s="35">
        <f t="shared" si="22"/>
        <v>0</v>
      </c>
      <c r="BK26" s="35">
        <f t="shared" si="23"/>
        <v>0</v>
      </c>
      <c r="BL26" s="35">
        <f t="shared" si="24"/>
        <v>0</v>
      </c>
      <c r="BM26" s="35">
        <f t="shared" si="25"/>
        <v>0</v>
      </c>
      <c r="BN26">
        <f t="shared" si="30"/>
        <v>0</v>
      </c>
      <c r="BO26">
        <f t="shared" si="30"/>
        <v>0</v>
      </c>
      <c r="BP26">
        <f t="shared" si="30"/>
        <v>0</v>
      </c>
      <c r="BQ26">
        <f t="shared" si="4"/>
        <v>0</v>
      </c>
      <c r="BR26">
        <f t="shared" si="5"/>
        <v>0</v>
      </c>
      <c r="BS26">
        <f t="shared" si="6"/>
        <v>0</v>
      </c>
      <c r="BT26">
        <f t="shared" si="7"/>
        <v>0</v>
      </c>
      <c r="BU26">
        <f t="shared" si="8"/>
        <v>0</v>
      </c>
    </row>
    <row r="27" spans="1:73" x14ac:dyDescent="0.3">
      <c r="A27">
        <f>Database!A27</f>
        <v>26</v>
      </c>
      <c r="B27" s="25">
        <f>Database!E27</f>
        <v>0</v>
      </c>
      <c r="C27">
        <f>IF(Database!G27="cansl",0,Database!K27)</f>
        <v>0</v>
      </c>
      <c r="D27">
        <f>Database!D27-Database!C27</f>
        <v>0</v>
      </c>
      <c r="F27">
        <f>Database!L27</f>
        <v>0</v>
      </c>
      <c r="G27">
        <f>Database!F27</f>
        <v>0</v>
      </c>
      <c r="K27">
        <f t="shared" si="0"/>
        <v>0</v>
      </c>
      <c r="L27">
        <f t="shared" si="1"/>
        <v>0</v>
      </c>
      <c r="M27">
        <f t="shared" si="9"/>
        <v>0</v>
      </c>
      <c r="N27">
        <f t="shared" si="31"/>
        <v>0</v>
      </c>
      <c r="O27">
        <f t="shared" si="31"/>
        <v>0</v>
      </c>
      <c r="P27">
        <f t="shared" si="31"/>
        <v>0</v>
      </c>
      <c r="Q27">
        <f t="shared" si="31"/>
        <v>0</v>
      </c>
      <c r="R27">
        <f t="shared" si="31"/>
        <v>0</v>
      </c>
      <c r="S27">
        <f t="shared" si="31"/>
        <v>0</v>
      </c>
      <c r="T27">
        <f t="shared" si="31"/>
        <v>0</v>
      </c>
      <c r="U27">
        <f t="shared" si="31"/>
        <v>0</v>
      </c>
      <c r="V27">
        <f t="shared" si="31"/>
        <v>0</v>
      </c>
      <c r="W27">
        <f t="shared" si="31"/>
        <v>0</v>
      </c>
      <c r="X27">
        <f t="shared" si="32"/>
        <v>0</v>
      </c>
      <c r="Y27">
        <f t="shared" si="32"/>
        <v>0</v>
      </c>
      <c r="Z27">
        <f t="shared" si="32"/>
        <v>0</v>
      </c>
      <c r="AA27">
        <f t="shared" si="32"/>
        <v>0</v>
      </c>
      <c r="AB27">
        <f t="shared" si="32"/>
        <v>0</v>
      </c>
      <c r="AC27">
        <f t="shared" si="32"/>
        <v>0</v>
      </c>
      <c r="AD27">
        <f t="shared" si="32"/>
        <v>0</v>
      </c>
      <c r="AE27">
        <f t="shared" si="32"/>
        <v>0</v>
      </c>
      <c r="AF27">
        <f t="shared" si="32"/>
        <v>0</v>
      </c>
      <c r="AG27">
        <f t="shared" si="32"/>
        <v>0</v>
      </c>
      <c r="AH27">
        <f t="shared" si="33"/>
        <v>0</v>
      </c>
      <c r="AI27">
        <f t="shared" si="33"/>
        <v>0</v>
      </c>
      <c r="AJ27">
        <f t="shared" si="33"/>
        <v>0</v>
      </c>
      <c r="AK27">
        <f t="shared" si="33"/>
        <v>0</v>
      </c>
      <c r="AL27">
        <f t="shared" si="33"/>
        <v>0</v>
      </c>
      <c r="AM27">
        <f t="shared" si="33"/>
        <v>0</v>
      </c>
      <c r="AN27">
        <f t="shared" si="33"/>
        <v>0</v>
      </c>
      <c r="AO27">
        <f t="shared" si="33"/>
        <v>0</v>
      </c>
      <c r="AP27">
        <f t="shared" si="33"/>
        <v>0</v>
      </c>
      <c r="AQ27">
        <f t="shared" si="33"/>
        <v>0</v>
      </c>
      <c r="AR27">
        <f t="shared" si="34"/>
        <v>0</v>
      </c>
      <c r="AS27">
        <f t="shared" si="34"/>
        <v>0</v>
      </c>
      <c r="AT27">
        <f t="shared" si="34"/>
        <v>0</v>
      </c>
      <c r="AU27">
        <f t="shared" si="34"/>
        <v>0</v>
      </c>
      <c r="AV27">
        <f t="shared" si="34"/>
        <v>0</v>
      </c>
      <c r="AW27">
        <f t="shared" si="34"/>
        <v>0</v>
      </c>
      <c r="AX27">
        <f t="shared" si="34"/>
        <v>0</v>
      </c>
      <c r="BB27" s="35">
        <f t="shared" si="14"/>
        <v>0</v>
      </c>
      <c r="BC27" s="35">
        <f t="shared" si="15"/>
        <v>0</v>
      </c>
      <c r="BD27" s="35">
        <f t="shared" si="16"/>
        <v>0</v>
      </c>
      <c r="BE27" s="35">
        <f t="shared" si="17"/>
        <v>0</v>
      </c>
      <c r="BF27" s="35">
        <f t="shared" si="18"/>
        <v>0</v>
      </c>
      <c r="BG27" s="35">
        <f t="shared" si="19"/>
        <v>0</v>
      </c>
      <c r="BH27" s="35">
        <f t="shared" si="20"/>
        <v>0</v>
      </c>
      <c r="BI27" s="35">
        <f t="shared" si="21"/>
        <v>0</v>
      </c>
      <c r="BJ27" s="35">
        <f t="shared" si="22"/>
        <v>0</v>
      </c>
      <c r="BK27" s="35">
        <f t="shared" si="23"/>
        <v>0</v>
      </c>
      <c r="BL27" s="35">
        <f t="shared" si="24"/>
        <v>0</v>
      </c>
      <c r="BM27" s="35">
        <f t="shared" si="25"/>
        <v>0</v>
      </c>
      <c r="BN27">
        <f t="shared" si="30"/>
        <v>0</v>
      </c>
      <c r="BO27">
        <f t="shared" si="30"/>
        <v>0</v>
      </c>
      <c r="BP27">
        <f t="shared" si="30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">
      <c r="A28">
        <f>Database!A28</f>
        <v>27</v>
      </c>
      <c r="B28" s="25">
        <f>Database!E28</f>
        <v>0</v>
      </c>
      <c r="C28">
        <f>IF(Database!G28="cansl",0,Database!K28)</f>
        <v>0</v>
      </c>
      <c r="D28">
        <f>Database!D28-Database!C28</f>
        <v>0</v>
      </c>
      <c r="F28">
        <f>Database!L28</f>
        <v>0</v>
      </c>
      <c r="G28">
        <f>Database!F28</f>
        <v>0</v>
      </c>
      <c r="K28">
        <f t="shared" si="0"/>
        <v>0</v>
      </c>
      <c r="L28">
        <f t="shared" si="1"/>
        <v>0</v>
      </c>
      <c r="M28">
        <f t="shared" si="9"/>
        <v>0</v>
      </c>
      <c r="N28">
        <f t="shared" si="31"/>
        <v>0</v>
      </c>
      <c r="O28">
        <f t="shared" si="31"/>
        <v>0</v>
      </c>
      <c r="P28">
        <f t="shared" si="31"/>
        <v>0</v>
      </c>
      <c r="Q28">
        <f t="shared" si="31"/>
        <v>0</v>
      </c>
      <c r="R28">
        <f t="shared" si="31"/>
        <v>0</v>
      </c>
      <c r="S28">
        <f t="shared" si="31"/>
        <v>0</v>
      </c>
      <c r="T28">
        <f t="shared" si="31"/>
        <v>0</v>
      </c>
      <c r="U28">
        <f t="shared" si="31"/>
        <v>0</v>
      </c>
      <c r="V28">
        <f t="shared" si="31"/>
        <v>0</v>
      </c>
      <c r="W28">
        <f t="shared" si="31"/>
        <v>0</v>
      </c>
      <c r="X28">
        <f t="shared" si="32"/>
        <v>0</v>
      </c>
      <c r="Y28">
        <f t="shared" si="32"/>
        <v>0</v>
      </c>
      <c r="Z28">
        <f t="shared" si="32"/>
        <v>0</v>
      </c>
      <c r="AA28">
        <f t="shared" si="32"/>
        <v>0</v>
      </c>
      <c r="AB28">
        <f t="shared" si="32"/>
        <v>0</v>
      </c>
      <c r="AC28">
        <f t="shared" si="32"/>
        <v>0</v>
      </c>
      <c r="AD28">
        <f t="shared" si="32"/>
        <v>0</v>
      </c>
      <c r="AE28">
        <f t="shared" si="32"/>
        <v>0</v>
      </c>
      <c r="AF28">
        <f t="shared" si="32"/>
        <v>0</v>
      </c>
      <c r="AG28">
        <f t="shared" si="32"/>
        <v>0</v>
      </c>
      <c r="AH28">
        <f t="shared" si="33"/>
        <v>0</v>
      </c>
      <c r="AI28">
        <f t="shared" si="33"/>
        <v>0</v>
      </c>
      <c r="AJ28">
        <f t="shared" si="33"/>
        <v>0</v>
      </c>
      <c r="AK28">
        <f t="shared" si="33"/>
        <v>0</v>
      </c>
      <c r="AL28">
        <f t="shared" si="33"/>
        <v>0</v>
      </c>
      <c r="AM28">
        <f t="shared" si="33"/>
        <v>0</v>
      </c>
      <c r="AN28">
        <f t="shared" si="33"/>
        <v>0</v>
      </c>
      <c r="AO28">
        <f t="shared" si="33"/>
        <v>0</v>
      </c>
      <c r="AP28">
        <f t="shared" si="33"/>
        <v>0</v>
      </c>
      <c r="AQ28">
        <f t="shared" si="33"/>
        <v>0</v>
      </c>
      <c r="AR28">
        <f t="shared" si="34"/>
        <v>0</v>
      </c>
      <c r="AS28">
        <f t="shared" si="34"/>
        <v>0</v>
      </c>
      <c r="AT28">
        <f t="shared" si="34"/>
        <v>0</v>
      </c>
      <c r="AU28">
        <f t="shared" si="34"/>
        <v>0</v>
      </c>
      <c r="AV28">
        <f t="shared" si="34"/>
        <v>0</v>
      </c>
      <c r="AW28">
        <f t="shared" si="34"/>
        <v>0</v>
      </c>
      <c r="AX28">
        <f t="shared" si="34"/>
        <v>0</v>
      </c>
      <c r="BB28" s="35">
        <f t="shared" si="14"/>
        <v>0</v>
      </c>
      <c r="BC28" s="35">
        <f t="shared" si="15"/>
        <v>0</v>
      </c>
      <c r="BD28" s="35">
        <f t="shared" si="16"/>
        <v>0</v>
      </c>
      <c r="BE28" s="35">
        <f t="shared" si="17"/>
        <v>0</v>
      </c>
      <c r="BF28" s="35">
        <f t="shared" si="18"/>
        <v>0</v>
      </c>
      <c r="BG28" s="35">
        <f t="shared" si="19"/>
        <v>0</v>
      </c>
      <c r="BH28" s="35">
        <f t="shared" si="20"/>
        <v>0</v>
      </c>
      <c r="BI28" s="35">
        <f t="shared" si="21"/>
        <v>0</v>
      </c>
      <c r="BJ28" s="35">
        <f t="shared" si="22"/>
        <v>0</v>
      </c>
      <c r="BK28" s="35">
        <f t="shared" si="23"/>
        <v>0</v>
      </c>
      <c r="BL28" s="35">
        <f t="shared" si="24"/>
        <v>0</v>
      </c>
      <c r="BM28" s="35">
        <f t="shared" si="25"/>
        <v>0</v>
      </c>
      <c r="BN28">
        <f t="shared" si="30"/>
        <v>0</v>
      </c>
      <c r="BO28">
        <f t="shared" si="30"/>
        <v>0</v>
      </c>
      <c r="BP28">
        <f t="shared" si="30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">
      <c r="A29">
        <f>Database!A29</f>
        <v>28</v>
      </c>
      <c r="B29" s="25">
        <f>Database!E29</f>
        <v>0</v>
      </c>
      <c r="C29">
        <f>IF(Database!G29="cansl",0,Database!K29)</f>
        <v>0</v>
      </c>
      <c r="D29">
        <f>Database!D29-Database!C29</f>
        <v>0</v>
      </c>
      <c r="F29">
        <f>Database!L29</f>
        <v>0</v>
      </c>
      <c r="G29">
        <f>Database!F29</f>
        <v>0</v>
      </c>
      <c r="K29">
        <f t="shared" si="0"/>
        <v>0</v>
      </c>
      <c r="L29">
        <f t="shared" si="1"/>
        <v>0</v>
      </c>
      <c r="M29">
        <f t="shared" si="9"/>
        <v>0</v>
      </c>
      <c r="N29">
        <f t="shared" si="31"/>
        <v>0</v>
      </c>
      <c r="O29">
        <f t="shared" si="31"/>
        <v>0</v>
      </c>
      <c r="P29">
        <f t="shared" si="31"/>
        <v>0</v>
      </c>
      <c r="Q29">
        <f t="shared" si="31"/>
        <v>0</v>
      </c>
      <c r="R29">
        <f t="shared" si="31"/>
        <v>0</v>
      </c>
      <c r="S29">
        <f t="shared" si="31"/>
        <v>0</v>
      </c>
      <c r="T29">
        <f t="shared" si="31"/>
        <v>0</v>
      </c>
      <c r="U29">
        <f t="shared" si="31"/>
        <v>0</v>
      </c>
      <c r="V29">
        <f t="shared" si="31"/>
        <v>0</v>
      </c>
      <c r="W29">
        <f t="shared" si="31"/>
        <v>0</v>
      </c>
      <c r="X29">
        <f t="shared" si="32"/>
        <v>0</v>
      </c>
      <c r="Y29">
        <f t="shared" si="32"/>
        <v>0</v>
      </c>
      <c r="Z29">
        <f t="shared" si="32"/>
        <v>0</v>
      </c>
      <c r="AA29">
        <f t="shared" si="32"/>
        <v>0</v>
      </c>
      <c r="AB29">
        <f t="shared" si="32"/>
        <v>0</v>
      </c>
      <c r="AC29">
        <f t="shared" si="32"/>
        <v>0</v>
      </c>
      <c r="AD29">
        <f t="shared" si="32"/>
        <v>0</v>
      </c>
      <c r="AE29">
        <f t="shared" si="32"/>
        <v>0</v>
      </c>
      <c r="AF29">
        <f t="shared" si="32"/>
        <v>0</v>
      </c>
      <c r="AG29">
        <f t="shared" si="32"/>
        <v>0</v>
      </c>
      <c r="AH29">
        <f t="shared" si="33"/>
        <v>0</v>
      </c>
      <c r="AI29">
        <f t="shared" si="33"/>
        <v>0</v>
      </c>
      <c r="AJ29">
        <f t="shared" si="33"/>
        <v>0</v>
      </c>
      <c r="AK29">
        <f t="shared" si="33"/>
        <v>0</v>
      </c>
      <c r="AL29">
        <f t="shared" si="33"/>
        <v>0</v>
      </c>
      <c r="AM29">
        <f t="shared" si="33"/>
        <v>0</v>
      </c>
      <c r="AN29">
        <f t="shared" si="33"/>
        <v>0</v>
      </c>
      <c r="AO29">
        <f t="shared" si="33"/>
        <v>0</v>
      </c>
      <c r="AP29">
        <f t="shared" si="33"/>
        <v>0</v>
      </c>
      <c r="AQ29">
        <f t="shared" si="33"/>
        <v>0</v>
      </c>
      <c r="AR29">
        <f t="shared" si="34"/>
        <v>0</v>
      </c>
      <c r="AS29">
        <f t="shared" si="34"/>
        <v>0</v>
      </c>
      <c r="AT29">
        <f t="shared" si="34"/>
        <v>0</v>
      </c>
      <c r="AU29">
        <f t="shared" si="34"/>
        <v>0</v>
      </c>
      <c r="AV29">
        <f t="shared" si="34"/>
        <v>0</v>
      </c>
      <c r="AW29">
        <f t="shared" si="34"/>
        <v>0</v>
      </c>
      <c r="AX29">
        <f t="shared" si="34"/>
        <v>0</v>
      </c>
      <c r="BB29" s="35">
        <f t="shared" si="14"/>
        <v>0</v>
      </c>
      <c r="BC29" s="35">
        <f t="shared" si="15"/>
        <v>0</v>
      </c>
      <c r="BD29" s="35">
        <f t="shared" si="16"/>
        <v>0</v>
      </c>
      <c r="BE29" s="35">
        <f t="shared" si="17"/>
        <v>0</v>
      </c>
      <c r="BF29" s="35">
        <f t="shared" si="18"/>
        <v>0</v>
      </c>
      <c r="BG29" s="35">
        <f t="shared" si="19"/>
        <v>0</v>
      </c>
      <c r="BH29" s="35">
        <f t="shared" si="20"/>
        <v>0</v>
      </c>
      <c r="BI29" s="35">
        <f t="shared" si="21"/>
        <v>0</v>
      </c>
      <c r="BJ29" s="35">
        <f t="shared" si="22"/>
        <v>0</v>
      </c>
      <c r="BK29" s="35">
        <f t="shared" si="23"/>
        <v>0</v>
      </c>
      <c r="BL29" s="35">
        <f t="shared" si="24"/>
        <v>0</v>
      </c>
      <c r="BM29" s="35">
        <f t="shared" si="25"/>
        <v>0</v>
      </c>
      <c r="BN29">
        <f t="shared" si="30"/>
        <v>0</v>
      </c>
      <c r="BO29">
        <f t="shared" si="30"/>
        <v>0</v>
      </c>
      <c r="BP29">
        <f t="shared" si="30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">
      <c r="A30">
        <f>Database!A30</f>
        <v>29</v>
      </c>
      <c r="B30" s="25">
        <f>Database!E30</f>
        <v>0</v>
      </c>
      <c r="C30">
        <f>IF(Database!G30="cansl",0,Database!K30)</f>
        <v>0</v>
      </c>
      <c r="D30">
        <f>Database!D30-Database!C30</f>
        <v>0</v>
      </c>
      <c r="F30">
        <f>Database!L30</f>
        <v>0</v>
      </c>
      <c r="G30">
        <f>Database!F30</f>
        <v>0</v>
      </c>
      <c r="K30">
        <f t="shared" si="0"/>
        <v>0</v>
      </c>
      <c r="L30">
        <f t="shared" si="1"/>
        <v>0</v>
      </c>
      <c r="M30">
        <f t="shared" si="9"/>
        <v>0</v>
      </c>
      <c r="N30">
        <f t="shared" si="31"/>
        <v>0</v>
      </c>
      <c r="O30">
        <f t="shared" si="31"/>
        <v>0</v>
      </c>
      <c r="P30">
        <f t="shared" si="31"/>
        <v>0</v>
      </c>
      <c r="Q30">
        <f t="shared" si="31"/>
        <v>0</v>
      </c>
      <c r="R30">
        <f t="shared" si="31"/>
        <v>0</v>
      </c>
      <c r="S30">
        <f t="shared" si="31"/>
        <v>0</v>
      </c>
      <c r="T30">
        <f t="shared" si="31"/>
        <v>0</v>
      </c>
      <c r="U30">
        <f t="shared" si="31"/>
        <v>0</v>
      </c>
      <c r="V30">
        <f t="shared" si="31"/>
        <v>0</v>
      </c>
      <c r="W30">
        <f t="shared" si="31"/>
        <v>0</v>
      </c>
      <c r="X30">
        <f t="shared" si="32"/>
        <v>0</v>
      </c>
      <c r="Y30">
        <f t="shared" si="32"/>
        <v>0</v>
      </c>
      <c r="Z30">
        <f t="shared" si="32"/>
        <v>0</v>
      </c>
      <c r="AA30">
        <f t="shared" si="32"/>
        <v>0</v>
      </c>
      <c r="AB30">
        <f t="shared" si="32"/>
        <v>0</v>
      </c>
      <c r="AC30">
        <f t="shared" si="32"/>
        <v>0</v>
      </c>
      <c r="AD30">
        <f t="shared" si="32"/>
        <v>0</v>
      </c>
      <c r="AE30">
        <f t="shared" si="32"/>
        <v>0</v>
      </c>
      <c r="AF30">
        <f t="shared" si="32"/>
        <v>0</v>
      </c>
      <c r="AG30">
        <f t="shared" si="32"/>
        <v>0</v>
      </c>
      <c r="AH30">
        <f t="shared" si="33"/>
        <v>0</v>
      </c>
      <c r="AI30">
        <f t="shared" si="33"/>
        <v>0</v>
      </c>
      <c r="AJ30">
        <f t="shared" si="33"/>
        <v>0</v>
      </c>
      <c r="AK30">
        <f t="shared" si="33"/>
        <v>0</v>
      </c>
      <c r="AL30">
        <f t="shared" si="33"/>
        <v>0</v>
      </c>
      <c r="AM30">
        <f t="shared" si="33"/>
        <v>0</v>
      </c>
      <c r="AN30">
        <f t="shared" si="33"/>
        <v>0</v>
      </c>
      <c r="AO30">
        <f t="shared" si="33"/>
        <v>0</v>
      </c>
      <c r="AP30">
        <f t="shared" si="33"/>
        <v>0</v>
      </c>
      <c r="AQ30">
        <f t="shared" si="33"/>
        <v>0</v>
      </c>
      <c r="AR30">
        <f t="shared" si="34"/>
        <v>0</v>
      </c>
      <c r="AS30">
        <f t="shared" si="34"/>
        <v>0</v>
      </c>
      <c r="AT30">
        <f t="shared" si="34"/>
        <v>0</v>
      </c>
      <c r="AU30">
        <f t="shared" si="34"/>
        <v>0</v>
      </c>
      <c r="AV30">
        <f t="shared" si="34"/>
        <v>0</v>
      </c>
      <c r="AW30">
        <f t="shared" si="34"/>
        <v>0</v>
      </c>
      <c r="AX30">
        <f t="shared" si="34"/>
        <v>0</v>
      </c>
      <c r="BB30" s="35">
        <f t="shared" si="14"/>
        <v>0</v>
      </c>
      <c r="BC30" s="35">
        <f t="shared" si="15"/>
        <v>0</v>
      </c>
      <c r="BD30" s="35">
        <f t="shared" si="16"/>
        <v>0</v>
      </c>
      <c r="BE30" s="35">
        <f t="shared" si="17"/>
        <v>0</v>
      </c>
      <c r="BF30" s="35">
        <f t="shared" si="18"/>
        <v>0</v>
      </c>
      <c r="BG30" s="35">
        <f t="shared" si="19"/>
        <v>0</v>
      </c>
      <c r="BH30" s="35">
        <f t="shared" si="20"/>
        <v>0</v>
      </c>
      <c r="BI30" s="35">
        <f t="shared" si="21"/>
        <v>0</v>
      </c>
      <c r="BJ30" s="35">
        <f t="shared" si="22"/>
        <v>0</v>
      </c>
      <c r="BK30" s="35">
        <f t="shared" si="23"/>
        <v>0</v>
      </c>
      <c r="BL30" s="35">
        <f t="shared" si="24"/>
        <v>0</v>
      </c>
      <c r="BM30" s="35">
        <f t="shared" si="25"/>
        <v>0</v>
      </c>
      <c r="BN30">
        <f t="shared" si="30"/>
        <v>0</v>
      </c>
      <c r="BO30">
        <f t="shared" si="30"/>
        <v>0</v>
      </c>
      <c r="BP30">
        <f t="shared" si="30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">
      <c r="A31">
        <f>Database!A31</f>
        <v>30</v>
      </c>
      <c r="B31" s="25">
        <f>Database!E31</f>
        <v>0</v>
      </c>
      <c r="C31">
        <f>IF(Database!G31="cansl",0,Database!K31)</f>
        <v>0</v>
      </c>
      <c r="D31">
        <f>Database!D31-Database!C31</f>
        <v>0</v>
      </c>
      <c r="F31">
        <f>Database!L31</f>
        <v>0</v>
      </c>
      <c r="G31">
        <f>Database!F31</f>
        <v>0</v>
      </c>
      <c r="K31">
        <f t="shared" si="0"/>
        <v>0</v>
      </c>
      <c r="L31">
        <f t="shared" si="1"/>
        <v>0</v>
      </c>
      <c r="M31">
        <f t="shared" si="9"/>
        <v>0</v>
      </c>
      <c r="N31">
        <f t="shared" si="31"/>
        <v>0</v>
      </c>
      <c r="O31">
        <f t="shared" si="31"/>
        <v>0</v>
      </c>
      <c r="P31">
        <f t="shared" si="31"/>
        <v>0</v>
      </c>
      <c r="Q31">
        <f t="shared" si="31"/>
        <v>0</v>
      </c>
      <c r="R31">
        <f t="shared" si="31"/>
        <v>0</v>
      </c>
      <c r="S31">
        <f t="shared" si="31"/>
        <v>0</v>
      </c>
      <c r="T31">
        <f t="shared" si="31"/>
        <v>0</v>
      </c>
      <c r="U31">
        <f t="shared" si="31"/>
        <v>0</v>
      </c>
      <c r="V31">
        <f t="shared" si="31"/>
        <v>0</v>
      </c>
      <c r="W31">
        <f t="shared" si="31"/>
        <v>0</v>
      </c>
      <c r="X31">
        <f t="shared" si="32"/>
        <v>0</v>
      </c>
      <c r="Y31">
        <f t="shared" si="32"/>
        <v>0</v>
      </c>
      <c r="Z31">
        <f t="shared" si="32"/>
        <v>0</v>
      </c>
      <c r="AA31">
        <f t="shared" si="32"/>
        <v>0</v>
      </c>
      <c r="AB31">
        <f t="shared" si="32"/>
        <v>0</v>
      </c>
      <c r="AC31">
        <f t="shared" si="32"/>
        <v>0</v>
      </c>
      <c r="AD31">
        <f t="shared" si="32"/>
        <v>0</v>
      </c>
      <c r="AE31">
        <f t="shared" si="32"/>
        <v>0</v>
      </c>
      <c r="AF31">
        <f t="shared" si="32"/>
        <v>0</v>
      </c>
      <c r="AG31">
        <f t="shared" si="32"/>
        <v>0</v>
      </c>
      <c r="AH31">
        <f t="shared" si="33"/>
        <v>0</v>
      </c>
      <c r="AI31">
        <f t="shared" si="33"/>
        <v>0</v>
      </c>
      <c r="AJ31">
        <f t="shared" si="33"/>
        <v>0</v>
      </c>
      <c r="AK31">
        <f t="shared" si="33"/>
        <v>0</v>
      </c>
      <c r="AL31">
        <f t="shared" si="33"/>
        <v>0</v>
      </c>
      <c r="AM31">
        <f t="shared" si="33"/>
        <v>0</v>
      </c>
      <c r="AN31">
        <f t="shared" si="33"/>
        <v>0</v>
      </c>
      <c r="AO31">
        <f t="shared" si="33"/>
        <v>0</v>
      </c>
      <c r="AP31">
        <f t="shared" si="33"/>
        <v>0</v>
      </c>
      <c r="AQ31">
        <f t="shared" si="33"/>
        <v>0</v>
      </c>
      <c r="AR31">
        <f t="shared" si="34"/>
        <v>0</v>
      </c>
      <c r="AS31">
        <f t="shared" si="34"/>
        <v>0</v>
      </c>
      <c r="AT31">
        <f t="shared" si="34"/>
        <v>0</v>
      </c>
      <c r="AU31">
        <f t="shared" si="34"/>
        <v>0</v>
      </c>
      <c r="AV31">
        <f t="shared" si="34"/>
        <v>0</v>
      </c>
      <c r="AW31">
        <f t="shared" si="34"/>
        <v>0</v>
      </c>
      <c r="AX31">
        <f t="shared" si="34"/>
        <v>0</v>
      </c>
      <c r="BB31" s="35">
        <f t="shared" si="14"/>
        <v>0</v>
      </c>
      <c r="BC31" s="35">
        <f t="shared" si="15"/>
        <v>0</v>
      </c>
      <c r="BD31" s="35">
        <f t="shared" si="16"/>
        <v>0</v>
      </c>
      <c r="BE31" s="35">
        <f t="shared" si="17"/>
        <v>0</v>
      </c>
      <c r="BF31" s="35">
        <f t="shared" si="18"/>
        <v>0</v>
      </c>
      <c r="BG31" s="35">
        <f t="shared" si="19"/>
        <v>0</v>
      </c>
      <c r="BH31" s="35">
        <f t="shared" si="20"/>
        <v>0</v>
      </c>
      <c r="BI31" s="35">
        <f t="shared" si="21"/>
        <v>0</v>
      </c>
      <c r="BJ31" s="35">
        <f t="shared" si="22"/>
        <v>0</v>
      </c>
      <c r="BK31" s="35">
        <f t="shared" si="23"/>
        <v>0</v>
      </c>
      <c r="BL31" s="35">
        <f t="shared" si="24"/>
        <v>0</v>
      </c>
      <c r="BM31" s="35">
        <f t="shared" si="25"/>
        <v>0</v>
      </c>
      <c r="BN31">
        <f t="shared" si="30"/>
        <v>0</v>
      </c>
      <c r="BO31">
        <f t="shared" si="30"/>
        <v>0</v>
      </c>
      <c r="BP31">
        <f t="shared" si="30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">
      <c r="A32">
        <f>Database!A32</f>
        <v>31</v>
      </c>
      <c r="B32" s="25">
        <f>Database!E32</f>
        <v>0</v>
      </c>
      <c r="C32">
        <f>IF(Database!G32="cansl",0,Database!K32)</f>
        <v>0</v>
      </c>
      <c r="D32">
        <f>Database!D32-Database!C32</f>
        <v>0</v>
      </c>
      <c r="F32">
        <f>Database!L32</f>
        <v>0</v>
      </c>
      <c r="G32">
        <f>Database!F32</f>
        <v>0</v>
      </c>
      <c r="K32">
        <f t="shared" si="0"/>
        <v>0</v>
      </c>
      <c r="L32">
        <f t="shared" si="1"/>
        <v>0</v>
      </c>
      <c r="M32">
        <f t="shared" si="9"/>
        <v>0</v>
      </c>
      <c r="N32">
        <f t="shared" si="31"/>
        <v>0</v>
      </c>
      <c r="O32">
        <f t="shared" si="31"/>
        <v>0</v>
      </c>
      <c r="P32">
        <f t="shared" si="31"/>
        <v>0</v>
      </c>
      <c r="Q32">
        <f t="shared" si="31"/>
        <v>0</v>
      </c>
      <c r="R32">
        <f t="shared" si="31"/>
        <v>0</v>
      </c>
      <c r="S32">
        <f t="shared" si="31"/>
        <v>0</v>
      </c>
      <c r="T32">
        <f t="shared" si="31"/>
        <v>0</v>
      </c>
      <c r="U32">
        <f t="shared" si="31"/>
        <v>0</v>
      </c>
      <c r="V32">
        <f t="shared" si="31"/>
        <v>0</v>
      </c>
      <c r="W32">
        <f t="shared" si="31"/>
        <v>0</v>
      </c>
      <c r="X32">
        <f t="shared" si="32"/>
        <v>0</v>
      </c>
      <c r="Y32">
        <f t="shared" si="32"/>
        <v>0</v>
      </c>
      <c r="Z32">
        <f t="shared" si="32"/>
        <v>0</v>
      </c>
      <c r="AA32">
        <f t="shared" si="32"/>
        <v>0</v>
      </c>
      <c r="AB32">
        <f t="shared" si="32"/>
        <v>0</v>
      </c>
      <c r="AC32">
        <f t="shared" si="32"/>
        <v>0</v>
      </c>
      <c r="AD32">
        <f t="shared" si="32"/>
        <v>0</v>
      </c>
      <c r="AE32">
        <f t="shared" si="32"/>
        <v>0</v>
      </c>
      <c r="AF32">
        <f t="shared" si="32"/>
        <v>0</v>
      </c>
      <c r="AG32">
        <f t="shared" si="32"/>
        <v>0</v>
      </c>
      <c r="AH32">
        <f t="shared" si="33"/>
        <v>0</v>
      </c>
      <c r="AI32">
        <f t="shared" si="33"/>
        <v>0</v>
      </c>
      <c r="AJ32">
        <f t="shared" si="33"/>
        <v>0</v>
      </c>
      <c r="AK32">
        <f t="shared" si="33"/>
        <v>0</v>
      </c>
      <c r="AL32">
        <f t="shared" si="33"/>
        <v>0</v>
      </c>
      <c r="AM32">
        <f t="shared" si="33"/>
        <v>0</v>
      </c>
      <c r="AN32">
        <f t="shared" si="33"/>
        <v>0</v>
      </c>
      <c r="AO32">
        <f t="shared" si="33"/>
        <v>0</v>
      </c>
      <c r="AP32">
        <f t="shared" si="33"/>
        <v>0</v>
      </c>
      <c r="AQ32">
        <f t="shared" si="33"/>
        <v>0</v>
      </c>
      <c r="AR32">
        <f t="shared" si="34"/>
        <v>0</v>
      </c>
      <c r="AS32">
        <f t="shared" si="34"/>
        <v>0</v>
      </c>
      <c r="AT32">
        <f t="shared" si="34"/>
        <v>0</v>
      </c>
      <c r="AU32">
        <f t="shared" si="34"/>
        <v>0</v>
      </c>
      <c r="AV32">
        <f t="shared" si="34"/>
        <v>0</v>
      </c>
      <c r="AW32">
        <f t="shared" si="34"/>
        <v>0</v>
      </c>
      <c r="AX32">
        <f t="shared" si="34"/>
        <v>0</v>
      </c>
      <c r="BB32" s="35">
        <f t="shared" si="14"/>
        <v>0</v>
      </c>
      <c r="BC32" s="35">
        <f t="shared" si="15"/>
        <v>0</v>
      </c>
      <c r="BD32" s="35">
        <f t="shared" si="16"/>
        <v>0</v>
      </c>
      <c r="BE32" s="35">
        <f t="shared" si="17"/>
        <v>0</v>
      </c>
      <c r="BF32" s="35">
        <f t="shared" si="18"/>
        <v>0</v>
      </c>
      <c r="BG32" s="35">
        <f t="shared" si="19"/>
        <v>0</v>
      </c>
      <c r="BH32" s="35">
        <f t="shared" si="20"/>
        <v>0</v>
      </c>
      <c r="BI32" s="35">
        <f t="shared" si="21"/>
        <v>0</v>
      </c>
      <c r="BJ32" s="35">
        <f t="shared" si="22"/>
        <v>0</v>
      </c>
      <c r="BK32" s="35">
        <f t="shared" si="23"/>
        <v>0</v>
      </c>
      <c r="BL32" s="35">
        <f t="shared" si="24"/>
        <v>0</v>
      </c>
      <c r="BM32" s="35">
        <f t="shared" si="25"/>
        <v>0</v>
      </c>
      <c r="BN32">
        <f t="shared" si="30"/>
        <v>0</v>
      </c>
      <c r="BO32">
        <f t="shared" si="30"/>
        <v>0</v>
      </c>
      <c r="BP32">
        <f t="shared" si="30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">
      <c r="A33">
        <f>Database!A33</f>
        <v>32</v>
      </c>
      <c r="B33" s="25">
        <f>Database!E33</f>
        <v>0</v>
      </c>
      <c r="C33">
        <f>IF(Database!G33="cansl",0,Database!K33)</f>
        <v>0</v>
      </c>
      <c r="D33">
        <f>Database!D33-Database!C33</f>
        <v>0</v>
      </c>
      <c r="F33">
        <f>Database!L33</f>
        <v>0</v>
      </c>
      <c r="G33">
        <f>Database!F33</f>
        <v>0</v>
      </c>
      <c r="K33">
        <f t="shared" si="0"/>
        <v>0</v>
      </c>
      <c r="L33">
        <f t="shared" si="1"/>
        <v>0</v>
      </c>
      <c r="M33">
        <f t="shared" si="9"/>
        <v>0</v>
      </c>
      <c r="N33">
        <f t="shared" ref="N33:W42" si="35">IF($B33&lt;N$1,$C33*$D33,0)</f>
        <v>0</v>
      </c>
      <c r="O33">
        <f t="shared" si="35"/>
        <v>0</v>
      </c>
      <c r="P33">
        <f t="shared" si="35"/>
        <v>0</v>
      </c>
      <c r="Q33">
        <f t="shared" si="35"/>
        <v>0</v>
      </c>
      <c r="R33">
        <f t="shared" si="35"/>
        <v>0</v>
      </c>
      <c r="S33">
        <f t="shared" si="35"/>
        <v>0</v>
      </c>
      <c r="T33">
        <f t="shared" si="35"/>
        <v>0</v>
      </c>
      <c r="U33">
        <f t="shared" si="35"/>
        <v>0</v>
      </c>
      <c r="V33">
        <f t="shared" si="35"/>
        <v>0</v>
      </c>
      <c r="W33">
        <f t="shared" si="35"/>
        <v>0</v>
      </c>
      <c r="X33">
        <f t="shared" ref="X33:AG42" si="36">IF($B33&lt;X$1,$C33*$D33,0)</f>
        <v>0</v>
      </c>
      <c r="Y33">
        <f t="shared" si="36"/>
        <v>0</v>
      </c>
      <c r="Z33">
        <f t="shared" si="36"/>
        <v>0</v>
      </c>
      <c r="AA33">
        <f t="shared" si="36"/>
        <v>0</v>
      </c>
      <c r="AB33">
        <f t="shared" si="36"/>
        <v>0</v>
      </c>
      <c r="AC33">
        <f t="shared" si="36"/>
        <v>0</v>
      </c>
      <c r="AD33">
        <f t="shared" si="36"/>
        <v>0</v>
      </c>
      <c r="AE33">
        <f t="shared" si="36"/>
        <v>0</v>
      </c>
      <c r="AF33">
        <f t="shared" si="36"/>
        <v>0</v>
      </c>
      <c r="AG33">
        <f t="shared" si="36"/>
        <v>0</v>
      </c>
      <c r="AH33">
        <f t="shared" ref="AH33:AQ42" si="37">IF($B33&lt;AH$1,$C33*$D33,0)</f>
        <v>0</v>
      </c>
      <c r="AI33">
        <f t="shared" si="37"/>
        <v>0</v>
      </c>
      <c r="AJ33">
        <f t="shared" si="37"/>
        <v>0</v>
      </c>
      <c r="AK33">
        <f t="shared" si="37"/>
        <v>0</v>
      </c>
      <c r="AL33">
        <f t="shared" si="37"/>
        <v>0</v>
      </c>
      <c r="AM33">
        <f t="shared" si="37"/>
        <v>0</v>
      </c>
      <c r="AN33">
        <f t="shared" si="37"/>
        <v>0</v>
      </c>
      <c r="AO33">
        <f t="shared" si="37"/>
        <v>0</v>
      </c>
      <c r="AP33">
        <f t="shared" si="37"/>
        <v>0</v>
      </c>
      <c r="AQ33">
        <f t="shared" si="37"/>
        <v>0</v>
      </c>
      <c r="AR33">
        <f t="shared" ref="AR33:AX42" si="38">IF($B33&lt;AR$1,$C33*$D33,0)</f>
        <v>0</v>
      </c>
      <c r="AS33">
        <f t="shared" si="38"/>
        <v>0</v>
      </c>
      <c r="AT33">
        <f t="shared" si="38"/>
        <v>0</v>
      </c>
      <c r="AU33">
        <f t="shared" si="38"/>
        <v>0</v>
      </c>
      <c r="AV33">
        <f t="shared" si="38"/>
        <v>0</v>
      </c>
      <c r="AW33">
        <f t="shared" si="38"/>
        <v>0</v>
      </c>
      <c r="AX33">
        <f t="shared" si="38"/>
        <v>0</v>
      </c>
      <c r="BB33" s="35">
        <f t="shared" si="14"/>
        <v>0</v>
      </c>
      <c r="BC33" s="35">
        <f t="shared" si="15"/>
        <v>0</v>
      </c>
      <c r="BD33" s="35">
        <f t="shared" si="16"/>
        <v>0</v>
      </c>
      <c r="BE33" s="35">
        <f t="shared" si="17"/>
        <v>0</v>
      </c>
      <c r="BF33" s="35">
        <f t="shared" si="18"/>
        <v>0</v>
      </c>
      <c r="BG33" s="35">
        <f t="shared" si="19"/>
        <v>0</v>
      </c>
      <c r="BH33" s="35">
        <f t="shared" si="20"/>
        <v>0</v>
      </c>
      <c r="BI33" s="35">
        <f t="shared" si="21"/>
        <v>0</v>
      </c>
      <c r="BJ33" s="35">
        <f t="shared" si="22"/>
        <v>0</v>
      </c>
      <c r="BK33" s="35">
        <f t="shared" si="23"/>
        <v>0</v>
      </c>
      <c r="BL33" s="35">
        <f t="shared" si="24"/>
        <v>0</v>
      </c>
      <c r="BM33" s="35">
        <f t="shared" si="25"/>
        <v>0</v>
      </c>
      <c r="BN33">
        <f t="shared" si="30"/>
        <v>0</v>
      </c>
      <c r="BO33">
        <f t="shared" si="30"/>
        <v>0</v>
      </c>
      <c r="BP33">
        <f t="shared" si="30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">
      <c r="A34">
        <f>Database!A34</f>
        <v>33</v>
      </c>
      <c r="B34" s="25">
        <f>Database!E34</f>
        <v>0</v>
      </c>
      <c r="C34">
        <f>IF(Database!G34="cansl",0,Database!K34)</f>
        <v>0</v>
      </c>
      <c r="D34">
        <f>Database!D34-Database!C34</f>
        <v>0</v>
      </c>
      <c r="F34">
        <f>Database!L34</f>
        <v>0</v>
      </c>
      <c r="G34">
        <f>Database!F34</f>
        <v>0</v>
      </c>
      <c r="K34">
        <f t="shared" ref="K34:K65" si="39">IF(B34&lt;$K$1,C34*D34,0)</f>
        <v>0</v>
      </c>
      <c r="L34">
        <f t="shared" ref="L34:L65" si="40">IF(B34&lt;$L$1,C34*D34,0)</f>
        <v>0</v>
      </c>
      <c r="M34">
        <f t="shared" si="9"/>
        <v>0</v>
      </c>
      <c r="N34">
        <f t="shared" si="35"/>
        <v>0</v>
      </c>
      <c r="O34">
        <f t="shared" si="35"/>
        <v>0</v>
      </c>
      <c r="P34">
        <f t="shared" si="35"/>
        <v>0</v>
      </c>
      <c r="Q34">
        <f t="shared" si="35"/>
        <v>0</v>
      </c>
      <c r="R34">
        <f t="shared" si="35"/>
        <v>0</v>
      </c>
      <c r="S34">
        <f t="shared" si="35"/>
        <v>0</v>
      </c>
      <c r="T34">
        <f t="shared" si="35"/>
        <v>0</v>
      </c>
      <c r="U34">
        <f t="shared" si="35"/>
        <v>0</v>
      </c>
      <c r="V34">
        <f t="shared" si="35"/>
        <v>0</v>
      </c>
      <c r="W34">
        <f t="shared" si="35"/>
        <v>0</v>
      </c>
      <c r="X34">
        <f t="shared" si="36"/>
        <v>0</v>
      </c>
      <c r="Y34">
        <f t="shared" si="36"/>
        <v>0</v>
      </c>
      <c r="Z34">
        <f t="shared" si="36"/>
        <v>0</v>
      </c>
      <c r="AA34">
        <f t="shared" si="36"/>
        <v>0</v>
      </c>
      <c r="AB34">
        <f t="shared" si="36"/>
        <v>0</v>
      </c>
      <c r="AC34">
        <f t="shared" si="36"/>
        <v>0</v>
      </c>
      <c r="AD34">
        <f t="shared" si="36"/>
        <v>0</v>
      </c>
      <c r="AE34">
        <f t="shared" si="36"/>
        <v>0</v>
      </c>
      <c r="AF34">
        <f t="shared" si="36"/>
        <v>0</v>
      </c>
      <c r="AG34">
        <f t="shared" si="36"/>
        <v>0</v>
      </c>
      <c r="AH34">
        <f t="shared" si="37"/>
        <v>0</v>
      </c>
      <c r="AI34">
        <f t="shared" si="37"/>
        <v>0</v>
      </c>
      <c r="AJ34">
        <f t="shared" si="37"/>
        <v>0</v>
      </c>
      <c r="AK34">
        <f t="shared" si="37"/>
        <v>0</v>
      </c>
      <c r="AL34">
        <f t="shared" si="37"/>
        <v>0</v>
      </c>
      <c r="AM34">
        <f t="shared" si="37"/>
        <v>0</v>
      </c>
      <c r="AN34">
        <f t="shared" si="37"/>
        <v>0</v>
      </c>
      <c r="AO34">
        <f t="shared" si="37"/>
        <v>0</v>
      </c>
      <c r="AP34">
        <f t="shared" si="37"/>
        <v>0</v>
      </c>
      <c r="AQ34">
        <f t="shared" si="37"/>
        <v>0</v>
      </c>
      <c r="AR34">
        <f t="shared" si="38"/>
        <v>0</v>
      </c>
      <c r="AS34">
        <f t="shared" si="38"/>
        <v>0</v>
      </c>
      <c r="AT34">
        <f t="shared" si="38"/>
        <v>0</v>
      </c>
      <c r="AU34">
        <f t="shared" si="38"/>
        <v>0</v>
      </c>
      <c r="AV34">
        <f t="shared" si="38"/>
        <v>0</v>
      </c>
      <c r="AW34">
        <f t="shared" si="38"/>
        <v>0</v>
      </c>
      <c r="AX34">
        <f t="shared" si="38"/>
        <v>0</v>
      </c>
      <c r="BB34" s="35">
        <f t="shared" si="14"/>
        <v>0</v>
      </c>
      <c r="BC34" s="35">
        <f t="shared" si="15"/>
        <v>0</v>
      </c>
      <c r="BD34" s="35">
        <f t="shared" si="16"/>
        <v>0</v>
      </c>
      <c r="BE34" s="35">
        <f t="shared" si="17"/>
        <v>0</v>
      </c>
      <c r="BF34" s="35">
        <f t="shared" si="18"/>
        <v>0</v>
      </c>
      <c r="BG34" s="35">
        <f t="shared" si="19"/>
        <v>0</v>
      </c>
      <c r="BH34" s="35">
        <f t="shared" si="20"/>
        <v>0</v>
      </c>
      <c r="BI34" s="35">
        <f t="shared" si="21"/>
        <v>0</v>
      </c>
      <c r="BJ34" s="35">
        <f t="shared" si="22"/>
        <v>0</v>
      </c>
      <c r="BK34" s="35">
        <f t="shared" si="23"/>
        <v>0</v>
      </c>
      <c r="BL34" s="35">
        <f t="shared" si="24"/>
        <v>0</v>
      </c>
      <c r="BM34" s="35">
        <f t="shared" si="25"/>
        <v>0</v>
      </c>
      <c r="BN34">
        <f t="shared" si="30"/>
        <v>0</v>
      </c>
      <c r="BO34">
        <f t="shared" si="30"/>
        <v>0</v>
      </c>
      <c r="BP34">
        <f t="shared" si="30"/>
        <v>0</v>
      </c>
      <c r="BQ34">
        <f t="shared" ref="BQ34:BQ65" si="41">IF(AND($D34&gt;0,$G34=BQ$1),$D34,0)</f>
        <v>0</v>
      </c>
      <c r="BR34">
        <f t="shared" ref="BR34:BR65" si="42">IF(AND($D34&gt;0,$G34=BR$1),$F34,0)</f>
        <v>0</v>
      </c>
      <c r="BS34">
        <f t="shared" ref="BS34:BS65" si="43">IF(AND($D34&gt;0,$G34=BS$1),$D34,0)</f>
        <v>0</v>
      </c>
      <c r="BT34">
        <f t="shared" ref="BT34:BT65" si="44">IF(AND($D34&gt;0,$G34=BT$1),$F34,0)</f>
        <v>0</v>
      </c>
      <c r="BU34">
        <f t="shared" ref="BU34:BU65" si="45">IF(AND($D34&gt;0,$G34=BU$1),$D34,0)</f>
        <v>0</v>
      </c>
    </row>
    <row r="35" spans="1:73" x14ac:dyDescent="0.3">
      <c r="A35">
        <f>Database!A35</f>
        <v>34</v>
      </c>
      <c r="B35" s="25">
        <f>Database!E35</f>
        <v>0</v>
      </c>
      <c r="C35">
        <f>IF(Database!G35="cansl",0,Database!K35)</f>
        <v>0</v>
      </c>
      <c r="D35">
        <f>Database!D35-Database!C35</f>
        <v>0</v>
      </c>
      <c r="F35">
        <f>Database!L35</f>
        <v>0</v>
      </c>
      <c r="G35">
        <f>Database!F35</f>
        <v>0</v>
      </c>
      <c r="K35">
        <f t="shared" si="39"/>
        <v>0</v>
      </c>
      <c r="L35">
        <f t="shared" si="40"/>
        <v>0</v>
      </c>
      <c r="M35">
        <f t="shared" ref="M35:M66" si="46">IF(B35&lt;$L$1,C35*D35,0)</f>
        <v>0</v>
      </c>
      <c r="N35">
        <f t="shared" si="35"/>
        <v>0</v>
      </c>
      <c r="O35">
        <f t="shared" si="35"/>
        <v>0</v>
      </c>
      <c r="P35">
        <f t="shared" si="35"/>
        <v>0</v>
      </c>
      <c r="Q35">
        <f t="shared" si="35"/>
        <v>0</v>
      </c>
      <c r="R35">
        <f t="shared" si="35"/>
        <v>0</v>
      </c>
      <c r="S35">
        <f t="shared" si="35"/>
        <v>0</v>
      </c>
      <c r="T35">
        <f t="shared" si="35"/>
        <v>0</v>
      </c>
      <c r="U35">
        <f t="shared" si="35"/>
        <v>0</v>
      </c>
      <c r="V35">
        <f t="shared" si="35"/>
        <v>0</v>
      </c>
      <c r="W35">
        <f t="shared" si="35"/>
        <v>0</v>
      </c>
      <c r="X35">
        <f t="shared" si="36"/>
        <v>0</v>
      </c>
      <c r="Y35">
        <f t="shared" si="36"/>
        <v>0</v>
      </c>
      <c r="Z35">
        <f t="shared" si="36"/>
        <v>0</v>
      </c>
      <c r="AA35">
        <f t="shared" si="36"/>
        <v>0</v>
      </c>
      <c r="AB35">
        <f t="shared" si="36"/>
        <v>0</v>
      </c>
      <c r="AC35">
        <f t="shared" si="36"/>
        <v>0</v>
      </c>
      <c r="AD35">
        <f t="shared" si="36"/>
        <v>0</v>
      </c>
      <c r="AE35">
        <f t="shared" si="36"/>
        <v>0</v>
      </c>
      <c r="AF35">
        <f t="shared" si="36"/>
        <v>0</v>
      </c>
      <c r="AG35">
        <f t="shared" si="36"/>
        <v>0</v>
      </c>
      <c r="AH35">
        <f t="shared" si="37"/>
        <v>0</v>
      </c>
      <c r="AI35">
        <f t="shared" si="37"/>
        <v>0</v>
      </c>
      <c r="AJ35">
        <f t="shared" si="37"/>
        <v>0</v>
      </c>
      <c r="AK35">
        <f t="shared" si="37"/>
        <v>0</v>
      </c>
      <c r="AL35">
        <f t="shared" si="37"/>
        <v>0</v>
      </c>
      <c r="AM35">
        <f t="shared" si="37"/>
        <v>0</v>
      </c>
      <c r="AN35">
        <f t="shared" si="37"/>
        <v>0</v>
      </c>
      <c r="AO35">
        <f t="shared" si="37"/>
        <v>0</v>
      </c>
      <c r="AP35">
        <f t="shared" si="37"/>
        <v>0</v>
      </c>
      <c r="AQ35">
        <f t="shared" si="37"/>
        <v>0</v>
      </c>
      <c r="AR35">
        <f t="shared" si="38"/>
        <v>0</v>
      </c>
      <c r="AS35">
        <f t="shared" si="38"/>
        <v>0</v>
      </c>
      <c r="AT35">
        <f t="shared" si="38"/>
        <v>0</v>
      </c>
      <c r="AU35">
        <f t="shared" si="38"/>
        <v>0</v>
      </c>
      <c r="AV35">
        <f t="shared" si="38"/>
        <v>0</v>
      </c>
      <c r="AW35">
        <f t="shared" si="38"/>
        <v>0</v>
      </c>
      <c r="AX35">
        <f t="shared" si="38"/>
        <v>0</v>
      </c>
      <c r="BB35" s="35">
        <f t="shared" si="14"/>
        <v>0</v>
      </c>
      <c r="BC35" s="35">
        <f t="shared" si="15"/>
        <v>0</v>
      </c>
      <c r="BD35" s="35">
        <f t="shared" si="16"/>
        <v>0</v>
      </c>
      <c r="BE35" s="35">
        <f t="shared" si="17"/>
        <v>0</v>
      </c>
      <c r="BF35" s="35">
        <f t="shared" si="18"/>
        <v>0</v>
      </c>
      <c r="BG35" s="35">
        <f t="shared" si="19"/>
        <v>0</v>
      </c>
      <c r="BH35" s="35">
        <f t="shared" si="20"/>
        <v>0</v>
      </c>
      <c r="BI35" s="35">
        <f t="shared" si="21"/>
        <v>0</v>
      </c>
      <c r="BJ35" s="35">
        <f t="shared" si="22"/>
        <v>0</v>
      </c>
      <c r="BK35" s="35">
        <f t="shared" si="23"/>
        <v>0</v>
      </c>
      <c r="BL35" s="35">
        <f t="shared" si="24"/>
        <v>0</v>
      </c>
      <c r="BM35" s="35">
        <f t="shared" si="25"/>
        <v>0</v>
      </c>
      <c r="BN35">
        <f t="shared" si="30"/>
        <v>0</v>
      </c>
      <c r="BO35">
        <f t="shared" si="30"/>
        <v>0</v>
      </c>
      <c r="BP35">
        <f t="shared" si="30"/>
        <v>0</v>
      </c>
      <c r="BQ35">
        <f t="shared" si="41"/>
        <v>0</v>
      </c>
      <c r="BR35">
        <f t="shared" si="42"/>
        <v>0</v>
      </c>
      <c r="BS35">
        <f t="shared" si="43"/>
        <v>0</v>
      </c>
      <c r="BT35">
        <f t="shared" si="44"/>
        <v>0</v>
      </c>
      <c r="BU35">
        <f t="shared" si="45"/>
        <v>0</v>
      </c>
    </row>
    <row r="36" spans="1:73" x14ac:dyDescent="0.3">
      <c r="A36">
        <f>Database!A36</f>
        <v>35</v>
      </c>
      <c r="B36" s="25">
        <f>Database!E36</f>
        <v>0</v>
      </c>
      <c r="C36">
        <f>IF(Database!G36="cansl",0,Database!K36)</f>
        <v>0</v>
      </c>
      <c r="D36">
        <f>Database!D36-Database!C36</f>
        <v>0</v>
      </c>
      <c r="F36">
        <f>Database!L36</f>
        <v>0</v>
      </c>
      <c r="G36">
        <f>Database!F36</f>
        <v>0</v>
      </c>
      <c r="K36">
        <f t="shared" si="39"/>
        <v>0</v>
      </c>
      <c r="L36">
        <f t="shared" si="40"/>
        <v>0</v>
      </c>
      <c r="M36">
        <f t="shared" si="46"/>
        <v>0</v>
      </c>
      <c r="N36">
        <f t="shared" si="35"/>
        <v>0</v>
      </c>
      <c r="O36">
        <f t="shared" si="35"/>
        <v>0</v>
      </c>
      <c r="P36">
        <f t="shared" si="35"/>
        <v>0</v>
      </c>
      <c r="Q36">
        <f t="shared" si="35"/>
        <v>0</v>
      </c>
      <c r="R36">
        <f t="shared" si="35"/>
        <v>0</v>
      </c>
      <c r="S36">
        <f t="shared" si="35"/>
        <v>0</v>
      </c>
      <c r="T36">
        <f t="shared" si="35"/>
        <v>0</v>
      </c>
      <c r="U36">
        <f t="shared" si="35"/>
        <v>0</v>
      </c>
      <c r="V36">
        <f t="shared" si="35"/>
        <v>0</v>
      </c>
      <c r="W36">
        <f t="shared" si="35"/>
        <v>0</v>
      </c>
      <c r="X36">
        <f t="shared" si="36"/>
        <v>0</v>
      </c>
      <c r="Y36">
        <f t="shared" si="36"/>
        <v>0</v>
      </c>
      <c r="Z36">
        <f t="shared" si="36"/>
        <v>0</v>
      </c>
      <c r="AA36">
        <f t="shared" si="36"/>
        <v>0</v>
      </c>
      <c r="AB36">
        <f t="shared" si="36"/>
        <v>0</v>
      </c>
      <c r="AC36">
        <f t="shared" si="36"/>
        <v>0</v>
      </c>
      <c r="AD36">
        <f t="shared" si="36"/>
        <v>0</v>
      </c>
      <c r="AE36">
        <f t="shared" si="36"/>
        <v>0</v>
      </c>
      <c r="AF36">
        <f t="shared" si="36"/>
        <v>0</v>
      </c>
      <c r="AG36">
        <f t="shared" si="36"/>
        <v>0</v>
      </c>
      <c r="AH36">
        <f t="shared" si="37"/>
        <v>0</v>
      </c>
      <c r="AI36">
        <f t="shared" si="37"/>
        <v>0</v>
      </c>
      <c r="AJ36">
        <f t="shared" si="37"/>
        <v>0</v>
      </c>
      <c r="AK36">
        <f t="shared" si="37"/>
        <v>0</v>
      </c>
      <c r="AL36">
        <f t="shared" si="37"/>
        <v>0</v>
      </c>
      <c r="AM36">
        <f t="shared" si="37"/>
        <v>0</v>
      </c>
      <c r="AN36">
        <f t="shared" si="37"/>
        <v>0</v>
      </c>
      <c r="AO36">
        <f t="shared" si="37"/>
        <v>0</v>
      </c>
      <c r="AP36">
        <f t="shared" si="37"/>
        <v>0</v>
      </c>
      <c r="AQ36">
        <f t="shared" si="37"/>
        <v>0</v>
      </c>
      <c r="AR36">
        <f t="shared" si="38"/>
        <v>0</v>
      </c>
      <c r="AS36">
        <f t="shared" si="38"/>
        <v>0</v>
      </c>
      <c r="AT36">
        <f t="shared" si="38"/>
        <v>0</v>
      </c>
      <c r="AU36">
        <f t="shared" si="38"/>
        <v>0</v>
      </c>
      <c r="AV36">
        <f t="shared" si="38"/>
        <v>0</v>
      </c>
      <c r="AW36">
        <f t="shared" si="38"/>
        <v>0</v>
      </c>
      <c r="AX36">
        <f t="shared" si="38"/>
        <v>0</v>
      </c>
      <c r="BB36" s="35">
        <f t="shared" si="14"/>
        <v>0</v>
      </c>
      <c r="BC36" s="35">
        <f t="shared" si="15"/>
        <v>0</v>
      </c>
      <c r="BD36" s="35">
        <f t="shared" si="16"/>
        <v>0</v>
      </c>
      <c r="BE36" s="35">
        <f t="shared" si="17"/>
        <v>0</v>
      </c>
      <c r="BF36" s="35">
        <f t="shared" si="18"/>
        <v>0</v>
      </c>
      <c r="BG36" s="35">
        <f t="shared" si="19"/>
        <v>0</v>
      </c>
      <c r="BH36" s="35">
        <f t="shared" si="20"/>
        <v>0</v>
      </c>
      <c r="BI36" s="35">
        <f t="shared" si="21"/>
        <v>0</v>
      </c>
      <c r="BJ36" s="35">
        <f t="shared" si="22"/>
        <v>0</v>
      </c>
      <c r="BK36" s="35">
        <f t="shared" si="23"/>
        <v>0</v>
      </c>
      <c r="BL36" s="35">
        <f t="shared" si="24"/>
        <v>0</v>
      </c>
      <c r="BM36" s="35">
        <f t="shared" si="25"/>
        <v>0</v>
      </c>
      <c r="BN36">
        <f t="shared" si="30"/>
        <v>0</v>
      </c>
      <c r="BO36">
        <f t="shared" si="30"/>
        <v>0</v>
      </c>
      <c r="BP36">
        <f t="shared" si="30"/>
        <v>0</v>
      </c>
      <c r="BQ36">
        <f t="shared" si="41"/>
        <v>0</v>
      </c>
      <c r="BR36">
        <f t="shared" si="42"/>
        <v>0</v>
      </c>
      <c r="BS36">
        <f t="shared" si="43"/>
        <v>0</v>
      </c>
      <c r="BT36">
        <f t="shared" si="44"/>
        <v>0</v>
      </c>
      <c r="BU36">
        <f t="shared" si="45"/>
        <v>0</v>
      </c>
    </row>
    <row r="37" spans="1:73" x14ac:dyDescent="0.3">
      <c r="A37">
        <f>Database!A37</f>
        <v>36</v>
      </c>
      <c r="B37" s="25">
        <f>Database!E37</f>
        <v>0</v>
      </c>
      <c r="C37">
        <f>IF(Database!G37="cansl",0,Database!K37)</f>
        <v>0</v>
      </c>
      <c r="D37">
        <f>Database!D37-Database!C37</f>
        <v>0</v>
      </c>
      <c r="F37">
        <f>Database!L37</f>
        <v>0</v>
      </c>
      <c r="G37">
        <f>Database!F37</f>
        <v>0</v>
      </c>
      <c r="K37">
        <f t="shared" si="39"/>
        <v>0</v>
      </c>
      <c r="L37">
        <f t="shared" si="40"/>
        <v>0</v>
      </c>
      <c r="M37">
        <f t="shared" si="46"/>
        <v>0</v>
      </c>
      <c r="N37">
        <f t="shared" si="35"/>
        <v>0</v>
      </c>
      <c r="O37">
        <f t="shared" si="35"/>
        <v>0</v>
      </c>
      <c r="P37">
        <f t="shared" si="35"/>
        <v>0</v>
      </c>
      <c r="Q37">
        <f t="shared" si="35"/>
        <v>0</v>
      </c>
      <c r="R37">
        <f t="shared" si="35"/>
        <v>0</v>
      </c>
      <c r="S37">
        <f t="shared" si="35"/>
        <v>0</v>
      </c>
      <c r="T37">
        <f t="shared" si="35"/>
        <v>0</v>
      </c>
      <c r="U37">
        <f t="shared" si="35"/>
        <v>0</v>
      </c>
      <c r="V37">
        <f t="shared" si="35"/>
        <v>0</v>
      </c>
      <c r="W37">
        <f t="shared" si="35"/>
        <v>0</v>
      </c>
      <c r="X37">
        <f t="shared" si="36"/>
        <v>0</v>
      </c>
      <c r="Y37">
        <f t="shared" si="36"/>
        <v>0</v>
      </c>
      <c r="Z37">
        <f t="shared" si="36"/>
        <v>0</v>
      </c>
      <c r="AA37">
        <f t="shared" si="36"/>
        <v>0</v>
      </c>
      <c r="AB37">
        <f t="shared" si="36"/>
        <v>0</v>
      </c>
      <c r="AC37">
        <f t="shared" si="36"/>
        <v>0</v>
      </c>
      <c r="AD37">
        <f t="shared" si="36"/>
        <v>0</v>
      </c>
      <c r="AE37">
        <f t="shared" si="36"/>
        <v>0</v>
      </c>
      <c r="AF37">
        <f t="shared" si="36"/>
        <v>0</v>
      </c>
      <c r="AG37">
        <f t="shared" si="36"/>
        <v>0</v>
      </c>
      <c r="AH37">
        <f t="shared" si="37"/>
        <v>0</v>
      </c>
      <c r="AI37">
        <f t="shared" si="37"/>
        <v>0</v>
      </c>
      <c r="AJ37">
        <f t="shared" si="37"/>
        <v>0</v>
      </c>
      <c r="AK37">
        <f t="shared" si="37"/>
        <v>0</v>
      </c>
      <c r="AL37">
        <f t="shared" si="37"/>
        <v>0</v>
      </c>
      <c r="AM37">
        <f t="shared" si="37"/>
        <v>0</v>
      </c>
      <c r="AN37">
        <f t="shared" si="37"/>
        <v>0</v>
      </c>
      <c r="AO37">
        <f t="shared" si="37"/>
        <v>0</v>
      </c>
      <c r="AP37">
        <f t="shared" si="37"/>
        <v>0</v>
      </c>
      <c r="AQ37">
        <f t="shared" si="37"/>
        <v>0</v>
      </c>
      <c r="AR37">
        <f t="shared" si="38"/>
        <v>0</v>
      </c>
      <c r="AS37">
        <f t="shared" si="38"/>
        <v>0</v>
      </c>
      <c r="AT37">
        <f t="shared" si="38"/>
        <v>0</v>
      </c>
      <c r="AU37">
        <f t="shared" si="38"/>
        <v>0</v>
      </c>
      <c r="AV37">
        <f t="shared" si="38"/>
        <v>0</v>
      </c>
      <c r="AW37">
        <f t="shared" si="38"/>
        <v>0</v>
      </c>
      <c r="AX37">
        <f t="shared" si="38"/>
        <v>0</v>
      </c>
      <c r="BB37" s="35">
        <f t="shared" si="14"/>
        <v>0</v>
      </c>
      <c r="BC37" s="35">
        <f t="shared" si="15"/>
        <v>0</v>
      </c>
      <c r="BD37" s="35">
        <f t="shared" si="16"/>
        <v>0</v>
      </c>
      <c r="BE37" s="35">
        <f t="shared" si="17"/>
        <v>0</v>
      </c>
      <c r="BF37" s="35">
        <f t="shared" si="18"/>
        <v>0</v>
      </c>
      <c r="BG37" s="35">
        <f t="shared" si="19"/>
        <v>0</v>
      </c>
      <c r="BH37" s="35">
        <f t="shared" si="20"/>
        <v>0</v>
      </c>
      <c r="BI37" s="35">
        <f t="shared" si="21"/>
        <v>0</v>
      </c>
      <c r="BJ37" s="35">
        <f t="shared" si="22"/>
        <v>0</v>
      </c>
      <c r="BK37" s="35">
        <f t="shared" si="23"/>
        <v>0</v>
      </c>
      <c r="BL37" s="35">
        <f t="shared" si="24"/>
        <v>0</v>
      </c>
      <c r="BM37" s="35">
        <f t="shared" si="25"/>
        <v>0</v>
      </c>
      <c r="BN37">
        <f t="shared" si="30"/>
        <v>0</v>
      </c>
      <c r="BO37">
        <f t="shared" si="30"/>
        <v>0</v>
      </c>
      <c r="BP37">
        <f t="shared" si="30"/>
        <v>0</v>
      </c>
      <c r="BQ37">
        <f t="shared" si="41"/>
        <v>0</v>
      </c>
      <c r="BR37">
        <f t="shared" si="42"/>
        <v>0</v>
      </c>
      <c r="BS37">
        <f t="shared" si="43"/>
        <v>0</v>
      </c>
      <c r="BT37">
        <f t="shared" si="44"/>
        <v>0</v>
      </c>
      <c r="BU37">
        <f t="shared" si="45"/>
        <v>0</v>
      </c>
    </row>
    <row r="38" spans="1:73" x14ac:dyDescent="0.3">
      <c r="A38">
        <f>Database!A38</f>
        <v>37</v>
      </c>
      <c r="B38" s="25">
        <f>Database!E38</f>
        <v>0</v>
      </c>
      <c r="C38">
        <f>IF(Database!G38="cansl",0,Database!K38)</f>
        <v>0</v>
      </c>
      <c r="D38">
        <f>Database!D38-Database!C38</f>
        <v>0</v>
      </c>
      <c r="F38">
        <f>Database!L38</f>
        <v>0</v>
      </c>
      <c r="G38">
        <f>Database!F38</f>
        <v>0</v>
      </c>
      <c r="K38">
        <f t="shared" si="39"/>
        <v>0</v>
      </c>
      <c r="L38">
        <f t="shared" si="40"/>
        <v>0</v>
      </c>
      <c r="M38">
        <f t="shared" si="46"/>
        <v>0</v>
      </c>
      <c r="N38">
        <f t="shared" si="35"/>
        <v>0</v>
      </c>
      <c r="O38">
        <f t="shared" si="35"/>
        <v>0</v>
      </c>
      <c r="P38">
        <f t="shared" si="35"/>
        <v>0</v>
      </c>
      <c r="Q38">
        <f t="shared" si="35"/>
        <v>0</v>
      </c>
      <c r="R38">
        <f t="shared" si="35"/>
        <v>0</v>
      </c>
      <c r="S38">
        <f t="shared" si="35"/>
        <v>0</v>
      </c>
      <c r="T38">
        <f t="shared" si="35"/>
        <v>0</v>
      </c>
      <c r="U38">
        <f t="shared" si="35"/>
        <v>0</v>
      </c>
      <c r="V38">
        <f t="shared" si="35"/>
        <v>0</v>
      </c>
      <c r="W38">
        <f t="shared" si="35"/>
        <v>0</v>
      </c>
      <c r="X38">
        <f t="shared" si="36"/>
        <v>0</v>
      </c>
      <c r="Y38">
        <f t="shared" si="36"/>
        <v>0</v>
      </c>
      <c r="Z38">
        <f t="shared" si="36"/>
        <v>0</v>
      </c>
      <c r="AA38">
        <f t="shared" si="36"/>
        <v>0</v>
      </c>
      <c r="AB38">
        <f t="shared" si="36"/>
        <v>0</v>
      </c>
      <c r="AC38">
        <f t="shared" si="36"/>
        <v>0</v>
      </c>
      <c r="AD38">
        <f t="shared" si="36"/>
        <v>0</v>
      </c>
      <c r="AE38">
        <f t="shared" si="36"/>
        <v>0</v>
      </c>
      <c r="AF38">
        <f t="shared" si="36"/>
        <v>0</v>
      </c>
      <c r="AG38">
        <f t="shared" si="36"/>
        <v>0</v>
      </c>
      <c r="AH38">
        <f t="shared" si="37"/>
        <v>0</v>
      </c>
      <c r="AI38">
        <f t="shared" si="37"/>
        <v>0</v>
      </c>
      <c r="AJ38">
        <f t="shared" si="37"/>
        <v>0</v>
      </c>
      <c r="AK38">
        <f t="shared" si="37"/>
        <v>0</v>
      </c>
      <c r="AL38">
        <f t="shared" si="37"/>
        <v>0</v>
      </c>
      <c r="AM38">
        <f t="shared" si="37"/>
        <v>0</v>
      </c>
      <c r="AN38">
        <f t="shared" si="37"/>
        <v>0</v>
      </c>
      <c r="AO38">
        <f t="shared" si="37"/>
        <v>0</v>
      </c>
      <c r="AP38">
        <f t="shared" si="37"/>
        <v>0</v>
      </c>
      <c r="AQ38">
        <f t="shared" si="37"/>
        <v>0</v>
      </c>
      <c r="AR38">
        <f t="shared" si="38"/>
        <v>0</v>
      </c>
      <c r="AS38">
        <f t="shared" si="38"/>
        <v>0</v>
      </c>
      <c r="AT38">
        <f t="shared" si="38"/>
        <v>0</v>
      </c>
      <c r="AU38">
        <f t="shared" si="38"/>
        <v>0</v>
      </c>
      <c r="AV38">
        <f t="shared" si="38"/>
        <v>0</v>
      </c>
      <c r="AW38">
        <f t="shared" si="38"/>
        <v>0</v>
      </c>
      <c r="AX38">
        <f t="shared" si="38"/>
        <v>0</v>
      </c>
      <c r="BB38" s="35">
        <f t="shared" si="14"/>
        <v>0</v>
      </c>
      <c r="BC38" s="35">
        <f t="shared" si="15"/>
        <v>0</v>
      </c>
      <c r="BD38" s="35">
        <f t="shared" si="16"/>
        <v>0</v>
      </c>
      <c r="BE38" s="35">
        <f t="shared" si="17"/>
        <v>0</v>
      </c>
      <c r="BF38" s="35">
        <f t="shared" si="18"/>
        <v>0</v>
      </c>
      <c r="BG38" s="35">
        <f t="shared" si="19"/>
        <v>0</v>
      </c>
      <c r="BH38" s="35">
        <f t="shared" si="20"/>
        <v>0</v>
      </c>
      <c r="BI38" s="35">
        <f t="shared" si="21"/>
        <v>0</v>
      </c>
      <c r="BJ38" s="35">
        <f t="shared" si="22"/>
        <v>0</v>
      </c>
      <c r="BK38" s="35">
        <f t="shared" si="23"/>
        <v>0</v>
      </c>
      <c r="BL38" s="35">
        <f t="shared" si="24"/>
        <v>0</v>
      </c>
      <c r="BM38" s="35">
        <f t="shared" si="25"/>
        <v>0</v>
      </c>
      <c r="BN38">
        <f t="shared" si="30"/>
        <v>0</v>
      </c>
      <c r="BO38">
        <f t="shared" si="30"/>
        <v>0</v>
      </c>
      <c r="BP38">
        <f t="shared" si="30"/>
        <v>0</v>
      </c>
      <c r="BQ38">
        <f t="shared" si="41"/>
        <v>0</v>
      </c>
      <c r="BR38">
        <f t="shared" si="42"/>
        <v>0</v>
      </c>
      <c r="BS38">
        <f t="shared" si="43"/>
        <v>0</v>
      </c>
      <c r="BT38">
        <f t="shared" si="44"/>
        <v>0</v>
      </c>
      <c r="BU38">
        <f t="shared" si="45"/>
        <v>0</v>
      </c>
    </row>
    <row r="39" spans="1:73" x14ac:dyDescent="0.3">
      <c r="A39">
        <f>Database!A39</f>
        <v>38</v>
      </c>
      <c r="B39" s="25">
        <f>Database!E39</f>
        <v>0</v>
      </c>
      <c r="C39">
        <f>IF(Database!G39="cansl",0,Database!K39)</f>
        <v>0</v>
      </c>
      <c r="D39">
        <f>Database!D39-Database!C39</f>
        <v>0</v>
      </c>
      <c r="F39">
        <f>Database!L39</f>
        <v>0</v>
      </c>
      <c r="G39">
        <f>Database!F39</f>
        <v>0</v>
      </c>
      <c r="K39">
        <f t="shared" si="39"/>
        <v>0</v>
      </c>
      <c r="L39">
        <f t="shared" si="40"/>
        <v>0</v>
      </c>
      <c r="M39">
        <f t="shared" si="46"/>
        <v>0</v>
      </c>
      <c r="N39">
        <f t="shared" si="35"/>
        <v>0</v>
      </c>
      <c r="O39">
        <f t="shared" si="35"/>
        <v>0</v>
      </c>
      <c r="P39">
        <f t="shared" si="35"/>
        <v>0</v>
      </c>
      <c r="Q39">
        <f t="shared" si="35"/>
        <v>0</v>
      </c>
      <c r="R39">
        <f t="shared" si="35"/>
        <v>0</v>
      </c>
      <c r="S39">
        <f t="shared" si="35"/>
        <v>0</v>
      </c>
      <c r="T39">
        <f t="shared" si="35"/>
        <v>0</v>
      </c>
      <c r="U39">
        <f t="shared" si="35"/>
        <v>0</v>
      </c>
      <c r="V39">
        <f t="shared" si="35"/>
        <v>0</v>
      </c>
      <c r="W39">
        <f t="shared" si="35"/>
        <v>0</v>
      </c>
      <c r="X39">
        <f t="shared" si="36"/>
        <v>0</v>
      </c>
      <c r="Y39">
        <f t="shared" si="36"/>
        <v>0</v>
      </c>
      <c r="Z39">
        <f t="shared" si="36"/>
        <v>0</v>
      </c>
      <c r="AA39">
        <f t="shared" si="36"/>
        <v>0</v>
      </c>
      <c r="AB39">
        <f t="shared" si="36"/>
        <v>0</v>
      </c>
      <c r="AC39">
        <f t="shared" si="36"/>
        <v>0</v>
      </c>
      <c r="AD39">
        <f t="shared" si="36"/>
        <v>0</v>
      </c>
      <c r="AE39">
        <f t="shared" si="36"/>
        <v>0</v>
      </c>
      <c r="AF39">
        <f t="shared" si="36"/>
        <v>0</v>
      </c>
      <c r="AG39">
        <f t="shared" si="36"/>
        <v>0</v>
      </c>
      <c r="AH39">
        <f t="shared" si="37"/>
        <v>0</v>
      </c>
      <c r="AI39">
        <f t="shared" si="37"/>
        <v>0</v>
      </c>
      <c r="AJ39">
        <f t="shared" si="37"/>
        <v>0</v>
      </c>
      <c r="AK39">
        <f t="shared" si="37"/>
        <v>0</v>
      </c>
      <c r="AL39">
        <f t="shared" si="37"/>
        <v>0</v>
      </c>
      <c r="AM39">
        <f t="shared" si="37"/>
        <v>0</v>
      </c>
      <c r="AN39">
        <f t="shared" si="37"/>
        <v>0</v>
      </c>
      <c r="AO39">
        <f t="shared" si="37"/>
        <v>0</v>
      </c>
      <c r="AP39">
        <f t="shared" si="37"/>
        <v>0</v>
      </c>
      <c r="AQ39">
        <f t="shared" si="37"/>
        <v>0</v>
      </c>
      <c r="AR39">
        <f t="shared" si="38"/>
        <v>0</v>
      </c>
      <c r="AS39">
        <f t="shared" si="38"/>
        <v>0</v>
      </c>
      <c r="AT39">
        <f t="shared" si="38"/>
        <v>0</v>
      </c>
      <c r="AU39">
        <f t="shared" si="38"/>
        <v>0</v>
      </c>
      <c r="AV39">
        <f t="shared" si="38"/>
        <v>0</v>
      </c>
      <c r="AW39">
        <f t="shared" si="38"/>
        <v>0</v>
      </c>
      <c r="AX39">
        <f t="shared" si="38"/>
        <v>0</v>
      </c>
      <c r="BB39" s="35">
        <f t="shared" si="14"/>
        <v>0</v>
      </c>
      <c r="BC39" s="35">
        <f t="shared" si="15"/>
        <v>0</v>
      </c>
      <c r="BD39" s="35">
        <f t="shared" si="16"/>
        <v>0</v>
      </c>
      <c r="BE39" s="35">
        <f t="shared" si="17"/>
        <v>0</v>
      </c>
      <c r="BF39" s="35">
        <f t="shared" si="18"/>
        <v>0</v>
      </c>
      <c r="BG39" s="35">
        <f t="shared" si="19"/>
        <v>0</v>
      </c>
      <c r="BH39" s="35">
        <f t="shared" si="20"/>
        <v>0</v>
      </c>
      <c r="BI39" s="35">
        <f t="shared" si="21"/>
        <v>0</v>
      </c>
      <c r="BJ39" s="35">
        <f t="shared" si="22"/>
        <v>0</v>
      </c>
      <c r="BK39" s="35">
        <f t="shared" si="23"/>
        <v>0</v>
      </c>
      <c r="BL39" s="35">
        <f t="shared" si="24"/>
        <v>0</v>
      </c>
      <c r="BM39" s="35">
        <f t="shared" si="25"/>
        <v>0</v>
      </c>
      <c r="BN39">
        <f t="shared" si="30"/>
        <v>0</v>
      </c>
      <c r="BO39">
        <f t="shared" si="30"/>
        <v>0</v>
      </c>
      <c r="BP39">
        <f t="shared" si="30"/>
        <v>0</v>
      </c>
      <c r="BQ39">
        <f t="shared" si="41"/>
        <v>0</v>
      </c>
      <c r="BR39">
        <f t="shared" si="42"/>
        <v>0</v>
      </c>
      <c r="BS39">
        <f t="shared" si="43"/>
        <v>0</v>
      </c>
      <c r="BT39">
        <f t="shared" si="44"/>
        <v>0</v>
      </c>
      <c r="BU39">
        <f t="shared" si="45"/>
        <v>0</v>
      </c>
    </row>
    <row r="40" spans="1:73" x14ac:dyDescent="0.3">
      <c r="A40">
        <f>Database!A40</f>
        <v>39</v>
      </c>
      <c r="B40" s="25">
        <f>Database!E40</f>
        <v>0</v>
      </c>
      <c r="C40">
        <f>IF(Database!G40="cansl",0,Database!K40)</f>
        <v>0</v>
      </c>
      <c r="D40">
        <f>Database!D40-Database!C40</f>
        <v>0</v>
      </c>
      <c r="F40">
        <f>Database!L40</f>
        <v>0</v>
      </c>
      <c r="G40">
        <f>Database!F40</f>
        <v>0</v>
      </c>
      <c r="K40">
        <f t="shared" si="39"/>
        <v>0</v>
      </c>
      <c r="L40">
        <f t="shared" si="40"/>
        <v>0</v>
      </c>
      <c r="M40">
        <f t="shared" si="46"/>
        <v>0</v>
      </c>
      <c r="N40">
        <f t="shared" si="35"/>
        <v>0</v>
      </c>
      <c r="O40">
        <f t="shared" si="35"/>
        <v>0</v>
      </c>
      <c r="P40">
        <f t="shared" si="35"/>
        <v>0</v>
      </c>
      <c r="Q40">
        <f t="shared" si="35"/>
        <v>0</v>
      </c>
      <c r="R40">
        <f t="shared" si="35"/>
        <v>0</v>
      </c>
      <c r="S40">
        <f t="shared" si="35"/>
        <v>0</v>
      </c>
      <c r="T40">
        <f t="shared" si="35"/>
        <v>0</v>
      </c>
      <c r="U40">
        <f t="shared" si="35"/>
        <v>0</v>
      </c>
      <c r="V40">
        <f t="shared" si="35"/>
        <v>0</v>
      </c>
      <c r="W40">
        <f t="shared" si="35"/>
        <v>0</v>
      </c>
      <c r="X40">
        <f t="shared" si="36"/>
        <v>0</v>
      </c>
      <c r="Y40">
        <f t="shared" si="36"/>
        <v>0</v>
      </c>
      <c r="Z40">
        <f t="shared" si="36"/>
        <v>0</v>
      </c>
      <c r="AA40">
        <f t="shared" si="36"/>
        <v>0</v>
      </c>
      <c r="AB40">
        <f t="shared" si="36"/>
        <v>0</v>
      </c>
      <c r="AC40">
        <f t="shared" si="36"/>
        <v>0</v>
      </c>
      <c r="AD40">
        <f t="shared" si="36"/>
        <v>0</v>
      </c>
      <c r="AE40">
        <f t="shared" si="36"/>
        <v>0</v>
      </c>
      <c r="AF40">
        <f t="shared" si="36"/>
        <v>0</v>
      </c>
      <c r="AG40">
        <f t="shared" si="36"/>
        <v>0</v>
      </c>
      <c r="AH40">
        <f t="shared" si="37"/>
        <v>0</v>
      </c>
      <c r="AI40">
        <f t="shared" si="37"/>
        <v>0</v>
      </c>
      <c r="AJ40">
        <f t="shared" si="37"/>
        <v>0</v>
      </c>
      <c r="AK40">
        <f t="shared" si="37"/>
        <v>0</v>
      </c>
      <c r="AL40">
        <f t="shared" si="37"/>
        <v>0</v>
      </c>
      <c r="AM40">
        <f t="shared" si="37"/>
        <v>0</v>
      </c>
      <c r="AN40">
        <f t="shared" si="37"/>
        <v>0</v>
      </c>
      <c r="AO40">
        <f t="shared" si="37"/>
        <v>0</v>
      </c>
      <c r="AP40">
        <f t="shared" si="37"/>
        <v>0</v>
      </c>
      <c r="AQ40">
        <f t="shared" si="37"/>
        <v>0</v>
      </c>
      <c r="AR40">
        <f t="shared" si="38"/>
        <v>0</v>
      </c>
      <c r="AS40">
        <f t="shared" si="38"/>
        <v>0</v>
      </c>
      <c r="AT40">
        <f t="shared" si="38"/>
        <v>0</v>
      </c>
      <c r="AU40">
        <f t="shared" si="38"/>
        <v>0</v>
      </c>
      <c r="AV40">
        <f t="shared" si="38"/>
        <v>0</v>
      </c>
      <c r="AW40">
        <f t="shared" si="38"/>
        <v>0</v>
      </c>
      <c r="AX40">
        <f t="shared" si="38"/>
        <v>0</v>
      </c>
      <c r="BB40" s="35">
        <f t="shared" si="14"/>
        <v>0</v>
      </c>
      <c r="BC40" s="35">
        <f t="shared" si="15"/>
        <v>0</v>
      </c>
      <c r="BD40" s="35">
        <f t="shared" si="16"/>
        <v>0</v>
      </c>
      <c r="BE40" s="35">
        <f t="shared" si="17"/>
        <v>0</v>
      </c>
      <c r="BF40" s="35">
        <f t="shared" si="18"/>
        <v>0</v>
      </c>
      <c r="BG40" s="35">
        <f t="shared" si="19"/>
        <v>0</v>
      </c>
      <c r="BH40" s="35">
        <f t="shared" si="20"/>
        <v>0</v>
      </c>
      <c r="BI40" s="35">
        <f t="shared" si="21"/>
        <v>0</v>
      </c>
      <c r="BJ40" s="35">
        <f t="shared" si="22"/>
        <v>0</v>
      </c>
      <c r="BK40" s="35">
        <f t="shared" si="23"/>
        <v>0</v>
      </c>
      <c r="BL40" s="35">
        <f t="shared" si="24"/>
        <v>0</v>
      </c>
      <c r="BM40" s="35">
        <f t="shared" si="25"/>
        <v>0</v>
      </c>
      <c r="BN40">
        <f t="shared" si="30"/>
        <v>0</v>
      </c>
      <c r="BO40">
        <f t="shared" si="30"/>
        <v>0</v>
      </c>
      <c r="BP40">
        <f t="shared" si="30"/>
        <v>0</v>
      </c>
      <c r="BQ40">
        <f t="shared" si="41"/>
        <v>0</v>
      </c>
      <c r="BR40">
        <f t="shared" si="42"/>
        <v>0</v>
      </c>
      <c r="BS40">
        <f t="shared" si="43"/>
        <v>0</v>
      </c>
      <c r="BT40">
        <f t="shared" si="44"/>
        <v>0</v>
      </c>
      <c r="BU40">
        <f t="shared" si="45"/>
        <v>0</v>
      </c>
    </row>
    <row r="41" spans="1:73" x14ac:dyDescent="0.3">
      <c r="A41">
        <f>Database!A41</f>
        <v>40</v>
      </c>
      <c r="B41" s="25">
        <f>Database!E41</f>
        <v>0</v>
      </c>
      <c r="C41">
        <f>IF(Database!G41="cansl",0,Database!K41)</f>
        <v>0</v>
      </c>
      <c r="D41">
        <f>Database!D41-Database!C41</f>
        <v>0</v>
      </c>
      <c r="F41">
        <f>Database!L41</f>
        <v>0</v>
      </c>
      <c r="G41">
        <f>Database!F41</f>
        <v>0</v>
      </c>
      <c r="K41">
        <f t="shared" si="39"/>
        <v>0</v>
      </c>
      <c r="L41">
        <f t="shared" si="40"/>
        <v>0</v>
      </c>
      <c r="M41">
        <f t="shared" si="46"/>
        <v>0</v>
      </c>
      <c r="N41">
        <f t="shared" si="35"/>
        <v>0</v>
      </c>
      <c r="O41">
        <f t="shared" si="35"/>
        <v>0</v>
      </c>
      <c r="P41">
        <f t="shared" si="35"/>
        <v>0</v>
      </c>
      <c r="Q41">
        <f t="shared" si="35"/>
        <v>0</v>
      </c>
      <c r="R41">
        <f t="shared" si="35"/>
        <v>0</v>
      </c>
      <c r="S41">
        <f t="shared" si="35"/>
        <v>0</v>
      </c>
      <c r="T41">
        <f t="shared" si="35"/>
        <v>0</v>
      </c>
      <c r="U41">
        <f t="shared" si="35"/>
        <v>0</v>
      </c>
      <c r="V41">
        <f t="shared" si="35"/>
        <v>0</v>
      </c>
      <c r="W41">
        <f t="shared" si="35"/>
        <v>0</v>
      </c>
      <c r="X41">
        <f t="shared" si="36"/>
        <v>0</v>
      </c>
      <c r="Y41">
        <f t="shared" si="36"/>
        <v>0</v>
      </c>
      <c r="Z41">
        <f t="shared" si="36"/>
        <v>0</v>
      </c>
      <c r="AA41">
        <f t="shared" si="36"/>
        <v>0</v>
      </c>
      <c r="AB41">
        <f t="shared" si="36"/>
        <v>0</v>
      </c>
      <c r="AC41">
        <f t="shared" si="36"/>
        <v>0</v>
      </c>
      <c r="AD41">
        <f t="shared" si="36"/>
        <v>0</v>
      </c>
      <c r="AE41">
        <f t="shared" si="36"/>
        <v>0</v>
      </c>
      <c r="AF41">
        <f t="shared" si="36"/>
        <v>0</v>
      </c>
      <c r="AG41">
        <f t="shared" si="36"/>
        <v>0</v>
      </c>
      <c r="AH41">
        <f t="shared" si="37"/>
        <v>0</v>
      </c>
      <c r="AI41">
        <f t="shared" si="37"/>
        <v>0</v>
      </c>
      <c r="AJ41">
        <f t="shared" si="37"/>
        <v>0</v>
      </c>
      <c r="AK41">
        <f t="shared" si="37"/>
        <v>0</v>
      </c>
      <c r="AL41">
        <f t="shared" si="37"/>
        <v>0</v>
      </c>
      <c r="AM41">
        <f t="shared" si="37"/>
        <v>0</v>
      </c>
      <c r="AN41">
        <f t="shared" si="37"/>
        <v>0</v>
      </c>
      <c r="AO41">
        <f t="shared" si="37"/>
        <v>0</v>
      </c>
      <c r="AP41">
        <f t="shared" si="37"/>
        <v>0</v>
      </c>
      <c r="AQ41">
        <f t="shared" si="37"/>
        <v>0</v>
      </c>
      <c r="AR41">
        <f t="shared" si="38"/>
        <v>0</v>
      </c>
      <c r="AS41">
        <f t="shared" si="38"/>
        <v>0</v>
      </c>
      <c r="AT41">
        <f t="shared" si="38"/>
        <v>0</v>
      </c>
      <c r="AU41">
        <f t="shared" si="38"/>
        <v>0</v>
      </c>
      <c r="AV41">
        <f t="shared" si="38"/>
        <v>0</v>
      </c>
      <c r="AW41">
        <f t="shared" si="38"/>
        <v>0</v>
      </c>
      <c r="AX41">
        <f t="shared" si="38"/>
        <v>0</v>
      </c>
      <c r="BB41" s="35">
        <f t="shared" si="14"/>
        <v>0</v>
      </c>
      <c r="BC41" s="35">
        <f t="shared" si="15"/>
        <v>0</v>
      </c>
      <c r="BD41" s="35">
        <f t="shared" si="16"/>
        <v>0</v>
      </c>
      <c r="BE41" s="35">
        <f t="shared" si="17"/>
        <v>0</v>
      </c>
      <c r="BF41" s="35">
        <f t="shared" si="18"/>
        <v>0</v>
      </c>
      <c r="BG41" s="35">
        <f t="shared" si="19"/>
        <v>0</v>
      </c>
      <c r="BH41" s="35">
        <f t="shared" si="20"/>
        <v>0</v>
      </c>
      <c r="BI41" s="35">
        <f t="shared" si="21"/>
        <v>0</v>
      </c>
      <c r="BJ41" s="35">
        <f t="shared" si="22"/>
        <v>0</v>
      </c>
      <c r="BK41" s="35">
        <f t="shared" si="23"/>
        <v>0</v>
      </c>
      <c r="BL41" s="35">
        <f t="shared" si="24"/>
        <v>0</v>
      </c>
      <c r="BM41" s="35">
        <f t="shared" si="25"/>
        <v>0</v>
      </c>
      <c r="BN41">
        <f t="shared" si="30"/>
        <v>0</v>
      </c>
      <c r="BO41">
        <f t="shared" si="30"/>
        <v>0</v>
      </c>
      <c r="BP41">
        <f t="shared" si="30"/>
        <v>0</v>
      </c>
      <c r="BQ41">
        <f t="shared" si="41"/>
        <v>0</v>
      </c>
      <c r="BR41">
        <f t="shared" si="42"/>
        <v>0</v>
      </c>
      <c r="BS41">
        <f t="shared" si="43"/>
        <v>0</v>
      </c>
      <c r="BT41">
        <f t="shared" si="44"/>
        <v>0</v>
      </c>
      <c r="BU41">
        <f t="shared" si="45"/>
        <v>0</v>
      </c>
    </row>
    <row r="42" spans="1:73" x14ac:dyDescent="0.3">
      <c r="A42">
        <f>Database!A42</f>
        <v>41</v>
      </c>
      <c r="B42" s="25">
        <f>Database!E42</f>
        <v>0</v>
      </c>
      <c r="C42">
        <f>IF(Database!G42="cansl",0,Database!K42)</f>
        <v>0</v>
      </c>
      <c r="D42">
        <f>Database!D42-Database!C42</f>
        <v>0</v>
      </c>
      <c r="F42">
        <f>Database!L42</f>
        <v>0</v>
      </c>
      <c r="G42">
        <f>Database!F42</f>
        <v>0</v>
      </c>
      <c r="K42">
        <f t="shared" si="39"/>
        <v>0</v>
      </c>
      <c r="L42">
        <f t="shared" si="40"/>
        <v>0</v>
      </c>
      <c r="M42">
        <f t="shared" si="46"/>
        <v>0</v>
      </c>
      <c r="N42">
        <f t="shared" si="35"/>
        <v>0</v>
      </c>
      <c r="O42">
        <f t="shared" si="35"/>
        <v>0</v>
      </c>
      <c r="P42">
        <f t="shared" si="35"/>
        <v>0</v>
      </c>
      <c r="Q42">
        <f t="shared" si="35"/>
        <v>0</v>
      </c>
      <c r="R42">
        <f t="shared" si="35"/>
        <v>0</v>
      </c>
      <c r="S42">
        <f t="shared" si="35"/>
        <v>0</v>
      </c>
      <c r="T42">
        <f t="shared" si="35"/>
        <v>0</v>
      </c>
      <c r="U42">
        <f t="shared" si="35"/>
        <v>0</v>
      </c>
      <c r="V42">
        <f t="shared" si="35"/>
        <v>0</v>
      </c>
      <c r="W42">
        <f t="shared" si="35"/>
        <v>0</v>
      </c>
      <c r="X42">
        <f t="shared" si="36"/>
        <v>0</v>
      </c>
      <c r="Y42">
        <f t="shared" si="36"/>
        <v>0</v>
      </c>
      <c r="Z42">
        <f t="shared" si="36"/>
        <v>0</v>
      </c>
      <c r="AA42">
        <f t="shared" si="36"/>
        <v>0</v>
      </c>
      <c r="AB42">
        <f t="shared" si="36"/>
        <v>0</v>
      </c>
      <c r="AC42">
        <f t="shared" si="36"/>
        <v>0</v>
      </c>
      <c r="AD42">
        <f t="shared" si="36"/>
        <v>0</v>
      </c>
      <c r="AE42">
        <f t="shared" si="36"/>
        <v>0</v>
      </c>
      <c r="AF42">
        <f t="shared" si="36"/>
        <v>0</v>
      </c>
      <c r="AG42">
        <f t="shared" si="36"/>
        <v>0</v>
      </c>
      <c r="AH42">
        <f t="shared" si="37"/>
        <v>0</v>
      </c>
      <c r="AI42">
        <f t="shared" si="37"/>
        <v>0</v>
      </c>
      <c r="AJ42">
        <f t="shared" si="37"/>
        <v>0</v>
      </c>
      <c r="AK42">
        <f t="shared" si="37"/>
        <v>0</v>
      </c>
      <c r="AL42">
        <f t="shared" si="37"/>
        <v>0</v>
      </c>
      <c r="AM42">
        <f t="shared" si="37"/>
        <v>0</v>
      </c>
      <c r="AN42">
        <f t="shared" si="37"/>
        <v>0</v>
      </c>
      <c r="AO42">
        <f t="shared" si="37"/>
        <v>0</v>
      </c>
      <c r="AP42">
        <f t="shared" si="37"/>
        <v>0</v>
      </c>
      <c r="AQ42">
        <f t="shared" si="37"/>
        <v>0</v>
      </c>
      <c r="AR42">
        <f t="shared" si="38"/>
        <v>0</v>
      </c>
      <c r="AS42">
        <f t="shared" si="38"/>
        <v>0</v>
      </c>
      <c r="AT42">
        <f t="shared" si="38"/>
        <v>0</v>
      </c>
      <c r="AU42">
        <f t="shared" si="38"/>
        <v>0</v>
      </c>
      <c r="AV42">
        <f t="shared" si="38"/>
        <v>0</v>
      </c>
      <c r="AW42">
        <f t="shared" si="38"/>
        <v>0</v>
      </c>
      <c r="AX42">
        <f t="shared" si="38"/>
        <v>0</v>
      </c>
      <c r="BB42" s="35">
        <f t="shared" si="14"/>
        <v>0</v>
      </c>
      <c r="BC42" s="35">
        <f t="shared" si="15"/>
        <v>0</v>
      </c>
      <c r="BD42" s="35">
        <f t="shared" si="16"/>
        <v>0</v>
      </c>
      <c r="BE42" s="35">
        <f t="shared" si="17"/>
        <v>0</v>
      </c>
      <c r="BF42" s="35">
        <f t="shared" si="18"/>
        <v>0</v>
      </c>
      <c r="BG42" s="35">
        <f t="shared" si="19"/>
        <v>0</v>
      </c>
      <c r="BH42" s="35">
        <f t="shared" si="20"/>
        <v>0</v>
      </c>
      <c r="BI42" s="35">
        <f t="shared" si="21"/>
        <v>0</v>
      </c>
      <c r="BJ42" s="35">
        <f t="shared" si="22"/>
        <v>0</v>
      </c>
      <c r="BK42" s="35">
        <f t="shared" si="23"/>
        <v>0</v>
      </c>
      <c r="BL42" s="35">
        <f t="shared" si="24"/>
        <v>0</v>
      </c>
      <c r="BM42" s="35">
        <f t="shared" si="25"/>
        <v>0</v>
      </c>
      <c r="BN42">
        <f t="shared" ref="BN42:BP61" si="47">IF(AND($D42&gt;0,$G42=BN$1),$F42,0)</f>
        <v>0</v>
      </c>
      <c r="BO42">
        <f t="shared" si="47"/>
        <v>0</v>
      </c>
      <c r="BP42">
        <f t="shared" si="47"/>
        <v>0</v>
      </c>
      <c r="BQ42">
        <f t="shared" si="41"/>
        <v>0</v>
      </c>
      <c r="BR42">
        <f t="shared" si="42"/>
        <v>0</v>
      </c>
      <c r="BS42">
        <f t="shared" si="43"/>
        <v>0</v>
      </c>
      <c r="BT42">
        <f t="shared" si="44"/>
        <v>0</v>
      </c>
      <c r="BU42">
        <f t="shared" si="45"/>
        <v>0</v>
      </c>
    </row>
    <row r="43" spans="1:73" x14ac:dyDescent="0.3">
      <c r="A43">
        <f>Database!A43</f>
        <v>42</v>
      </c>
      <c r="B43" s="25">
        <f>Database!E43</f>
        <v>0</v>
      </c>
      <c r="C43">
        <f>IF(Database!G43="cansl",0,Database!K43)</f>
        <v>0</v>
      </c>
      <c r="D43">
        <f>Database!D43-Database!C43</f>
        <v>0</v>
      </c>
      <c r="F43">
        <f>Database!L43</f>
        <v>0</v>
      </c>
      <c r="G43">
        <f>Database!F43</f>
        <v>0</v>
      </c>
      <c r="K43">
        <f t="shared" si="39"/>
        <v>0</v>
      </c>
      <c r="L43">
        <f t="shared" si="40"/>
        <v>0</v>
      </c>
      <c r="M43">
        <f t="shared" si="46"/>
        <v>0</v>
      </c>
      <c r="N43">
        <f t="shared" ref="N43:W52" si="48">IF($B43&lt;N$1,$C43*$D43,0)</f>
        <v>0</v>
      </c>
      <c r="O43">
        <f t="shared" si="48"/>
        <v>0</v>
      </c>
      <c r="P43">
        <f t="shared" si="48"/>
        <v>0</v>
      </c>
      <c r="Q43">
        <f t="shared" si="48"/>
        <v>0</v>
      </c>
      <c r="R43">
        <f t="shared" si="48"/>
        <v>0</v>
      </c>
      <c r="S43">
        <f t="shared" si="48"/>
        <v>0</v>
      </c>
      <c r="T43">
        <f t="shared" si="48"/>
        <v>0</v>
      </c>
      <c r="U43">
        <f t="shared" si="48"/>
        <v>0</v>
      </c>
      <c r="V43">
        <f t="shared" si="48"/>
        <v>0</v>
      </c>
      <c r="W43">
        <f t="shared" si="48"/>
        <v>0</v>
      </c>
      <c r="X43">
        <f t="shared" ref="X43:AG52" si="49">IF($B43&lt;X$1,$C43*$D43,0)</f>
        <v>0</v>
      </c>
      <c r="Y43">
        <f t="shared" si="49"/>
        <v>0</v>
      </c>
      <c r="Z43">
        <f t="shared" si="49"/>
        <v>0</v>
      </c>
      <c r="AA43">
        <f t="shared" si="49"/>
        <v>0</v>
      </c>
      <c r="AB43">
        <f t="shared" si="49"/>
        <v>0</v>
      </c>
      <c r="AC43">
        <f t="shared" si="49"/>
        <v>0</v>
      </c>
      <c r="AD43">
        <f t="shared" si="49"/>
        <v>0</v>
      </c>
      <c r="AE43">
        <f t="shared" si="49"/>
        <v>0</v>
      </c>
      <c r="AF43">
        <f t="shared" si="49"/>
        <v>0</v>
      </c>
      <c r="AG43">
        <f t="shared" si="49"/>
        <v>0</v>
      </c>
      <c r="AH43">
        <f t="shared" ref="AH43:AQ52" si="50">IF($B43&lt;AH$1,$C43*$D43,0)</f>
        <v>0</v>
      </c>
      <c r="AI43">
        <f t="shared" si="50"/>
        <v>0</v>
      </c>
      <c r="AJ43">
        <f t="shared" si="50"/>
        <v>0</v>
      </c>
      <c r="AK43">
        <f t="shared" si="50"/>
        <v>0</v>
      </c>
      <c r="AL43">
        <f t="shared" si="50"/>
        <v>0</v>
      </c>
      <c r="AM43">
        <f t="shared" si="50"/>
        <v>0</v>
      </c>
      <c r="AN43">
        <f t="shared" si="50"/>
        <v>0</v>
      </c>
      <c r="AO43">
        <f t="shared" si="50"/>
        <v>0</v>
      </c>
      <c r="AP43">
        <f t="shared" si="50"/>
        <v>0</v>
      </c>
      <c r="AQ43">
        <f t="shared" si="50"/>
        <v>0</v>
      </c>
      <c r="AR43">
        <f t="shared" ref="AR43:AX52" si="51">IF($B43&lt;AR$1,$C43*$D43,0)</f>
        <v>0</v>
      </c>
      <c r="AS43">
        <f t="shared" si="51"/>
        <v>0</v>
      </c>
      <c r="AT43">
        <f t="shared" si="51"/>
        <v>0</v>
      </c>
      <c r="AU43">
        <f t="shared" si="51"/>
        <v>0</v>
      </c>
      <c r="AV43">
        <f t="shared" si="51"/>
        <v>0</v>
      </c>
      <c r="AW43">
        <f t="shared" si="51"/>
        <v>0</v>
      </c>
      <c r="AX43">
        <f t="shared" si="51"/>
        <v>0</v>
      </c>
      <c r="BB43" s="35">
        <f t="shared" si="14"/>
        <v>0</v>
      </c>
      <c r="BC43" s="35">
        <f t="shared" si="15"/>
        <v>0</v>
      </c>
      <c r="BD43" s="35">
        <f t="shared" si="16"/>
        <v>0</v>
      </c>
      <c r="BE43" s="35">
        <f t="shared" si="17"/>
        <v>0</v>
      </c>
      <c r="BF43" s="35">
        <f t="shared" si="18"/>
        <v>0</v>
      </c>
      <c r="BG43" s="35">
        <f t="shared" si="19"/>
        <v>0</v>
      </c>
      <c r="BH43" s="35">
        <f t="shared" si="20"/>
        <v>0</v>
      </c>
      <c r="BI43" s="35">
        <f t="shared" si="21"/>
        <v>0</v>
      </c>
      <c r="BJ43" s="35">
        <f t="shared" si="22"/>
        <v>0</v>
      </c>
      <c r="BK43" s="35">
        <f t="shared" si="23"/>
        <v>0</v>
      </c>
      <c r="BL43" s="35">
        <f t="shared" si="24"/>
        <v>0</v>
      </c>
      <c r="BM43" s="35">
        <f t="shared" si="25"/>
        <v>0</v>
      </c>
      <c r="BN43">
        <f t="shared" si="47"/>
        <v>0</v>
      </c>
      <c r="BO43">
        <f t="shared" si="47"/>
        <v>0</v>
      </c>
      <c r="BP43">
        <f t="shared" si="47"/>
        <v>0</v>
      </c>
      <c r="BQ43">
        <f t="shared" si="41"/>
        <v>0</v>
      </c>
      <c r="BR43">
        <f t="shared" si="42"/>
        <v>0</v>
      </c>
      <c r="BS43">
        <f t="shared" si="43"/>
        <v>0</v>
      </c>
      <c r="BT43">
        <f t="shared" si="44"/>
        <v>0</v>
      </c>
      <c r="BU43">
        <f t="shared" si="45"/>
        <v>0</v>
      </c>
    </row>
    <row r="44" spans="1:73" x14ac:dyDescent="0.3">
      <c r="A44">
        <f>Database!A44</f>
        <v>43</v>
      </c>
      <c r="B44" s="25">
        <f>Database!E44</f>
        <v>0</v>
      </c>
      <c r="C44">
        <f>IF(Database!G44="cansl",0,Database!K44)</f>
        <v>0</v>
      </c>
      <c r="D44">
        <f>Database!D44-Database!C44</f>
        <v>0</v>
      </c>
      <c r="F44">
        <f>Database!L44</f>
        <v>0</v>
      </c>
      <c r="G44">
        <f>Database!F44</f>
        <v>0</v>
      </c>
      <c r="K44">
        <f t="shared" si="39"/>
        <v>0</v>
      </c>
      <c r="L44">
        <f t="shared" si="40"/>
        <v>0</v>
      </c>
      <c r="M44">
        <f t="shared" si="46"/>
        <v>0</v>
      </c>
      <c r="N44">
        <f t="shared" si="48"/>
        <v>0</v>
      </c>
      <c r="O44">
        <f t="shared" si="48"/>
        <v>0</v>
      </c>
      <c r="P44">
        <f t="shared" si="48"/>
        <v>0</v>
      </c>
      <c r="Q44">
        <f t="shared" si="48"/>
        <v>0</v>
      </c>
      <c r="R44">
        <f t="shared" si="48"/>
        <v>0</v>
      </c>
      <c r="S44">
        <f t="shared" si="48"/>
        <v>0</v>
      </c>
      <c r="T44">
        <f t="shared" si="48"/>
        <v>0</v>
      </c>
      <c r="U44">
        <f t="shared" si="48"/>
        <v>0</v>
      </c>
      <c r="V44">
        <f t="shared" si="48"/>
        <v>0</v>
      </c>
      <c r="W44">
        <f t="shared" si="48"/>
        <v>0</v>
      </c>
      <c r="X44">
        <f t="shared" si="49"/>
        <v>0</v>
      </c>
      <c r="Y44">
        <f t="shared" si="49"/>
        <v>0</v>
      </c>
      <c r="Z44">
        <f t="shared" si="49"/>
        <v>0</v>
      </c>
      <c r="AA44">
        <f t="shared" si="49"/>
        <v>0</v>
      </c>
      <c r="AB44">
        <f t="shared" si="49"/>
        <v>0</v>
      </c>
      <c r="AC44">
        <f t="shared" si="49"/>
        <v>0</v>
      </c>
      <c r="AD44">
        <f t="shared" si="49"/>
        <v>0</v>
      </c>
      <c r="AE44">
        <f t="shared" si="49"/>
        <v>0</v>
      </c>
      <c r="AF44">
        <f t="shared" si="49"/>
        <v>0</v>
      </c>
      <c r="AG44">
        <f t="shared" si="49"/>
        <v>0</v>
      </c>
      <c r="AH44">
        <f t="shared" si="50"/>
        <v>0</v>
      </c>
      <c r="AI44">
        <f t="shared" si="50"/>
        <v>0</v>
      </c>
      <c r="AJ44">
        <f t="shared" si="50"/>
        <v>0</v>
      </c>
      <c r="AK44">
        <f t="shared" si="50"/>
        <v>0</v>
      </c>
      <c r="AL44">
        <f t="shared" si="50"/>
        <v>0</v>
      </c>
      <c r="AM44">
        <f t="shared" si="50"/>
        <v>0</v>
      </c>
      <c r="AN44">
        <f t="shared" si="50"/>
        <v>0</v>
      </c>
      <c r="AO44">
        <f t="shared" si="50"/>
        <v>0</v>
      </c>
      <c r="AP44">
        <f t="shared" si="50"/>
        <v>0</v>
      </c>
      <c r="AQ44">
        <f t="shared" si="50"/>
        <v>0</v>
      </c>
      <c r="AR44">
        <f t="shared" si="51"/>
        <v>0</v>
      </c>
      <c r="AS44">
        <f t="shared" si="51"/>
        <v>0</v>
      </c>
      <c r="AT44">
        <f t="shared" si="51"/>
        <v>0</v>
      </c>
      <c r="AU44">
        <f t="shared" si="51"/>
        <v>0</v>
      </c>
      <c r="AV44">
        <f t="shared" si="51"/>
        <v>0</v>
      </c>
      <c r="AW44">
        <f t="shared" si="51"/>
        <v>0</v>
      </c>
      <c r="AX44">
        <f t="shared" si="51"/>
        <v>0</v>
      </c>
      <c r="BB44" s="35">
        <f t="shared" si="14"/>
        <v>0</v>
      </c>
      <c r="BC44" s="35">
        <f t="shared" si="15"/>
        <v>0</v>
      </c>
      <c r="BD44" s="35">
        <f t="shared" si="16"/>
        <v>0</v>
      </c>
      <c r="BE44" s="35">
        <f t="shared" si="17"/>
        <v>0</v>
      </c>
      <c r="BF44" s="35">
        <f t="shared" si="18"/>
        <v>0</v>
      </c>
      <c r="BG44" s="35">
        <f t="shared" si="19"/>
        <v>0</v>
      </c>
      <c r="BH44" s="35">
        <f t="shared" si="20"/>
        <v>0</v>
      </c>
      <c r="BI44" s="35">
        <f t="shared" si="21"/>
        <v>0</v>
      </c>
      <c r="BJ44" s="35">
        <f t="shared" si="22"/>
        <v>0</v>
      </c>
      <c r="BK44" s="35">
        <f t="shared" si="23"/>
        <v>0</v>
      </c>
      <c r="BL44" s="35">
        <f t="shared" si="24"/>
        <v>0</v>
      </c>
      <c r="BM44" s="35">
        <f t="shared" si="25"/>
        <v>0</v>
      </c>
      <c r="BN44">
        <f t="shared" si="47"/>
        <v>0</v>
      </c>
      <c r="BO44">
        <f t="shared" si="47"/>
        <v>0</v>
      </c>
      <c r="BP44">
        <f t="shared" si="47"/>
        <v>0</v>
      </c>
      <c r="BQ44">
        <f t="shared" si="41"/>
        <v>0</v>
      </c>
      <c r="BR44">
        <f t="shared" si="42"/>
        <v>0</v>
      </c>
      <c r="BS44">
        <f t="shared" si="43"/>
        <v>0</v>
      </c>
      <c r="BT44">
        <f t="shared" si="44"/>
        <v>0</v>
      </c>
      <c r="BU44">
        <f t="shared" si="45"/>
        <v>0</v>
      </c>
    </row>
    <row r="45" spans="1:73" x14ac:dyDescent="0.3">
      <c r="A45">
        <f>Database!A45</f>
        <v>44</v>
      </c>
      <c r="B45" s="25">
        <f>Database!E45</f>
        <v>0</v>
      </c>
      <c r="C45">
        <f>IF(Database!G45="cansl",0,Database!K45)</f>
        <v>0</v>
      </c>
      <c r="D45">
        <f>Database!D45-Database!C45</f>
        <v>0</v>
      </c>
      <c r="F45">
        <f>Database!L45</f>
        <v>0</v>
      </c>
      <c r="G45">
        <f>Database!F45</f>
        <v>0</v>
      </c>
      <c r="K45">
        <f t="shared" si="39"/>
        <v>0</v>
      </c>
      <c r="L45">
        <f t="shared" si="40"/>
        <v>0</v>
      </c>
      <c r="M45">
        <f t="shared" si="46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5">
        <f t="shared" si="14"/>
        <v>0</v>
      </c>
      <c r="BC45" s="35">
        <f t="shared" si="15"/>
        <v>0</v>
      </c>
      <c r="BD45" s="35">
        <f t="shared" si="16"/>
        <v>0</v>
      </c>
      <c r="BE45" s="35">
        <f t="shared" si="17"/>
        <v>0</v>
      </c>
      <c r="BF45" s="35">
        <f t="shared" si="18"/>
        <v>0</v>
      </c>
      <c r="BG45" s="35">
        <f t="shared" si="19"/>
        <v>0</v>
      </c>
      <c r="BH45" s="35">
        <f t="shared" si="20"/>
        <v>0</v>
      </c>
      <c r="BI45" s="35">
        <f t="shared" si="21"/>
        <v>0</v>
      </c>
      <c r="BJ45" s="35">
        <f t="shared" si="22"/>
        <v>0</v>
      </c>
      <c r="BK45" s="35">
        <f t="shared" si="23"/>
        <v>0</v>
      </c>
      <c r="BL45" s="35">
        <f t="shared" si="24"/>
        <v>0</v>
      </c>
      <c r="BM45" s="35">
        <f t="shared" si="25"/>
        <v>0</v>
      </c>
      <c r="BN45">
        <f t="shared" si="47"/>
        <v>0</v>
      </c>
      <c r="BO45">
        <f t="shared" si="47"/>
        <v>0</v>
      </c>
      <c r="BP45">
        <f t="shared" si="47"/>
        <v>0</v>
      </c>
      <c r="BQ45">
        <f t="shared" si="41"/>
        <v>0</v>
      </c>
      <c r="BR45">
        <f t="shared" si="42"/>
        <v>0</v>
      </c>
      <c r="BS45">
        <f t="shared" si="43"/>
        <v>0</v>
      </c>
      <c r="BT45">
        <f t="shared" si="44"/>
        <v>0</v>
      </c>
      <c r="BU45">
        <f t="shared" si="45"/>
        <v>0</v>
      </c>
    </row>
    <row r="46" spans="1:73" x14ac:dyDescent="0.3">
      <c r="A46">
        <f>Database!A46</f>
        <v>45</v>
      </c>
      <c r="B46" s="25">
        <f>Database!E46</f>
        <v>0</v>
      </c>
      <c r="C46">
        <f>IF(Database!G46="cansl",0,Database!K46)</f>
        <v>0</v>
      </c>
      <c r="D46">
        <f>Database!D46-Database!C46</f>
        <v>0</v>
      </c>
      <c r="F46">
        <f>Database!L46</f>
        <v>0</v>
      </c>
      <c r="G46">
        <f>Database!F46</f>
        <v>0</v>
      </c>
      <c r="K46">
        <f t="shared" si="39"/>
        <v>0</v>
      </c>
      <c r="L46">
        <f t="shared" si="40"/>
        <v>0</v>
      </c>
      <c r="M46">
        <f t="shared" si="46"/>
        <v>0</v>
      </c>
      <c r="N46">
        <f t="shared" si="48"/>
        <v>0</v>
      </c>
      <c r="O46">
        <f t="shared" si="48"/>
        <v>0</v>
      </c>
      <c r="P46">
        <f t="shared" si="48"/>
        <v>0</v>
      </c>
      <c r="Q46">
        <f t="shared" si="48"/>
        <v>0</v>
      </c>
      <c r="R46">
        <f t="shared" si="48"/>
        <v>0</v>
      </c>
      <c r="S46">
        <f t="shared" si="48"/>
        <v>0</v>
      </c>
      <c r="T46">
        <f t="shared" si="48"/>
        <v>0</v>
      </c>
      <c r="U46">
        <f t="shared" si="48"/>
        <v>0</v>
      </c>
      <c r="V46">
        <f t="shared" si="48"/>
        <v>0</v>
      </c>
      <c r="W46">
        <f t="shared" si="48"/>
        <v>0</v>
      </c>
      <c r="X46">
        <f t="shared" si="49"/>
        <v>0</v>
      </c>
      <c r="Y46">
        <f t="shared" si="49"/>
        <v>0</v>
      </c>
      <c r="Z46">
        <f t="shared" si="49"/>
        <v>0</v>
      </c>
      <c r="AA46">
        <f t="shared" si="49"/>
        <v>0</v>
      </c>
      <c r="AB46">
        <f t="shared" si="49"/>
        <v>0</v>
      </c>
      <c r="AC46">
        <f t="shared" si="49"/>
        <v>0</v>
      </c>
      <c r="AD46">
        <f t="shared" si="49"/>
        <v>0</v>
      </c>
      <c r="AE46">
        <f t="shared" si="49"/>
        <v>0</v>
      </c>
      <c r="AF46">
        <f t="shared" si="49"/>
        <v>0</v>
      </c>
      <c r="AG46">
        <f t="shared" si="49"/>
        <v>0</v>
      </c>
      <c r="AH46">
        <f t="shared" si="50"/>
        <v>0</v>
      </c>
      <c r="AI46">
        <f t="shared" si="50"/>
        <v>0</v>
      </c>
      <c r="AJ46">
        <f t="shared" si="50"/>
        <v>0</v>
      </c>
      <c r="AK46">
        <f t="shared" si="50"/>
        <v>0</v>
      </c>
      <c r="AL46">
        <f t="shared" si="50"/>
        <v>0</v>
      </c>
      <c r="AM46">
        <f t="shared" si="50"/>
        <v>0</v>
      </c>
      <c r="AN46">
        <f t="shared" si="50"/>
        <v>0</v>
      </c>
      <c r="AO46">
        <f t="shared" si="50"/>
        <v>0</v>
      </c>
      <c r="AP46">
        <f t="shared" si="50"/>
        <v>0</v>
      </c>
      <c r="AQ46">
        <f t="shared" si="50"/>
        <v>0</v>
      </c>
      <c r="AR46">
        <f t="shared" si="51"/>
        <v>0</v>
      </c>
      <c r="AS46">
        <f t="shared" si="51"/>
        <v>0</v>
      </c>
      <c r="AT46">
        <f t="shared" si="51"/>
        <v>0</v>
      </c>
      <c r="AU46">
        <f t="shared" si="51"/>
        <v>0</v>
      </c>
      <c r="AV46">
        <f t="shared" si="51"/>
        <v>0</v>
      </c>
      <c r="AW46">
        <f t="shared" si="51"/>
        <v>0</v>
      </c>
      <c r="AX46">
        <f t="shared" si="51"/>
        <v>0</v>
      </c>
      <c r="BB46" s="35">
        <f t="shared" si="14"/>
        <v>0</v>
      </c>
      <c r="BC46" s="35">
        <f t="shared" si="15"/>
        <v>0</v>
      </c>
      <c r="BD46" s="35">
        <f t="shared" si="16"/>
        <v>0</v>
      </c>
      <c r="BE46" s="35">
        <f t="shared" si="17"/>
        <v>0</v>
      </c>
      <c r="BF46" s="35">
        <f t="shared" si="18"/>
        <v>0</v>
      </c>
      <c r="BG46" s="35">
        <f t="shared" si="19"/>
        <v>0</v>
      </c>
      <c r="BH46" s="35">
        <f t="shared" si="20"/>
        <v>0</v>
      </c>
      <c r="BI46" s="35">
        <f t="shared" si="21"/>
        <v>0</v>
      </c>
      <c r="BJ46" s="35">
        <f t="shared" si="22"/>
        <v>0</v>
      </c>
      <c r="BK46" s="35">
        <f t="shared" si="23"/>
        <v>0</v>
      </c>
      <c r="BL46" s="35">
        <f t="shared" si="24"/>
        <v>0</v>
      </c>
      <c r="BM46" s="35">
        <f t="shared" si="25"/>
        <v>0</v>
      </c>
      <c r="BN46">
        <f t="shared" si="47"/>
        <v>0</v>
      </c>
      <c r="BO46">
        <f t="shared" si="47"/>
        <v>0</v>
      </c>
      <c r="BP46">
        <f t="shared" si="47"/>
        <v>0</v>
      </c>
      <c r="BQ46">
        <f t="shared" si="41"/>
        <v>0</v>
      </c>
      <c r="BR46">
        <f t="shared" si="42"/>
        <v>0</v>
      </c>
      <c r="BS46">
        <f t="shared" si="43"/>
        <v>0</v>
      </c>
      <c r="BT46">
        <f t="shared" si="44"/>
        <v>0</v>
      </c>
      <c r="BU46">
        <f t="shared" si="45"/>
        <v>0</v>
      </c>
    </row>
    <row r="47" spans="1:73" x14ac:dyDescent="0.3">
      <c r="A47">
        <f>Database!A47</f>
        <v>46</v>
      </c>
      <c r="B47" s="25">
        <f>Database!E47</f>
        <v>0</v>
      </c>
      <c r="C47">
        <f>IF(Database!G47="cansl",0,Database!K47)</f>
        <v>0</v>
      </c>
      <c r="D47">
        <f>Database!D47-Database!C47</f>
        <v>0</v>
      </c>
      <c r="F47">
        <f>Database!L47</f>
        <v>0</v>
      </c>
      <c r="G47">
        <f>Database!F47</f>
        <v>0</v>
      </c>
      <c r="K47">
        <f t="shared" si="39"/>
        <v>0</v>
      </c>
      <c r="L47">
        <f t="shared" si="40"/>
        <v>0</v>
      </c>
      <c r="M47">
        <f t="shared" si="46"/>
        <v>0</v>
      </c>
      <c r="N47">
        <f t="shared" si="48"/>
        <v>0</v>
      </c>
      <c r="O47">
        <f t="shared" si="48"/>
        <v>0</v>
      </c>
      <c r="P47">
        <f t="shared" si="48"/>
        <v>0</v>
      </c>
      <c r="Q47">
        <f t="shared" si="48"/>
        <v>0</v>
      </c>
      <c r="R47">
        <f t="shared" si="48"/>
        <v>0</v>
      </c>
      <c r="S47">
        <f t="shared" si="48"/>
        <v>0</v>
      </c>
      <c r="T47">
        <f t="shared" si="48"/>
        <v>0</v>
      </c>
      <c r="U47">
        <f t="shared" si="48"/>
        <v>0</v>
      </c>
      <c r="V47">
        <f t="shared" si="48"/>
        <v>0</v>
      </c>
      <c r="W47">
        <f t="shared" si="48"/>
        <v>0</v>
      </c>
      <c r="X47">
        <f t="shared" si="49"/>
        <v>0</v>
      </c>
      <c r="Y47">
        <f t="shared" si="49"/>
        <v>0</v>
      </c>
      <c r="Z47">
        <f t="shared" si="49"/>
        <v>0</v>
      </c>
      <c r="AA47">
        <f t="shared" si="49"/>
        <v>0</v>
      </c>
      <c r="AB47">
        <f t="shared" si="49"/>
        <v>0</v>
      </c>
      <c r="AC47">
        <f t="shared" si="49"/>
        <v>0</v>
      </c>
      <c r="AD47">
        <f t="shared" si="49"/>
        <v>0</v>
      </c>
      <c r="AE47">
        <f t="shared" si="49"/>
        <v>0</v>
      </c>
      <c r="AF47">
        <f t="shared" si="49"/>
        <v>0</v>
      </c>
      <c r="AG47">
        <f t="shared" si="49"/>
        <v>0</v>
      </c>
      <c r="AH47">
        <f t="shared" si="50"/>
        <v>0</v>
      </c>
      <c r="AI47">
        <f t="shared" si="50"/>
        <v>0</v>
      </c>
      <c r="AJ47">
        <f t="shared" si="50"/>
        <v>0</v>
      </c>
      <c r="AK47">
        <f t="shared" si="50"/>
        <v>0</v>
      </c>
      <c r="AL47">
        <f t="shared" si="50"/>
        <v>0</v>
      </c>
      <c r="AM47">
        <f t="shared" si="50"/>
        <v>0</v>
      </c>
      <c r="AN47">
        <f t="shared" si="50"/>
        <v>0</v>
      </c>
      <c r="AO47">
        <f t="shared" si="50"/>
        <v>0</v>
      </c>
      <c r="AP47">
        <f t="shared" si="50"/>
        <v>0</v>
      </c>
      <c r="AQ47">
        <f t="shared" si="50"/>
        <v>0</v>
      </c>
      <c r="AR47">
        <f t="shared" si="51"/>
        <v>0</v>
      </c>
      <c r="AS47">
        <f t="shared" si="51"/>
        <v>0</v>
      </c>
      <c r="AT47">
        <f t="shared" si="51"/>
        <v>0</v>
      </c>
      <c r="AU47">
        <f t="shared" si="51"/>
        <v>0</v>
      </c>
      <c r="AV47">
        <f t="shared" si="51"/>
        <v>0</v>
      </c>
      <c r="AW47">
        <f t="shared" si="51"/>
        <v>0</v>
      </c>
      <c r="AX47">
        <f t="shared" si="51"/>
        <v>0</v>
      </c>
      <c r="BB47" s="35">
        <f t="shared" si="14"/>
        <v>0</v>
      </c>
      <c r="BC47" s="35">
        <f t="shared" si="15"/>
        <v>0</v>
      </c>
      <c r="BD47" s="35">
        <f t="shared" si="16"/>
        <v>0</v>
      </c>
      <c r="BE47" s="35">
        <f t="shared" si="17"/>
        <v>0</v>
      </c>
      <c r="BF47" s="35">
        <f t="shared" si="18"/>
        <v>0</v>
      </c>
      <c r="BG47" s="35">
        <f t="shared" si="19"/>
        <v>0</v>
      </c>
      <c r="BH47" s="35">
        <f t="shared" si="20"/>
        <v>0</v>
      </c>
      <c r="BI47" s="35">
        <f t="shared" si="21"/>
        <v>0</v>
      </c>
      <c r="BJ47" s="35">
        <f t="shared" si="22"/>
        <v>0</v>
      </c>
      <c r="BK47" s="35">
        <f t="shared" si="23"/>
        <v>0</v>
      </c>
      <c r="BL47" s="35">
        <f t="shared" si="24"/>
        <v>0</v>
      </c>
      <c r="BM47" s="35">
        <f t="shared" si="25"/>
        <v>0</v>
      </c>
      <c r="BN47">
        <f t="shared" si="47"/>
        <v>0</v>
      </c>
      <c r="BO47">
        <f t="shared" si="47"/>
        <v>0</v>
      </c>
      <c r="BP47">
        <f t="shared" si="47"/>
        <v>0</v>
      </c>
      <c r="BQ47">
        <f t="shared" si="41"/>
        <v>0</v>
      </c>
      <c r="BR47">
        <f t="shared" si="42"/>
        <v>0</v>
      </c>
      <c r="BS47">
        <f t="shared" si="43"/>
        <v>0</v>
      </c>
      <c r="BT47">
        <f t="shared" si="44"/>
        <v>0</v>
      </c>
      <c r="BU47">
        <f t="shared" si="45"/>
        <v>0</v>
      </c>
    </row>
    <row r="48" spans="1:73" x14ac:dyDescent="0.3">
      <c r="A48">
        <f>Database!A48</f>
        <v>47</v>
      </c>
      <c r="B48" s="25">
        <f>Database!E48</f>
        <v>0</v>
      </c>
      <c r="C48">
        <f>IF(Database!G48="cansl",0,Database!K48)</f>
        <v>0</v>
      </c>
      <c r="D48">
        <f>Database!D48-Database!C48</f>
        <v>0</v>
      </c>
      <c r="F48">
        <f>Database!L48</f>
        <v>0</v>
      </c>
      <c r="G48">
        <f>Database!F48</f>
        <v>0</v>
      </c>
      <c r="K48">
        <f t="shared" si="39"/>
        <v>0</v>
      </c>
      <c r="L48">
        <f t="shared" si="40"/>
        <v>0</v>
      </c>
      <c r="M48">
        <f t="shared" si="46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5">
        <f t="shared" si="14"/>
        <v>0</v>
      </c>
      <c r="BC48" s="35">
        <f t="shared" si="15"/>
        <v>0</v>
      </c>
      <c r="BD48" s="35">
        <f t="shared" si="16"/>
        <v>0</v>
      </c>
      <c r="BE48" s="35">
        <f t="shared" si="17"/>
        <v>0</v>
      </c>
      <c r="BF48" s="35">
        <f t="shared" si="18"/>
        <v>0</v>
      </c>
      <c r="BG48" s="35">
        <f t="shared" si="19"/>
        <v>0</v>
      </c>
      <c r="BH48" s="35">
        <f t="shared" si="20"/>
        <v>0</v>
      </c>
      <c r="BI48" s="35">
        <f t="shared" si="21"/>
        <v>0</v>
      </c>
      <c r="BJ48" s="35">
        <f t="shared" si="22"/>
        <v>0</v>
      </c>
      <c r="BK48" s="35">
        <f t="shared" si="23"/>
        <v>0</v>
      </c>
      <c r="BL48" s="35">
        <f t="shared" si="24"/>
        <v>0</v>
      </c>
      <c r="BM48" s="35">
        <f t="shared" si="25"/>
        <v>0</v>
      </c>
      <c r="BN48">
        <f t="shared" si="47"/>
        <v>0</v>
      </c>
      <c r="BO48">
        <f t="shared" si="47"/>
        <v>0</v>
      </c>
      <c r="BP48">
        <f t="shared" si="47"/>
        <v>0</v>
      </c>
      <c r="BQ48">
        <f t="shared" si="41"/>
        <v>0</v>
      </c>
      <c r="BR48">
        <f t="shared" si="42"/>
        <v>0</v>
      </c>
      <c r="BS48">
        <f t="shared" si="43"/>
        <v>0</v>
      </c>
      <c r="BT48">
        <f t="shared" si="44"/>
        <v>0</v>
      </c>
      <c r="BU48">
        <f t="shared" si="45"/>
        <v>0</v>
      </c>
    </row>
    <row r="49" spans="1:73" x14ac:dyDescent="0.3">
      <c r="A49">
        <f>Database!A49</f>
        <v>48</v>
      </c>
      <c r="B49" s="25">
        <f>Database!E49</f>
        <v>0</v>
      </c>
      <c r="C49">
        <f>IF(Database!G49="cansl",0,Database!K49)</f>
        <v>0</v>
      </c>
      <c r="D49">
        <f>Database!D49-Database!C49</f>
        <v>0</v>
      </c>
      <c r="F49">
        <f>Database!L49</f>
        <v>0</v>
      </c>
      <c r="G49">
        <f>Database!F49</f>
        <v>0</v>
      </c>
      <c r="K49">
        <f t="shared" si="39"/>
        <v>0</v>
      </c>
      <c r="L49">
        <f t="shared" si="40"/>
        <v>0</v>
      </c>
      <c r="M49">
        <f t="shared" si="46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5">
        <f t="shared" si="14"/>
        <v>0</v>
      </c>
      <c r="BC49" s="35">
        <f t="shared" si="15"/>
        <v>0</v>
      </c>
      <c r="BD49" s="35">
        <f t="shared" si="16"/>
        <v>0</v>
      </c>
      <c r="BE49" s="35">
        <f t="shared" si="17"/>
        <v>0</v>
      </c>
      <c r="BF49" s="35">
        <f t="shared" si="18"/>
        <v>0</v>
      </c>
      <c r="BG49" s="35">
        <f t="shared" si="19"/>
        <v>0</v>
      </c>
      <c r="BH49" s="35">
        <f t="shared" si="20"/>
        <v>0</v>
      </c>
      <c r="BI49" s="35">
        <f t="shared" si="21"/>
        <v>0</v>
      </c>
      <c r="BJ49" s="35">
        <f t="shared" si="22"/>
        <v>0</v>
      </c>
      <c r="BK49" s="35">
        <f t="shared" si="23"/>
        <v>0</v>
      </c>
      <c r="BL49" s="35">
        <f t="shared" si="24"/>
        <v>0</v>
      </c>
      <c r="BM49" s="35">
        <f t="shared" si="25"/>
        <v>0</v>
      </c>
      <c r="BN49">
        <f t="shared" si="47"/>
        <v>0</v>
      </c>
      <c r="BO49">
        <f t="shared" si="47"/>
        <v>0</v>
      </c>
      <c r="BP49">
        <f t="shared" si="47"/>
        <v>0</v>
      </c>
      <c r="BQ49">
        <f t="shared" si="41"/>
        <v>0</v>
      </c>
      <c r="BR49">
        <f t="shared" si="42"/>
        <v>0</v>
      </c>
      <c r="BS49">
        <f t="shared" si="43"/>
        <v>0</v>
      </c>
      <c r="BT49">
        <f t="shared" si="44"/>
        <v>0</v>
      </c>
      <c r="BU49">
        <f t="shared" si="45"/>
        <v>0</v>
      </c>
    </row>
    <row r="50" spans="1:73" x14ac:dyDescent="0.3">
      <c r="A50">
        <f>Database!A50</f>
        <v>49</v>
      </c>
      <c r="B50" s="25">
        <f>Database!E50</f>
        <v>0</v>
      </c>
      <c r="C50">
        <f>IF(Database!G50="cansl",0,Database!K50)</f>
        <v>0</v>
      </c>
      <c r="D50">
        <f>Database!D50-Database!C50</f>
        <v>0</v>
      </c>
      <c r="F50">
        <f>Database!L50</f>
        <v>0</v>
      </c>
      <c r="G50">
        <f>Database!F50</f>
        <v>0</v>
      </c>
      <c r="K50">
        <f t="shared" si="39"/>
        <v>0</v>
      </c>
      <c r="L50">
        <f t="shared" si="40"/>
        <v>0</v>
      </c>
      <c r="M50">
        <f t="shared" si="46"/>
        <v>0</v>
      </c>
      <c r="N50">
        <f t="shared" si="48"/>
        <v>0</v>
      </c>
      <c r="O50">
        <f t="shared" si="48"/>
        <v>0</v>
      </c>
      <c r="P50">
        <f t="shared" si="48"/>
        <v>0</v>
      </c>
      <c r="Q50">
        <f t="shared" si="48"/>
        <v>0</v>
      </c>
      <c r="R50">
        <f t="shared" si="48"/>
        <v>0</v>
      </c>
      <c r="S50">
        <f t="shared" si="48"/>
        <v>0</v>
      </c>
      <c r="T50">
        <f t="shared" si="48"/>
        <v>0</v>
      </c>
      <c r="U50">
        <f t="shared" si="48"/>
        <v>0</v>
      </c>
      <c r="V50">
        <f t="shared" si="48"/>
        <v>0</v>
      </c>
      <c r="W50">
        <f t="shared" si="48"/>
        <v>0</v>
      </c>
      <c r="X50">
        <f t="shared" si="49"/>
        <v>0</v>
      </c>
      <c r="Y50">
        <f t="shared" si="49"/>
        <v>0</v>
      </c>
      <c r="Z50">
        <f t="shared" si="49"/>
        <v>0</v>
      </c>
      <c r="AA50">
        <f t="shared" si="49"/>
        <v>0</v>
      </c>
      <c r="AB50">
        <f t="shared" si="49"/>
        <v>0</v>
      </c>
      <c r="AC50">
        <f t="shared" si="49"/>
        <v>0</v>
      </c>
      <c r="AD50">
        <f t="shared" si="49"/>
        <v>0</v>
      </c>
      <c r="AE50">
        <f t="shared" si="49"/>
        <v>0</v>
      </c>
      <c r="AF50">
        <f t="shared" si="49"/>
        <v>0</v>
      </c>
      <c r="AG50">
        <f t="shared" si="49"/>
        <v>0</v>
      </c>
      <c r="AH50">
        <f t="shared" si="50"/>
        <v>0</v>
      </c>
      <c r="AI50">
        <f t="shared" si="50"/>
        <v>0</v>
      </c>
      <c r="AJ50">
        <f t="shared" si="50"/>
        <v>0</v>
      </c>
      <c r="AK50">
        <f t="shared" si="50"/>
        <v>0</v>
      </c>
      <c r="AL50">
        <f t="shared" si="50"/>
        <v>0</v>
      </c>
      <c r="AM50">
        <f t="shared" si="50"/>
        <v>0</v>
      </c>
      <c r="AN50">
        <f t="shared" si="50"/>
        <v>0</v>
      </c>
      <c r="AO50">
        <f t="shared" si="50"/>
        <v>0</v>
      </c>
      <c r="AP50">
        <f t="shared" si="50"/>
        <v>0</v>
      </c>
      <c r="AQ50">
        <f t="shared" si="50"/>
        <v>0</v>
      </c>
      <c r="AR50">
        <f t="shared" si="51"/>
        <v>0</v>
      </c>
      <c r="AS50">
        <f t="shared" si="51"/>
        <v>0</v>
      </c>
      <c r="AT50">
        <f t="shared" si="51"/>
        <v>0</v>
      </c>
      <c r="AU50">
        <f t="shared" si="51"/>
        <v>0</v>
      </c>
      <c r="AV50">
        <f t="shared" si="51"/>
        <v>0</v>
      </c>
      <c r="AW50">
        <f t="shared" si="51"/>
        <v>0</v>
      </c>
      <c r="AX50">
        <f t="shared" si="51"/>
        <v>0</v>
      </c>
      <c r="BB50" s="35">
        <f t="shared" si="14"/>
        <v>0</v>
      </c>
      <c r="BC50" s="35">
        <f t="shared" si="15"/>
        <v>0</v>
      </c>
      <c r="BD50" s="35">
        <f t="shared" si="16"/>
        <v>0</v>
      </c>
      <c r="BE50" s="35">
        <f t="shared" si="17"/>
        <v>0</v>
      </c>
      <c r="BF50" s="35">
        <f t="shared" si="18"/>
        <v>0</v>
      </c>
      <c r="BG50" s="35">
        <f t="shared" si="19"/>
        <v>0</v>
      </c>
      <c r="BH50" s="35">
        <f t="shared" si="20"/>
        <v>0</v>
      </c>
      <c r="BI50" s="35">
        <f t="shared" si="21"/>
        <v>0</v>
      </c>
      <c r="BJ50" s="35">
        <f t="shared" si="22"/>
        <v>0</v>
      </c>
      <c r="BK50" s="35">
        <f t="shared" si="23"/>
        <v>0</v>
      </c>
      <c r="BL50" s="35">
        <f t="shared" si="24"/>
        <v>0</v>
      </c>
      <c r="BM50" s="35">
        <f t="shared" si="25"/>
        <v>0</v>
      </c>
      <c r="BN50">
        <f t="shared" si="47"/>
        <v>0</v>
      </c>
      <c r="BO50">
        <f t="shared" si="47"/>
        <v>0</v>
      </c>
      <c r="BP50">
        <f t="shared" si="47"/>
        <v>0</v>
      </c>
      <c r="BQ50">
        <f t="shared" si="41"/>
        <v>0</v>
      </c>
      <c r="BR50">
        <f t="shared" si="42"/>
        <v>0</v>
      </c>
      <c r="BS50">
        <f t="shared" si="43"/>
        <v>0</v>
      </c>
      <c r="BT50">
        <f t="shared" si="44"/>
        <v>0</v>
      </c>
      <c r="BU50">
        <f t="shared" si="45"/>
        <v>0</v>
      </c>
    </row>
    <row r="51" spans="1:73" x14ac:dyDescent="0.3">
      <c r="A51">
        <f>Database!A51</f>
        <v>50</v>
      </c>
      <c r="B51" s="25">
        <f>Database!E51</f>
        <v>0</v>
      </c>
      <c r="C51">
        <f>IF(Database!G51="cansl",0,Database!K51)</f>
        <v>0</v>
      </c>
      <c r="D51">
        <f>Database!D51-Database!C51</f>
        <v>0</v>
      </c>
      <c r="F51">
        <f>Database!L51</f>
        <v>0</v>
      </c>
      <c r="G51">
        <f>Database!F51</f>
        <v>0</v>
      </c>
      <c r="K51">
        <f t="shared" si="39"/>
        <v>0</v>
      </c>
      <c r="L51">
        <f t="shared" si="40"/>
        <v>0</v>
      </c>
      <c r="M51">
        <f t="shared" si="46"/>
        <v>0</v>
      </c>
      <c r="N51">
        <f t="shared" si="48"/>
        <v>0</v>
      </c>
      <c r="O51">
        <f t="shared" si="48"/>
        <v>0</v>
      </c>
      <c r="P51">
        <f t="shared" si="48"/>
        <v>0</v>
      </c>
      <c r="Q51">
        <f t="shared" si="48"/>
        <v>0</v>
      </c>
      <c r="R51">
        <f t="shared" si="48"/>
        <v>0</v>
      </c>
      <c r="S51">
        <f t="shared" si="48"/>
        <v>0</v>
      </c>
      <c r="T51">
        <f t="shared" si="48"/>
        <v>0</v>
      </c>
      <c r="U51">
        <f t="shared" si="48"/>
        <v>0</v>
      </c>
      <c r="V51">
        <f t="shared" si="48"/>
        <v>0</v>
      </c>
      <c r="W51">
        <f t="shared" si="48"/>
        <v>0</v>
      </c>
      <c r="X51">
        <f t="shared" si="49"/>
        <v>0</v>
      </c>
      <c r="Y51">
        <f t="shared" si="49"/>
        <v>0</v>
      </c>
      <c r="Z51">
        <f t="shared" si="49"/>
        <v>0</v>
      </c>
      <c r="AA51">
        <f t="shared" si="49"/>
        <v>0</v>
      </c>
      <c r="AB51">
        <f t="shared" si="49"/>
        <v>0</v>
      </c>
      <c r="AC51">
        <f t="shared" si="49"/>
        <v>0</v>
      </c>
      <c r="AD51">
        <f t="shared" si="49"/>
        <v>0</v>
      </c>
      <c r="AE51">
        <f t="shared" si="49"/>
        <v>0</v>
      </c>
      <c r="AF51">
        <f t="shared" si="49"/>
        <v>0</v>
      </c>
      <c r="AG51">
        <f t="shared" si="49"/>
        <v>0</v>
      </c>
      <c r="AH51">
        <f t="shared" si="50"/>
        <v>0</v>
      </c>
      <c r="AI51">
        <f t="shared" si="50"/>
        <v>0</v>
      </c>
      <c r="AJ51">
        <f t="shared" si="50"/>
        <v>0</v>
      </c>
      <c r="AK51">
        <f t="shared" si="50"/>
        <v>0</v>
      </c>
      <c r="AL51">
        <f t="shared" si="50"/>
        <v>0</v>
      </c>
      <c r="AM51">
        <f t="shared" si="50"/>
        <v>0</v>
      </c>
      <c r="AN51">
        <f t="shared" si="50"/>
        <v>0</v>
      </c>
      <c r="AO51">
        <f t="shared" si="50"/>
        <v>0</v>
      </c>
      <c r="AP51">
        <f t="shared" si="50"/>
        <v>0</v>
      </c>
      <c r="AQ51">
        <f t="shared" si="50"/>
        <v>0</v>
      </c>
      <c r="AR51">
        <f t="shared" si="51"/>
        <v>0</v>
      </c>
      <c r="AS51">
        <f t="shared" si="51"/>
        <v>0</v>
      </c>
      <c r="AT51">
        <f t="shared" si="51"/>
        <v>0</v>
      </c>
      <c r="AU51">
        <f t="shared" si="51"/>
        <v>0</v>
      </c>
      <c r="AV51">
        <f t="shared" si="51"/>
        <v>0</v>
      </c>
      <c r="AW51">
        <f t="shared" si="51"/>
        <v>0</v>
      </c>
      <c r="AX51">
        <f t="shared" si="51"/>
        <v>0</v>
      </c>
      <c r="BB51" s="35">
        <f t="shared" si="14"/>
        <v>0</v>
      </c>
      <c r="BC51" s="35">
        <f t="shared" si="15"/>
        <v>0</v>
      </c>
      <c r="BD51" s="35">
        <f t="shared" si="16"/>
        <v>0</v>
      </c>
      <c r="BE51" s="35">
        <f t="shared" si="17"/>
        <v>0</v>
      </c>
      <c r="BF51" s="35">
        <f t="shared" si="18"/>
        <v>0</v>
      </c>
      <c r="BG51" s="35">
        <f t="shared" si="19"/>
        <v>0</v>
      </c>
      <c r="BH51" s="35">
        <f t="shared" si="20"/>
        <v>0</v>
      </c>
      <c r="BI51" s="35">
        <f t="shared" si="21"/>
        <v>0</v>
      </c>
      <c r="BJ51" s="35">
        <f t="shared" si="22"/>
        <v>0</v>
      </c>
      <c r="BK51" s="35">
        <f t="shared" si="23"/>
        <v>0</v>
      </c>
      <c r="BL51" s="35">
        <f t="shared" si="24"/>
        <v>0</v>
      </c>
      <c r="BM51" s="35">
        <f t="shared" si="25"/>
        <v>0</v>
      </c>
      <c r="BN51">
        <f t="shared" si="47"/>
        <v>0</v>
      </c>
      <c r="BO51">
        <f t="shared" si="47"/>
        <v>0</v>
      </c>
      <c r="BP51">
        <f t="shared" si="47"/>
        <v>0</v>
      </c>
      <c r="BQ51">
        <f t="shared" si="41"/>
        <v>0</v>
      </c>
      <c r="BR51">
        <f t="shared" si="42"/>
        <v>0</v>
      </c>
      <c r="BS51">
        <f t="shared" si="43"/>
        <v>0</v>
      </c>
      <c r="BT51">
        <f t="shared" si="44"/>
        <v>0</v>
      </c>
      <c r="BU51">
        <f t="shared" si="45"/>
        <v>0</v>
      </c>
    </row>
    <row r="52" spans="1:73" x14ac:dyDescent="0.3">
      <c r="A52">
        <f>Database!A52</f>
        <v>51</v>
      </c>
      <c r="B52" s="25">
        <f>Database!E52</f>
        <v>0</v>
      </c>
      <c r="C52">
        <f>IF(Database!G52="cansl",0,Database!K52)</f>
        <v>0</v>
      </c>
      <c r="D52">
        <f>Database!D52-Database!C52</f>
        <v>0</v>
      </c>
      <c r="F52">
        <f>Database!L52</f>
        <v>0</v>
      </c>
      <c r="G52">
        <f>Database!F52</f>
        <v>0</v>
      </c>
      <c r="K52">
        <f t="shared" si="39"/>
        <v>0</v>
      </c>
      <c r="L52">
        <f t="shared" si="40"/>
        <v>0</v>
      </c>
      <c r="M52">
        <f t="shared" si="46"/>
        <v>0</v>
      </c>
      <c r="N52">
        <f t="shared" si="48"/>
        <v>0</v>
      </c>
      <c r="O52">
        <f t="shared" si="48"/>
        <v>0</v>
      </c>
      <c r="P52">
        <f t="shared" si="48"/>
        <v>0</v>
      </c>
      <c r="Q52">
        <f t="shared" si="48"/>
        <v>0</v>
      </c>
      <c r="R52">
        <f t="shared" si="48"/>
        <v>0</v>
      </c>
      <c r="S52">
        <f t="shared" si="48"/>
        <v>0</v>
      </c>
      <c r="T52">
        <f t="shared" si="48"/>
        <v>0</v>
      </c>
      <c r="U52">
        <f t="shared" si="48"/>
        <v>0</v>
      </c>
      <c r="V52">
        <f t="shared" si="48"/>
        <v>0</v>
      </c>
      <c r="W52">
        <f t="shared" si="48"/>
        <v>0</v>
      </c>
      <c r="X52">
        <f t="shared" si="49"/>
        <v>0</v>
      </c>
      <c r="Y52">
        <f t="shared" si="49"/>
        <v>0</v>
      </c>
      <c r="Z52">
        <f t="shared" si="49"/>
        <v>0</v>
      </c>
      <c r="AA52">
        <f t="shared" si="49"/>
        <v>0</v>
      </c>
      <c r="AB52">
        <f t="shared" si="49"/>
        <v>0</v>
      </c>
      <c r="AC52">
        <f t="shared" si="49"/>
        <v>0</v>
      </c>
      <c r="AD52">
        <f t="shared" si="49"/>
        <v>0</v>
      </c>
      <c r="AE52">
        <f t="shared" si="49"/>
        <v>0</v>
      </c>
      <c r="AF52">
        <f t="shared" si="49"/>
        <v>0</v>
      </c>
      <c r="AG52">
        <f t="shared" si="49"/>
        <v>0</v>
      </c>
      <c r="AH52">
        <f t="shared" si="50"/>
        <v>0</v>
      </c>
      <c r="AI52">
        <f t="shared" si="50"/>
        <v>0</v>
      </c>
      <c r="AJ52">
        <f t="shared" si="50"/>
        <v>0</v>
      </c>
      <c r="AK52">
        <f t="shared" si="50"/>
        <v>0</v>
      </c>
      <c r="AL52">
        <f t="shared" si="50"/>
        <v>0</v>
      </c>
      <c r="AM52">
        <f t="shared" si="50"/>
        <v>0</v>
      </c>
      <c r="AN52">
        <f t="shared" si="50"/>
        <v>0</v>
      </c>
      <c r="AO52">
        <f t="shared" si="50"/>
        <v>0</v>
      </c>
      <c r="AP52">
        <f t="shared" si="50"/>
        <v>0</v>
      </c>
      <c r="AQ52">
        <f t="shared" si="50"/>
        <v>0</v>
      </c>
      <c r="AR52">
        <f t="shared" si="51"/>
        <v>0</v>
      </c>
      <c r="AS52">
        <f t="shared" si="51"/>
        <v>0</v>
      </c>
      <c r="AT52">
        <f t="shared" si="51"/>
        <v>0</v>
      </c>
      <c r="AU52">
        <f t="shared" si="51"/>
        <v>0</v>
      </c>
      <c r="AV52">
        <f t="shared" si="51"/>
        <v>0</v>
      </c>
      <c r="AW52">
        <f t="shared" si="51"/>
        <v>0</v>
      </c>
      <c r="AX52">
        <f t="shared" si="51"/>
        <v>0</v>
      </c>
      <c r="BB52" s="35">
        <f t="shared" si="14"/>
        <v>0</v>
      </c>
      <c r="BC52" s="35">
        <f t="shared" si="15"/>
        <v>0</v>
      </c>
      <c r="BD52" s="35">
        <f t="shared" si="16"/>
        <v>0</v>
      </c>
      <c r="BE52" s="35">
        <f t="shared" si="17"/>
        <v>0</v>
      </c>
      <c r="BF52" s="35">
        <f t="shared" si="18"/>
        <v>0</v>
      </c>
      <c r="BG52" s="35">
        <f t="shared" si="19"/>
        <v>0</v>
      </c>
      <c r="BH52" s="35">
        <f t="shared" si="20"/>
        <v>0</v>
      </c>
      <c r="BI52" s="35">
        <f t="shared" si="21"/>
        <v>0</v>
      </c>
      <c r="BJ52" s="35">
        <f t="shared" si="22"/>
        <v>0</v>
      </c>
      <c r="BK52" s="35">
        <f t="shared" si="23"/>
        <v>0</v>
      </c>
      <c r="BL52" s="35">
        <f t="shared" si="24"/>
        <v>0</v>
      </c>
      <c r="BM52" s="35">
        <f t="shared" si="25"/>
        <v>0</v>
      </c>
      <c r="BN52">
        <f t="shared" si="47"/>
        <v>0</v>
      </c>
      <c r="BO52">
        <f t="shared" si="47"/>
        <v>0</v>
      </c>
      <c r="BP52">
        <f t="shared" si="47"/>
        <v>0</v>
      </c>
      <c r="BQ52">
        <f t="shared" si="41"/>
        <v>0</v>
      </c>
      <c r="BR52">
        <f t="shared" si="42"/>
        <v>0</v>
      </c>
      <c r="BS52">
        <f t="shared" si="43"/>
        <v>0</v>
      </c>
      <c r="BT52">
        <f t="shared" si="44"/>
        <v>0</v>
      </c>
      <c r="BU52">
        <f t="shared" si="45"/>
        <v>0</v>
      </c>
    </row>
    <row r="53" spans="1:73" x14ac:dyDescent="0.3">
      <c r="A53">
        <f>Database!A53</f>
        <v>52</v>
      </c>
      <c r="B53" s="25">
        <f>Database!E53</f>
        <v>0</v>
      </c>
      <c r="C53">
        <f>IF(Database!G53="cansl",0,Database!K53)</f>
        <v>0</v>
      </c>
      <c r="D53">
        <f>Database!D53-Database!C53</f>
        <v>0</v>
      </c>
      <c r="F53">
        <f>Database!L53</f>
        <v>0</v>
      </c>
      <c r="G53">
        <f>Database!F53</f>
        <v>0</v>
      </c>
      <c r="K53">
        <f t="shared" si="39"/>
        <v>0</v>
      </c>
      <c r="L53">
        <f t="shared" si="40"/>
        <v>0</v>
      </c>
      <c r="M53">
        <f t="shared" si="46"/>
        <v>0</v>
      </c>
      <c r="N53">
        <f t="shared" ref="N53:W62" si="52">IF($B53&lt;N$1,$C53*$D53,0)</f>
        <v>0</v>
      </c>
      <c r="O53">
        <f t="shared" si="52"/>
        <v>0</v>
      </c>
      <c r="P53">
        <f t="shared" si="52"/>
        <v>0</v>
      </c>
      <c r="Q53">
        <f t="shared" si="52"/>
        <v>0</v>
      </c>
      <c r="R53">
        <f t="shared" si="52"/>
        <v>0</v>
      </c>
      <c r="S53">
        <f t="shared" si="52"/>
        <v>0</v>
      </c>
      <c r="T53">
        <f t="shared" si="52"/>
        <v>0</v>
      </c>
      <c r="U53">
        <f t="shared" si="52"/>
        <v>0</v>
      </c>
      <c r="V53">
        <f t="shared" si="52"/>
        <v>0</v>
      </c>
      <c r="W53">
        <f t="shared" si="52"/>
        <v>0</v>
      </c>
      <c r="X53">
        <f t="shared" ref="X53:AG62" si="53">IF($B53&lt;X$1,$C53*$D53,0)</f>
        <v>0</v>
      </c>
      <c r="Y53">
        <f t="shared" si="53"/>
        <v>0</v>
      </c>
      <c r="Z53">
        <f t="shared" si="53"/>
        <v>0</v>
      </c>
      <c r="AA53">
        <f t="shared" si="53"/>
        <v>0</v>
      </c>
      <c r="AB53">
        <f t="shared" si="53"/>
        <v>0</v>
      </c>
      <c r="AC53">
        <f t="shared" si="53"/>
        <v>0</v>
      </c>
      <c r="AD53">
        <f t="shared" si="53"/>
        <v>0</v>
      </c>
      <c r="AE53">
        <f t="shared" si="53"/>
        <v>0</v>
      </c>
      <c r="AF53">
        <f t="shared" si="53"/>
        <v>0</v>
      </c>
      <c r="AG53">
        <f t="shared" si="53"/>
        <v>0</v>
      </c>
      <c r="AH53">
        <f t="shared" ref="AH53:AQ62" si="54">IF($B53&lt;AH$1,$C53*$D53,0)</f>
        <v>0</v>
      </c>
      <c r="AI53">
        <f t="shared" si="54"/>
        <v>0</v>
      </c>
      <c r="AJ53">
        <f t="shared" si="54"/>
        <v>0</v>
      </c>
      <c r="AK53">
        <f t="shared" si="54"/>
        <v>0</v>
      </c>
      <c r="AL53">
        <f t="shared" si="54"/>
        <v>0</v>
      </c>
      <c r="AM53">
        <f t="shared" si="54"/>
        <v>0</v>
      </c>
      <c r="AN53">
        <f t="shared" si="54"/>
        <v>0</v>
      </c>
      <c r="AO53">
        <f t="shared" si="54"/>
        <v>0</v>
      </c>
      <c r="AP53">
        <f t="shared" si="54"/>
        <v>0</v>
      </c>
      <c r="AQ53">
        <f t="shared" si="54"/>
        <v>0</v>
      </c>
      <c r="AR53">
        <f t="shared" ref="AR53:AX62" si="55">IF($B53&lt;AR$1,$C53*$D53,0)</f>
        <v>0</v>
      </c>
      <c r="AS53">
        <f t="shared" si="55"/>
        <v>0</v>
      </c>
      <c r="AT53">
        <f t="shared" si="55"/>
        <v>0</v>
      </c>
      <c r="AU53">
        <f t="shared" si="55"/>
        <v>0</v>
      </c>
      <c r="AV53">
        <f t="shared" si="55"/>
        <v>0</v>
      </c>
      <c r="AW53">
        <f t="shared" si="55"/>
        <v>0</v>
      </c>
      <c r="AX53">
        <f t="shared" si="55"/>
        <v>0</v>
      </c>
      <c r="BB53" s="35">
        <f t="shared" si="14"/>
        <v>0</v>
      </c>
      <c r="BC53" s="35">
        <f t="shared" si="15"/>
        <v>0</v>
      </c>
      <c r="BD53" s="35">
        <f t="shared" si="16"/>
        <v>0</v>
      </c>
      <c r="BE53" s="35">
        <f t="shared" si="17"/>
        <v>0</v>
      </c>
      <c r="BF53" s="35">
        <f t="shared" si="18"/>
        <v>0</v>
      </c>
      <c r="BG53" s="35">
        <f t="shared" si="19"/>
        <v>0</v>
      </c>
      <c r="BH53" s="35">
        <f t="shared" si="20"/>
        <v>0</v>
      </c>
      <c r="BI53" s="35">
        <f t="shared" si="21"/>
        <v>0</v>
      </c>
      <c r="BJ53" s="35">
        <f t="shared" si="22"/>
        <v>0</v>
      </c>
      <c r="BK53" s="35">
        <f t="shared" si="23"/>
        <v>0</v>
      </c>
      <c r="BL53" s="35">
        <f t="shared" si="24"/>
        <v>0</v>
      </c>
      <c r="BM53" s="35">
        <f t="shared" si="25"/>
        <v>0</v>
      </c>
      <c r="BN53">
        <f t="shared" si="47"/>
        <v>0</v>
      </c>
      <c r="BO53">
        <f t="shared" si="47"/>
        <v>0</v>
      </c>
      <c r="BP53">
        <f t="shared" si="47"/>
        <v>0</v>
      </c>
      <c r="BQ53">
        <f t="shared" si="41"/>
        <v>0</v>
      </c>
      <c r="BR53">
        <f t="shared" si="42"/>
        <v>0</v>
      </c>
      <c r="BS53">
        <f t="shared" si="43"/>
        <v>0</v>
      </c>
      <c r="BT53">
        <f t="shared" si="44"/>
        <v>0</v>
      </c>
      <c r="BU53">
        <f t="shared" si="45"/>
        <v>0</v>
      </c>
    </row>
    <row r="54" spans="1:73" x14ac:dyDescent="0.3">
      <c r="A54">
        <f>Database!A54</f>
        <v>53</v>
      </c>
      <c r="B54" s="25">
        <f>Database!E54</f>
        <v>0</v>
      </c>
      <c r="C54">
        <f>IF(Database!G54="cansl",0,Database!K54)</f>
        <v>0</v>
      </c>
      <c r="D54">
        <f>Database!D54-Database!C54</f>
        <v>0</v>
      </c>
      <c r="F54">
        <f>Database!L54</f>
        <v>0</v>
      </c>
      <c r="G54">
        <f>Database!F54</f>
        <v>0</v>
      </c>
      <c r="K54">
        <f t="shared" si="39"/>
        <v>0</v>
      </c>
      <c r="L54">
        <f t="shared" si="40"/>
        <v>0</v>
      </c>
      <c r="M54">
        <f t="shared" si="46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0</v>
      </c>
      <c r="R54">
        <f t="shared" si="52"/>
        <v>0</v>
      </c>
      <c r="S54">
        <f t="shared" si="52"/>
        <v>0</v>
      </c>
      <c r="T54">
        <f t="shared" si="52"/>
        <v>0</v>
      </c>
      <c r="U54">
        <f t="shared" si="52"/>
        <v>0</v>
      </c>
      <c r="V54">
        <f t="shared" si="52"/>
        <v>0</v>
      </c>
      <c r="W54">
        <f t="shared" si="52"/>
        <v>0</v>
      </c>
      <c r="X54">
        <f t="shared" si="53"/>
        <v>0</v>
      </c>
      <c r="Y54">
        <f t="shared" si="53"/>
        <v>0</v>
      </c>
      <c r="Z54">
        <f t="shared" si="53"/>
        <v>0</v>
      </c>
      <c r="AA54">
        <f t="shared" si="53"/>
        <v>0</v>
      </c>
      <c r="AB54">
        <f t="shared" si="53"/>
        <v>0</v>
      </c>
      <c r="AC54">
        <f t="shared" si="53"/>
        <v>0</v>
      </c>
      <c r="AD54">
        <f t="shared" si="53"/>
        <v>0</v>
      </c>
      <c r="AE54">
        <f t="shared" si="53"/>
        <v>0</v>
      </c>
      <c r="AF54">
        <f t="shared" si="53"/>
        <v>0</v>
      </c>
      <c r="AG54">
        <f t="shared" si="53"/>
        <v>0</v>
      </c>
      <c r="AH54">
        <f t="shared" si="54"/>
        <v>0</v>
      </c>
      <c r="AI54">
        <f t="shared" si="54"/>
        <v>0</v>
      </c>
      <c r="AJ54">
        <f t="shared" si="54"/>
        <v>0</v>
      </c>
      <c r="AK54">
        <f t="shared" si="54"/>
        <v>0</v>
      </c>
      <c r="AL54">
        <f t="shared" si="54"/>
        <v>0</v>
      </c>
      <c r="AM54">
        <f t="shared" si="54"/>
        <v>0</v>
      </c>
      <c r="AN54">
        <f t="shared" si="54"/>
        <v>0</v>
      </c>
      <c r="AO54">
        <f t="shared" si="54"/>
        <v>0</v>
      </c>
      <c r="AP54">
        <f t="shared" si="54"/>
        <v>0</v>
      </c>
      <c r="AQ54">
        <f t="shared" si="54"/>
        <v>0</v>
      </c>
      <c r="AR54">
        <f t="shared" si="55"/>
        <v>0</v>
      </c>
      <c r="AS54">
        <f t="shared" si="55"/>
        <v>0</v>
      </c>
      <c r="AT54">
        <f t="shared" si="55"/>
        <v>0</v>
      </c>
      <c r="AU54">
        <f t="shared" si="55"/>
        <v>0</v>
      </c>
      <c r="AV54">
        <f t="shared" si="55"/>
        <v>0</v>
      </c>
      <c r="AW54">
        <f t="shared" si="55"/>
        <v>0</v>
      </c>
      <c r="AX54">
        <f t="shared" si="55"/>
        <v>0</v>
      </c>
      <c r="BB54" s="35">
        <f t="shared" si="14"/>
        <v>0</v>
      </c>
      <c r="BC54" s="35">
        <f t="shared" si="15"/>
        <v>0</v>
      </c>
      <c r="BD54" s="35">
        <f t="shared" si="16"/>
        <v>0</v>
      </c>
      <c r="BE54" s="35">
        <f t="shared" si="17"/>
        <v>0</v>
      </c>
      <c r="BF54" s="35">
        <f t="shared" si="18"/>
        <v>0</v>
      </c>
      <c r="BG54" s="35">
        <f t="shared" si="19"/>
        <v>0</v>
      </c>
      <c r="BH54" s="35">
        <f t="shared" si="20"/>
        <v>0</v>
      </c>
      <c r="BI54" s="35">
        <f t="shared" si="21"/>
        <v>0</v>
      </c>
      <c r="BJ54" s="35">
        <f t="shared" si="22"/>
        <v>0</v>
      </c>
      <c r="BK54" s="35">
        <f t="shared" si="23"/>
        <v>0</v>
      </c>
      <c r="BL54" s="35">
        <f t="shared" si="24"/>
        <v>0</v>
      </c>
      <c r="BM54" s="35">
        <f t="shared" si="25"/>
        <v>0</v>
      </c>
      <c r="BN54">
        <f t="shared" si="47"/>
        <v>0</v>
      </c>
      <c r="BO54">
        <f t="shared" si="47"/>
        <v>0</v>
      </c>
      <c r="BP54">
        <f t="shared" si="47"/>
        <v>0</v>
      </c>
      <c r="BQ54">
        <f t="shared" si="41"/>
        <v>0</v>
      </c>
      <c r="BR54">
        <f t="shared" si="42"/>
        <v>0</v>
      </c>
      <c r="BS54">
        <f t="shared" si="43"/>
        <v>0</v>
      </c>
      <c r="BT54">
        <f t="shared" si="44"/>
        <v>0</v>
      </c>
      <c r="BU54">
        <f t="shared" si="45"/>
        <v>0</v>
      </c>
    </row>
    <row r="55" spans="1:73" x14ac:dyDescent="0.3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39"/>
        <v>0</v>
      </c>
      <c r="L55">
        <f t="shared" si="40"/>
        <v>0</v>
      </c>
      <c r="M55">
        <f t="shared" si="46"/>
        <v>0</v>
      </c>
      <c r="N55">
        <f t="shared" si="52"/>
        <v>0</v>
      </c>
      <c r="O55">
        <f t="shared" si="52"/>
        <v>0</v>
      </c>
      <c r="P55">
        <f t="shared" si="52"/>
        <v>0</v>
      </c>
      <c r="Q55">
        <f t="shared" si="52"/>
        <v>0</v>
      </c>
      <c r="R55">
        <f t="shared" si="52"/>
        <v>0</v>
      </c>
      <c r="S55">
        <f t="shared" si="52"/>
        <v>0</v>
      </c>
      <c r="T55">
        <f t="shared" si="52"/>
        <v>0</v>
      </c>
      <c r="U55">
        <f t="shared" si="52"/>
        <v>0</v>
      </c>
      <c r="V55">
        <f t="shared" si="52"/>
        <v>0</v>
      </c>
      <c r="W55">
        <f t="shared" si="52"/>
        <v>0</v>
      </c>
      <c r="X55">
        <f t="shared" si="53"/>
        <v>0</v>
      </c>
      <c r="Y55">
        <f t="shared" si="53"/>
        <v>0</v>
      </c>
      <c r="Z55">
        <f t="shared" si="53"/>
        <v>0</v>
      </c>
      <c r="AA55">
        <f t="shared" si="53"/>
        <v>0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4"/>
        <v>0</v>
      </c>
      <c r="AI55">
        <f t="shared" si="54"/>
        <v>0</v>
      </c>
      <c r="AJ55">
        <f t="shared" si="54"/>
        <v>0</v>
      </c>
      <c r="AK55">
        <f t="shared" si="54"/>
        <v>0</v>
      </c>
      <c r="AL55">
        <f t="shared" si="54"/>
        <v>0</v>
      </c>
      <c r="AM55">
        <f t="shared" si="54"/>
        <v>0</v>
      </c>
      <c r="AN55">
        <f t="shared" si="54"/>
        <v>0</v>
      </c>
      <c r="AO55">
        <f t="shared" si="54"/>
        <v>0</v>
      </c>
      <c r="AP55">
        <f t="shared" si="54"/>
        <v>0</v>
      </c>
      <c r="AQ55">
        <f t="shared" si="54"/>
        <v>0</v>
      </c>
      <c r="AR55">
        <f t="shared" si="55"/>
        <v>0</v>
      </c>
      <c r="AS55">
        <f t="shared" si="55"/>
        <v>0</v>
      </c>
      <c r="AT55">
        <f t="shared" si="55"/>
        <v>0</v>
      </c>
      <c r="AU55">
        <f t="shared" si="55"/>
        <v>0</v>
      </c>
      <c r="AV55">
        <f t="shared" si="55"/>
        <v>0</v>
      </c>
      <c r="AW55">
        <f t="shared" si="55"/>
        <v>0</v>
      </c>
      <c r="AX55">
        <f t="shared" si="55"/>
        <v>0</v>
      </c>
      <c r="BB55" s="35">
        <f t="shared" si="14"/>
        <v>0</v>
      </c>
      <c r="BC55" s="35">
        <f t="shared" si="15"/>
        <v>0</v>
      </c>
      <c r="BD55" s="35">
        <f t="shared" si="16"/>
        <v>0</v>
      </c>
      <c r="BE55" s="35">
        <f t="shared" si="17"/>
        <v>0</v>
      </c>
      <c r="BF55" s="35">
        <f t="shared" si="18"/>
        <v>0</v>
      </c>
      <c r="BG55" s="35">
        <f t="shared" si="19"/>
        <v>0</v>
      </c>
      <c r="BH55" s="35">
        <f t="shared" si="20"/>
        <v>0</v>
      </c>
      <c r="BI55" s="35">
        <f t="shared" si="21"/>
        <v>0</v>
      </c>
      <c r="BJ55" s="35">
        <f t="shared" si="22"/>
        <v>0</v>
      </c>
      <c r="BK55" s="35">
        <f t="shared" si="23"/>
        <v>0</v>
      </c>
      <c r="BL55" s="35">
        <f t="shared" si="24"/>
        <v>0</v>
      </c>
      <c r="BM55" s="35">
        <f t="shared" si="25"/>
        <v>0</v>
      </c>
      <c r="BN55">
        <f t="shared" si="47"/>
        <v>0</v>
      </c>
      <c r="BO55">
        <f t="shared" si="47"/>
        <v>0</v>
      </c>
      <c r="BP55">
        <f t="shared" si="47"/>
        <v>0</v>
      </c>
      <c r="BQ55">
        <f t="shared" si="41"/>
        <v>0</v>
      </c>
      <c r="BR55">
        <f t="shared" si="42"/>
        <v>0</v>
      </c>
      <c r="BS55">
        <f t="shared" si="43"/>
        <v>0</v>
      </c>
      <c r="BT55">
        <f t="shared" si="44"/>
        <v>0</v>
      </c>
      <c r="BU55">
        <f t="shared" si="45"/>
        <v>0</v>
      </c>
    </row>
    <row r="56" spans="1:73" x14ac:dyDescent="0.3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39"/>
        <v>0</v>
      </c>
      <c r="L56">
        <f t="shared" si="40"/>
        <v>0</v>
      </c>
      <c r="M56">
        <f t="shared" si="46"/>
        <v>0</v>
      </c>
      <c r="N56">
        <f t="shared" si="52"/>
        <v>0</v>
      </c>
      <c r="O56">
        <f t="shared" si="52"/>
        <v>0</v>
      </c>
      <c r="P56">
        <f t="shared" si="52"/>
        <v>0</v>
      </c>
      <c r="Q56">
        <f t="shared" si="52"/>
        <v>0</v>
      </c>
      <c r="R56">
        <f t="shared" si="52"/>
        <v>0</v>
      </c>
      <c r="S56">
        <f t="shared" si="52"/>
        <v>0</v>
      </c>
      <c r="T56">
        <f t="shared" si="52"/>
        <v>0</v>
      </c>
      <c r="U56">
        <f t="shared" si="52"/>
        <v>0</v>
      </c>
      <c r="V56">
        <f t="shared" si="52"/>
        <v>0</v>
      </c>
      <c r="W56">
        <f t="shared" si="52"/>
        <v>0</v>
      </c>
      <c r="X56">
        <f t="shared" si="53"/>
        <v>0</v>
      </c>
      <c r="Y56">
        <f t="shared" si="53"/>
        <v>0</v>
      </c>
      <c r="Z56">
        <f t="shared" si="53"/>
        <v>0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0</v>
      </c>
      <c r="AG56">
        <f t="shared" si="53"/>
        <v>0</v>
      </c>
      <c r="AH56">
        <f t="shared" si="54"/>
        <v>0</v>
      </c>
      <c r="AI56">
        <f t="shared" si="54"/>
        <v>0</v>
      </c>
      <c r="AJ56">
        <f t="shared" si="54"/>
        <v>0</v>
      </c>
      <c r="AK56">
        <f t="shared" si="54"/>
        <v>0</v>
      </c>
      <c r="AL56">
        <f t="shared" si="54"/>
        <v>0</v>
      </c>
      <c r="AM56">
        <f t="shared" si="54"/>
        <v>0</v>
      </c>
      <c r="AN56">
        <f t="shared" si="54"/>
        <v>0</v>
      </c>
      <c r="AO56">
        <f t="shared" si="54"/>
        <v>0</v>
      </c>
      <c r="AP56">
        <f t="shared" si="54"/>
        <v>0</v>
      </c>
      <c r="AQ56">
        <f t="shared" si="54"/>
        <v>0</v>
      </c>
      <c r="AR56">
        <f t="shared" si="55"/>
        <v>0</v>
      </c>
      <c r="AS56">
        <f t="shared" si="55"/>
        <v>0</v>
      </c>
      <c r="AT56">
        <f t="shared" si="55"/>
        <v>0</v>
      </c>
      <c r="AU56">
        <f t="shared" si="55"/>
        <v>0</v>
      </c>
      <c r="AV56">
        <f t="shared" si="55"/>
        <v>0</v>
      </c>
      <c r="AW56">
        <f t="shared" si="55"/>
        <v>0</v>
      </c>
      <c r="AX56">
        <f t="shared" si="55"/>
        <v>0</v>
      </c>
      <c r="BB56" s="35">
        <f t="shared" si="14"/>
        <v>0</v>
      </c>
      <c r="BC56" s="35">
        <f t="shared" si="15"/>
        <v>0</v>
      </c>
      <c r="BD56" s="35">
        <f t="shared" si="16"/>
        <v>0</v>
      </c>
      <c r="BE56" s="35">
        <f t="shared" si="17"/>
        <v>0</v>
      </c>
      <c r="BF56" s="35">
        <f t="shared" si="18"/>
        <v>0</v>
      </c>
      <c r="BG56" s="35">
        <f t="shared" si="19"/>
        <v>0</v>
      </c>
      <c r="BH56" s="35">
        <f t="shared" si="20"/>
        <v>0</v>
      </c>
      <c r="BI56" s="35">
        <f t="shared" si="21"/>
        <v>0</v>
      </c>
      <c r="BJ56" s="35">
        <f t="shared" si="22"/>
        <v>0</v>
      </c>
      <c r="BK56" s="35">
        <f t="shared" si="23"/>
        <v>0</v>
      </c>
      <c r="BL56" s="35">
        <f t="shared" si="24"/>
        <v>0</v>
      </c>
      <c r="BM56" s="35">
        <f t="shared" si="25"/>
        <v>0</v>
      </c>
      <c r="BN56">
        <f t="shared" si="47"/>
        <v>0</v>
      </c>
      <c r="BO56">
        <f t="shared" si="47"/>
        <v>0</v>
      </c>
      <c r="BP56">
        <f t="shared" si="47"/>
        <v>0</v>
      </c>
      <c r="BQ56">
        <f t="shared" si="41"/>
        <v>0</v>
      </c>
      <c r="BR56">
        <f t="shared" si="42"/>
        <v>0</v>
      </c>
      <c r="BS56">
        <f t="shared" si="43"/>
        <v>0</v>
      </c>
      <c r="BT56">
        <f t="shared" si="44"/>
        <v>0</v>
      </c>
      <c r="BU56">
        <f t="shared" si="45"/>
        <v>0</v>
      </c>
    </row>
    <row r="57" spans="1:73" x14ac:dyDescent="0.3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39"/>
        <v>0</v>
      </c>
      <c r="L57">
        <f t="shared" si="40"/>
        <v>0</v>
      </c>
      <c r="M57">
        <f t="shared" si="46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5">
        <f t="shared" si="14"/>
        <v>0</v>
      </c>
      <c r="BC57" s="35">
        <f t="shared" si="15"/>
        <v>0</v>
      </c>
      <c r="BD57" s="35">
        <f t="shared" si="16"/>
        <v>0</v>
      </c>
      <c r="BE57" s="35">
        <f t="shared" si="17"/>
        <v>0</v>
      </c>
      <c r="BF57" s="35">
        <f t="shared" si="18"/>
        <v>0</v>
      </c>
      <c r="BG57" s="35">
        <f t="shared" si="19"/>
        <v>0</v>
      </c>
      <c r="BH57" s="35">
        <f t="shared" si="20"/>
        <v>0</v>
      </c>
      <c r="BI57" s="35">
        <f t="shared" si="21"/>
        <v>0</v>
      </c>
      <c r="BJ57" s="35">
        <f t="shared" si="22"/>
        <v>0</v>
      </c>
      <c r="BK57" s="35">
        <f t="shared" si="23"/>
        <v>0</v>
      </c>
      <c r="BL57" s="35">
        <f t="shared" si="24"/>
        <v>0</v>
      </c>
      <c r="BM57" s="35">
        <f t="shared" si="25"/>
        <v>0</v>
      </c>
      <c r="BN57">
        <f t="shared" si="47"/>
        <v>0</v>
      </c>
      <c r="BO57">
        <f t="shared" si="47"/>
        <v>0</v>
      </c>
      <c r="BP57">
        <f t="shared" si="47"/>
        <v>0</v>
      </c>
      <c r="BQ57">
        <f t="shared" si="41"/>
        <v>0</v>
      </c>
      <c r="BR57">
        <f t="shared" si="42"/>
        <v>0</v>
      </c>
      <c r="BS57">
        <f t="shared" si="43"/>
        <v>0</v>
      </c>
      <c r="BT57">
        <f t="shared" si="44"/>
        <v>0</v>
      </c>
      <c r="BU57">
        <f t="shared" si="45"/>
        <v>0</v>
      </c>
    </row>
    <row r="58" spans="1:73" x14ac:dyDescent="0.3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39"/>
        <v>0</v>
      </c>
      <c r="L58">
        <f t="shared" si="40"/>
        <v>0</v>
      </c>
      <c r="M58">
        <f t="shared" si="46"/>
        <v>0</v>
      </c>
      <c r="N58">
        <f t="shared" si="52"/>
        <v>0</v>
      </c>
      <c r="O58">
        <f t="shared" si="52"/>
        <v>0</v>
      </c>
      <c r="P58">
        <f t="shared" si="52"/>
        <v>0</v>
      </c>
      <c r="Q58">
        <f t="shared" si="52"/>
        <v>0</v>
      </c>
      <c r="R58">
        <f t="shared" si="52"/>
        <v>0</v>
      </c>
      <c r="S58">
        <f t="shared" si="52"/>
        <v>0</v>
      </c>
      <c r="T58">
        <f t="shared" si="52"/>
        <v>0</v>
      </c>
      <c r="U58">
        <f t="shared" si="52"/>
        <v>0</v>
      </c>
      <c r="V58">
        <f t="shared" si="52"/>
        <v>0</v>
      </c>
      <c r="W58">
        <f t="shared" si="52"/>
        <v>0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0</v>
      </c>
      <c r="AC58">
        <f t="shared" si="53"/>
        <v>0</v>
      </c>
      <c r="AD58">
        <f t="shared" si="53"/>
        <v>0</v>
      </c>
      <c r="AE58">
        <f t="shared" si="53"/>
        <v>0</v>
      </c>
      <c r="AF58">
        <f t="shared" si="53"/>
        <v>0</v>
      </c>
      <c r="AG58">
        <f t="shared" si="53"/>
        <v>0</v>
      </c>
      <c r="AH58">
        <f t="shared" si="54"/>
        <v>0</v>
      </c>
      <c r="AI58">
        <f t="shared" si="54"/>
        <v>0</v>
      </c>
      <c r="AJ58">
        <f t="shared" si="54"/>
        <v>0</v>
      </c>
      <c r="AK58">
        <f t="shared" si="54"/>
        <v>0</v>
      </c>
      <c r="AL58">
        <f t="shared" si="54"/>
        <v>0</v>
      </c>
      <c r="AM58">
        <f t="shared" si="54"/>
        <v>0</v>
      </c>
      <c r="AN58">
        <f t="shared" si="54"/>
        <v>0</v>
      </c>
      <c r="AO58">
        <f t="shared" si="54"/>
        <v>0</v>
      </c>
      <c r="AP58">
        <f t="shared" si="54"/>
        <v>0</v>
      </c>
      <c r="AQ58">
        <f t="shared" si="54"/>
        <v>0</v>
      </c>
      <c r="AR58">
        <f t="shared" si="55"/>
        <v>0</v>
      </c>
      <c r="AS58">
        <f t="shared" si="55"/>
        <v>0</v>
      </c>
      <c r="AT58">
        <f t="shared" si="55"/>
        <v>0</v>
      </c>
      <c r="AU58">
        <f t="shared" si="55"/>
        <v>0</v>
      </c>
      <c r="AV58">
        <f t="shared" si="55"/>
        <v>0</v>
      </c>
      <c r="AW58">
        <f t="shared" si="55"/>
        <v>0</v>
      </c>
      <c r="AX58">
        <f t="shared" si="55"/>
        <v>0</v>
      </c>
      <c r="BB58" s="35">
        <f t="shared" si="14"/>
        <v>0</v>
      </c>
      <c r="BC58" s="35">
        <f t="shared" si="15"/>
        <v>0</v>
      </c>
      <c r="BD58" s="35">
        <f t="shared" si="16"/>
        <v>0</v>
      </c>
      <c r="BE58" s="35">
        <f t="shared" si="17"/>
        <v>0</v>
      </c>
      <c r="BF58" s="35">
        <f t="shared" si="18"/>
        <v>0</v>
      </c>
      <c r="BG58" s="35">
        <f t="shared" si="19"/>
        <v>0</v>
      </c>
      <c r="BH58" s="35">
        <f t="shared" si="20"/>
        <v>0</v>
      </c>
      <c r="BI58" s="35">
        <f t="shared" si="21"/>
        <v>0</v>
      </c>
      <c r="BJ58" s="35">
        <f t="shared" si="22"/>
        <v>0</v>
      </c>
      <c r="BK58" s="35">
        <f t="shared" si="23"/>
        <v>0</v>
      </c>
      <c r="BL58" s="35">
        <f t="shared" si="24"/>
        <v>0</v>
      </c>
      <c r="BM58" s="35">
        <f t="shared" si="25"/>
        <v>0</v>
      </c>
      <c r="BN58">
        <f t="shared" si="47"/>
        <v>0</v>
      </c>
      <c r="BO58">
        <f t="shared" si="47"/>
        <v>0</v>
      </c>
      <c r="BP58">
        <f t="shared" si="47"/>
        <v>0</v>
      </c>
      <c r="BQ58">
        <f t="shared" si="41"/>
        <v>0</v>
      </c>
      <c r="BR58">
        <f t="shared" si="42"/>
        <v>0</v>
      </c>
      <c r="BS58">
        <f t="shared" si="43"/>
        <v>0</v>
      </c>
      <c r="BT58">
        <f t="shared" si="44"/>
        <v>0</v>
      </c>
      <c r="BU58">
        <f t="shared" si="45"/>
        <v>0</v>
      </c>
    </row>
    <row r="59" spans="1:73" x14ac:dyDescent="0.3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39"/>
        <v>0</v>
      </c>
      <c r="L59">
        <f t="shared" si="40"/>
        <v>0</v>
      </c>
      <c r="M59">
        <f t="shared" si="46"/>
        <v>0</v>
      </c>
      <c r="N59">
        <f t="shared" si="52"/>
        <v>0</v>
      </c>
      <c r="O59">
        <f t="shared" si="52"/>
        <v>0</v>
      </c>
      <c r="P59">
        <f t="shared" si="52"/>
        <v>0</v>
      </c>
      <c r="Q59">
        <f t="shared" si="52"/>
        <v>0</v>
      </c>
      <c r="R59">
        <f t="shared" si="52"/>
        <v>0</v>
      </c>
      <c r="S59">
        <f t="shared" si="52"/>
        <v>0</v>
      </c>
      <c r="T59">
        <f t="shared" si="52"/>
        <v>0</v>
      </c>
      <c r="U59">
        <f t="shared" si="52"/>
        <v>0</v>
      </c>
      <c r="V59">
        <f t="shared" si="52"/>
        <v>0</v>
      </c>
      <c r="W59">
        <f t="shared" si="52"/>
        <v>0</v>
      </c>
      <c r="X59">
        <f t="shared" si="53"/>
        <v>0</v>
      </c>
      <c r="Y59">
        <f t="shared" si="53"/>
        <v>0</v>
      </c>
      <c r="Z59">
        <f t="shared" si="53"/>
        <v>0</v>
      </c>
      <c r="AA59">
        <f t="shared" si="53"/>
        <v>0</v>
      </c>
      <c r="AB59">
        <f t="shared" si="53"/>
        <v>0</v>
      </c>
      <c r="AC59">
        <f t="shared" si="53"/>
        <v>0</v>
      </c>
      <c r="AD59">
        <f t="shared" si="53"/>
        <v>0</v>
      </c>
      <c r="AE59">
        <f t="shared" si="53"/>
        <v>0</v>
      </c>
      <c r="AF59">
        <f t="shared" si="53"/>
        <v>0</v>
      </c>
      <c r="AG59">
        <f t="shared" si="53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5"/>
        <v>0</v>
      </c>
      <c r="AS59">
        <f t="shared" si="55"/>
        <v>0</v>
      </c>
      <c r="AT59">
        <f t="shared" si="55"/>
        <v>0</v>
      </c>
      <c r="AU59">
        <f t="shared" si="55"/>
        <v>0</v>
      </c>
      <c r="AV59">
        <f t="shared" si="55"/>
        <v>0</v>
      </c>
      <c r="AW59">
        <f t="shared" si="55"/>
        <v>0</v>
      </c>
      <c r="AX59">
        <f t="shared" si="55"/>
        <v>0</v>
      </c>
      <c r="BB59" s="35">
        <f t="shared" si="14"/>
        <v>0</v>
      </c>
      <c r="BC59" s="35">
        <f t="shared" si="15"/>
        <v>0</v>
      </c>
      <c r="BD59" s="35">
        <f t="shared" si="16"/>
        <v>0</v>
      </c>
      <c r="BE59" s="35">
        <f t="shared" si="17"/>
        <v>0</v>
      </c>
      <c r="BF59" s="35">
        <f t="shared" si="18"/>
        <v>0</v>
      </c>
      <c r="BG59" s="35">
        <f t="shared" si="19"/>
        <v>0</v>
      </c>
      <c r="BH59" s="35">
        <f t="shared" si="20"/>
        <v>0</v>
      </c>
      <c r="BI59" s="35">
        <f t="shared" si="21"/>
        <v>0</v>
      </c>
      <c r="BJ59" s="35">
        <f t="shared" si="22"/>
        <v>0</v>
      </c>
      <c r="BK59" s="35">
        <f t="shared" si="23"/>
        <v>0</v>
      </c>
      <c r="BL59" s="35">
        <f t="shared" si="24"/>
        <v>0</v>
      </c>
      <c r="BM59" s="35">
        <f t="shared" si="25"/>
        <v>0</v>
      </c>
      <c r="BN59">
        <f t="shared" si="47"/>
        <v>0</v>
      </c>
      <c r="BO59">
        <f t="shared" si="47"/>
        <v>0</v>
      </c>
      <c r="BP59">
        <f t="shared" si="47"/>
        <v>0</v>
      </c>
      <c r="BQ59">
        <f t="shared" si="41"/>
        <v>0</v>
      </c>
      <c r="BR59">
        <f t="shared" si="42"/>
        <v>0</v>
      </c>
      <c r="BS59">
        <f t="shared" si="43"/>
        <v>0</v>
      </c>
      <c r="BT59">
        <f t="shared" si="44"/>
        <v>0</v>
      </c>
      <c r="BU59">
        <f t="shared" si="45"/>
        <v>0</v>
      </c>
    </row>
    <row r="60" spans="1:73" x14ac:dyDescent="0.3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39"/>
        <v>0</v>
      </c>
      <c r="L60">
        <f t="shared" si="40"/>
        <v>0</v>
      </c>
      <c r="M60">
        <f t="shared" si="46"/>
        <v>0</v>
      </c>
      <c r="N60">
        <f t="shared" si="52"/>
        <v>0</v>
      </c>
      <c r="O60">
        <f t="shared" si="52"/>
        <v>0</v>
      </c>
      <c r="P60">
        <f t="shared" si="52"/>
        <v>0</v>
      </c>
      <c r="Q60">
        <f t="shared" si="52"/>
        <v>0</v>
      </c>
      <c r="R60">
        <f t="shared" si="52"/>
        <v>0</v>
      </c>
      <c r="S60">
        <f t="shared" si="52"/>
        <v>0</v>
      </c>
      <c r="T60">
        <f t="shared" si="52"/>
        <v>0</v>
      </c>
      <c r="U60">
        <f t="shared" si="52"/>
        <v>0</v>
      </c>
      <c r="V60">
        <f t="shared" si="52"/>
        <v>0</v>
      </c>
      <c r="W60">
        <f t="shared" si="52"/>
        <v>0</v>
      </c>
      <c r="X60">
        <f t="shared" si="53"/>
        <v>0</v>
      </c>
      <c r="Y60">
        <f t="shared" si="53"/>
        <v>0</v>
      </c>
      <c r="Z60">
        <f t="shared" si="53"/>
        <v>0</v>
      </c>
      <c r="AA60">
        <f t="shared" si="53"/>
        <v>0</v>
      </c>
      <c r="AB60">
        <f t="shared" si="53"/>
        <v>0</v>
      </c>
      <c r="AC60">
        <f t="shared" si="53"/>
        <v>0</v>
      </c>
      <c r="AD60">
        <f t="shared" si="53"/>
        <v>0</v>
      </c>
      <c r="AE60">
        <f t="shared" si="53"/>
        <v>0</v>
      </c>
      <c r="AF60">
        <f t="shared" si="53"/>
        <v>0</v>
      </c>
      <c r="AG60">
        <f t="shared" si="53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5"/>
        <v>0</v>
      </c>
      <c r="AS60">
        <f t="shared" si="55"/>
        <v>0</v>
      </c>
      <c r="AT60">
        <f t="shared" si="55"/>
        <v>0</v>
      </c>
      <c r="AU60">
        <f t="shared" si="55"/>
        <v>0</v>
      </c>
      <c r="AV60">
        <f t="shared" si="55"/>
        <v>0</v>
      </c>
      <c r="AW60">
        <f t="shared" si="55"/>
        <v>0</v>
      </c>
      <c r="AX60">
        <f t="shared" si="55"/>
        <v>0</v>
      </c>
      <c r="BB60" s="35">
        <f t="shared" si="14"/>
        <v>0</v>
      </c>
      <c r="BC60" s="35">
        <f t="shared" si="15"/>
        <v>0</v>
      </c>
      <c r="BD60" s="35">
        <f t="shared" si="16"/>
        <v>0</v>
      </c>
      <c r="BE60" s="35">
        <f t="shared" si="17"/>
        <v>0</v>
      </c>
      <c r="BF60" s="35">
        <f t="shared" si="18"/>
        <v>0</v>
      </c>
      <c r="BG60" s="35">
        <f t="shared" si="19"/>
        <v>0</v>
      </c>
      <c r="BH60" s="35">
        <f t="shared" si="20"/>
        <v>0</v>
      </c>
      <c r="BI60" s="35">
        <f t="shared" si="21"/>
        <v>0</v>
      </c>
      <c r="BJ60" s="35">
        <f t="shared" si="22"/>
        <v>0</v>
      </c>
      <c r="BK60" s="35">
        <f t="shared" si="23"/>
        <v>0</v>
      </c>
      <c r="BL60" s="35">
        <f t="shared" si="24"/>
        <v>0</v>
      </c>
      <c r="BM60" s="35">
        <f t="shared" si="25"/>
        <v>0</v>
      </c>
      <c r="BN60">
        <f t="shared" si="47"/>
        <v>0</v>
      </c>
      <c r="BO60">
        <f t="shared" si="47"/>
        <v>0</v>
      </c>
      <c r="BP60">
        <f t="shared" si="47"/>
        <v>0</v>
      </c>
      <c r="BQ60">
        <f t="shared" si="41"/>
        <v>0</v>
      </c>
      <c r="BR60">
        <f t="shared" si="42"/>
        <v>0</v>
      </c>
      <c r="BS60">
        <f t="shared" si="43"/>
        <v>0</v>
      </c>
      <c r="BT60">
        <f t="shared" si="44"/>
        <v>0</v>
      </c>
      <c r="BU60">
        <f t="shared" si="45"/>
        <v>0</v>
      </c>
    </row>
    <row r="61" spans="1:73" x14ac:dyDescent="0.3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39"/>
        <v>0</v>
      </c>
      <c r="L61">
        <f t="shared" si="40"/>
        <v>0</v>
      </c>
      <c r="M61">
        <f t="shared" si="46"/>
        <v>0</v>
      </c>
      <c r="N61">
        <f t="shared" si="52"/>
        <v>0</v>
      </c>
      <c r="O61">
        <f t="shared" si="52"/>
        <v>0</v>
      </c>
      <c r="P61">
        <f t="shared" si="52"/>
        <v>0</v>
      </c>
      <c r="Q61">
        <f t="shared" si="52"/>
        <v>0</v>
      </c>
      <c r="R61">
        <f t="shared" si="52"/>
        <v>0</v>
      </c>
      <c r="S61">
        <f t="shared" si="52"/>
        <v>0</v>
      </c>
      <c r="T61">
        <f t="shared" si="52"/>
        <v>0</v>
      </c>
      <c r="U61">
        <f t="shared" si="52"/>
        <v>0</v>
      </c>
      <c r="V61">
        <f t="shared" si="52"/>
        <v>0</v>
      </c>
      <c r="W61">
        <f t="shared" si="52"/>
        <v>0</v>
      </c>
      <c r="X61">
        <f t="shared" si="53"/>
        <v>0</v>
      </c>
      <c r="Y61">
        <f t="shared" si="53"/>
        <v>0</v>
      </c>
      <c r="Z61">
        <f t="shared" si="53"/>
        <v>0</v>
      </c>
      <c r="AA61">
        <f t="shared" si="53"/>
        <v>0</v>
      </c>
      <c r="AB61">
        <f t="shared" si="53"/>
        <v>0</v>
      </c>
      <c r="AC61">
        <f t="shared" si="53"/>
        <v>0</v>
      </c>
      <c r="AD61">
        <f t="shared" si="53"/>
        <v>0</v>
      </c>
      <c r="AE61">
        <f t="shared" si="53"/>
        <v>0</v>
      </c>
      <c r="AF61">
        <f t="shared" si="53"/>
        <v>0</v>
      </c>
      <c r="AG61">
        <f t="shared" si="53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5"/>
        <v>0</v>
      </c>
      <c r="AS61">
        <f t="shared" si="55"/>
        <v>0</v>
      </c>
      <c r="AT61">
        <f t="shared" si="55"/>
        <v>0</v>
      </c>
      <c r="AU61">
        <f t="shared" si="55"/>
        <v>0</v>
      </c>
      <c r="AV61">
        <f t="shared" si="55"/>
        <v>0</v>
      </c>
      <c r="AW61">
        <f t="shared" si="55"/>
        <v>0</v>
      </c>
      <c r="AX61">
        <f t="shared" si="55"/>
        <v>0</v>
      </c>
      <c r="BB61" s="35">
        <f t="shared" si="14"/>
        <v>0</v>
      </c>
      <c r="BC61" s="35">
        <f t="shared" si="15"/>
        <v>0</v>
      </c>
      <c r="BD61" s="35">
        <f t="shared" si="16"/>
        <v>0</v>
      </c>
      <c r="BE61" s="35">
        <f t="shared" si="17"/>
        <v>0</v>
      </c>
      <c r="BF61" s="35">
        <f t="shared" si="18"/>
        <v>0</v>
      </c>
      <c r="BG61" s="35">
        <f t="shared" si="19"/>
        <v>0</v>
      </c>
      <c r="BH61" s="35">
        <f t="shared" si="20"/>
        <v>0</v>
      </c>
      <c r="BI61" s="35">
        <f t="shared" si="21"/>
        <v>0</v>
      </c>
      <c r="BJ61" s="35">
        <f t="shared" si="22"/>
        <v>0</v>
      </c>
      <c r="BK61" s="35">
        <f t="shared" si="23"/>
        <v>0</v>
      </c>
      <c r="BL61" s="35">
        <f t="shared" si="24"/>
        <v>0</v>
      </c>
      <c r="BM61" s="35">
        <f t="shared" si="25"/>
        <v>0</v>
      </c>
      <c r="BN61">
        <f t="shared" si="47"/>
        <v>0</v>
      </c>
      <c r="BO61">
        <f t="shared" si="47"/>
        <v>0</v>
      </c>
      <c r="BP61">
        <f t="shared" si="47"/>
        <v>0</v>
      </c>
      <c r="BQ61">
        <f t="shared" si="41"/>
        <v>0</v>
      </c>
      <c r="BR61">
        <f t="shared" si="42"/>
        <v>0</v>
      </c>
      <c r="BS61">
        <f t="shared" si="43"/>
        <v>0</v>
      </c>
      <c r="BT61">
        <f t="shared" si="44"/>
        <v>0</v>
      </c>
      <c r="BU61">
        <f t="shared" si="45"/>
        <v>0</v>
      </c>
    </row>
    <row r="62" spans="1:73" x14ac:dyDescent="0.3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39"/>
        <v>0</v>
      </c>
      <c r="L62">
        <f t="shared" si="40"/>
        <v>0</v>
      </c>
      <c r="M62">
        <f t="shared" si="46"/>
        <v>0</v>
      </c>
      <c r="N62">
        <f t="shared" si="52"/>
        <v>0</v>
      </c>
      <c r="O62">
        <f t="shared" si="52"/>
        <v>0</v>
      </c>
      <c r="P62">
        <f t="shared" si="52"/>
        <v>0</v>
      </c>
      <c r="Q62">
        <f t="shared" si="52"/>
        <v>0</v>
      </c>
      <c r="R62">
        <f t="shared" si="52"/>
        <v>0</v>
      </c>
      <c r="S62">
        <f t="shared" si="52"/>
        <v>0</v>
      </c>
      <c r="T62">
        <f t="shared" si="52"/>
        <v>0</v>
      </c>
      <c r="U62">
        <f t="shared" si="52"/>
        <v>0</v>
      </c>
      <c r="V62">
        <f t="shared" si="52"/>
        <v>0</v>
      </c>
      <c r="W62">
        <f t="shared" si="52"/>
        <v>0</v>
      </c>
      <c r="X62">
        <f t="shared" si="53"/>
        <v>0</v>
      </c>
      <c r="Y62">
        <f t="shared" si="53"/>
        <v>0</v>
      </c>
      <c r="Z62">
        <f t="shared" si="53"/>
        <v>0</v>
      </c>
      <c r="AA62">
        <f t="shared" si="53"/>
        <v>0</v>
      </c>
      <c r="AB62">
        <f t="shared" si="53"/>
        <v>0</v>
      </c>
      <c r="AC62">
        <f t="shared" si="53"/>
        <v>0</v>
      </c>
      <c r="AD62">
        <f t="shared" si="53"/>
        <v>0</v>
      </c>
      <c r="AE62">
        <f t="shared" si="53"/>
        <v>0</v>
      </c>
      <c r="AF62">
        <f t="shared" si="53"/>
        <v>0</v>
      </c>
      <c r="AG62">
        <f t="shared" si="53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5"/>
        <v>0</v>
      </c>
      <c r="AS62">
        <f t="shared" si="55"/>
        <v>0</v>
      </c>
      <c r="AT62">
        <f t="shared" si="55"/>
        <v>0</v>
      </c>
      <c r="AU62">
        <f t="shared" si="55"/>
        <v>0</v>
      </c>
      <c r="AV62">
        <f t="shared" si="55"/>
        <v>0</v>
      </c>
      <c r="AW62">
        <f t="shared" si="55"/>
        <v>0</v>
      </c>
      <c r="AX62">
        <f t="shared" si="55"/>
        <v>0</v>
      </c>
      <c r="BB62" s="35">
        <f t="shared" si="14"/>
        <v>0</v>
      </c>
      <c r="BC62" s="35">
        <f t="shared" si="15"/>
        <v>0</v>
      </c>
      <c r="BD62" s="35">
        <f t="shared" si="16"/>
        <v>0</v>
      </c>
      <c r="BE62" s="35">
        <f t="shared" si="17"/>
        <v>0</v>
      </c>
      <c r="BF62" s="35">
        <f t="shared" si="18"/>
        <v>0</v>
      </c>
      <c r="BG62" s="35">
        <f t="shared" si="19"/>
        <v>0</v>
      </c>
      <c r="BH62" s="35">
        <f t="shared" si="20"/>
        <v>0</v>
      </c>
      <c r="BI62" s="35">
        <f t="shared" si="21"/>
        <v>0</v>
      </c>
      <c r="BJ62" s="35">
        <f t="shared" si="22"/>
        <v>0</v>
      </c>
      <c r="BK62" s="35">
        <f t="shared" si="23"/>
        <v>0</v>
      </c>
      <c r="BL62" s="35">
        <f t="shared" si="24"/>
        <v>0</v>
      </c>
      <c r="BM62" s="35">
        <f t="shared" si="25"/>
        <v>0</v>
      </c>
      <c r="BN62">
        <f t="shared" ref="BN62:BP81" si="56">IF(AND($D62&gt;0,$G62=BN$1),$F62,0)</f>
        <v>0</v>
      </c>
      <c r="BO62">
        <f t="shared" si="56"/>
        <v>0</v>
      </c>
      <c r="BP62">
        <f t="shared" si="56"/>
        <v>0</v>
      </c>
      <c r="BQ62">
        <f t="shared" si="41"/>
        <v>0</v>
      </c>
      <c r="BR62">
        <f t="shared" si="42"/>
        <v>0</v>
      </c>
      <c r="BS62">
        <f t="shared" si="43"/>
        <v>0</v>
      </c>
      <c r="BT62">
        <f t="shared" si="44"/>
        <v>0</v>
      </c>
      <c r="BU62">
        <f t="shared" si="45"/>
        <v>0</v>
      </c>
    </row>
    <row r="63" spans="1:73" x14ac:dyDescent="0.3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39"/>
        <v>0</v>
      </c>
      <c r="L63">
        <f t="shared" si="40"/>
        <v>0</v>
      </c>
      <c r="M63">
        <f t="shared" si="46"/>
        <v>0</v>
      </c>
      <c r="N63">
        <f t="shared" ref="N63:W72" si="57">IF($B63&lt;N$1,$C63*$D63,0)</f>
        <v>0</v>
      </c>
      <c r="O63">
        <f t="shared" si="57"/>
        <v>0</v>
      </c>
      <c r="P63">
        <f t="shared" si="57"/>
        <v>0</v>
      </c>
      <c r="Q63">
        <f t="shared" si="57"/>
        <v>0</v>
      </c>
      <c r="R63">
        <f t="shared" si="57"/>
        <v>0</v>
      </c>
      <c r="S63">
        <f t="shared" si="57"/>
        <v>0</v>
      </c>
      <c r="T63">
        <f t="shared" si="57"/>
        <v>0</v>
      </c>
      <c r="U63">
        <f t="shared" si="57"/>
        <v>0</v>
      </c>
      <c r="V63">
        <f t="shared" si="57"/>
        <v>0</v>
      </c>
      <c r="W63">
        <f t="shared" si="57"/>
        <v>0</v>
      </c>
      <c r="X63">
        <f t="shared" ref="X63:AG72" si="58">IF($B63&lt;X$1,$C63*$D63,0)</f>
        <v>0</v>
      </c>
      <c r="Y63">
        <f t="shared" si="58"/>
        <v>0</v>
      </c>
      <c r="Z63">
        <f t="shared" si="58"/>
        <v>0</v>
      </c>
      <c r="AA63">
        <f t="shared" si="58"/>
        <v>0</v>
      </c>
      <c r="AB63">
        <f t="shared" si="58"/>
        <v>0</v>
      </c>
      <c r="AC63">
        <f t="shared" si="58"/>
        <v>0</v>
      </c>
      <c r="AD63">
        <f t="shared" si="58"/>
        <v>0</v>
      </c>
      <c r="AE63">
        <f t="shared" si="58"/>
        <v>0</v>
      </c>
      <c r="AF63">
        <f t="shared" si="58"/>
        <v>0</v>
      </c>
      <c r="AG63">
        <f t="shared" si="58"/>
        <v>0</v>
      </c>
      <c r="AH63">
        <f t="shared" ref="AH63:AQ72" si="59">IF($B63&lt;AH$1,$C63*$D63,0)</f>
        <v>0</v>
      </c>
      <c r="AI63">
        <f t="shared" si="59"/>
        <v>0</v>
      </c>
      <c r="AJ63">
        <f t="shared" si="59"/>
        <v>0</v>
      </c>
      <c r="AK63">
        <f t="shared" si="59"/>
        <v>0</v>
      </c>
      <c r="AL63">
        <f t="shared" si="59"/>
        <v>0</v>
      </c>
      <c r="AM63">
        <f t="shared" si="59"/>
        <v>0</v>
      </c>
      <c r="AN63">
        <f t="shared" si="59"/>
        <v>0</v>
      </c>
      <c r="AO63">
        <f t="shared" si="59"/>
        <v>0</v>
      </c>
      <c r="AP63">
        <f t="shared" si="59"/>
        <v>0</v>
      </c>
      <c r="AQ63">
        <f t="shared" si="59"/>
        <v>0</v>
      </c>
      <c r="AR63">
        <f t="shared" ref="AR63:AX72" si="60">IF($B63&lt;AR$1,$C63*$D63,0)</f>
        <v>0</v>
      </c>
      <c r="AS63">
        <f t="shared" si="60"/>
        <v>0</v>
      </c>
      <c r="AT63">
        <f t="shared" si="60"/>
        <v>0</v>
      </c>
      <c r="AU63">
        <f t="shared" si="60"/>
        <v>0</v>
      </c>
      <c r="AV63">
        <f t="shared" si="60"/>
        <v>0</v>
      </c>
      <c r="AW63">
        <f t="shared" si="60"/>
        <v>0</v>
      </c>
      <c r="AX63">
        <f t="shared" si="60"/>
        <v>0</v>
      </c>
      <c r="BB63" s="35">
        <f t="shared" si="14"/>
        <v>0</v>
      </c>
      <c r="BC63" s="35">
        <f t="shared" si="15"/>
        <v>0</v>
      </c>
      <c r="BD63" s="35">
        <f t="shared" si="16"/>
        <v>0</v>
      </c>
      <c r="BE63" s="35">
        <f t="shared" si="17"/>
        <v>0</v>
      </c>
      <c r="BF63" s="35">
        <f t="shared" si="18"/>
        <v>0</v>
      </c>
      <c r="BG63" s="35">
        <f t="shared" si="19"/>
        <v>0</v>
      </c>
      <c r="BH63" s="35">
        <f t="shared" si="20"/>
        <v>0</v>
      </c>
      <c r="BI63" s="35">
        <f t="shared" si="21"/>
        <v>0</v>
      </c>
      <c r="BJ63" s="35">
        <f t="shared" si="22"/>
        <v>0</v>
      </c>
      <c r="BK63" s="35">
        <f t="shared" si="23"/>
        <v>0</v>
      </c>
      <c r="BL63" s="35">
        <f t="shared" si="24"/>
        <v>0</v>
      </c>
      <c r="BM63" s="35">
        <f t="shared" si="25"/>
        <v>0</v>
      </c>
      <c r="BN63">
        <f t="shared" si="56"/>
        <v>0</v>
      </c>
      <c r="BO63">
        <f t="shared" si="56"/>
        <v>0</v>
      </c>
      <c r="BP63">
        <f t="shared" si="56"/>
        <v>0</v>
      </c>
      <c r="BQ63">
        <f t="shared" si="41"/>
        <v>0</v>
      </c>
      <c r="BR63">
        <f t="shared" si="42"/>
        <v>0</v>
      </c>
      <c r="BS63">
        <f t="shared" si="43"/>
        <v>0</v>
      </c>
      <c r="BT63">
        <f t="shared" si="44"/>
        <v>0</v>
      </c>
      <c r="BU63">
        <f t="shared" si="45"/>
        <v>0</v>
      </c>
    </row>
    <row r="64" spans="1:73" x14ac:dyDescent="0.3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39"/>
        <v>0</v>
      </c>
      <c r="L64">
        <f t="shared" si="40"/>
        <v>0</v>
      </c>
      <c r="M64">
        <f t="shared" si="46"/>
        <v>0</v>
      </c>
      <c r="N64">
        <f t="shared" si="57"/>
        <v>0</v>
      </c>
      <c r="O64">
        <f t="shared" si="57"/>
        <v>0</v>
      </c>
      <c r="P64">
        <f t="shared" si="57"/>
        <v>0</v>
      </c>
      <c r="Q64">
        <f t="shared" si="57"/>
        <v>0</v>
      </c>
      <c r="R64">
        <f t="shared" si="57"/>
        <v>0</v>
      </c>
      <c r="S64">
        <f t="shared" si="57"/>
        <v>0</v>
      </c>
      <c r="T64">
        <f t="shared" si="57"/>
        <v>0</v>
      </c>
      <c r="U64">
        <f t="shared" si="57"/>
        <v>0</v>
      </c>
      <c r="V64">
        <f t="shared" si="57"/>
        <v>0</v>
      </c>
      <c r="W64">
        <f t="shared" si="57"/>
        <v>0</v>
      </c>
      <c r="X64">
        <f t="shared" si="58"/>
        <v>0</v>
      </c>
      <c r="Y64">
        <f t="shared" si="58"/>
        <v>0</v>
      </c>
      <c r="Z64">
        <f t="shared" si="58"/>
        <v>0</v>
      </c>
      <c r="AA64">
        <f t="shared" si="58"/>
        <v>0</v>
      </c>
      <c r="AB64">
        <f t="shared" si="58"/>
        <v>0</v>
      </c>
      <c r="AC64">
        <f t="shared" si="58"/>
        <v>0</v>
      </c>
      <c r="AD64">
        <f t="shared" si="58"/>
        <v>0</v>
      </c>
      <c r="AE64">
        <f t="shared" si="58"/>
        <v>0</v>
      </c>
      <c r="AF64">
        <f t="shared" si="58"/>
        <v>0</v>
      </c>
      <c r="AG64">
        <f t="shared" si="58"/>
        <v>0</v>
      </c>
      <c r="AH64">
        <f t="shared" si="59"/>
        <v>0</v>
      </c>
      <c r="AI64">
        <f t="shared" si="59"/>
        <v>0</v>
      </c>
      <c r="AJ64">
        <f t="shared" si="59"/>
        <v>0</v>
      </c>
      <c r="AK64">
        <f t="shared" si="59"/>
        <v>0</v>
      </c>
      <c r="AL64">
        <f t="shared" si="59"/>
        <v>0</v>
      </c>
      <c r="AM64">
        <f t="shared" si="59"/>
        <v>0</v>
      </c>
      <c r="AN64">
        <f t="shared" si="59"/>
        <v>0</v>
      </c>
      <c r="AO64">
        <f t="shared" si="59"/>
        <v>0</v>
      </c>
      <c r="AP64">
        <f t="shared" si="59"/>
        <v>0</v>
      </c>
      <c r="AQ64">
        <f t="shared" si="59"/>
        <v>0</v>
      </c>
      <c r="AR64">
        <f t="shared" si="60"/>
        <v>0</v>
      </c>
      <c r="AS64">
        <f t="shared" si="60"/>
        <v>0</v>
      </c>
      <c r="AT64">
        <f t="shared" si="60"/>
        <v>0</v>
      </c>
      <c r="AU64">
        <f t="shared" si="60"/>
        <v>0</v>
      </c>
      <c r="AV64">
        <f t="shared" si="60"/>
        <v>0</v>
      </c>
      <c r="AW64">
        <f t="shared" si="60"/>
        <v>0</v>
      </c>
      <c r="AX64">
        <f t="shared" si="60"/>
        <v>0</v>
      </c>
      <c r="BB64" s="35">
        <f t="shared" si="14"/>
        <v>0</v>
      </c>
      <c r="BC64" s="35">
        <f t="shared" si="15"/>
        <v>0</v>
      </c>
      <c r="BD64" s="35">
        <f t="shared" si="16"/>
        <v>0</v>
      </c>
      <c r="BE64" s="35">
        <f t="shared" si="17"/>
        <v>0</v>
      </c>
      <c r="BF64" s="35">
        <f t="shared" si="18"/>
        <v>0</v>
      </c>
      <c r="BG64" s="35">
        <f t="shared" si="19"/>
        <v>0</v>
      </c>
      <c r="BH64" s="35">
        <f t="shared" si="20"/>
        <v>0</v>
      </c>
      <c r="BI64" s="35">
        <f t="shared" si="21"/>
        <v>0</v>
      </c>
      <c r="BJ64" s="35">
        <f t="shared" si="22"/>
        <v>0</v>
      </c>
      <c r="BK64" s="35">
        <f t="shared" si="23"/>
        <v>0</v>
      </c>
      <c r="BL64" s="35">
        <f t="shared" si="24"/>
        <v>0</v>
      </c>
      <c r="BM64" s="35">
        <f t="shared" si="25"/>
        <v>0</v>
      </c>
      <c r="BN64">
        <f t="shared" si="56"/>
        <v>0</v>
      </c>
      <c r="BO64">
        <f t="shared" si="56"/>
        <v>0</v>
      </c>
      <c r="BP64">
        <f t="shared" si="56"/>
        <v>0</v>
      </c>
      <c r="BQ64">
        <f t="shared" si="41"/>
        <v>0</v>
      </c>
      <c r="BR64">
        <f t="shared" si="42"/>
        <v>0</v>
      </c>
      <c r="BS64">
        <f t="shared" si="43"/>
        <v>0</v>
      </c>
      <c r="BT64">
        <f t="shared" si="44"/>
        <v>0</v>
      </c>
      <c r="BU64">
        <f t="shared" si="45"/>
        <v>0</v>
      </c>
    </row>
    <row r="65" spans="1:73" x14ac:dyDescent="0.3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39"/>
        <v>0</v>
      </c>
      <c r="L65">
        <f t="shared" si="40"/>
        <v>0</v>
      </c>
      <c r="M65">
        <f t="shared" si="46"/>
        <v>0</v>
      </c>
      <c r="N65">
        <f t="shared" si="57"/>
        <v>0</v>
      </c>
      <c r="O65">
        <f t="shared" si="57"/>
        <v>0</v>
      </c>
      <c r="P65">
        <f t="shared" si="57"/>
        <v>0</v>
      </c>
      <c r="Q65">
        <f t="shared" si="57"/>
        <v>0</v>
      </c>
      <c r="R65">
        <f t="shared" si="57"/>
        <v>0</v>
      </c>
      <c r="S65">
        <f t="shared" si="57"/>
        <v>0</v>
      </c>
      <c r="T65">
        <f t="shared" si="57"/>
        <v>0</v>
      </c>
      <c r="U65">
        <f t="shared" si="57"/>
        <v>0</v>
      </c>
      <c r="V65">
        <f t="shared" si="57"/>
        <v>0</v>
      </c>
      <c r="W65">
        <f t="shared" si="57"/>
        <v>0</v>
      </c>
      <c r="X65">
        <f t="shared" si="58"/>
        <v>0</v>
      </c>
      <c r="Y65">
        <f t="shared" si="58"/>
        <v>0</v>
      </c>
      <c r="Z65">
        <f t="shared" si="58"/>
        <v>0</v>
      </c>
      <c r="AA65">
        <f t="shared" si="58"/>
        <v>0</v>
      </c>
      <c r="AB65">
        <f t="shared" si="58"/>
        <v>0</v>
      </c>
      <c r="AC65">
        <f t="shared" si="58"/>
        <v>0</v>
      </c>
      <c r="AD65">
        <f t="shared" si="58"/>
        <v>0</v>
      </c>
      <c r="AE65">
        <f t="shared" si="58"/>
        <v>0</v>
      </c>
      <c r="AF65">
        <f t="shared" si="58"/>
        <v>0</v>
      </c>
      <c r="AG65">
        <f t="shared" si="58"/>
        <v>0</v>
      </c>
      <c r="AH65">
        <f t="shared" si="59"/>
        <v>0</v>
      </c>
      <c r="AI65">
        <f t="shared" si="59"/>
        <v>0</v>
      </c>
      <c r="AJ65">
        <f t="shared" si="59"/>
        <v>0</v>
      </c>
      <c r="AK65">
        <f t="shared" si="59"/>
        <v>0</v>
      </c>
      <c r="AL65">
        <f t="shared" si="59"/>
        <v>0</v>
      </c>
      <c r="AM65">
        <f t="shared" si="59"/>
        <v>0</v>
      </c>
      <c r="AN65">
        <f t="shared" si="59"/>
        <v>0</v>
      </c>
      <c r="AO65">
        <f t="shared" si="59"/>
        <v>0</v>
      </c>
      <c r="AP65">
        <f t="shared" si="59"/>
        <v>0</v>
      </c>
      <c r="AQ65">
        <f t="shared" si="59"/>
        <v>0</v>
      </c>
      <c r="AR65">
        <f t="shared" si="60"/>
        <v>0</v>
      </c>
      <c r="AS65">
        <f t="shared" si="60"/>
        <v>0</v>
      </c>
      <c r="AT65">
        <f t="shared" si="60"/>
        <v>0</v>
      </c>
      <c r="AU65">
        <f t="shared" si="60"/>
        <v>0</v>
      </c>
      <c r="AV65">
        <f t="shared" si="60"/>
        <v>0</v>
      </c>
      <c r="AW65">
        <f t="shared" si="60"/>
        <v>0</v>
      </c>
      <c r="AX65">
        <f t="shared" si="60"/>
        <v>0</v>
      </c>
      <c r="BB65" s="35">
        <f t="shared" si="14"/>
        <v>0</v>
      </c>
      <c r="BC65" s="35">
        <f t="shared" si="15"/>
        <v>0</v>
      </c>
      <c r="BD65" s="35">
        <f t="shared" si="16"/>
        <v>0</v>
      </c>
      <c r="BE65" s="35">
        <f t="shared" si="17"/>
        <v>0</v>
      </c>
      <c r="BF65" s="35">
        <f t="shared" si="18"/>
        <v>0</v>
      </c>
      <c r="BG65" s="35">
        <f t="shared" si="19"/>
        <v>0</v>
      </c>
      <c r="BH65" s="35">
        <f t="shared" si="20"/>
        <v>0</v>
      </c>
      <c r="BI65" s="35">
        <f t="shared" si="21"/>
        <v>0</v>
      </c>
      <c r="BJ65" s="35">
        <f t="shared" si="22"/>
        <v>0</v>
      </c>
      <c r="BK65" s="35">
        <f t="shared" si="23"/>
        <v>0</v>
      </c>
      <c r="BL65" s="35">
        <f t="shared" si="24"/>
        <v>0</v>
      </c>
      <c r="BM65" s="35">
        <f t="shared" si="25"/>
        <v>0</v>
      </c>
      <c r="BN65">
        <f t="shared" si="56"/>
        <v>0</v>
      </c>
      <c r="BO65">
        <f t="shared" si="56"/>
        <v>0</v>
      </c>
      <c r="BP65">
        <f t="shared" si="56"/>
        <v>0</v>
      </c>
      <c r="BQ65">
        <f t="shared" si="41"/>
        <v>0</v>
      </c>
      <c r="BR65">
        <f t="shared" si="42"/>
        <v>0</v>
      </c>
      <c r="BS65">
        <f t="shared" si="43"/>
        <v>0</v>
      </c>
      <c r="BT65">
        <f t="shared" si="44"/>
        <v>0</v>
      </c>
      <c r="BU65">
        <f t="shared" si="45"/>
        <v>0</v>
      </c>
    </row>
    <row r="66" spans="1:73" x14ac:dyDescent="0.3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1">IF(B66&lt;$K$1,C66*D66,0)</f>
        <v>0</v>
      </c>
      <c r="L66">
        <f t="shared" ref="L66:L97" si="62">IF(B66&lt;$L$1,C66*D66,0)</f>
        <v>0</v>
      </c>
      <c r="M66">
        <f t="shared" si="46"/>
        <v>0</v>
      </c>
      <c r="N66">
        <f t="shared" si="57"/>
        <v>0</v>
      </c>
      <c r="O66">
        <f t="shared" si="57"/>
        <v>0</v>
      </c>
      <c r="P66">
        <f t="shared" si="57"/>
        <v>0</v>
      </c>
      <c r="Q66">
        <f t="shared" si="57"/>
        <v>0</v>
      </c>
      <c r="R66">
        <f t="shared" si="57"/>
        <v>0</v>
      </c>
      <c r="S66">
        <f t="shared" si="57"/>
        <v>0</v>
      </c>
      <c r="T66">
        <f t="shared" si="57"/>
        <v>0</v>
      </c>
      <c r="U66">
        <f t="shared" si="57"/>
        <v>0</v>
      </c>
      <c r="V66">
        <f t="shared" si="57"/>
        <v>0</v>
      </c>
      <c r="W66">
        <f t="shared" si="57"/>
        <v>0</v>
      </c>
      <c r="X66">
        <f t="shared" si="58"/>
        <v>0</v>
      </c>
      <c r="Y66">
        <f t="shared" si="58"/>
        <v>0</v>
      </c>
      <c r="Z66">
        <f t="shared" si="58"/>
        <v>0</v>
      </c>
      <c r="AA66">
        <f t="shared" si="58"/>
        <v>0</v>
      </c>
      <c r="AB66">
        <f t="shared" si="58"/>
        <v>0</v>
      </c>
      <c r="AC66">
        <f t="shared" si="58"/>
        <v>0</v>
      </c>
      <c r="AD66">
        <f t="shared" si="58"/>
        <v>0</v>
      </c>
      <c r="AE66">
        <f t="shared" si="58"/>
        <v>0</v>
      </c>
      <c r="AF66">
        <f t="shared" si="58"/>
        <v>0</v>
      </c>
      <c r="AG66">
        <f t="shared" si="58"/>
        <v>0</v>
      </c>
      <c r="AH66">
        <f t="shared" si="59"/>
        <v>0</v>
      </c>
      <c r="AI66">
        <f t="shared" si="59"/>
        <v>0</v>
      </c>
      <c r="AJ66">
        <f t="shared" si="59"/>
        <v>0</v>
      </c>
      <c r="AK66">
        <f t="shared" si="59"/>
        <v>0</v>
      </c>
      <c r="AL66">
        <f t="shared" si="59"/>
        <v>0</v>
      </c>
      <c r="AM66">
        <f t="shared" si="59"/>
        <v>0</v>
      </c>
      <c r="AN66">
        <f t="shared" si="59"/>
        <v>0</v>
      </c>
      <c r="AO66">
        <f t="shared" si="59"/>
        <v>0</v>
      </c>
      <c r="AP66">
        <f t="shared" si="59"/>
        <v>0</v>
      </c>
      <c r="AQ66">
        <f t="shared" si="59"/>
        <v>0</v>
      </c>
      <c r="AR66">
        <f t="shared" si="60"/>
        <v>0</v>
      </c>
      <c r="AS66">
        <f t="shared" si="60"/>
        <v>0</v>
      </c>
      <c r="AT66">
        <f t="shared" si="60"/>
        <v>0</v>
      </c>
      <c r="AU66">
        <f t="shared" si="60"/>
        <v>0</v>
      </c>
      <c r="AV66">
        <f t="shared" si="60"/>
        <v>0</v>
      </c>
      <c r="AW66">
        <f t="shared" si="60"/>
        <v>0</v>
      </c>
      <c r="AX66">
        <f t="shared" si="60"/>
        <v>0</v>
      </c>
      <c r="BB66" s="35">
        <f t="shared" si="14"/>
        <v>0</v>
      </c>
      <c r="BC66" s="35">
        <f t="shared" si="15"/>
        <v>0</v>
      </c>
      <c r="BD66" s="35">
        <f t="shared" si="16"/>
        <v>0</v>
      </c>
      <c r="BE66" s="35">
        <f t="shared" si="17"/>
        <v>0</v>
      </c>
      <c r="BF66" s="35">
        <f t="shared" si="18"/>
        <v>0</v>
      </c>
      <c r="BG66" s="35">
        <f t="shared" si="19"/>
        <v>0</v>
      </c>
      <c r="BH66" s="35">
        <f t="shared" si="20"/>
        <v>0</v>
      </c>
      <c r="BI66" s="35">
        <f t="shared" si="21"/>
        <v>0</v>
      </c>
      <c r="BJ66" s="35">
        <f t="shared" si="22"/>
        <v>0</v>
      </c>
      <c r="BK66" s="35">
        <f t="shared" si="23"/>
        <v>0</v>
      </c>
      <c r="BL66" s="35">
        <f t="shared" si="24"/>
        <v>0</v>
      </c>
      <c r="BM66" s="35">
        <f t="shared" si="25"/>
        <v>0</v>
      </c>
      <c r="BN66">
        <f t="shared" si="56"/>
        <v>0</v>
      </c>
      <c r="BO66">
        <f t="shared" si="56"/>
        <v>0</v>
      </c>
      <c r="BP66">
        <f t="shared" si="56"/>
        <v>0</v>
      </c>
      <c r="BQ66">
        <f t="shared" ref="BQ66:BQ97" si="63">IF(AND($D66&gt;0,$G66=BQ$1),$D66,0)</f>
        <v>0</v>
      </c>
      <c r="BR66">
        <f t="shared" ref="BR66:BR97" si="64">IF(AND($D66&gt;0,$G66=BR$1),$F66,0)</f>
        <v>0</v>
      </c>
      <c r="BS66">
        <f t="shared" ref="BS66:BS97" si="65">IF(AND($D66&gt;0,$G66=BS$1),$D66,0)</f>
        <v>0</v>
      </c>
      <c r="BT66">
        <f t="shared" ref="BT66:BT97" si="66">IF(AND($D66&gt;0,$G66=BT$1),$F66,0)</f>
        <v>0</v>
      </c>
      <c r="BU66">
        <f t="shared" ref="BU66:BU97" si="67">IF(AND($D66&gt;0,$G66=BU$1),$D66,0)</f>
        <v>0</v>
      </c>
    </row>
    <row r="67" spans="1:73" x14ac:dyDescent="0.3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1"/>
        <v>0</v>
      </c>
      <c r="L67">
        <f t="shared" si="62"/>
        <v>0</v>
      </c>
      <c r="M67">
        <f t="shared" ref="M67:M98" si="68">IF(B67&lt;$L$1,C67*D67,0)</f>
        <v>0</v>
      </c>
      <c r="N67">
        <f t="shared" si="57"/>
        <v>0</v>
      </c>
      <c r="O67">
        <f t="shared" si="57"/>
        <v>0</v>
      </c>
      <c r="P67">
        <f t="shared" si="57"/>
        <v>0</v>
      </c>
      <c r="Q67">
        <f t="shared" si="57"/>
        <v>0</v>
      </c>
      <c r="R67">
        <f t="shared" si="57"/>
        <v>0</v>
      </c>
      <c r="S67">
        <f t="shared" si="57"/>
        <v>0</v>
      </c>
      <c r="T67">
        <f t="shared" si="57"/>
        <v>0</v>
      </c>
      <c r="U67">
        <f t="shared" si="57"/>
        <v>0</v>
      </c>
      <c r="V67">
        <f t="shared" si="57"/>
        <v>0</v>
      </c>
      <c r="W67">
        <f t="shared" si="57"/>
        <v>0</v>
      </c>
      <c r="X67">
        <f t="shared" si="58"/>
        <v>0</v>
      </c>
      <c r="Y67">
        <f t="shared" si="58"/>
        <v>0</v>
      </c>
      <c r="Z67">
        <f t="shared" si="58"/>
        <v>0</v>
      </c>
      <c r="AA67">
        <f t="shared" si="58"/>
        <v>0</v>
      </c>
      <c r="AB67">
        <f t="shared" si="58"/>
        <v>0</v>
      </c>
      <c r="AC67">
        <f t="shared" si="58"/>
        <v>0</v>
      </c>
      <c r="AD67">
        <f t="shared" si="58"/>
        <v>0</v>
      </c>
      <c r="AE67">
        <f t="shared" si="58"/>
        <v>0</v>
      </c>
      <c r="AF67">
        <f t="shared" si="58"/>
        <v>0</v>
      </c>
      <c r="AG67">
        <f t="shared" si="58"/>
        <v>0</v>
      </c>
      <c r="AH67">
        <f t="shared" si="59"/>
        <v>0</v>
      </c>
      <c r="AI67">
        <f t="shared" si="59"/>
        <v>0</v>
      </c>
      <c r="AJ67">
        <f t="shared" si="59"/>
        <v>0</v>
      </c>
      <c r="AK67">
        <f t="shared" si="59"/>
        <v>0</v>
      </c>
      <c r="AL67">
        <f t="shared" si="59"/>
        <v>0</v>
      </c>
      <c r="AM67">
        <f t="shared" si="59"/>
        <v>0</v>
      </c>
      <c r="AN67">
        <f t="shared" si="59"/>
        <v>0</v>
      </c>
      <c r="AO67">
        <f t="shared" si="59"/>
        <v>0</v>
      </c>
      <c r="AP67">
        <f t="shared" si="59"/>
        <v>0</v>
      </c>
      <c r="AQ67">
        <f t="shared" si="59"/>
        <v>0</v>
      </c>
      <c r="AR67">
        <f t="shared" si="60"/>
        <v>0</v>
      </c>
      <c r="AS67">
        <f t="shared" si="60"/>
        <v>0</v>
      </c>
      <c r="AT67">
        <f t="shared" si="60"/>
        <v>0</v>
      </c>
      <c r="AU67">
        <f t="shared" si="60"/>
        <v>0</v>
      </c>
      <c r="AV67">
        <f t="shared" si="60"/>
        <v>0</v>
      </c>
      <c r="AW67">
        <f t="shared" si="60"/>
        <v>0</v>
      </c>
      <c r="AX67">
        <f t="shared" si="60"/>
        <v>0</v>
      </c>
      <c r="BB67" s="35">
        <f t="shared" si="14"/>
        <v>0</v>
      </c>
      <c r="BC67" s="35">
        <f t="shared" si="15"/>
        <v>0</v>
      </c>
      <c r="BD67" s="35">
        <f t="shared" si="16"/>
        <v>0</v>
      </c>
      <c r="BE67" s="35">
        <f t="shared" si="17"/>
        <v>0</v>
      </c>
      <c r="BF67" s="35">
        <f t="shared" si="18"/>
        <v>0</v>
      </c>
      <c r="BG67" s="35">
        <f t="shared" si="19"/>
        <v>0</v>
      </c>
      <c r="BH67" s="35">
        <f t="shared" si="20"/>
        <v>0</v>
      </c>
      <c r="BI67" s="35">
        <f t="shared" si="21"/>
        <v>0</v>
      </c>
      <c r="BJ67" s="35">
        <f t="shared" si="22"/>
        <v>0</v>
      </c>
      <c r="BK67" s="35">
        <f t="shared" si="23"/>
        <v>0</v>
      </c>
      <c r="BL67" s="35">
        <f t="shared" si="24"/>
        <v>0</v>
      </c>
      <c r="BM67" s="35">
        <f t="shared" si="25"/>
        <v>0</v>
      </c>
      <c r="BN67">
        <f t="shared" si="56"/>
        <v>0</v>
      </c>
      <c r="BO67">
        <f t="shared" si="56"/>
        <v>0</v>
      </c>
      <c r="BP67">
        <f t="shared" si="56"/>
        <v>0</v>
      </c>
      <c r="BQ67">
        <f t="shared" si="63"/>
        <v>0</v>
      </c>
      <c r="BR67">
        <f t="shared" si="64"/>
        <v>0</v>
      </c>
      <c r="BS67">
        <f t="shared" si="65"/>
        <v>0</v>
      </c>
      <c r="BT67">
        <f t="shared" si="66"/>
        <v>0</v>
      </c>
      <c r="BU67">
        <f t="shared" si="67"/>
        <v>0</v>
      </c>
    </row>
    <row r="68" spans="1:73" x14ac:dyDescent="0.3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1"/>
        <v>0</v>
      </c>
      <c r="L68">
        <f t="shared" si="62"/>
        <v>0</v>
      </c>
      <c r="M68">
        <f t="shared" si="68"/>
        <v>0</v>
      </c>
      <c r="N68">
        <f t="shared" si="57"/>
        <v>0</v>
      </c>
      <c r="O68">
        <f t="shared" si="57"/>
        <v>0</v>
      </c>
      <c r="P68">
        <f t="shared" si="57"/>
        <v>0</v>
      </c>
      <c r="Q68">
        <f t="shared" si="57"/>
        <v>0</v>
      </c>
      <c r="R68">
        <f t="shared" si="57"/>
        <v>0</v>
      </c>
      <c r="S68">
        <f t="shared" si="57"/>
        <v>0</v>
      </c>
      <c r="T68">
        <f t="shared" si="57"/>
        <v>0</v>
      </c>
      <c r="U68">
        <f t="shared" si="57"/>
        <v>0</v>
      </c>
      <c r="V68">
        <f t="shared" si="57"/>
        <v>0</v>
      </c>
      <c r="W68">
        <f t="shared" si="57"/>
        <v>0</v>
      </c>
      <c r="X68">
        <f t="shared" si="58"/>
        <v>0</v>
      </c>
      <c r="Y68">
        <f t="shared" si="58"/>
        <v>0</v>
      </c>
      <c r="Z68">
        <f t="shared" si="58"/>
        <v>0</v>
      </c>
      <c r="AA68">
        <f t="shared" si="58"/>
        <v>0</v>
      </c>
      <c r="AB68">
        <f t="shared" si="58"/>
        <v>0</v>
      </c>
      <c r="AC68">
        <f t="shared" si="58"/>
        <v>0</v>
      </c>
      <c r="AD68">
        <f t="shared" si="58"/>
        <v>0</v>
      </c>
      <c r="AE68">
        <f t="shared" si="58"/>
        <v>0</v>
      </c>
      <c r="AF68">
        <f t="shared" si="58"/>
        <v>0</v>
      </c>
      <c r="AG68">
        <f t="shared" si="58"/>
        <v>0</v>
      </c>
      <c r="AH68">
        <f t="shared" si="59"/>
        <v>0</v>
      </c>
      <c r="AI68">
        <f t="shared" si="59"/>
        <v>0</v>
      </c>
      <c r="AJ68">
        <f t="shared" si="59"/>
        <v>0</v>
      </c>
      <c r="AK68">
        <f t="shared" si="59"/>
        <v>0</v>
      </c>
      <c r="AL68">
        <f t="shared" si="59"/>
        <v>0</v>
      </c>
      <c r="AM68">
        <f t="shared" si="59"/>
        <v>0</v>
      </c>
      <c r="AN68">
        <f t="shared" si="59"/>
        <v>0</v>
      </c>
      <c r="AO68">
        <f t="shared" si="59"/>
        <v>0</v>
      </c>
      <c r="AP68">
        <f t="shared" si="59"/>
        <v>0</v>
      </c>
      <c r="AQ68">
        <f t="shared" si="59"/>
        <v>0</v>
      </c>
      <c r="AR68">
        <f t="shared" si="60"/>
        <v>0</v>
      </c>
      <c r="AS68">
        <f t="shared" si="60"/>
        <v>0</v>
      </c>
      <c r="AT68">
        <f t="shared" si="60"/>
        <v>0</v>
      </c>
      <c r="AU68">
        <f t="shared" si="60"/>
        <v>0</v>
      </c>
      <c r="AV68">
        <f t="shared" si="60"/>
        <v>0</v>
      </c>
      <c r="AW68">
        <f t="shared" si="60"/>
        <v>0</v>
      </c>
      <c r="AX68">
        <f t="shared" si="60"/>
        <v>0</v>
      </c>
      <c r="BB68" s="35">
        <f t="shared" ref="BB68:BB131" si="69">IF(AND($D68&gt;0,$G68=BB$1),$F68,0)</f>
        <v>0</v>
      </c>
      <c r="BC68" s="35">
        <f t="shared" ref="BC68:BC131" si="70">IF(AND($D68&gt;0,$G68=BC$1),$D68,0)</f>
        <v>0</v>
      </c>
      <c r="BD68" s="35">
        <f t="shared" ref="BD68:BD131" si="71">IF(AND($D68&gt;0,$G68=BD$1),$F68,0)</f>
        <v>0</v>
      </c>
      <c r="BE68" s="35">
        <f t="shared" ref="BE68:BE131" si="72">IF(AND($D68&gt;0,$G68=BE$1),$D68,0)</f>
        <v>0</v>
      </c>
      <c r="BF68" s="35">
        <f t="shared" ref="BF68:BF131" si="73">IF(AND($D68&gt;0,$G68=BF$1),$F68,0)</f>
        <v>0</v>
      </c>
      <c r="BG68" s="35">
        <f t="shared" ref="BG68:BG131" si="74">IF(AND($D68&gt;0,$G68=BG$1),$D68,0)</f>
        <v>0</v>
      </c>
      <c r="BH68" s="35">
        <f t="shared" ref="BH68:BH131" si="75">IF(AND($D68&gt;0,$G68=BH$1),$F68,0)</f>
        <v>0</v>
      </c>
      <c r="BI68" s="35">
        <f t="shared" ref="BI68:BI131" si="76">IF(AND($D68&gt;0,$G68=BI$1),$D68,0)</f>
        <v>0</v>
      </c>
      <c r="BJ68" s="35">
        <f t="shared" ref="BJ68:BJ131" si="77">IF(AND($D68&gt;0,$G68=BJ$1),$F68,0)</f>
        <v>0</v>
      </c>
      <c r="BK68" s="35">
        <f t="shared" ref="BK68:BK131" si="78">IF(AND($D68&gt;0,$G68=BK$1),$D68,0)</f>
        <v>0</v>
      </c>
      <c r="BL68" s="35">
        <f t="shared" ref="BL68:BL131" si="79">BN68+BP68+BR68+BT68</f>
        <v>0</v>
      </c>
      <c r="BM68" s="35">
        <f t="shared" ref="BM68:BM131" si="80">BO68+BQ68+BS68+BU68</f>
        <v>0</v>
      </c>
      <c r="BN68">
        <f t="shared" si="56"/>
        <v>0</v>
      </c>
      <c r="BO68">
        <f t="shared" si="56"/>
        <v>0</v>
      </c>
      <c r="BP68">
        <f t="shared" si="56"/>
        <v>0</v>
      </c>
      <c r="BQ68">
        <f t="shared" si="63"/>
        <v>0</v>
      </c>
      <c r="BR68">
        <f t="shared" si="64"/>
        <v>0</v>
      </c>
      <c r="BS68">
        <f t="shared" si="65"/>
        <v>0</v>
      </c>
      <c r="BT68">
        <f t="shared" si="66"/>
        <v>0</v>
      </c>
      <c r="BU68">
        <f t="shared" si="67"/>
        <v>0</v>
      </c>
    </row>
    <row r="69" spans="1:73" x14ac:dyDescent="0.3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1"/>
        <v>0</v>
      </c>
      <c r="L69">
        <f t="shared" si="62"/>
        <v>0</v>
      </c>
      <c r="M69">
        <f t="shared" si="68"/>
        <v>0</v>
      </c>
      <c r="N69">
        <f t="shared" si="57"/>
        <v>0</v>
      </c>
      <c r="O69">
        <f t="shared" si="57"/>
        <v>0</v>
      </c>
      <c r="P69">
        <f t="shared" si="57"/>
        <v>0</v>
      </c>
      <c r="Q69">
        <f t="shared" si="57"/>
        <v>0</v>
      </c>
      <c r="R69">
        <f t="shared" si="57"/>
        <v>0</v>
      </c>
      <c r="S69">
        <f t="shared" si="57"/>
        <v>0</v>
      </c>
      <c r="T69">
        <f t="shared" si="57"/>
        <v>0</v>
      </c>
      <c r="U69">
        <f t="shared" si="57"/>
        <v>0</v>
      </c>
      <c r="V69">
        <f t="shared" si="57"/>
        <v>0</v>
      </c>
      <c r="W69">
        <f t="shared" si="57"/>
        <v>0</v>
      </c>
      <c r="X69">
        <f t="shared" si="58"/>
        <v>0</v>
      </c>
      <c r="Y69">
        <f t="shared" si="58"/>
        <v>0</v>
      </c>
      <c r="Z69">
        <f t="shared" si="58"/>
        <v>0</v>
      </c>
      <c r="AA69">
        <f t="shared" si="58"/>
        <v>0</v>
      </c>
      <c r="AB69">
        <f t="shared" si="58"/>
        <v>0</v>
      </c>
      <c r="AC69">
        <f t="shared" si="58"/>
        <v>0</v>
      </c>
      <c r="AD69">
        <f t="shared" si="58"/>
        <v>0</v>
      </c>
      <c r="AE69">
        <f t="shared" si="58"/>
        <v>0</v>
      </c>
      <c r="AF69">
        <f t="shared" si="58"/>
        <v>0</v>
      </c>
      <c r="AG69">
        <f t="shared" si="58"/>
        <v>0</v>
      </c>
      <c r="AH69">
        <f t="shared" si="59"/>
        <v>0</v>
      </c>
      <c r="AI69">
        <f t="shared" si="59"/>
        <v>0</v>
      </c>
      <c r="AJ69">
        <f t="shared" si="59"/>
        <v>0</v>
      </c>
      <c r="AK69">
        <f t="shared" si="59"/>
        <v>0</v>
      </c>
      <c r="AL69">
        <f t="shared" si="59"/>
        <v>0</v>
      </c>
      <c r="AM69">
        <f t="shared" si="59"/>
        <v>0</v>
      </c>
      <c r="AN69">
        <f t="shared" si="59"/>
        <v>0</v>
      </c>
      <c r="AO69">
        <f t="shared" si="59"/>
        <v>0</v>
      </c>
      <c r="AP69">
        <f t="shared" si="59"/>
        <v>0</v>
      </c>
      <c r="AQ69">
        <f t="shared" si="59"/>
        <v>0</v>
      </c>
      <c r="AR69">
        <f t="shared" si="60"/>
        <v>0</v>
      </c>
      <c r="AS69">
        <f t="shared" si="60"/>
        <v>0</v>
      </c>
      <c r="AT69">
        <f t="shared" si="60"/>
        <v>0</v>
      </c>
      <c r="AU69">
        <f t="shared" si="60"/>
        <v>0</v>
      </c>
      <c r="AV69">
        <f t="shared" si="60"/>
        <v>0</v>
      </c>
      <c r="AW69">
        <f t="shared" si="60"/>
        <v>0</v>
      </c>
      <c r="AX69">
        <f t="shared" si="60"/>
        <v>0</v>
      </c>
      <c r="BB69" s="35">
        <f t="shared" si="69"/>
        <v>0</v>
      </c>
      <c r="BC69" s="35">
        <f t="shared" si="70"/>
        <v>0</v>
      </c>
      <c r="BD69" s="35">
        <f t="shared" si="71"/>
        <v>0</v>
      </c>
      <c r="BE69" s="35">
        <f t="shared" si="72"/>
        <v>0</v>
      </c>
      <c r="BF69" s="35">
        <f t="shared" si="73"/>
        <v>0</v>
      </c>
      <c r="BG69" s="35">
        <f t="shared" si="74"/>
        <v>0</v>
      </c>
      <c r="BH69" s="35">
        <f t="shared" si="75"/>
        <v>0</v>
      </c>
      <c r="BI69" s="35">
        <f t="shared" si="76"/>
        <v>0</v>
      </c>
      <c r="BJ69" s="35">
        <f t="shared" si="77"/>
        <v>0</v>
      </c>
      <c r="BK69" s="35">
        <f t="shared" si="78"/>
        <v>0</v>
      </c>
      <c r="BL69" s="35">
        <f t="shared" si="79"/>
        <v>0</v>
      </c>
      <c r="BM69" s="35">
        <f t="shared" si="80"/>
        <v>0</v>
      </c>
      <c r="BN69">
        <f t="shared" si="56"/>
        <v>0</v>
      </c>
      <c r="BO69">
        <f t="shared" si="56"/>
        <v>0</v>
      </c>
      <c r="BP69">
        <f t="shared" si="56"/>
        <v>0</v>
      </c>
      <c r="BQ69">
        <f t="shared" si="63"/>
        <v>0</v>
      </c>
      <c r="BR69">
        <f t="shared" si="64"/>
        <v>0</v>
      </c>
      <c r="BS69">
        <f t="shared" si="65"/>
        <v>0</v>
      </c>
      <c r="BT69">
        <f t="shared" si="66"/>
        <v>0</v>
      </c>
      <c r="BU69">
        <f t="shared" si="67"/>
        <v>0</v>
      </c>
    </row>
    <row r="70" spans="1:73" x14ac:dyDescent="0.3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1"/>
        <v>0</v>
      </c>
      <c r="L70">
        <f t="shared" si="62"/>
        <v>0</v>
      </c>
      <c r="M70">
        <f t="shared" si="68"/>
        <v>0</v>
      </c>
      <c r="N70">
        <f t="shared" si="57"/>
        <v>0</v>
      </c>
      <c r="O70">
        <f t="shared" si="57"/>
        <v>0</v>
      </c>
      <c r="P70">
        <f t="shared" si="57"/>
        <v>0</v>
      </c>
      <c r="Q70">
        <f t="shared" si="57"/>
        <v>0</v>
      </c>
      <c r="R70">
        <f t="shared" si="57"/>
        <v>0</v>
      </c>
      <c r="S70">
        <f t="shared" si="57"/>
        <v>0</v>
      </c>
      <c r="T70">
        <f t="shared" si="57"/>
        <v>0</v>
      </c>
      <c r="U70">
        <f t="shared" si="57"/>
        <v>0</v>
      </c>
      <c r="V70">
        <f t="shared" si="57"/>
        <v>0</v>
      </c>
      <c r="W70">
        <f t="shared" si="57"/>
        <v>0</v>
      </c>
      <c r="X70">
        <f t="shared" si="58"/>
        <v>0</v>
      </c>
      <c r="Y70">
        <f t="shared" si="58"/>
        <v>0</v>
      </c>
      <c r="Z70">
        <f t="shared" si="58"/>
        <v>0</v>
      </c>
      <c r="AA70">
        <f t="shared" si="58"/>
        <v>0</v>
      </c>
      <c r="AB70">
        <f t="shared" si="58"/>
        <v>0</v>
      </c>
      <c r="AC70">
        <f t="shared" si="58"/>
        <v>0</v>
      </c>
      <c r="AD70">
        <f t="shared" si="58"/>
        <v>0</v>
      </c>
      <c r="AE70">
        <f t="shared" si="58"/>
        <v>0</v>
      </c>
      <c r="AF70">
        <f t="shared" si="58"/>
        <v>0</v>
      </c>
      <c r="AG70">
        <f t="shared" si="58"/>
        <v>0</v>
      </c>
      <c r="AH70">
        <f t="shared" si="59"/>
        <v>0</v>
      </c>
      <c r="AI70">
        <f t="shared" si="59"/>
        <v>0</v>
      </c>
      <c r="AJ70">
        <f t="shared" si="59"/>
        <v>0</v>
      </c>
      <c r="AK70">
        <f t="shared" si="59"/>
        <v>0</v>
      </c>
      <c r="AL70">
        <f t="shared" si="59"/>
        <v>0</v>
      </c>
      <c r="AM70">
        <f t="shared" si="59"/>
        <v>0</v>
      </c>
      <c r="AN70">
        <f t="shared" si="59"/>
        <v>0</v>
      </c>
      <c r="AO70">
        <f t="shared" si="59"/>
        <v>0</v>
      </c>
      <c r="AP70">
        <f t="shared" si="59"/>
        <v>0</v>
      </c>
      <c r="AQ70">
        <f t="shared" si="59"/>
        <v>0</v>
      </c>
      <c r="AR70">
        <f t="shared" si="60"/>
        <v>0</v>
      </c>
      <c r="AS70">
        <f t="shared" si="60"/>
        <v>0</v>
      </c>
      <c r="AT70">
        <f t="shared" si="60"/>
        <v>0</v>
      </c>
      <c r="AU70">
        <f t="shared" si="60"/>
        <v>0</v>
      </c>
      <c r="AV70">
        <f t="shared" si="60"/>
        <v>0</v>
      </c>
      <c r="AW70">
        <f t="shared" si="60"/>
        <v>0</v>
      </c>
      <c r="AX70">
        <f t="shared" si="60"/>
        <v>0</v>
      </c>
      <c r="BB70" s="35">
        <f t="shared" si="69"/>
        <v>0</v>
      </c>
      <c r="BC70" s="35">
        <f t="shared" si="70"/>
        <v>0</v>
      </c>
      <c r="BD70" s="35">
        <f t="shared" si="71"/>
        <v>0</v>
      </c>
      <c r="BE70" s="35">
        <f t="shared" si="72"/>
        <v>0</v>
      </c>
      <c r="BF70" s="35">
        <f t="shared" si="73"/>
        <v>0</v>
      </c>
      <c r="BG70" s="35">
        <f t="shared" si="74"/>
        <v>0</v>
      </c>
      <c r="BH70" s="35">
        <f t="shared" si="75"/>
        <v>0</v>
      </c>
      <c r="BI70" s="35">
        <f t="shared" si="76"/>
        <v>0</v>
      </c>
      <c r="BJ70" s="35">
        <f t="shared" si="77"/>
        <v>0</v>
      </c>
      <c r="BK70" s="35">
        <f t="shared" si="78"/>
        <v>0</v>
      </c>
      <c r="BL70" s="35">
        <f t="shared" si="79"/>
        <v>0</v>
      </c>
      <c r="BM70" s="35">
        <f t="shared" si="80"/>
        <v>0</v>
      </c>
      <c r="BN70">
        <f t="shared" si="56"/>
        <v>0</v>
      </c>
      <c r="BO70">
        <f t="shared" si="56"/>
        <v>0</v>
      </c>
      <c r="BP70">
        <f t="shared" si="56"/>
        <v>0</v>
      </c>
      <c r="BQ70">
        <f t="shared" si="63"/>
        <v>0</v>
      </c>
      <c r="BR70">
        <f t="shared" si="64"/>
        <v>0</v>
      </c>
      <c r="BS70">
        <f t="shared" si="65"/>
        <v>0</v>
      </c>
      <c r="BT70">
        <f t="shared" si="66"/>
        <v>0</v>
      </c>
      <c r="BU70">
        <f t="shared" si="67"/>
        <v>0</v>
      </c>
    </row>
    <row r="71" spans="1:73" x14ac:dyDescent="0.3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1"/>
        <v>0</v>
      </c>
      <c r="L71">
        <f t="shared" si="62"/>
        <v>0</v>
      </c>
      <c r="M71">
        <f t="shared" si="68"/>
        <v>0</v>
      </c>
      <c r="N71">
        <f t="shared" si="57"/>
        <v>0</v>
      </c>
      <c r="O71">
        <f t="shared" si="57"/>
        <v>0</v>
      </c>
      <c r="P71">
        <f t="shared" si="57"/>
        <v>0</v>
      </c>
      <c r="Q71">
        <f t="shared" si="57"/>
        <v>0</v>
      </c>
      <c r="R71">
        <f t="shared" si="57"/>
        <v>0</v>
      </c>
      <c r="S71">
        <f t="shared" si="57"/>
        <v>0</v>
      </c>
      <c r="T71">
        <f t="shared" si="57"/>
        <v>0</v>
      </c>
      <c r="U71">
        <f t="shared" si="57"/>
        <v>0</v>
      </c>
      <c r="V71">
        <f t="shared" si="57"/>
        <v>0</v>
      </c>
      <c r="W71">
        <f t="shared" si="57"/>
        <v>0</v>
      </c>
      <c r="X71">
        <f t="shared" si="58"/>
        <v>0</v>
      </c>
      <c r="Y71">
        <f t="shared" si="58"/>
        <v>0</v>
      </c>
      <c r="Z71">
        <f t="shared" si="58"/>
        <v>0</v>
      </c>
      <c r="AA71">
        <f t="shared" si="58"/>
        <v>0</v>
      </c>
      <c r="AB71">
        <f t="shared" si="58"/>
        <v>0</v>
      </c>
      <c r="AC71">
        <f t="shared" si="58"/>
        <v>0</v>
      </c>
      <c r="AD71">
        <f t="shared" si="58"/>
        <v>0</v>
      </c>
      <c r="AE71">
        <f t="shared" si="58"/>
        <v>0</v>
      </c>
      <c r="AF71">
        <f t="shared" si="58"/>
        <v>0</v>
      </c>
      <c r="AG71">
        <f t="shared" si="58"/>
        <v>0</v>
      </c>
      <c r="AH71">
        <f t="shared" si="59"/>
        <v>0</v>
      </c>
      <c r="AI71">
        <f t="shared" si="59"/>
        <v>0</v>
      </c>
      <c r="AJ71">
        <f t="shared" si="59"/>
        <v>0</v>
      </c>
      <c r="AK71">
        <f t="shared" si="59"/>
        <v>0</v>
      </c>
      <c r="AL71">
        <f t="shared" si="59"/>
        <v>0</v>
      </c>
      <c r="AM71">
        <f t="shared" si="59"/>
        <v>0</v>
      </c>
      <c r="AN71">
        <f t="shared" si="59"/>
        <v>0</v>
      </c>
      <c r="AO71">
        <f t="shared" si="59"/>
        <v>0</v>
      </c>
      <c r="AP71">
        <f t="shared" si="59"/>
        <v>0</v>
      </c>
      <c r="AQ71">
        <f t="shared" si="59"/>
        <v>0</v>
      </c>
      <c r="AR71">
        <f t="shared" si="60"/>
        <v>0</v>
      </c>
      <c r="AS71">
        <f t="shared" si="60"/>
        <v>0</v>
      </c>
      <c r="AT71">
        <f t="shared" si="60"/>
        <v>0</v>
      </c>
      <c r="AU71">
        <f t="shared" si="60"/>
        <v>0</v>
      </c>
      <c r="AV71">
        <f t="shared" si="60"/>
        <v>0</v>
      </c>
      <c r="AW71">
        <f t="shared" si="60"/>
        <v>0</v>
      </c>
      <c r="AX71">
        <f t="shared" si="60"/>
        <v>0</v>
      </c>
      <c r="BB71" s="35">
        <f t="shared" si="69"/>
        <v>0</v>
      </c>
      <c r="BC71" s="35">
        <f t="shared" si="70"/>
        <v>0</v>
      </c>
      <c r="BD71" s="35">
        <f t="shared" si="71"/>
        <v>0</v>
      </c>
      <c r="BE71" s="35">
        <f t="shared" si="72"/>
        <v>0</v>
      </c>
      <c r="BF71" s="35">
        <f t="shared" si="73"/>
        <v>0</v>
      </c>
      <c r="BG71" s="35">
        <f t="shared" si="74"/>
        <v>0</v>
      </c>
      <c r="BH71" s="35">
        <f t="shared" si="75"/>
        <v>0</v>
      </c>
      <c r="BI71" s="35">
        <f t="shared" si="76"/>
        <v>0</v>
      </c>
      <c r="BJ71" s="35">
        <f t="shared" si="77"/>
        <v>0</v>
      </c>
      <c r="BK71" s="35">
        <f t="shared" si="78"/>
        <v>0</v>
      </c>
      <c r="BL71" s="35">
        <f t="shared" si="79"/>
        <v>0</v>
      </c>
      <c r="BM71" s="35">
        <f t="shared" si="80"/>
        <v>0</v>
      </c>
      <c r="BN71">
        <f t="shared" si="56"/>
        <v>0</v>
      </c>
      <c r="BO71">
        <f t="shared" si="56"/>
        <v>0</v>
      </c>
      <c r="BP71">
        <f t="shared" si="56"/>
        <v>0</v>
      </c>
      <c r="BQ71">
        <f t="shared" si="63"/>
        <v>0</v>
      </c>
      <c r="BR71">
        <f t="shared" si="64"/>
        <v>0</v>
      </c>
      <c r="BS71">
        <f t="shared" si="65"/>
        <v>0</v>
      </c>
      <c r="BT71">
        <f t="shared" si="66"/>
        <v>0</v>
      </c>
      <c r="BU71">
        <f t="shared" si="67"/>
        <v>0</v>
      </c>
    </row>
    <row r="72" spans="1:73" x14ac:dyDescent="0.3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1"/>
        <v>0</v>
      </c>
      <c r="L72">
        <f t="shared" si="62"/>
        <v>0</v>
      </c>
      <c r="M72">
        <f t="shared" si="68"/>
        <v>0</v>
      </c>
      <c r="N72">
        <f t="shared" si="57"/>
        <v>0</v>
      </c>
      <c r="O72">
        <f t="shared" si="57"/>
        <v>0</v>
      </c>
      <c r="P72">
        <f t="shared" si="57"/>
        <v>0</v>
      </c>
      <c r="Q72">
        <f t="shared" si="57"/>
        <v>0</v>
      </c>
      <c r="R72">
        <f t="shared" si="57"/>
        <v>0</v>
      </c>
      <c r="S72">
        <f t="shared" si="57"/>
        <v>0</v>
      </c>
      <c r="T72">
        <f t="shared" si="57"/>
        <v>0</v>
      </c>
      <c r="U72">
        <f t="shared" si="57"/>
        <v>0</v>
      </c>
      <c r="V72">
        <f t="shared" si="57"/>
        <v>0</v>
      </c>
      <c r="W72">
        <f t="shared" si="57"/>
        <v>0</v>
      </c>
      <c r="X72">
        <f t="shared" si="58"/>
        <v>0</v>
      </c>
      <c r="Y72">
        <f t="shared" si="58"/>
        <v>0</v>
      </c>
      <c r="Z72">
        <f t="shared" si="58"/>
        <v>0</v>
      </c>
      <c r="AA72">
        <f t="shared" si="58"/>
        <v>0</v>
      </c>
      <c r="AB72">
        <f t="shared" si="58"/>
        <v>0</v>
      </c>
      <c r="AC72">
        <f t="shared" si="58"/>
        <v>0</v>
      </c>
      <c r="AD72">
        <f t="shared" si="58"/>
        <v>0</v>
      </c>
      <c r="AE72">
        <f t="shared" si="58"/>
        <v>0</v>
      </c>
      <c r="AF72">
        <f t="shared" si="58"/>
        <v>0</v>
      </c>
      <c r="AG72">
        <f t="shared" si="58"/>
        <v>0</v>
      </c>
      <c r="AH72">
        <f t="shared" si="59"/>
        <v>0</v>
      </c>
      <c r="AI72">
        <f t="shared" si="59"/>
        <v>0</v>
      </c>
      <c r="AJ72">
        <f t="shared" si="59"/>
        <v>0</v>
      </c>
      <c r="AK72">
        <f t="shared" si="59"/>
        <v>0</v>
      </c>
      <c r="AL72">
        <f t="shared" si="59"/>
        <v>0</v>
      </c>
      <c r="AM72">
        <f t="shared" si="59"/>
        <v>0</v>
      </c>
      <c r="AN72">
        <f t="shared" si="59"/>
        <v>0</v>
      </c>
      <c r="AO72">
        <f t="shared" si="59"/>
        <v>0</v>
      </c>
      <c r="AP72">
        <f t="shared" si="59"/>
        <v>0</v>
      </c>
      <c r="AQ72">
        <f t="shared" si="59"/>
        <v>0</v>
      </c>
      <c r="AR72">
        <f t="shared" si="60"/>
        <v>0</v>
      </c>
      <c r="AS72">
        <f t="shared" si="60"/>
        <v>0</v>
      </c>
      <c r="AT72">
        <f t="shared" si="60"/>
        <v>0</v>
      </c>
      <c r="AU72">
        <f t="shared" si="60"/>
        <v>0</v>
      </c>
      <c r="AV72">
        <f t="shared" si="60"/>
        <v>0</v>
      </c>
      <c r="AW72">
        <f t="shared" si="60"/>
        <v>0</v>
      </c>
      <c r="AX72">
        <f t="shared" si="60"/>
        <v>0</v>
      </c>
      <c r="BB72" s="35">
        <f t="shared" si="69"/>
        <v>0</v>
      </c>
      <c r="BC72" s="35">
        <f t="shared" si="70"/>
        <v>0</v>
      </c>
      <c r="BD72" s="35">
        <f t="shared" si="71"/>
        <v>0</v>
      </c>
      <c r="BE72" s="35">
        <f t="shared" si="72"/>
        <v>0</v>
      </c>
      <c r="BF72" s="35">
        <f t="shared" si="73"/>
        <v>0</v>
      </c>
      <c r="BG72" s="35">
        <f t="shared" si="74"/>
        <v>0</v>
      </c>
      <c r="BH72" s="35">
        <f t="shared" si="75"/>
        <v>0</v>
      </c>
      <c r="BI72" s="35">
        <f t="shared" si="76"/>
        <v>0</v>
      </c>
      <c r="BJ72" s="35">
        <f t="shared" si="77"/>
        <v>0</v>
      </c>
      <c r="BK72" s="35">
        <f t="shared" si="78"/>
        <v>0</v>
      </c>
      <c r="BL72" s="35">
        <f t="shared" si="79"/>
        <v>0</v>
      </c>
      <c r="BM72" s="35">
        <f t="shared" si="80"/>
        <v>0</v>
      </c>
      <c r="BN72">
        <f t="shared" si="56"/>
        <v>0</v>
      </c>
      <c r="BO72">
        <f t="shared" si="56"/>
        <v>0</v>
      </c>
      <c r="BP72">
        <f t="shared" si="56"/>
        <v>0</v>
      </c>
      <c r="BQ72">
        <f t="shared" si="63"/>
        <v>0</v>
      </c>
      <c r="BR72">
        <f t="shared" si="64"/>
        <v>0</v>
      </c>
      <c r="BS72">
        <f t="shared" si="65"/>
        <v>0</v>
      </c>
      <c r="BT72">
        <f t="shared" si="66"/>
        <v>0</v>
      </c>
      <c r="BU72">
        <f t="shared" si="67"/>
        <v>0</v>
      </c>
    </row>
    <row r="73" spans="1:73" x14ac:dyDescent="0.3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1"/>
        <v>0</v>
      </c>
      <c r="L73">
        <f t="shared" si="62"/>
        <v>0</v>
      </c>
      <c r="M73">
        <f t="shared" si="68"/>
        <v>0</v>
      </c>
      <c r="N73">
        <f t="shared" ref="N73:W82" si="81">IF($B73&lt;N$1,$C73*$D73,0)</f>
        <v>0</v>
      </c>
      <c r="O73">
        <f t="shared" si="81"/>
        <v>0</v>
      </c>
      <c r="P73">
        <f t="shared" si="81"/>
        <v>0</v>
      </c>
      <c r="Q73">
        <f t="shared" si="81"/>
        <v>0</v>
      </c>
      <c r="R73">
        <f t="shared" si="81"/>
        <v>0</v>
      </c>
      <c r="S73">
        <f t="shared" si="81"/>
        <v>0</v>
      </c>
      <c r="T73">
        <f t="shared" si="81"/>
        <v>0</v>
      </c>
      <c r="U73">
        <f t="shared" si="81"/>
        <v>0</v>
      </c>
      <c r="V73">
        <f t="shared" si="81"/>
        <v>0</v>
      </c>
      <c r="W73">
        <f t="shared" si="81"/>
        <v>0</v>
      </c>
      <c r="X73">
        <f t="shared" ref="X73:AG82" si="82">IF($B73&lt;X$1,$C73*$D73,0)</f>
        <v>0</v>
      </c>
      <c r="Y73">
        <f t="shared" si="82"/>
        <v>0</v>
      </c>
      <c r="Z73">
        <f t="shared" si="82"/>
        <v>0</v>
      </c>
      <c r="AA73">
        <f t="shared" si="82"/>
        <v>0</v>
      </c>
      <c r="AB73">
        <f t="shared" si="82"/>
        <v>0</v>
      </c>
      <c r="AC73">
        <f t="shared" si="82"/>
        <v>0</v>
      </c>
      <c r="AD73">
        <f t="shared" si="82"/>
        <v>0</v>
      </c>
      <c r="AE73">
        <f t="shared" si="82"/>
        <v>0</v>
      </c>
      <c r="AF73">
        <f t="shared" si="82"/>
        <v>0</v>
      </c>
      <c r="AG73">
        <f t="shared" si="82"/>
        <v>0</v>
      </c>
      <c r="AH73">
        <f t="shared" ref="AH73:AQ82" si="83">IF($B73&lt;AH$1,$C73*$D73,0)</f>
        <v>0</v>
      </c>
      <c r="AI73">
        <f t="shared" si="83"/>
        <v>0</v>
      </c>
      <c r="AJ73">
        <f t="shared" si="83"/>
        <v>0</v>
      </c>
      <c r="AK73">
        <f t="shared" si="83"/>
        <v>0</v>
      </c>
      <c r="AL73">
        <f t="shared" si="83"/>
        <v>0</v>
      </c>
      <c r="AM73">
        <f t="shared" si="83"/>
        <v>0</v>
      </c>
      <c r="AN73">
        <f t="shared" si="83"/>
        <v>0</v>
      </c>
      <c r="AO73">
        <f t="shared" si="83"/>
        <v>0</v>
      </c>
      <c r="AP73">
        <f t="shared" si="83"/>
        <v>0</v>
      </c>
      <c r="AQ73">
        <f t="shared" si="83"/>
        <v>0</v>
      </c>
      <c r="AR73">
        <f t="shared" ref="AR73:AX82" si="84">IF($B73&lt;AR$1,$C73*$D73,0)</f>
        <v>0</v>
      </c>
      <c r="AS73">
        <f t="shared" si="84"/>
        <v>0</v>
      </c>
      <c r="AT73">
        <f t="shared" si="84"/>
        <v>0</v>
      </c>
      <c r="AU73">
        <f t="shared" si="84"/>
        <v>0</v>
      </c>
      <c r="AV73">
        <f t="shared" si="84"/>
        <v>0</v>
      </c>
      <c r="AW73">
        <f t="shared" si="84"/>
        <v>0</v>
      </c>
      <c r="AX73">
        <f t="shared" si="84"/>
        <v>0</v>
      </c>
      <c r="BB73" s="35">
        <f t="shared" si="69"/>
        <v>0</v>
      </c>
      <c r="BC73" s="35">
        <f t="shared" si="70"/>
        <v>0</v>
      </c>
      <c r="BD73" s="35">
        <f t="shared" si="71"/>
        <v>0</v>
      </c>
      <c r="BE73" s="35">
        <f t="shared" si="72"/>
        <v>0</v>
      </c>
      <c r="BF73" s="35">
        <f t="shared" si="73"/>
        <v>0</v>
      </c>
      <c r="BG73" s="35">
        <f t="shared" si="74"/>
        <v>0</v>
      </c>
      <c r="BH73" s="35">
        <f t="shared" si="75"/>
        <v>0</v>
      </c>
      <c r="BI73" s="35">
        <f t="shared" si="76"/>
        <v>0</v>
      </c>
      <c r="BJ73" s="35">
        <f t="shared" si="77"/>
        <v>0</v>
      </c>
      <c r="BK73" s="35">
        <f t="shared" si="78"/>
        <v>0</v>
      </c>
      <c r="BL73" s="35">
        <f t="shared" si="79"/>
        <v>0</v>
      </c>
      <c r="BM73" s="35">
        <f t="shared" si="80"/>
        <v>0</v>
      </c>
      <c r="BN73">
        <f t="shared" si="56"/>
        <v>0</v>
      </c>
      <c r="BO73">
        <f t="shared" si="56"/>
        <v>0</v>
      </c>
      <c r="BP73">
        <f t="shared" si="56"/>
        <v>0</v>
      </c>
      <c r="BQ73">
        <f t="shared" si="63"/>
        <v>0</v>
      </c>
      <c r="BR73">
        <f t="shared" si="64"/>
        <v>0</v>
      </c>
      <c r="BS73">
        <f t="shared" si="65"/>
        <v>0</v>
      </c>
      <c r="BT73">
        <f t="shared" si="66"/>
        <v>0</v>
      </c>
      <c r="BU73">
        <f t="shared" si="67"/>
        <v>0</v>
      </c>
    </row>
    <row r="74" spans="1:73" x14ac:dyDescent="0.3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1"/>
        <v>0</v>
      </c>
      <c r="L74">
        <f t="shared" si="62"/>
        <v>0</v>
      </c>
      <c r="M74">
        <f t="shared" si="68"/>
        <v>0</v>
      </c>
      <c r="N74">
        <f t="shared" si="81"/>
        <v>0</v>
      </c>
      <c r="O74">
        <f t="shared" si="81"/>
        <v>0</v>
      </c>
      <c r="P74">
        <f t="shared" si="81"/>
        <v>0</v>
      </c>
      <c r="Q74">
        <f t="shared" si="81"/>
        <v>0</v>
      </c>
      <c r="R74">
        <f t="shared" si="81"/>
        <v>0</v>
      </c>
      <c r="S74">
        <f t="shared" si="81"/>
        <v>0</v>
      </c>
      <c r="T74">
        <f t="shared" si="81"/>
        <v>0</v>
      </c>
      <c r="U74">
        <f t="shared" si="81"/>
        <v>0</v>
      </c>
      <c r="V74">
        <f t="shared" si="81"/>
        <v>0</v>
      </c>
      <c r="W74">
        <f t="shared" si="81"/>
        <v>0</v>
      </c>
      <c r="X74">
        <f t="shared" si="82"/>
        <v>0</v>
      </c>
      <c r="Y74">
        <f t="shared" si="82"/>
        <v>0</v>
      </c>
      <c r="Z74">
        <f t="shared" si="82"/>
        <v>0</v>
      </c>
      <c r="AA74">
        <f t="shared" si="82"/>
        <v>0</v>
      </c>
      <c r="AB74">
        <f t="shared" si="82"/>
        <v>0</v>
      </c>
      <c r="AC74">
        <f t="shared" si="82"/>
        <v>0</v>
      </c>
      <c r="AD74">
        <f t="shared" si="82"/>
        <v>0</v>
      </c>
      <c r="AE74">
        <f t="shared" si="82"/>
        <v>0</v>
      </c>
      <c r="AF74">
        <f t="shared" si="82"/>
        <v>0</v>
      </c>
      <c r="AG74">
        <f t="shared" si="82"/>
        <v>0</v>
      </c>
      <c r="AH74">
        <f t="shared" si="83"/>
        <v>0</v>
      </c>
      <c r="AI74">
        <f t="shared" si="83"/>
        <v>0</v>
      </c>
      <c r="AJ74">
        <f t="shared" si="83"/>
        <v>0</v>
      </c>
      <c r="AK74">
        <f t="shared" si="83"/>
        <v>0</v>
      </c>
      <c r="AL74">
        <f t="shared" si="83"/>
        <v>0</v>
      </c>
      <c r="AM74">
        <f t="shared" si="83"/>
        <v>0</v>
      </c>
      <c r="AN74">
        <f t="shared" si="83"/>
        <v>0</v>
      </c>
      <c r="AO74">
        <f t="shared" si="83"/>
        <v>0</v>
      </c>
      <c r="AP74">
        <f t="shared" si="83"/>
        <v>0</v>
      </c>
      <c r="AQ74">
        <f t="shared" si="83"/>
        <v>0</v>
      </c>
      <c r="AR74">
        <f t="shared" si="84"/>
        <v>0</v>
      </c>
      <c r="AS74">
        <f t="shared" si="84"/>
        <v>0</v>
      </c>
      <c r="AT74">
        <f t="shared" si="84"/>
        <v>0</v>
      </c>
      <c r="AU74">
        <f t="shared" si="84"/>
        <v>0</v>
      </c>
      <c r="AV74">
        <f t="shared" si="84"/>
        <v>0</v>
      </c>
      <c r="AW74">
        <f t="shared" si="84"/>
        <v>0</v>
      </c>
      <c r="AX74">
        <f t="shared" si="84"/>
        <v>0</v>
      </c>
      <c r="BB74" s="35">
        <f t="shared" si="69"/>
        <v>0</v>
      </c>
      <c r="BC74" s="35">
        <f t="shared" si="70"/>
        <v>0</v>
      </c>
      <c r="BD74" s="35">
        <f t="shared" si="71"/>
        <v>0</v>
      </c>
      <c r="BE74" s="35">
        <f t="shared" si="72"/>
        <v>0</v>
      </c>
      <c r="BF74" s="35">
        <f t="shared" si="73"/>
        <v>0</v>
      </c>
      <c r="BG74" s="35">
        <f t="shared" si="74"/>
        <v>0</v>
      </c>
      <c r="BH74" s="35">
        <f t="shared" si="75"/>
        <v>0</v>
      </c>
      <c r="BI74" s="35">
        <f t="shared" si="76"/>
        <v>0</v>
      </c>
      <c r="BJ74" s="35">
        <f t="shared" si="77"/>
        <v>0</v>
      </c>
      <c r="BK74" s="35">
        <f t="shared" si="78"/>
        <v>0</v>
      </c>
      <c r="BL74" s="35">
        <f t="shared" si="79"/>
        <v>0</v>
      </c>
      <c r="BM74" s="35">
        <f t="shared" si="80"/>
        <v>0</v>
      </c>
      <c r="BN74">
        <f t="shared" si="56"/>
        <v>0</v>
      </c>
      <c r="BO74">
        <f t="shared" si="56"/>
        <v>0</v>
      </c>
      <c r="BP74">
        <f t="shared" si="56"/>
        <v>0</v>
      </c>
      <c r="BQ74">
        <f t="shared" si="63"/>
        <v>0</v>
      </c>
      <c r="BR74">
        <f t="shared" si="64"/>
        <v>0</v>
      </c>
      <c r="BS74">
        <f t="shared" si="65"/>
        <v>0</v>
      </c>
      <c r="BT74">
        <f t="shared" si="66"/>
        <v>0</v>
      </c>
      <c r="BU74">
        <f t="shared" si="67"/>
        <v>0</v>
      </c>
    </row>
    <row r="75" spans="1:73" x14ac:dyDescent="0.3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1"/>
        <v>0</v>
      </c>
      <c r="L75">
        <f t="shared" si="62"/>
        <v>0</v>
      </c>
      <c r="M75">
        <f t="shared" si="68"/>
        <v>0</v>
      </c>
      <c r="N75">
        <f t="shared" si="81"/>
        <v>0</v>
      </c>
      <c r="O75">
        <f t="shared" si="81"/>
        <v>0</v>
      </c>
      <c r="P75">
        <f t="shared" si="81"/>
        <v>0</v>
      </c>
      <c r="Q75">
        <f t="shared" si="81"/>
        <v>0</v>
      </c>
      <c r="R75">
        <f t="shared" si="81"/>
        <v>0</v>
      </c>
      <c r="S75">
        <f t="shared" si="81"/>
        <v>0</v>
      </c>
      <c r="T75">
        <f t="shared" si="81"/>
        <v>0</v>
      </c>
      <c r="U75">
        <f t="shared" si="81"/>
        <v>0</v>
      </c>
      <c r="V75">
        <f t="shared" si="81"/>
        <v>0</v>
      </c>
      <c r="W75">
        <f t="shared" si="81"/>
        <v>0</v>
      </c>
      <c r="X75">
        <f t="shared" si="82"/>
        <v>0</v>
      </c>
      <c r="Y75">
        <f t="shared" si="82"/>
        <v>0</v>
      </c>
      <c r="Z75">
        <f t="shared" si="82"/>
        <v>0</v>
      </c>
      <c r="AA75">
        <f t="shared" si="82"/>
        <v>0</v>
      </c>
      <c r="AB75">
        <f t="shared" si="82"/>
        <v>0</v>
      </c>
      <c r="AC75">
        <f t="shared" si="82"/>
        <v>0</v>
      </c>
      <c r="AD75">
        <f t="shared" si="82"/>
        <v>0</v>
      </c>
      <c r="AE75">
        <f t="shared" si="82"/>
        <v>0</v>
      </c>
      <c r="AF75">
        <f t="shared" si="82"/>
        <v>0</v>
      </c>
      <c r="AG75">
        <f t="shared" si="82"/>
        <v>0</v>
      </c>
      <c r="AH75">
        <f t="shared" si="83"/>
        <v>0</v>
      </c>
      <c r="AI75">
        <f t="shared" si="83"/>
        <v>0</v>
      </c>
      <c r="AJ75">
        <f t="shared" si="83"/>
        <v>0</v>
      </c>
      <c r="AK75">
        <f t="shared" si="83"/>
        <v>0</v>
      </c>
      <c r="AL75">
        <f t="shared" si="83"/>
        <v>0</v>
      </c>
      <c r="AM75">
        <f t="shared" si="83"/>
        <v>0</v>
      </c>
      <c r="AN75">
        <f t="shared" si="83"/>
        <v>0</v>
      </c>
      <c r="AO75">
        <f t="shared" si="83"/>
        <v>0</v>
      </c>
      <c r="AP75">
        <f t="shared" si="83"/>
        <v>0</v>
      </c>
      <c r="AQ75">
        <f t="shared" si="83"/>
        <v>0</v>
      </c>
      <c r="AR75">
        <f t="shared" si="84"/>
        <v>0</v>
      </c>
      <c r="AS75">
        <f t="shared" si="84"/>
        <v>0</v>
      </c>
      <c r="AT75">
        <f t="shared" si="84"/>
        <v>0</v>
      </c>
      <c r="AU75">
        <f t="shared" si="84"/>
        <v>0</v>
      </c>
      <c r="AV75">
        <f t="shared" si="84"/>
        <v>0</v>
      </c>
      <c r="AW75">
        <f t="shared" si="84"/>
        <v>0</v>
      </c>
      <c r="AX75">
        <f t="shared" si="84"/>
        <v>0</v>
      </c>
      <c r="BB75" s="35">
        <f t="shared" si="69"/>
        <v>0</v>
      </c>
      <c r="BC75" s="35">
        <f t="shared" si="70"/>
        <v>0</v>
      </c>
      <c r="BD75" s="35">
        <f t="shared" si="71"/>
        <v>0</v>
      </c>
      <c r="BE75" s="35">
        <f t="shared" si="72"/>
        <v>0</v>
      </c>
      <c r="BF75" s="35">
        <f t="shared" si="73"/>
        <v>0</v>
      </c>
      <c r="BG75" s="35">
        <f t="shared" si="74"/>
        <v>0</v>
      </c>
      <c r="BH75" s="35">
        <f t="shared" si="75"/>
        <v>0</v>
      </c>
      <c r="BI75" s="35">
        <f t="shared" si="76"/>
        <v>0</v>
      </c>
      <c r="BJ75" s="35">
        <f t="shared" si="77"/>
        <v>0</v>
      </c>
      <c r="BK75" s="35">
        <f t="shared" si="78"/>
        <v>0</v>
      </c>
      <c r="BL75" s="35">
        <f t="shared" si="79"/>
        <v>0</v>
      </c>
      <c r="BM75" s="35">
        <f t="shared" si="80"/>
        <v>0</v>
      </c>
      <c r="BN75">
        <f t="shared" si="56"/>
        <v>0</v>
      </c>
      <c r="BO75">
        <f t="shared" si="56"/>
        <v>0</v>
      </c>
      <c r="BP75">
        <f t="shared" si="56"/>
        <v>0</v>
      </c>
      <c r="BQ75">
        <f t="shared" si="63"/>
        <v>0</v>
      </c>
      <c r="BR75">
        <f t="shared" si="64"/>
        <v>0</v>
      </c>
      <c r="BS75">
        <f t="shared" si="65"/>
        <v>0</v>
      </c>
      <c r="BT75">
        <f t="shared" si="66"/>
        <v>0</v>
      </c>
      <c r="BU75">
        <f t="shared" si="67"/>
        <v>0</v>
      </c>
    </row>
    <row r="76" spans="1:73" x14ac:dyDescent="0.3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1"/>
        <v>0</v>
      </c>
      <c r="L76">
        <f t="shared" si="62"/>
        <v>0</v>
      </c>
      <c r="M76">
        <f t="shared" si="68"/>
        <v>0</v>
      </c>
      <c r="N76">
        <f t="shared" si="81"/>
        <v>0</v>
      </c>
      <c r="O76">
        <f t="shared" si="81"/>
        <v>0</v>
      </c>
      <c r="P76">
        <f t="shared" si="81"/>
        <v>0</v>
      </c>
      <c r="Q76">
        <f t="shared" si="81"/>
        <v>0</v>
      </c>
      <c r="R76">
        <f t="shared" si="81"/>
        <v>0</v>
      </c>
      <c r="S76">
        <f t="shared" si="81"/>
        <v>0</v>
      </c>
      <c r="T76">
        <f t="shared" si="81"/>
        <v>0</v>
      </c>
      <c r="U76">
        <f t="shared" si="81"/>
        <v>0</v>
      </c>
      <c r="V76">
        <f t="shared" si="81"/>
        <v>0</v>
      </c>
      <c r="W76">
        <f t="shared" si="81"/>
        <v>0</v>
      </c>
      <c r="X76">
        <f t="shared" si="82"/>
        <v>0</v>
      </c>
      <c r="Y76">
        <f t="shared" si="82"/>
        <v>0</v>
      </c>
      <c r="Z76">
        <f t="shared" si="82"/>
        <v>0</v>
      </c>
      <c r="AA76">
        <f t="shared" si="82"/>
        <v>0</v>
      </c>
      <c r="AB76">
        <f t="shared" si="82"/>
        <v>0</v>
      </c>
      <c r="AC76">
        <f t="shared" si="82"/>
        <v>0</v>
      </c>
      <c r="AD76">
        <f t="shared" si="82"/>
        <v>0</v>
      </c>
      <c r="AE76">
        <f t="shared" si="82"/>
        <v>0</v>
      </c>
      <c r="AF76">
        <f t="shared" si="82"/>
        <v>0</v>
      </c>
      <c r="AG76">
        <f t="shared" si="82"/>
        <v>0</v>
      </c>
      <c r="AH76">
        <f t="shared" si="83"/>
        <v>0</v>
      </c>
      <c r="AI76">
        <f t="shared" si="83"/>
        <v>0</v>
      </c>
      <c r="AJ76">
        <f t="shared" si="83"/>
        <v>0</v>
      </c>
      <c r="AK76">
        <f t="shared" si="83"/>
        <v>0</v>
      </c>
      <c r="AL76">
        <f t="shared" si="83"/>
        <v>0</v>
      </c>
      <c r="AM76">
        <f t="shared" si="83"/>
        <v>0</v>
      </c>
      <c r="AN76">
        <f t="shared" si="83"/>
        <v>0</v>
      </c>
      <c r="AO76">
        <f t="shared" si="83"/>
        <v>0</v>
      </c>
      <c r="AP76">
        <f t="shared" si="83"/>
        <v>0</v>
      </c>
      <c r="AQ76">
        <f t="shared" si="83"/>
        <v>0</v>
      </c>
      <c r="AR76">
        <f t="shared" si="84"/>
        <v>0</v>
      </c>
      <c r="AS76">
        <f t="shared" si="84"/>
        <v>0</v>
      </c>
      <c r="AT76">
        <f t="shared" si="84"/>
        <v>0</v>
      </c>
      <c r="AU76">
        <f t="shared" si="84"/>
        <v>0</v>
      </c>
      <c r="AV76">
        <f t="shared" si="84"/>
        <v>0</v>
      </c>
      <c r="AW76">
        <f t="shared" si="84"/>
        <v>0</v>
      </c>
      <c r="AX76">
        <f t="shared" si="84"/>
        <v>0</v>
      </c>
      <c r="BB76" s="35">
        <f t="shared" si="69"/>
        <v>0</v>
      </c>
      <c r="BC76" s="35">
        <f t="shared" si="70"/>
        <v>0</v>
      </c>
      <c r="BD76" s="35">
        <f t="shared" si="71"/>
        <v>0</v>
      </c>
      <c r="BE76" s="35">
        <f t="shared" si="72"/>
        <v>0</v>
      </c>
      <c r="BF76" s="35">
        <f t="shared" si="73"/>
        <v>0</v>
      </c>
      <c r="BG76" s="35">
        <f t="shared" si="74"/>
        <v>0</v>
      </c>
      <c r="BH76" s="35">
        <f t="shared" si="75"/>
        <v>0</v>
      </c>
      <c r="BI76" s="35">
        <f t="shared" si="76"/>
        <v>0</v>
      </c>
      <c r="BJ76" s="35">
        <f t="shared" si="77"/>
        <v>0</v>
      </c>
      <c r="BK76" s="35">
        <f t="shared" si="78"/>
        <v>0</v>
      </c>
      <c r="BL76" s="35">
        <f t="shared" si="79"/>
        <v>0</v>
      </c>
      <c r="BM76" s="35">
        <f t="shared" si="80"/>
        <v>0</v>
      </c>
      <c r="BN76">
        <f t="shared" si="56"/>
        <v>0</v>
      </c>
      <c r="BO76">
        <f t="shared" si="56"/>
        <v>0</v>
      </c>
      <c r="BP76">
        <f t="shared" si="56"/>
        <v>0</v>
      </c>
      <c r="BQ76">
        <f t="shared" si="63"/>
        <v>0</v>
      </c>
      <c r="BR76">
        <f t="shared" si="64"/>
        <v>0</v>
      </c>
      <c r="BS76">
        <f t="shared" si="65"/>
        <v>0</v>
      </c>
      <c r="BT76">
        <f t="shared" si="66"/>
        <v>0</v>
      </c>
      <c r="BU76">
        <f t="shared" si="67"/>
        <v>0</v>
      </c>
    </row>
    <row r="77" spans="1:73" x14ac:dyDescent="0.3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1"/>
        <v>0</v>
      </c>
      <c r="L77">
        <f t="shared" si="62"/>
        <v>0</v>
      </c>
      <c r="M77">
        <f t="shared" si="68"/>
        <v>0</v>
      </c>
      <c r="N77">
        <f t="shared" si="81"/>
        <v>0</v>
      </c>
      <c r="O77">
        <f t="shared" si="81"/>
        <v>0</v>
      </c>
      <c r="P77">
        <f t="shared" si="81"/>
        <v>0</v>
      </c>
      <c r="Q77">
        <f t="shared" si="81"/>
        <v>0</v>
      </c>
      <c r="R77">
        <f t="shared" si="81"/>
        <v>0</v>
      </c>
      <c r="S77">
        <f t="shared" si="81"/>
        <v>0</v>
      </c>
      <c r="T77">
        <f t="shared" si="81"/>
        <v>0</v>
      </c>
      <c r="U77">
        <f t="shared" si="81"/>
        <v>0</v>
      </c>
      <c r="V77">
        <f t="shared" si="81"/>
        <v>0</v>
      </c>
      <c r="W77">
        <f t="shared" si="81"/>
        <v>0</v>
      </c>
      <c r="X77">
        <f t="shared" si="82"/>
        <v>0</v>
      </c>
      <c r="Y77">
        <f t="shared" si="82"/>
        <v>0</v>
      </c>
      <c r="Z77">
        <f t="shared" si="82"/>
        <v>0</v>
      </c>
      <c r="AA77">
        <f t="shared" si="82"/>
        <v>0</v>
      </c>
      <c r="AB77">
        <f t="shared" si="82"/>
        <v>0</v>
      </c>
      <c r="AC77">
        <f t="shared" si="82"/>
        <v>0</v>
      </c>
      <c r="AD77">
        <f t="shared" si="82"/>
        <v>0</v>
      </c>
      <c r="AE77">
        <f t="shared" si="82"/>
        <v>0</v>
      </c>
      <c r="AF77">
        <f t="shared" si="82"/>
        <v>0</v>
      </c>
      <c r="AG77">
        <f t="shared" si="82"/>
        <v>0</v>
      </c>
      <c r="AH77">
        <f t="shared" si="83"/>
        <v>0</v>
      </c>
      <c r="AI77">
        <f t="shared" si="83"/>
        <v>0</v>
      </c>
      <c r="AJ77">
        <f t="shared" si="83"/>
        <v>0</v>
      </c>
      <c r="AK77">
        <f t="shared" si="83"/>
        <v>0</v>
      </c>
      <c r="AL77">
        <f t="shared" si="83"/>
        <v>0</v>
      </c>
      <c r="AM77">
        <f t="shared" si="83"/>
        <v>0</v>
      </c>
      <c r="AN77">
        <f t="shared" si="83"/>
        <v>0</v>
      </c>
      <c r="AO77">
        <f t="shared" si="83"/>
        <v>0</v>
      </c>
      <c r="AP77">
        <f t="shared" si="83"/>
        <v>0</v>
      </c>
      <c r="AQ77">
        <f t="shared" si="83"/>
        <v>0</v>
      </c>
      <c r="AR77">
        <f t="shared" si="84"/>
        <v>0</v>
      </c>
      <c r="AS77">
        <f t="shared" si="84"/>
        <v>0</v>
      </c>
      <c r="AT77">
        <f t="shared" si="84"/>
        <v>0</v>
      </c>
      <c r="AU77">
        <f t="shared" si="84"/>
        <v>0</v>
      </c>
      <c r="AV77">
        <f t="shared" si="84"/>
        <v>0</v>
      </c>
      <c r="AW77">
        <f t="shared" si="84"/>
        <v>0</v>
      </c>
      <c r="AX77">
        <f t="shared" si="84"/>
        <v>0</v>
      </c>
      <c r="BB77" s="35">
        <f t="shared" si="69"/>
        <v>0</v>
      </c>
      <c r="BC77" s="35">
        <f t="shared" si="70"/>
        <v>0</v>
      </c>
      <c r="BD77" s="35">
        <f t="shared" si="71"/>
        <v>0</v>
      </c>
      <c r="BE77" s="35">
        <f t="shared" si="72"/>
        <v>0</v>
      </c>
      <c r="BF77" s="35">
        <f t="shared" si="73"/>
        <v>0</v>
      </c>
      <c r="BG77" s="35">
        <f t="shared" si="74"/>
        <v>0</v>
      </c>
      <c r="BH77" s="35">
        <f t="shared" si="75"/>
        <v>0</v>
      </c>
      <c r="BI77" s="35">
        <f t="shared" si="76"/>
        <v>0</v>
      </c>
      <c r="BJ77" s="35">
        <f t="shared" si="77"/>
        <v>0</v>
      </c>
      <c r="BK77" s="35">
        <f t="shared" si="78"/>
        <v>0</v>
      </c>
      <c r="BL77" s="35">
        <f t="shared" si="79"/>
        <v>0</v>
      </c>
      <c r="BM77" s="35">
        <f t="shared" si="80"/>
        <v>0</v>
      </c>
      <c r="BN77">
        <f t="shared" si="56"/>
        <v>0</v>
      </c>
      <c r="BO77">
        <f t="shared" si="56"/>
        <v>0</v>
      </c>
      <c r="BP77">
        <f t="shared" si="56"/>
        <v>0</v>
      </c>
      <c r="BQ77">
        <f t="shared" si="63"/>
        <v>0</v>
      </c>
      <c r="BR77">
        <f t="shared" si="64"/>
        <v>0</v>
      </c>
      <c r="BS77">
        <f t="shared" si="65"/>
        <v>0</v>
      </c>
      <c r="BT77">
        <f t="shared" si="66"/>
        <v>0</v>
      </c>
      <c r="BU77">
        <f t="shared" si="67"/>
        <v>0</v>
      </c>
    </row>
    <row r="78" spans="1:73" x14ac:dyDescent="0.3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1"/>
        <v>0</v>
      </c>
      <c r="L78">
        <f t="shared" si="62"/>
        <v>0</v>
      </c>
      <c r="M78">
        <f t="shared" si="68"/>
        <v>0</v>
      </c>
      <c r="N78">
        <f t="shared" si="81"/>
        <v>0</v>
      </c>
      <c r="O78">
        <f t="shared" si="81"/>
        <v>0</v>
      </c>
      <c r="P78">
        <f t="shared" si="81"/>
        <v>0</v>
      </c>
      <c r="Q78">
        <f t="shared" si="81"/>
        <v>0</v>
      </c>
      <c r="R78">
        <f t="shared" si="81"/>
        <v>0</v>
      </c>
      <c r="S78">
        <f t="shared" si="81"/>
        <v>0</v>
      </c>
      <c r="T78">
        <f t="shared" si="81"/>
        <v>0</v>
      </c>
      <c r="U78">
        <f t="shared" si="81"/>
        <v>0</v>
      </c>
      <c r="V78">
        <f t="shared" si="81"/>
        <v>0</v>
      </c>
      <c r="W78">
        <f t="shared" si="81"/>
        <v>0</v>
      </c>
      <c r="X78">
        <f t="shared" si="82"/>
        <v>0</v>
      </c>
      <c r="Y78">
        <f t="shared" si="82"/>
        <v>0</v>
      </c>
      <c r="Z78">
        <f t="shared" si="82"/>
        <v>0</v>
      </c>
      <c r="AA78">
        <f t="shared" si="82"/>
        <v>0</v>
      </c>
      <c r="AB78">
        <f t="shared" si="82"/>
        <v>0</v>
      </c>
      <c r="AC78">
        <f t="shared" si="82"/>
        <v>0</v>
      </c>
      <c r="AD78">
        <f t="shared" si="82"/>
        <v>0</v>
      </c>
      <c r="AE78">
        <f t="shared" si="82"/>
        <v>0</v>
      </c>
      <c r="AF78">
        <f t="shared" si="82"/>
        <v>0</v>
      </c>
      <c r="AG78">
        <f t="shared" si="82"/>
        <v>0</v>
      </c>
      <c r="AH78">
        <f t="shared" si="83"/>
        <v>0</v>
      </c>
      <c r="AI78">
        <f t="shared" si="83"/>
        <v>0</v>
      </c>
      <c r="AJ78">
        <f t="shared" si="83"/>
        <v>0</v>
      </c>
      <c r="AK78">
        <f t="shared" si="83"/>
        <v>0</v>
      </c>
      <c r="AL78">
        <f t="shared" si="83"/>
        <v>0</v>
      </c>
      <c r="AM78">
        <f t="shared" si="83"/>
        <v>0</v>
      </c>
      <c r="AN78">
        <f t="shared" si="83"/>
        <v>0</v>
      </c>
      <c r="AO78">
        <f t="shared" si="83"/>
        <v>0</v>
      </c>
      <c r="AP78">
        <f t="shared" si="83"/>
        <v>0</v>
      </c>
      <c r="AQ78">
        <f t="shared" si="83"/>
        <v>0</v>
      </c>
      <c r="AR78">
        <f t="shared" si="84"/>
        <v>0</v>
      </c>
      <c r="AS78">
        <f t="shared" si="84"/>
        <v>0</v>
      </c>
      <c r="AT78">
        <f t="shared" si="84"/>
        <v>0</v>
      </c>
      <c r="AU78">
        <f t="shared" si="84"/>
        <v>0</v>
      </c>
      <c r="AV78">
        <f t="shared" si="84"/>
        <v>0</v>
      </c>
      <c r="AW78">
        <f t="shared" si="84"/>
        <v>0</v>
      </c>
      <c r="AX78">
        <f t="shared" si="84"/>
        <v>0</v>
      </c>
      <c r="BB78" s="35">
        <f t="shared" si="69"/>
        <v>0</v>
      </c>
      <c r="BC78" s="35">
        <f t="shared" si="70"/>
        <v>0</v>
      </c>
      <c r="BD78" s="35">
        <f t="shared" si="71"/>
        <v>0</v>
      </c>
      <c r="BE78" s="35">
        <f t="shared" si="72"/>
        <v>0</v>
      </c>
      <c r="BF78" s="35">
        <f t="shared" si="73"/>
        <v>0</v>
      </c>
      <c r="BG78" s="35">
        <f t="shared" si="74"/>
        <v>0</v>
      </c>
      <c r="BH78" s="35">
        <f t="shared" si="75"/>
        <v>0</v>
      </c>
      <c r="BI78" s="35">
        <f t="shared" si="76"/>
        <v>0</v>
      </c>
      <c r="BJ78" s="35">
        <f t="shared" si="77"/>
        <v>0</v>
      </c>
      <c r="BK78" s="35">
        <f t="shared" si="78"/>
        <v>0</v>
      </c>
      <c r="BL78" s="35">
        <f t="shared" si="79"/>
        <v>0</v>
      </c>
      <c r="BM78" s="35">
        <f t="shared" si="80"/>
        <v>0</v>
      </c>
      <c r="BN78">
        <f t="shared" si="56"/>
        <v>0</v>
      </c>
      <c r="BO78">
        <f t="shared" si="56"/>
        <v>0</v>
      </c>
      <c r="BP78">
        <f t="shared" si="56"/>
        <v>0</v>
      </c>
      <c r="BQ78">
        <f t="shared" si="63"/>
        <v>0</v>
      </c>
      <c r="BR78">
        <f t="shared" si="64"/>
        <v>0</v>
      </c>
      <c r="BS78">
        <f t="shared" si="65"/>
        <v>0</v>
      </c>
      <c r="BT78">
        <f t="shared" si="66"/>
        <v>0</v>
      </c>
      <c r="BU78">
        <f t="shared" si="67"/>
        <v>0</v>
      </c>
    </row>
    <row r="79" spans="1:73" x14ac:dyDescent="0.3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1"/>
        <v>0</v>
      </c>
      <c r="L79">
        <f t="shared" si="62"/>
        <v>0</v>
      </c>
      <c r="M79">
        <f t="shared" si="68"/>
        <v>0</v>
      </c>
      <c r="N79">
        <f t="shared" si="81"/>
        <v>0</v>
      </c>
      <c r="O79">
        <f t="shared" si="81"/>
        <v>0</v>
      </c>
      <c r="P79">
        <f t="shared" si="81"/>
        <v>0</v>
      </c>
      <c r="Q79">
        <f t="shared" si="81"/>
        <v>0</v>
      </c>
      <c r="R79">
        <f t="shared" si="81"/>
        <v>0</v>
      </c>
      <c r="S79">
        <f t="shared" si="81"/>
        <v>0</v>
      </c>
      <c r="T79">
        <f t="shared" si="81"/>
        <v>0</v>
      </c>
      <c r="U79">
        <f t="shared" si="81"/>
        <v>0</v>
      </c>
      <c r="V79">
        <f t="shared" si="81"/>
        <v>0</v>
      </c>
      <c r="W79">
        <f t="shared" si="81"/>
        <v>0</v>
      </c>
      <c r="X79">
        <f t="shared" si="82"/>
        <v>0</v>
      </c>
      <c r="Y79">
        <f t="shared" si="82"/>
        <v>0</v>
      </c>
      <c r="Z79">
        <f t="shared" si="82"/>
        <v>0</v>
      </c>
      <c r="AA79">
        <f t="shared" si="82"/>
        <v>0</v>
      </c>
      <c r="AB79">
        <f t="shared" si="82"/>
        <v>0</v>
      </c>
      <c r="AC79">
        <f t="shared" si="82"/>
        <v>0</v>
      </c>
      <c r="AD79">
        <f t="shared" si="82"/>
        <v>0</v>
      </c>
      <c r="AE79">
        <f t="shared" si="82"/>
        <v>0</v>
      </c>
      <c r="AF79">
        <f t="shared" si="82"/>
        <v>0</v>
      </c>
      <c r="AG79">
        <f t="shared" si="82"/>
        <v>0</v>
      </c>
      <c r="AH79">
        <f t="shared" si="83"/>
        <v>0</v>
      </c>
      <c r="AI79">
        <f t="shared" si="83"/>
        <v>0</v>
      </c>
      <c r="AJ79">
        <f t="shared" si="83"/>
        <v>0</v>
      </c>
      <c r="AK79">
        <f t="shared" si="83"/>
        <v>0</v>
      </c>
      <c r="AL79">
        <f t="shared" si="83"/>
        <v>0</v>
      </c>
      <c r="AM79">
        <f t="shared" si="83"/>
        <v>0</v>
      </c>
      <c r="AN79">
        <f t="shared" si="83"/>
        <v>0</v>
      </c>
      <c r="AO79">
        <f t="shared" si="83"/>
        <v>0</v>
      </c>
      <c r="AP79">
        <f t="shared" si="83"/>
        <v>0</v>
      </c>
      <c r="AQ79">
        <f t="shared" si="83"/>
        <v>0</v>
      </c>
      <c r="AR79">
        <f t="shared" si="84"/>
        <v>0</v>
      </c>
      <c r="AS79">
        <f t="shared" si="84"/>
        <v>0</v>
      </c>
      <c r="AT79">
        <f t="shared" si="84"/>
        <v>0</v>
      </c>
      <c r="AU79">
        <f t="shared" si="84"/>
        <v>0</v>
      </c>
      <c r="AV79">
        <f t="shared" si="84"/>
        <v>0</v>
      </c>
      <c r="AW79">
        <f t="shared" si="84"/>
        <v>0</v>
      </c>
      <c r="AX79">
        <f t="shared" si="84"/>
        <v>0</v>
      </c>
      <c r="BB79" s="35">
        <f t="shared" si="69"/>
        <v>0</v>
      </c>
      <c r="BC79" s="35">
        <f t="shared" si="70"/>
        <v>0</v>
      </c>
      <c r="BD79" s="35">
        <f t="shared" si="71"/>
        <v>0</v>
      </c>
      <c r="BE79" s="35">
        <f t="shared" si="72"/>
        <v>0</v>
      </c>
      <c r="BF79" s="35">
        <f t="shared" si="73"/>
        <v>0</v>
      </c>
      <c r="BG79" s="35">
        <f t="shared" si="74"/>
        <v>0</v>
      </c>
      <c r="BH79" s="35">
        <f t="shared" si="75"/>
        <v>0</v>
      </c>
      <c r="BI79" s="35">
        <f t="shared" si="76"/>
        <v>0</v>
      </c>
      <c r="BJ79" s="35">
        <f t="shared" si="77"/>
        <v>0</v>
      </c>
      <c r="BK79" s="35">
        <f t="shared" si="78"/>
        <v>0</v>
      </c>
      <c r="BL79" s="35">
        <f t="shared" si="79"/>
        <v>0</v>
      </c>
      <c r="BM79" s="35">
        <f t="shared" si="80"/>
        <v>0</v>
      </c>
      <c r="BN79">
        <f t="shared" si="56"/>
        <v>0</v>
      </c>
      <c r="BO79">
        <f t="shared" si="56"/>
        <v>0</v>
      </c>
      <c r="BP79">
        <f t="shared" si="56"/>
        <v>0</v>
      </c>
      <c r="BQ79">
        <f t="shared" si="63"/>
        <v>0</v>
      </c>
      <c r="BR79">
        <f t="shared" si="64"/>
        <v>0</v>
      </c>
      <c r="BS79">
        <f t="shared" si="65"/>
        <v>0</v>
      </c>
      <c r="BT79">
        <f t="shared" si="66"/>
        <v>0</v>
      </c>
      <c r="BU79">
        <f t="shared" si="67"/>
        <v>0</v>
      </c>
    </row>
    <row r="80" spans="1:73" x14ac:dyDescent="0.3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1"/>
        <v>0</v>
      </c>
      <c r="L80">
        <f t="shared" si="62"/>
        <v>0</v>
      </c>
      <c r="M80">
        <f t="shared" si="68"/>
        <v>0</v>
      </c>
      <c r="N80">
        <f t="shared" si="81"/>
        <v>0</v>
      </c>
      <c r="O80">
        <f t="shared" si="81"/>
        <v>0</v>
      </c>
      <c r="P80">
        <f t="shared" si="81"/>
        <v>0</v>
      </c>
      <c r="Q80">
        <f t="shared" si="81"/>
        <v>0</v>
      </c>
      <c r="R80">
        <f t="shared" si="81"/>
        <v>0</v>
      </c>
      <c r="S80">
        <f t="shared" si="81"/>
        <v>0</v>
      </c>
      <c r="T80">
        <f t="shared" si="81"/>
        <v>0</v>
      </c>
      <c r="U80">
        <f t="shared" si="81"/>
        <v>0</v>
      </c>
      <c r="V80">
        <f t="shared" si="81"/>
        <v>0</v>
      </c>
      <c r="W80">
        <f t="shared" si="81"/>
        <v>0</v>
      </c>
      <c r="X80">
        <f t="shared" si="82"/>
        <v>0</v>
      </c>
      <c r="Y80">
        <f t="shared" si="82"/>
        <v>0</v>
      </c>
      <c r="Z80">
        <f t="shared" si="82"/>
        <v>0</v>
      </c>
      <c r="AA80">
        <f t="shared" si="82"/>
        <v>0</v>
      </c>
      <c r="AB80">
        <f t="shared" si="82"/>
        <v>0</v>
      </c>
      <c r="AC80">
        <f t="shared" si="82"/>
        <v>0</v>
      </c>
      <c r="AD80">
        <f t="shared" si="82"/>
        <v>0</v>
      </c>
      <c r="AE80">
        <f t="shared" si="82"/>
        <v>0</v>
      </c>
      <c r="AF80">
        <f t="shared" si="82"/>
        <v>0</v>
      </c>
      <c r="AG80">
        <f t="shared" si="82"/>
        <v>0</v>
      </c>
      <c r="AH80">
        <f t="shared" si="83"/>
        <v>0</v>
      </c>
      <c r="AI80">
        <f t="shared" si="83"/>
        <v>0</v>
      </c>
      <c r="AJ80">
        <f t="shared" si="83"/>
        <v>0</v>
      </c>
      <c r="AK80">
        <f t="shared" si="83"/>
        <v>0</v>
      </c>
      <c r="AL80">
        <f t="shared" si="83"/>
        <v>0</v>
      </c>
      <c r="AM80">
        <f t="shared" si="83"/>
        <v>0</v>
      </c>
      <c r="AN80">
        <f t="shared" si="83"/>
        <v>0</v>
      </c>
      <c r="AO80">
        <f t="shared" si="83"/>
        <v>0</v>
      </c>
      <c r="AP80">
        <f t="shared" si="83"/>
        <v>0</v>
      </c>
      <c r="AQ80">
        <f t="shared" si="83"/>
        <v>0</v>
      </c>
      <c r="AR80">
        <f t="shared" si="84"/>
        <v>0</v>
      </c>
      <c r="AS80">
        <f t="shared" si="84"/>
        <v>0</v>
      </c>
      <c r="AT80">
        <f t="shared" si="84"/>
        <v>0</v>
      </c>
      <c r="AU80">
        <f t="shared" si="84"/>
        <v>0</v>
      </c>
      <c r="AV80">
        <f t="shared" si="84"/>
        <v>0</v>
      </c>
      <c r="AW80">
        <f t="shared" si="84"/>
        <v>0</v>
      </c>
      <c r="AX80">
        <f t="shared" si="84"/>
        <v>0</v>
      </c>
      <c r="BB80" s="35">
        <f t="shared" si="69"/>
        <v>0</v>
      </c>
      <c r="BC80" s="35">
        <f t="shared" si="70"/>
        <v>0</v>
      </c>
      <c r="BD80" s="35">
        <f t="shared" si="71"/>
        <v>0</v>
      </c>
      <c r="BE80" s="35">
        <f t="shared" si="72"/>
        <v>0</v>
      </c>
      <c r="BF80" s="35">
        <f t="shared" si="73"/>
        <v>0</v>
      </c>
      <c r="BG80" s="35">
        <f t="shared" si="74"/>
        <v>0</v>
      </c>
      <c r="BH80" s="35">
        <f t="shared" si="75"/>
        <v>0</v>
      </c>
      <c r="BI80" s="35">
        <f t="shared" si="76"/>
        <v>0</v>
      </c>
      <c r="BJ80" s="35">
        <f t="shared" si="77"/>
        <v>0</v>
      </c>
      <c r="BK80" s="35">
        <f t="shared" si="78"/>
        <v>0</v>
      </c>
      <c r="BL80" s="35">
        <f t="shared" si="79"/>
        <v>0</v>
      </c>
      <c r="BM80" s="35">
        <f t="shared" si="80"/>
        <v>0</v>
      </c>
      <c r="BN80">
        <f t="shared" si="56"/>
        <v>0</v>
      </c>
      <c r="BO80">
        <f t="shared" si="56"/>
        <v>0</v>
      </c>
      <c r="BP80">
        <f t="shared" si="56"/>
        <v>0</v>
      </c>
      <c r="BQ80">
        <f t="shared" si="63"/>
        <v>0</v>
      </c>
      <c r="BR80">
        <f t="shared" si="64"/>
        <v>0</v>
      </c>
      <c r="BS80">
        <f t="shared" si="65"/>
        <v>0</v>
      </c>
      <c r="BT80">
        <f t="shared" si="66"/>
        <v>0</v>
      </c>
      <c r="BU80">
        <f t="shared" si="67"/>
        <v>0</v>
      </c>
    </row>
    <row r="81" spans="1:73" x14ac:dyDescent="0.3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1"/>
        <v>0</v>
      </c>
      <c r="L81">
        <f t="shared" si="62"/>
        <v>0</v>
      </c>
      <c r="M81">
        <f t="shared" si="68"/>
        <v>0</v>
      </c>
      <c r="N81">
        <f t="shared" si="81"/>
        <v>0</v>
      </c>
      <c r="O81">
        <f t="shared" si="81"/>
        <v>0</v>
      </c>
      <c r="P81">
        <f t="shared" si="81"/>
        <v>0</v>
      </c>
      <c r="Q81">
        <f t="shared" si="81"/>
        <v>0</v>
      </c>
      <c r="R81">
        <f t="shared" si="81"/>
        <v>0</v>
      </c>
      <c r="S81">
        <f t="shared" si="81"/>
        <v>0</v>
      </c>
      <c r="T81">
        <f t="shared" si="81"/>
        <v>0</v>
      </c>
      <c r="U81">
        <f t="shared" si="81"/>
        <v>0</v>
      </c>
      <c r="V81">
        <f t="shared" si="81"/>
        <v>0</v>
      </c>
      <c r="W81">
        <f t="shared" si="81"/>
        <v>0</v>
      </c>
      <c r="X81">
        <f t="shared" si="82"/>
        <v>0</v>
      </c>
      <c r="Y81">
        <f t="shared" si="82"/>
        <v>0</v>
      </c>
      <c r="Z81">
        <f t="shared" si="82"/>
        <v>0</v>
      </c>
      <c r="AA81">
        <f t="shared" si="82"/>
        <v>0</v>
      </c>
      <c r="AB81">
        <f t="shared" si="82"/>
        <v>0</v>
      </c>
      <c r="AC81">
        <f t="shared" si="82"/>
        <v>0</v>
      </c>
      <c r="AD81">
        <f t="shared" si="82"/>
        <v>0</v>
      </c>
      <c r="AE81">
        <f t="shared" si="82"/>
        <v>0</v>
      </c>
      <c r="AF81">
        <f t="shared" si="82"/>
        <v>0</v>
      </c>
      <c r="AG81">
        <f t="shared" si="82"/>
        <v>0</v>
      </c>
      <c r="AH81">
        <f t="shared" si="83"/>
        <v>0</v>
      </c>
      <c r="AI81">
        <f t="shared" si="83"/>
        <v>0</v>
      </c>
      <c r="AJ81">
        <f t="shared" si="83"/>
        <v>0</v>
      </c>
      <c r="AK81">
        <f t="shared" si="83"/>
        <v>0</v>
      </c>
      <c r="AL81">
        <f t="shared" si="83"/>
        <v>0</v>
      </c>
      <c r="AM81">
        <f t="shared" si="83"/>
        <v>0</v>
      </c>
      <c r="AN81">
        <f t="shared" si="83"/>
        <v>0</v>
      </c>
      <c r="AO81">
        <f t="shared" si="83"/>
        <v>0</v>
      </c>
      <c r="AP81">
        <f t="shared" si="83"/>
        <v>0</v>
      </c>
      <c r="AQ81">
        <f t="shared" si="83"/>
        <v>0</v>
      </c>
      <c r="AR81">
        <f t="shared" si="84"/>
        <v>0</v>
      </c>
      <c r="AS81">
        <f t="shared" si="84"/>
        <v>0</v>
      </c>
      <c r="AT81">
        <f t="shared" si="84"/>
        <v>0</v>
      </c>
      <c r="AU81">
        <f t="shared" si="84"/>
        <v>0</v>
      </c>
      <c r="AV81">
        <f t="shared" si="84"/>
        <v>0</v>
      </c>
      <c r="AW81">
        <f t="shared" si="84"/>
        <v>0</v>
      </c>
      <c r="AX81">
        <f t="shared" si="84"/>
        <v>0</v>
      </c>
      <c r="BB81" s="35">
        <f t="shared" si="69"/>
        <v>0</v>
      </c>
      <c r="BC81" s="35">
        <f t="shared" si="70"/>
        <v>0</v>
      </c>
      <c r="BD81" s="35">
        <f t="shared" si="71"/>
        <v>0</v>
      </c>
      <c r="BE81" s="35">
        <f t="shared" si="72"/>
        <v>0</v>
      </c>
      <c r="BF81" s="35">
        <f t="shared" si="73"/>
        <v>0</v>
      </c>
      <c r="BG81" s="35">
        <f t="shared" si="74"/>
        <v>0</v>
      </c>
      <c r="BH81" s="35">
        <f t="shared" si="75"/>
        <v>0</v>
      </c>
      <c r="BI81" s="35">
        <f t="shared" si="76"/>
        <v>0</v>
      </c>
      <c r="BJ81" s="35">
        <f t="shared" si="77"/>
        <v>0</v>
      </c>
      <c r="BK81" s="35">
        <f t="shared" si="78"/>
        <v>0</v>
      </c>
      <c r="BL81" s="35">
        <f t="shared" si="79"/>
        <v>0</v>
      </c>
      <c r="BM81" s="35">
        <f t="shared" si="80"/>
        <v>0</v>
      </c>
      <c r="BN81">
        <f t="shared" si="56"/>
        <v>0</v>
      </c>
      <c r="BO81">
        <f t="shared" si="56"/>
        <v>0</v>
      </c>
      <c r="BP81">
        <f t="shared" si="56"/>
        <v>0</v>
      </c>
      <c r="BQ81">
        <f t="shared" si="63"/>
        <v>0</v>
      </c>
      <c r="BR81">
        <f t="shared" si="64"/>
        <v>0</v>
      </c>
      <c r="BS81">
        <f t="shared" si="65"/>
        <v>0</v>
      </c>
      <c r="BT81">
        <f t="shared" si="66"/>
        <v>0</v>
      </c>
      <c r="BU81">
        <f t="shared" si="67"/>
        <v>0</v>
      </c>
    </row>
    <row r="82" spans="1:73" x14ac:dyDescent="0.3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1"/>
        <v>0</v>
      </c>
      <c r="L82">
        <f t="shared" si="62"/>
        <v>0</v>
      </c>
      <c r="M82">
        <f t="shared" si="68"/>
        <v>0</v>
      </c>
      <c r="N82">
        <f t="shared" si="81"/>
        <v>0</v>
      </c>
      <c r="O82">
        <f t="shared" si="81"/>
        <v>0</v>
      </c>
      <c r="P82">
        <f t="shared" si="81"/>
        <v>0</v>
      </c>
      <c r="Q82">
        <f t="shared" si="81"/>
        <v>0</v>
      </c>
      <c r="R82">
        <f t="shared" si="81"/>
        <v>0</v>
      </c>
      <c r="S82">
        <f t="shared" si="81"/>
        <v>0</v>
      </c>
      <c r="T82">
        <f t="shared" si="81"/>
        <v>0</v>
      </c>
      <c r="U82">
        <f t="shared" si="81"/>
        <v>0</v>
      </c>
      <c r="V82">
        <f t="shared" si="81"/>
        <v>0</v>
      </c>
      <c r="W82">
        <f t="shared" si="81"/>
        <v>0</v>
      </c>
      <c r="X82">
        <f t="shared" si="82"/>
        <v>0</v>
      </c>
      <c r="Y82">
        <f t="shared" si="82"/>
        <v>0</v>
      </c>
      <c r="Z82">
        <f t="shared" si="82"/>
        <v>0</v>
      </c>
      <c r="AA82">
        <f t="shared" si="82"/>
        <v>0</v>
      </c>
      <c r="AB82">
        <f t="shared" si="82"/>
        <v>0</v>
      </c>
      <c r="AC82">
        <f t="shared" si="82"/>
        <v>0</v>
      </c>
      <c r="AD82">
        <f t="shared" si="82"/>
        <v>0</v>
      </c>
      <c r="AE82">
        <f t="shared" si="82"/>
        <v>0</v>
      </c>
      <c r="AF82">
        <f t="shared" si="82"/>
        <v>0</v>
      </c>
      <c r="AG82">
        <f t="shared" si="82"/>
        <v>0</v>
      </c>
      <c r="AH82">
        <f t="shared" si="83"/>
        <v>0</v>
      </c>
      <c r="AI82">
        <f t="shared" si="83"/>
        <v>0</v>
      </c>
      <c r="AJ82">
        <f t="shared" si="83"/>
        <v>0</v>
      </c>
      <c r="AK82">
        <f t="shared" si="83"/>
        <v>0</v>
      </c>
      <c r="AL82">
        <f t="shared" si="83"/>
        <v>0</v>
      </c>
      <c r="AM82">
        <f t="shared" si="83"/>
        <v>0</v>
      </c>
      <c r="AN82">
        <f t="shared" si="83"/>
        <v>0</v>
      </c>
      <c r="AO82">
        <f t="shared" si="83"/>
        <v>0</v>
      </c>
      <c r="AP82">
        <f t="shared" si="83"/>
        <v>0</v>
      </c>
      <c r="AQ82">
        <f t="shared" si="83"/>
        <v>0</v>
      </c>
      <c r="AR82">
        <f t="shared" si="84"/>
        <v>0</v>
      </c>
      <c r="AS82">
        <f t="shared" si="84"/>
        <v>0</v>
      </c>
      <c r="AT82">
        <f t="shared" si="84"/>
        <v>0</v>
      </c>
      <c r="AU82">
        <f t="shared" si="84"/>
        <v>0</v>
      </c>
      <c r="AV82">
        <f t="shared" si="84"/>
        <v>0</v>
      </c>
      <c r="AW82">
        <f t="shared" si="84"/>
        <v>0</v>
      </c>
      <c r="AX82">
        <f t="shared" si="84"/>
        <v>0</v>
      </c>
      <c r="BB82" s="35">
        <f t="shared" si="69"/>
        <v>0</v>
      </c>
      <c r="BC82" s="35">
        <f t="shared" si="70"/>
        <v>0</v>
      </c>
      <c r="BD82" s="35">
        <f t="shared" si="71"/>
        <v>0</v>
      </c>
      <c r="BE82" s="35">
        <f t="shared" si="72"/>
        <v>0</v>
      </c>
      <c r="BF82" s="35">
        <f t="shared" si="73"/>
        <v>0</v>
      </c>
      <c r="BG82" s="35">
        <f t="shared" si="74"/>
        <v>0</v>
      </c>
      <c r="BH82" s="35">
        <f t="shared" si="75"/>
        <v>0</v>
      </c>
      <c r="BI82" s="35">
        <f t="shared" si="76"/>
        <v>0</v>
      </c>
      <c r="BJ82" s="35">
        <f t="shared" si="77"/>
        <v>0</v>
      </c>
      <c r="BK82" s="35">
        <f t="shared" si="78"/>
        <v>0</v>
      </c>
      <c r="BL82" s="35">
        <f t="shared" si="79"/>
        <v>0</v>
      </c>
      <c r="BM82" s="35">
        <f t="shared" si="80"/>
        <v>0</v>
      </c>
      <c r="BN82">
        <f t="shared" ref="BN82:BP101" si="85">IF(AND($D82&gt;0,$G82=BN$1),$F82,0)</f>
        <v>0</v>
      </c>
      <c r="BO82">
        <f t="shared" si="85"/>
        <v>0</v>
      </c>
      <c r="BP82">
        <f t="shared" si="85"/>
        <v>0</v>
      </c>
      <c r="BQ82">
        <f t="shared" si="63"/>
        <v>0</v>
      </c>
      <c r="BR82">
        <f t="shared" si="64"/>
        <v>0</v>
      </c>
      <c r="BS82">
        <f t="shared" si="65"/>
        <v>0</v>
      </c>
      <c r="BT82">
        <f t="shared" si="66"/>
        <v>0</v>
      </c>
      <c r="BU82">
        <f t="shared" si="67"/>
        <v>0</v>
      </c>
    </row>
    <row r="83" spans="1:73" x14ac:dyDescent="0.3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1"/>
        <v>0</v>
      </c>
      <c r="L83">
        <f t="shared" si="62"/>
        <v>0</v>
      </c>
      <c r="M83">
        <f t="shared" si="68"/>
        <v>0</v>
      </c>
      <c r="N83">
        <f t="shared" ref="N83:W92" si="86">IF($B83&lt;N$1,$C83*$D83,0)</f>
        <v>0</v>
      </c>
      <c r="O83">
        <f t="shared" si="86"/>
        <v>0</v>
      </c>
      <c r="P83">
        <f t="shared" si="86"/>
        <v>0</v>
      </c>
      <c r="Q83">
        <f t="shared" si="86"/>
        <v>0</v>
      </c>
      <c r="R83">
        <f t="shared" si="86"/>
        <v>0</v>
      </c>
      <c r="S83">
        <f t="shared" si="86"/>
        <v>0</v>
      </c>
      <c r="T83">
        <f t="shared" si="86"/>
        <v>0</v>
      </c>
      <c r="U83">
        <f t="shared" si="86"/>
        <v>0</v>
      </c>
      <c r="V83">
        <f t="shared" si="86"/>
        <v>0</v>
      </c>
      <c r="W83">
        <f t="shared" si="86"/>
        <v>0</v>
      </c>
      <c r="X83">
        <f t="shared" ref="X83:AG92" si="87">IF($B83&lt;X$1,$C83*$D83,0)</f>
        <v>0</v>
      </c>
      <c r="Y83">
        <f t="shared" si="87"/>
        <v>0</v>
      </c>
      <c r="Z83">
        <f t="shared" si="87"/>
        <v>0</v>
      </c>
      <c r="AA83">
        <f t="shared" si="87"/>
        <v>0</v>
      </c>
      <c r="AB83">
        <f t="shared" si="87"/>
        <v>0</v>
      </c>
      <c r="AC83">
        <f t="shared" si="87"/>
        <v>0</v>
      </c>
      <c r="AD83">
        <f t="shared" si="87"/>
        <v>0</v>
      </c>
      <c r="AE83">
        <f t="shared" si="87"/>
        <v>0</v>
      </c>
      <c r="AF83">
        <f t="shared" si="87"/>
        <v>0</v>
      </c>
      <c r="AG83">
        <f t="shared" si="87"/>
        <v>0</v>
      </c>
      <c r="AH83">
        <f t="shared" ref="AH83:AQ92" si="88">IF($B83&lt;AH$1,$C83*$D83,0)</f>
        <v>0</v>
      </c>
      <c r="AI83">
        <f t="shared" si="88"/>
        <v>0</v>
      </c>
      <c r="AJ83">
        <f t="shared" si="88"/>
        <v>0</v>
      </c>
      <c r="AK83">
        <f t="shared" si="88"/>
        <v>0</v>
      </c>
      <c r="AL83">
        <f t="shared" si="88"/>
        <v>0</v>
      </c>
      <c r="AM83">
        <f t="shared" si="88"/>
        <v>0</v>
      </c>
      <c r="AN83">
        <f t="shared" si="88"/>
        <v>0</v>
      </c>
      <c r="AO83">
        <f t="shared" si="88"/>
        <v>0</v>
      </c>
      <c r="AP83">
        <f t="shared" si="88"/>
        <v>0</v>
      </c>
      <c r="AQ83">
        <f t="shared" si="88"/>
        <v>0</v>
      </c>
      <c r="AR83">
        <f t="shared" ref="AR83:AX92" si="89">IF($B83&lt;AR$1,$C83*$D83,0)</f>
        <v>0</v>
      </c>
      <c r="AS83">
        <f t="shared" si="89"/>
        <v>0</v>
      </c>
      <c r="AT83">
        <f t="shared" si="89"/>
        <v>0</v>
      </c>
      <c r="AU83">
        <f t="shared" si="89"/>
        <v>0</v>
      </c>
      <c r="AV83">
        <f t="shared" si="89"/>
        <v>0</v>
      </c>
      <c r="AW83">
        <f t="shared" si="89"/>
        <v>0</v>
      </c>
      <c r="AX83">
        <f t="shared" si="89"/>
        <v>0</v>
      </c>
      <c r="BB83" s="35">
        <f t="shared" si="69"/>
        <v>0</v>
      </c>
      <c r="BC83" s="35">
        <f t="shared" si="70"/>
        <v>0</v>
      </c>
      <c r="BD83" s="35">
        <f t="shared" si="71"/>
        <v>0</v>
      </c>
      <c r="BE83" s="35">
        <f t="shared" si="72"/>
        <v>0</v>
      </c>
      <c r="BF83" s="35">
        <f t="shared" si="73"/>
        <v>0</v>
      </c>
      <c r="BG83" s="35">
        <f t="shared" si="74"/>
        <v>0</v>
      </c>
      <c r="BH83" s="35">
        <f t="shared" si="75"/>
        <v>0</v>
      </c>
      <c r="BI83" s="35">
        <f t="shared" si="76"/>
        <v>0</v>
      </c>
      <c r="BJ83" s="35">
        <f t="shared" si="77"/>
        <v>0</v>
      </c>
      <c r="BK83" s="35">
        <f t="shared" si="78"/>
        <v>0</v>
      </c>
      <c r="BL83" s="35">
        <f t="shared" si="79"/>
        <v>0</v>
      </c>
      <c r="BM83" s="35">
        <f t="shared" si="80"/>
        <v>0</v>
      </c>
      <c r="BN83">
        <f t="shared" si="85"/>
        <v>0</v>
      </c>
      <c r="BO83">
        <f t="shared" si="85"/>
        <v>0</v>
      </c>
      <c r="BP83">
        <f t="shared" si="85"/>
        <v>0</v>
      </c>
      <c r="BQ83">
        <f t="shared" si="63"/>
        <v>0</v>
      </c>
      <c r="BR83">
        <f t="shared" si="64"/>
        <v>0</v>
      </c>
      <c r="BS83">
        <f t="shared" si="65"/>
        <v>0</v>
      </c>
      <c r="BT83">
        <f t="shared" si="66"/>
        <v>0</v>
      </c>
      <c r="BU83">
        <f t="shared" si="67"/>
        <v>0</v>
      </c>
    </row>
    <row r="84" spans="1:73" x14ac:dyDescent="0.3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1"/>
        <v>0</v>
      </c>
      <c r="L84">
        <f t="shared" si="62"/>
        <v>0</v>
      </c>
      <c r="M84">
        <f t="shared" si="68"/>
        <v>0</v>
      </c>
      <c r="N84">
        <f t="shared" si="86"/>
        <v>0</v>
      </c>
      <c r="O84">
        <f t="shared" si="86"/>
        <v>0</v>
      </c>
      <c r="P84">
        <f t="shared" si="86"/>
        <v>0</v>
      </c>
      <c r="Q84">
        <f t="shared" si="86"/>
        <v>0</v>
      </c>
      <c r="R84">
        <f t="shared" si="86"/>
        <v>0</v>
      </c>
      <c r="S84">
        <f t="shared" si="86"/>
        <v>0</v>
      </c>
      <c r="T84">
        <f t="shared" si="86"/>
        <v>0</v>
      </c>
      <c r="U84">
        <f t="shared" si="86"/>
        <v>0</v>
      </c>
      <c r="V84">
        <f t="shared" si="86"/>
        <v>0</v>
      </c>
      <c r="W84">
        <f t="shared" si="86"/>
        <v>0</v>
      </c>
      <c r="X84">
        <f t="shared" si="87"/>
        <v>0</v>
      </c>
      <c r="Y84">
        <f t="shared" si="87"/>
        <v>0</v>
      </c>
      <c r="Z84">
        <f t="shared" si="87"/>
        <v>0</v>
      </c>
      <c r="AA84">
        <f t="shared" si="87"/>
        <v>0</v>
      </c>
      <c r="AB84">
        <f t="shared" si="87"/>
        <v>0</v>
      </c>
      <c r="AC84">
        <f t="shared" si="87"/>
        <v>0</v>
      </c>
      <c r="AD84">
        <f t="shared" si="87"/>
        <v>0</v>
      </c>
      <c r="AE84">
        <f t="shared" si="87"/>
        <v>0</v>
      </c>
      <c r="AF84">
        <f t="shared" si="87"/>
        <v>0</v>
      </c>
      <c r="AG84">
        <f t="shared" si="87"/>
        <v>0</v>
      </c>
      <c r="AH84">
        <f t="shared" si="88"/>
        <v>0</v>
      </c>
      <c r="AI84">
        <f t="shared" si="88"/>
        <v>0</v>
      </c>
      <c r="AJ84">
        <f t="shared" si="88"/>
        <v>0</v>
      </c>
      <c r="AK84">
        <f t="shared" si="88"/>
        <v>0</v>
      </c>
      <c r="AL84">
        <f t="shared" si="88"/>
        <v>0</v>
      </c>
      <c r="AM84">
        <f t="shared" si="88"/>
        <v>0</v>
      </c>
      <c r="AN84">
        <f t="shared" si="88"/>
        <v>0</v>
      </c>
      <c r="AO84">
        <f t="shared" si="88"/>
        <v>0</v>
      </c>
      <c r="AP84">
        <f t="shared" si="88"/>
        <v>0</v>
      </c>
      <c r="AQ84">
        <f t="shared" si="88"/>
        <v>0</v>
      </c>
      <c r="AR84">
        <f t="shared" si="89"/>
        <v>0</v>
      </c>
      <c r="AS84">
        <f t="shared" si="89"/>
        <v>0</v>
      </c>
      <c r="AT84">
        <f t="shared" si="89"/>
        <v>0</v>
      </c>
      <c r="AU84">
        <f t="shared" si="89"/>
        <v>0</v>
      </c>
      <c r="AV84">
        <f t="shared" si="89"/>
        <v>0</v>
      </c>
      <c r="AW84">
        <f t="shared" si="89"/>
        <v>0</v>
      </c>
      <c r="AX84">
        <f t="shared" si="89"/>
        <v>0</v>
      </c>
      <c r="BB84" s="35">
        <f t="shared" si="69"/>
        <v>0</v>
      </c>
      <c r="BC84" s="35">
        <f t="shared" si="70"/>
        <v>0</v>
      </c>
      <c r="BD84" s="35">
        <f t="shared" si="71"/>
        <v>0</v>
      </c>
      <c r="BE84" s="35">
        <f t="shared" si="72"/>
        <v>0</v>
      </c>
      <c r="BF84" s="35">
        <f t="shared" si="73"/>
        <v>0</v>
      </c>
      <c r="BG84" s="35">
        <f t="shared" si="74"/>
        <v>0</v>
      </c>
      <c r="BH84" s="35">
        <f t="shared" si="75"/>
        <v>0</v>
      </c>
      <c r="BI84" s="35">
        <f t="shared" si="76"/>
        <v>0</v>
      </c>
      <c r="BJ84" s="35">
        <f t="shared" si="77"/>
        <v>0</v>
      </c>
      <c r="BK84" s="35">
        <f t="shared" si="78"/>
        <v>0</v>
      </c>
      <c r="BL84" s="35">
        <f t="shared" si="79"/>
        <v>0</v>
      </c>
      <c r="BM84" s="35">
        <f t="shared" si="80"/>
        <v>0</v>
      </c>
      <c r="BN84">
        <f t="shared" si="85"/>
        <v>0</v>
      </c>
      <c r="BO84">
        <f t="shared" si="85"/>
        <v>0</v>
      </c>
      <c r="BP84">
        <f t="shared" si="85"/>
        <v>0</v>
      </c>
      <c r="BQ84">
        <f t="shared" si="63"/>
        <v>0</v>
      </c>
      <c r="BR84">
        <f t="shared" si="64"/>
        <v>0</v>
      </c>
      <c r="BS84">
        <f t="shared" si="65"/>
        <v>0</v>
      </c>
      <c r="BT84">
        <f t="shared" si="66"/>
        <v>0</v>
      </c>
      <c r="BU84">
        <f t="shared" si="67"/>
        <v>0</v>
      </c>
    </row>
    <row r="85" spans="1:73" x14ac:dyDescent="0.3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1"/>
        <v>0</v>
      </c>
      <c r="L85">
        <f t="shared" si="62"/>
        <v>0</v>
      </c>
      <c r="M85">
        <f t="shared" si="68"/>
        <v>0</v>
      </c>
      <c r="N85">
        <f t="shared" si="86"/>
        <v>0</v>
      </c>
      <c r="O85">
        <f t="shared" si="86"/>
        <v>0</v>
      </c>
      <c r="P85">
        <f t="shared" si="86"/>
        <v>0</v>
      </c>
      <c r="Q85">
        <f t="shared" si="86"/>
        <v>0</v>
      </c>
      <c r="R85">
        <f t="shared" si="86"/>
        <v>0</v>
      </c>
      <c r="S85">
        <f t="shared" si="86"/>
        <v>0</v>
      </c>
      <c r="T85">
        <f t="shared" si="86"/>
        <v>0</v>
      </c>
      <c r="U85">
        <f t="shared" si="86"/>
        <v>0</v>
      </c>
      <c r="V85">
        <f t="shared" si="86"/>
        <v>0</v>
      </c>
      <c r="W85">
        <f t="shared" si="86"/>
        <v>0</v>
      </c>
      <c r="X85">
        <f t="shared" si="87"/>
        <v>0</v>
      </c>
      <c r="Y85">
        <f t="shared" si="87"/>
        <v>0</v>
      </c>
      <c r="Z85">
        <f t="shared" si="87"/>
        <v>0</v>
      </c>
      <c r="AA85">
        <f t="shared" si="87"/>
        <v>0</v>
      </c>
      <c r="AB85">
        <f t="shared" si="87"/>
        <v>0</v>
      </c>
      <c r="AC85">
        <f t="shared" si="87"/>
        <v>0</v>
      </c>
      <c r="AD85">
        <f t="shared" si="87"/>
        <v>0</v>
      </c>
      <c r="AE85">
        <f t="shared" si="87"/>
        <v>0</v>
      </c>
      <c r="AF85">
        <f t="shared" si="87"/>
        <v>0</v>
      </c>
      <c r="AG85">
        <f t="shared" si="87"/>
        <v>0</v>
      </c>
      <c r="AH85">
        <f t="shared" si="88"/>
        <v>0</v>
      </c>
      <c r="AI85">
        <f t="shared" si="88"/>
        <v>0</v>
      </c>
      <c r="AJ85">
        <f t="shared" si="88"/>
        <v>0</v>
      </c>
      <c r="AK85">
        <f t="shared" si="88"/>
        <v>0</v>
      </c>
      <c r="AL85">
        <f t="shared" si="88"/>
        <v>0</v>
      </c>
      <c r="AM85">
        <f t="shared" si="88"/>
        <v>0</v>
      </c>
      <c r="AN85">
        <f t="shared" si="88"/>
        <v>0</v>
      </c>
      <c r="AO85">
        <f t="shared" si="88"/>
        <v>0</v>
      </c>
      <c r="AP85">
        <f t="shared" si="88"/>
        <v>0</v>
      </c>
      <c r="AQ85">
        <f t="shared" si="88"/>
        <v>0</v>
      </c>
      <c r="AR85">
        <f t="shared" si="89"/>
        <v>0</v>
      </c>
      <c r="AS85">
        <f t="shared" si="89"/>
        <v>0</v>
      </c>
      <c r="AT85">
        <f t="shared" si="89"/>
        <v>0</v>
      </c>
      <c r="AU85">
        <f t="shared" si="89"/>
        <v>0</v>
      </c>
      <c r="AV85">
        <f t="shared" si="89"/>
        <v>0</v>
      </c>
      <c r="AW85">
        <f t="shared" si="89"/>
        <v>0</v>
      </c>
      <c r="AX85">
        <f t="shared" si="89"/>
        <v>0</v>
      </c>
      <c r="BB85" s="35">
        <f t="shared" si="69"/>
        <v>0</v>
      </c>
      <c r="BC85" s="35">
        <f t="shared" si="70"/>
        <v>0</v>
      </c>
      <c r="BD85" s="35">
        <f t="shared" si="71"/>
        <v>0</v>
      </c>
      <c r="BE85" s="35">
        <f t="shared" si="72"/>
        <v>0</v>
      </c>
      <c r="BF85" s="35">
        <f t="shared" si="73"/>
        <v>0</v>
      </c>
      <c r="BG85" s="35">
        <f t="shared" si="74"/>
        <v>0</v>
      </c>
      <c r="BH85" s="35">
        <f t="shared" si="75"/>
        <v>0</v>
      </c>
      <c r="BI85" s="35">
        <f t="shared" si="76"/>
        <v>0</v>
      </c>
      <c r="BJ85" s="35">
        <f t="shared" si="77"/>
        <v>0</v>
      </c>
      <c r="BK85" s="35">
        <f t="shared" si="78"/>
        <v>0</v>
      </c>
      <c r="BL85" s="35">
        <f t="shared" si="79"/>
        <v>0</v>
      </c>
      <c r="BM85" s="35">
        <f t="shared" si="80"/>
        <v>0</v>
      </c>
      <c r="BN85">
        <f t="shared" si="85"/>
        <v>0</v>
      </c>
      <c r="BO85">
        <f t="shared" si="85"/>
        <v>0</v>
      </c>
      <c r="BP85">
        <f t="shared" si="85"/>
        <v>0</v>
      </c>
      <c r="BQ85">
        <f t="shared" si="63"/>
        <v>0</v>
      </c>
      <c r="BR85">
        <f t="shared" si="64"/>
        <v>0</v>
      </c>
      <c r="BS85">
        <f t="shared" si="65"/>
        <v>0</v>
      </c>
      <c r="BT85">
        <f t="shared" si="66"/>
        <v>0</v>
      </c>
      <c r="BU85">
        <f t="shared" si="67"/>
        <v>0</v>
      </c>
    </row>
    <row r="86" spans="1:73" x14ac:dyDescent="0.3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1"/>
        <v>0</v>
      </c>
      <c r="L86">
        <f t="shared" si="62"/>
        <v>0</v>
      </c>
      <c r="M86">
        <f t="shared" si="68"/>
        <v>0</v>
      </c>
      <c r="N86">
        <f t="shared" si="86"/>
        <v>0</v>
      </c>
      <c r="O86">
        <f t="shared" si="86"/>
        <v>0</v>
      </c>
      <c r="P86">
        <f t="shared" si="86"/>
        <v>0</v>
      </c>
      <c r="Q86">
        <f t="shared" si="86"/>
        <v>0</v>
      </c>
      <c r="R86">
        <f t="shared" si="86"/>
        <v>0</v>
      </c>
      <c r="S86">
        <f t="shared" si="86"/>
        <v>0</v>
      </c>
      <c r="T86">
        <f t="shared" si="86"/>
        <v>0</v>
      </c>
      <c r="U86">
        <f t="shared" si="86"/>
        <v>0</v>
      </c>
      <c r="V86">
        <f t="shared" si="86"/>
        <v>0</v>
      </c>
      <c r="W86">
        <f t="shared" si="86"/>
        <v>0</v>
      </c>
      <c r="X86">
        <f t="shared" si="87"/>
        <v>0</v>
      </c>
      <c r="Y86">
        <f t="shared" si="87"/>
        <v>0</v>
      </c>
      <c r="Z86">
        <f t="shared" si="87"/>
        <v>0</v>
      </c>
      <c r="AA86">
        <f t="shared" si="87"/>
        <v>0</v>
      </c>
      <c r="AB86">
        <f t="shared" si="87"/>
        <v>0</v>
      </c>
      <c r="AC86">
        <f t="shared" si="87"/>
        <v>0</v>
      </c>
      <c r="AD86">
        <f t="shared" si="87"/>
        <v>0</v>
      </c>
      <c r="AE86">
        <f t="shared" si="87"/>
        <v>0</v>
      </c>
      <c r="AF86">
        <f t="shared" si="87"/>
        <v>0</v>
      </c>
      <c r="AG86">
        <f t="shared" si="87"/>
        <v>0</v>
      </c>
      <c r="AH86">
        <f t="shared" si="88"/>
        <v>0</v>
      </c>
      <c r="AI86">
        <f t="shared" si="88"/>
        <v>0</v>
      </c>
      <c r="AJ86">
        <f t="shared" si="88"/>
        <v>0</v>
      </c>
      <c r="AK86">
        <f t="shared" si="88"/>
        <v>0</v>
      </c>
      <c r="AL86">
        <f t="shared" si="88"/>
        <v>0</v>
      </c>
      <c r="AM86">
        <f t="shared" si="88"/>
        <v>0</v>
      </c>
      <c r="AN86">
        <f t="shared" si="88"/>
        <v>0</v>
      </c>
      <c r="AO86">
        <f t="shared" si="88"/>
        <v>0</v>
      </c>
      <c r="AP86">
        <f t="shared" si="88"/>
        <v>0</v>
      </c>
      <c r="AQ86">
        <f t="shared" si="88"/>
        <v>0</v>
      </c>
      <c r="AR86">
        <f t="shared" si="89"/>
        <v>0</v>
      </c>
      <c r="AS86">
        <f t="shared" si="89"/>
        <v>0</v>
      </c>
      <c r="AT86">
        <f t="shared" si="89"/>
        <v>0</v>
      </c>
      <c r="AU86">
        <f t="shared" si="89"/>
        <v>0</v>
      </c>
      <c r="AV86">
        <f t="shared" si="89"/>
        <v>0</v>
      </c>
      <c r="AW86">
        <f t="shared" si="89"/>
        <v>0</v>
      </c>
      <c r="AX86">
        <f t="shared" si="89"/>
        <v>0</v>
      </c>
      <c r="BB86" s="35">
        <f t="shared" si="69"/>
        <v>0</v>
      </c>
      <c r="BC86" s="35">
        <f t="shared" si="70"/>
        <v>0</v>
      </c>
      <c r="BD86" s="35">
        <f t="shared" si="71"/>
        <v>0</v>
      </c>
      <c r="BE86" s="35">
        <f t="shared" si="72"/>
        <v>0</v>
      </c>
      <c r="BF86" s="35">
        <f t="shared" si="73"/>
        <v>0</v>
      </c>
      <c r="BG86" s="35">
        <f t="shared" si="74"/>
        <v>0</v>
      </c>
      <c r="BH86" s="35">
        <f t="shared" si="75"/>
        <v>0</v>
      </c>
      <c r="BI86" s="35">
        <f t="shared" si="76"/>
        <v>0</v>
      </c>
      <c r="BJ86" s="35">
        <f t="shared" si="77"/>
        <v>0</v>
      </c>
      <c r="BK86" s="35">
        <f t="shared" si="78"/>
        <v>0</v>
      </c>
      <c r="BL86" s="35">
        <f t="shared" si="79"/>
        <v>0</v>
      </c>
      <c r="BM86" s="35">
        <f t="shared" si="80"/>
        <v>0</v>
      </c>
      <c r="BN86">
        <f t="shared" si="85"/>
        <v>0</v>
      </c>
      <c r="BO86">
        <f t="shared" si="85"/>
        <v>0</v>
      </c>
      <c r="BP86">
        <f t="shared" si="85"/>
        <v>0</v>
      </c>
      <c r="BQ86">
        <f t="shared" si="63"/>
        <v>0</v>
      </c>
      <c r="BR86">
        <f t="shared" si="64"/>
        <v>0</v>
      </c>
      <c r="BS86">
        <f t="shared" si="65"/>
        <v>0</v>
      </c>
      <c r="BT86">
        <f t="shared" si="66"/>
        <v>0</v>
      </c>
      <c r="BU86">
        <f t="shared" si="67"/>
        <v>0</v>
      </c>
    </row>
    <row r="87" spans="1:73" x14ac:dyDescent="0.3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1"/>
        <v>0</v>
      </c>
      <c r="L87">
        <f t="shared" si="62"/>
        <v>0</v>
      </c>
      <c r="M87">
        <f t="shared" si="68"/>
        <v>0</v>
      </c>
      <c r="N87">
        <f t="shared" si="86"/>
        <v>0</v>
      </c>
      <c r="O87">
        <f t="shared" si="86"/>
        <v>0</v>
      </c>
      <c r="P87">
        <f t="shared" si="86"/>
        <v>0</v>
      </c>
      <c r="Q87">
        <f t="shared" si="86"/>
        <v>0</v>
      </c>
      <c r="R87">
        <f t="shared" si="86"/>
        <v>0</v>
      </c>
      <c r="S87">
        <f t="shared" si="86"/>
        <v>0</v>
      </c>
      <c r="T87">
        <f t="shared" si="86"/>
        <v>0</v>
      </c>
      <c r="U87">
        <f t="shared" si="86"/>
        <v>0</v>
      </c>
      <c r="V87">
        <f t="shared" si="86"/>
        <v>0</v>
      </c>
      <c r="W87">
        <f t="shared" si="86"/>
        <v>0</v>
      </c>
      <c r="X87">
        <f t="shared" si="87"/>
        <v>0</v>
      </c>
      <c r="Y87">
        <f t="shared" si="87"/>
        <v>0</v>
      </c>
      <c r="Z87">
        <f t="shared" si="87"/>
        <v>0</v>
      </c>
      <c r="AA87">
        <f t="shared" si="87"/>
        <v>0</v>
      </c>
      <c r="AB87">
        <f t="shared" si="87"/>
        <v>0</v>
      </c>
      <c r="AC87">
        <f t="shared" si="87"/>
        <v>0</v>
      </c>
      <c r="AD87">
        <f t="shared" si="87"/>
        <v>0</v>
      </c>
      <c r="AE87">
        <f t="shared" si="87"/>
        <v>0</v>
      </c>
      <c r="AF87">
        <f t="shared" si="87"/>
        <v>0</v>
      </c>
      <c r="AG87">
        <f t="shared" si="87"/>
        <v>0</v>
      </c>
      <c r="AH87">
        <f t="shared" si="88"/>
        <v>0</v>
      </c>
      <c r="AI87">
        <f t="shared" si="88"/>
        <v>0</v>
      </c>
      <c r="AJ87">
        <f t="shared" si="88"/>
        <v>0</v>
      </c>
      <c r="AK87">
        <f t="shared" si="88"/>
        <v>0</v>
      </c>
      <c r="AL87">
        <f t="shared" si="88"/>
        <v>0</v>
      </c>
      <c r="AM87">
        <f t="shared" si="88"/>
        <v>0</v>
      </c>
      <c r="AN87">
        <f t="shared" si="88"/>
        <v>0</v>
      </c>
      <c r="AO87">
        <f t="shared" si="88"/>
        <v>0</v>
      </c>
      <c r="AP87">
        <f t="shared" si="88"/>
        <v>0</v>
      </c>
      <c r="AQ87">
        <f t="shared" si="88"/>
        <v>0</v>
      </c>
      <c r="AR87">
        <f t="shared" si="89"/>
        <v>0</v>
      </c>
      <c r="AS87">
        <f t="shared" si="89"/>
        <v>0</v>
      </c>
      <c r="AT87">
        <f t="shared" si="89"/>
        <v>0</v>
      </c>
      <c r="AU87">
        <f t="shared" si="89"/>
        <v>0</v>
      </c>
      <c r="AV87">
        <f t="shared" si="89"/>
        <v>0</v>
      </c>
      <c r="AW87">
        <f t="shared" si="89"/>
        <v>0</v>
      </c>
      <c r="AX87">
        <f t="shared" si="89"/>
        <v>0</v>
      </c>
      <c r="BB87" s="35">
        <f t="shared" si="69"/>
        <v>0</v>
      </c>
      <c r="BC87" s="35">
        <f t="shared" si="70"/>
        <v>0</v>
      </c>
      <c r="BD87" s="35">
        <f t="shared" si="71"/>
        <v>0</v>
      </c>
      <c r="BE87" s="35">
        <f t="shared" si="72"/>
        <v>0</v>
      </c>
      <c r="BF87" s="35">
        <f t="shared" si="73"/>
        <v>0</v>
      </c>
      <c r="BG87" s="35">
        <f t="shared" si="74"/>
        <v>0</v>
      </c>
      <c r="BH87" s="35">
        <f t="shared" si="75"/>
        <v>0</v>
      </c>
      <c r="BI87" s="35">
        <f t="shared" si="76"/>
        <v>0</v>
      </c>
      <c r="BJ87" s="35">
        <f t="shared" si="77"/>
        <v>0</v>
      </c>
      <c r="BK87" s="35">
        <f t="shared" si="78"/>
        <v>0</v>
      </c>
      <c r="BL87" s="35">
        <f t="shared" si="79"/>
        <v>0</v>
      </c>
      <c r="BM87" s="35">
        <f t="shared" si="80"/>
        <v>0</v>
      </c>
      <c r="BN87">
        <f t="shared" si="85"/>
        <v>0</v>
      </c>
      <c r="BO87">
        <f t="shared" si="85"/>
        <v>0</v>
      </c>
      <c r="BP87">
        <f t="shared" si="85"/>
        <v>0</v>
      </c>
      <c r="BQ87">
        <f t="shared" si="63"/>
        <v>0</v>
      </c>
      <c r="BR87">
        <f t="shared" si="64"/>
        <v>0</v>
      </c>
      <c r="BS87">
        <f t="shared" si="65"/>
        <v>0</v>
      </c>
      <c r="BT87">
        <f t="shared" si="66"/>
        <v>0</v>
      </c>
      <c r="BU87">
        <f t="shared" si="67"/>
        <v>0</v>
      </c>
    </row>
    <row r="88" spans="1:73" x14ac:dyDescent="0.3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1"/>
        <v>0</v>
      </c>
      <c r="L88">
        <f t="shared" si="62"/>
        <v>0</v>
      </c>
      <c r="M88">
        <f t="shared" si="68"/>
        <v>0</v>
      </c>
      <c r="N88">
        <f t="shared" si="86"/>
        <v>0</v>
      </c>
      <c r="O88">
        <f t="shared" si="86"/>
        <v>0</v>
      </c>
      <c r="P88">
        <f t="shared" si="86"/>
        <v>0</v>
      </c>
      <c r="Q88">
        <f t="shared" si="86"/>
        <v>0</v>
      </c>
      <c r="R88">
        <f t="shared" si="86"/>
        <v>0</v>
      </c>
      <c r="S88">
        <f t="shared" si="86"/>
        <v>0</v>
      </c>
      <c r="T88">
        <f t="shared" si="86"/>
        <v>0</v>
      </c>
      <c r="U88">
        <f t="shared" si="86"/>
        <v>0</v>
      </c>
      <c r="V88">
        <f t="shared" si="86"/>
        <v>0</v>
      </c>
      <c r="W88">
        <f t="shared" si="86"/>
        <v>0</v>
      </c>
      <c r="X88">
        <f t="shared" si="87"/>
        <v>0</v>
      </c>
      <c r="Y88">
        <f t="shared" si="87"/>
        <v>0</v>
      </c>
      <c r="Z88">
        <f t="shared" si="87"/>
        <v>0</v>
      </c>
      <c r="AA88">
        <f t="shared" si="87"/>
        <v>0</v>
      </c>
      <c r="AB88">
        <f t="shared" si="87"/>
        <v>0</v>
      </c>
      <c r="AC88">
        <f t="shared" si="87"/>
        <v>0</v>
      </c>
      <c r="AD88">
        <f t="shared" si="87"/>
        <v>0</v>
      </c>
      <c r="AE88">
        <f t="shared" si="87"/>
        <v>0</v>
      </c>
      <c r="AF88">
        <f t="shared" si="87"/>
        <v>0</v>
      </c>
      <c r="AG88">
        <f t="shared" si="87"/>
        <v>0</v>
      </c>
      <c r="AH88">
        <f t="shared" si="88"/>
        <v>0</v>
      </c>
      <c r="AI88">
        <f t="shared" si="88"/>
        <v>0</v>
      </c>
      <c r="AJ88">
        <f t="shared" si="88"/>
        <v>0</v>
      </c>
      <c r="AK88">
        <f t="shared" si="88"/>
        <v>0</v>
      </c>
      <c r="AL88">
        <f t="shared" si="88"/>
        <v>0</v>
      </c>
      <c r="AM88">
        <f t="shared" si="88"/>
        <v>0</v>
      </c>
      <c r="AN88">
        <f t="shared" si="88"/>
        <v>0</v>
      </c>
      <c r="AO88">
        <f t="shared" si="88"/>
        <v>0</v>
      </c>
      <c r="AP88">
        <f t="shared" si="88"/>
        <v>0</v>
      </c>
      <c r="AQ88">
        <f t="shared" si="88"/>
        <v>0</v>
      </c>
      <c r="AR88">
        <f t="shared" si="89"/>
        <v>0</v>
      </c>
      <c r="AS88">
        <f t="shared" si="89"/>
        <v>0</v>
      </c>
      <c r="AT88">
        <f t="shared" si="89"/>
        <v>0</v>
      </c>
      <c r="AU88">
        <f t="shared" si="89"/>
        <v>0</v>
      </c>
      <c r="AV88">
        <f t="shared" si="89"/>
        <v>0</v>
      </c>
      <c r="AW88">
        <f t="shared" si="89"/>
        <v>0</v>
      </c>
      <c r="AX88">
        <f t="shared" si="89"/>
        <v>0</v>
      </c>
      <c r="BB88" s="35">
        <f t="shared" si="69"/>
        <v>0</v>
      </c>
      <c r="BC88" s="35">
        <f t="shared" si="70"/>
        <v>0</v>
      </c>
      <c r="BD88" s="35">
        <f t="shared" si="71"/>
        <v>0</v>
      </c>
      <c r="BE88" s="35">
        <f t="shared" si="72"/>
        <v>0</v>
      </c>
      <c r="BF88" s="35">
        <f t="shared" si="73"/>
        <v>0</v>
      </c>
      <c r="BG88" s="35">
        <f t="shared" si="74"/>
        <v>0</v>
      </c>
      <c r="BH88" s="35">
        <f t="shared" si="75"/>
        <v>0</v>
      </c>
      <c r="BI88" s="35">
        <f t="shared" si="76"/>
        <v>0</v>
      </c>
      <c r="BJ88" s="35">
        <f t="shared" si="77"/>
        <v>0</v>
      </c>
      <c r="BK88" s="35">
        <f t="shared" si="78"/>
        <v>0</v>
      </c>
      <c r="BL88" s="35">
        <f t="shared" si="79"/>
        <v>0</v>
      </c>
      <c r="BM88" s="35">
        <f t="shared" si="80"/>
        <v>0</v>
      </c>
      <c r="BN88">
        <f t="shared" si="85"/>
        <v>0</v>
      </c>
      <c r="BO88">
        <f t="shared" si="85"/>
        <v>0</v>
      </c>
      <c r="BP88">
        <f t="shared" si="85"/>
        <v>0</v>
      </c>
      <c r="BQ88">
        <f t="shared" si="63"/>
        <v>0</v>
      </c>
      <c r="BR88">
        <f t="shared" si="64"/>
        <v>0</v>
      </c>
      <c r="BS88">
        <f t="shared" si="65"/>
        <v>0</v>
      </c>
      <c r="BT88">
        <f t="shared" si="66"/>
        <v>0</v>
      </c>
      <c r="BU88">
        <f t="shared" si="67"/>
        <v>0</v>
      </c>
    </row>
    <row r="89" spans="1:73" x14ac:dyDescent="0.3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1"/>
        <v>0</v>
      </c>
      <c r="L89">
        <f t="shared" si="62"/>
        <v>0</v>
      </c>
      <c r="M89">
        <f t="shared" si="68"/>
        <v>0</v>
      </c>
      <c r="N89">
        <f t="shared" si="86"/>
        <v>0</v>
      </c>
      <c r="O89">
        <f t="shared" si="86"/>
        <v>0</v>
      </c>
      <c r="P89">
        <f t="shared" si="86"/>
        <v>0</v>
      </c>
      <c r="Q89">
        <f t="shared" si="86"/>
        <v>0</v>
      </c>
      <c r="R89">
        <f t="shared" si="86"/>
        <v>0</v>
      </c>
      <c r="S89">
        <f t="shared" si="86"/>
        <v>0</v>
      </c>
      <c r="T89">
        <f t="shared" si="86"/>
        <v>0</v>
      </c>
      <c r="U89">
        <f t="shared" si="86"/>
        <v>0</v>
      </c>
      <c r="V89">
        <f t="shared" si="86"/>
        <v>0</v>
      </c>
      <c r="W89">
        <f t="shared" si="86"/>
        <v>0</v>
      </c>
      <c r="X89">
        <f t="shared" si="87"/>
        <v>0</v>
      </c>
      <c r="Y89">
        <f t="shared" si="87"/>
        <v>0</v>
      </c>
      <c r="Z89">
        <f t="shared" si="87"/>
        <v>0</v>
      </c>
      <c r="AA89">
        <f t="shared" si="87"/>
        <v>0</v>
      </c>
      <c r="AB89">
        <f t="shared" si="87"/>
        <v>0</v>
      </c>
      <c r="AC89">
        <f t="shared" si="87"/>
        <v>0</v>
      </c>
      <c r="AD89">
        <f t="shared" si="87"/>
        <v>0</v>
      </c>
      <c r="AE89">
        <f t="shared" si="87"/>
        <v>0</v>
      </c>
      <c r="AF89">
        <f t="shared" si="87"/>
        <v>0</v>
      </c>
      <c r="AG89">
        <f t="shared" si="87"/>
        <v>0</v>
      </c>
      <c r="AH89">
        <f t="shared" si="88"/>
        <v>0</v>
      </c>
      <c r="AI89">
        <f t="shared" si="88"/>
        <v>0</v>
      </c>
      <c r="AJ89">
        <f t="shared" si="88"/>
        <v>0</v>
      </c>
      <c r="AK89">
        <f t="shared" si="88"/>
        <v>0</v>
      </c>
      <c r="AL89">
        <f t="shared" si="88"/>
        <v>0</v>
      </c>
      <c r="AM89">
        <f t="shared" si="88"/>
        <v>0</v>
      </c>
      <c r="AN89">
        <f t="shared" si="88"/>
        <v>0</v>
      </c>
      <c r="AO89">
        <f t="shared" si="88"/>
        <v>0</v>
      </c>
      <c r="AP89">
        <f t="shared" si="88"/>
        <v>0</v>
      </c>
      <c r="AQ89">
        <f t="shared" si="88"/>
        <v>0</v>
      </c>
      <c r="AR89">
        <f t="shared" si="89"/>
        <v>0</v>
      </c>
      <c r="AS89">
        <f t="shared" si="89"/>
        <v>0</v>
      </c>
      <c r="AT89">
        <f t="shared" si="89"/>
        <v>0</v>
      </c>
      <c r="AU89">
        <f t="shared" si="89"/>
        <v>0</v>
      </c>
      <c r="AV89">
        <f t="shared" si="89"/>
        <v>0</v>
      </c>
      <c r="AW89">
        <f t="shared" si="89"/>
        <v>0</v>
      </c>
      <c r="AX89">
        <f t="shared" si="89"/>
        <v>0</v>
      </c>
      <c r="BB89" s="35">
        <f t="shared" si="69"/>
        <v>0</v>
      </c>
      <c r="BC89" s="35">
        <f t="shared" si="70"/>
        <v>0</v>
      </c>
      <c r="BD89" s="35">
        <f t="shared" si="71"/>
        <v>0</v>
      </c>
      <c r="BE89" s="35">
        <f t="shared" si="72"/>
        <v>0</v>
      </c>
      <c r="BF89" s="35">
        <f t="shared" si="73"/>
        <v>0</v>
      </c>
      <c r="BG89" s="35">
        <f t="shared" si="74"/>
        <v>0</v>
      </c>
      <c r="BH89" s="35">
        <f t="shared" si="75"/>
        <v>0</v>
      </c>
      <c r="BI89" s="35">
        <f t="shared" si="76"/>
        <v>0</v>
      </c>
      <c r="BJ89" s="35">
        <f t="shared" si="77"/>
        <v>0</v>
      </c>
      <c r="BK89" s="35">
        <f t="shared" si="78"/>
        <v>0</v>
      </c>
      <c r="BL89" s="35">
        <f t="shared" si="79"/>
        <v>0</v>
      </c>
      <c r="BM89" s="35">
        <f t="shared" si="80"/>
        <v>0</v>
      </c>
      <c r="BN89">
        <f t="shared" si="85"/>
        <v>0</v>
      </c>
      <c r="BO89">
        <f t="shared" si="85"/>
        <v>0</v>
      </c>
      <c r="BP89">
        <f t="shared" si="85"/>
        <v>0</v>
      </c>
      <c r="BQ89">
        <f t="shared" si="63"/>
        <v>0</v>
      </c>
      <c r="BR89">
        <f t="shared" si="64"/>
        <v>0</v>
      </c>
      <c r="BS89">
        <f t="shared" si="65"/>
        <v>0</v>
      </c>
      <c r="BT89">
        <f t="shared" si="66"/>
        <v>0</v>
      </c>
      <c r="BU89">
        <f t="shared" si="67"/>
        <v>0</v>
      </c>
    </row>
    <row r="90" spans="1:73" x14ac:dyDescent="0.3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1"/>
        <v>0</v>
      </c>
      <c r="L90">
        <f t="shared" si="62"/>
        <v>0</v>
      </c>
      <c r="M90">
        <f t="shared" si="68"/>
        <v>0</v>
      </c>
      <c r="N90">
        <f t="shared" si="86"/>
        <v>0</v>
      </c>
      <c r="O90">
        <f t="shared" si="86"/>
        <v>0</v>
      </c>
      <c r="P90">
        <f t="shared" si="86"/>
        <v>0</v>
      </c>
      <c r="Q90">
        <f t="shared" si="86"/>
        <v>0</v>
      </c>
      <c r="R90">
        <f t="shared" si="86"/>
        <v>0</v>
      </c>
      <c r="S90">
        <f t="shared" si="86"/>
        <v>0</v>
      </c>
      <c r="T90">
        <f t="shared" si="86"/>
        <v>0</v>
      </c>
      <c r="U90">
        <f t="shared" si="86"/>
        <v>0</v>
      </c>
      <c r="V90">
        <f t="shared" si="86"/>
        <v>0</v>
      </c>
      <c r="W90">
        <f t="shared" si="86"/>
        <v>0</v>
      </c>
      <c r="X90">
        <f t="shared" si="87"/>
        <v>0</v>
      </c>
      <c r="Y90">
        <f t="shared" si="87"/>
        <v>0</v>
      </c>
      <c r="Z90">
        <f t="shared" si="87"/>
        <v>0</v>
      </c>
      <c r="AA90">
        <f t="shared" si="87"/>
        <v>0</v>
      </c>
      <c r="AB90">
        <f t="shared" si="87"/>
        <v>0</v>
      </c>
      <c r="AC90">
        <f t="shared" si="87"/>
        <v>0</v>
      </c>
      <c r="AD90">
        <f t="shared" si="87"/>
        <v>0</v>
      </c>
      <c r="AE90">
        <f t="shared" si="87"/>
        <v>0</v>
      </c>
      <c r="AF90">
        <f t="shared" si="87"/>
        <v>0</v>
      </c>
      <c r="AG90">
        <f t="shared" si="87"/>
        <v>0</v>
      </c>
      <c r="AH90">
        <f t="shared" si="88"/>
        <v>0</v>
      </c>
      <c r="AI90">
        <f t="shared" si="88"/>
        <v>0</v>
      </c>
      <c r="AJ90">
        <f t="shared" si="88"/>
        <v>0</v>
      </c>
      <c r="AK90">
        <f t="shared" si="88"/>
        <v>0</v>
      </c>
      <c r="AL90">
        <f t="shared" si="88"/>
        <v>0</v>
      </c>
      <c r="AM90">
        <f t="shared" si="88"/>
        <v>0</v>
      </c>
      <c r="AN90">
        <f t="shared" si="88"/>
        <v>0</v>
      </c>
      <c r="AO90">
        <f t="shared" si="88"/>
        <v>0</v>
      </c>
      <c r="AP90">
        <f t="shared" si="88"/>
        <v>0</v>
      </c>
      <c r="AQ90">
        <f t="shared" si="88"/>
        <v>0</v>
      </c>
      <c r="AR90">
        <f t="shared" si="89"/>
        <v>0</v>
      </c>
      <c r="AS90">
        <f t="shared" si="89"/>
        <v>0</v>
      </c>
      <c r="AT90">
        <f t="shared" si="89"/>
        <v>0</v>
      </c>
      <c r="AU90">
        <f t="shared" si="89"/>
        <v>0</v>
      </c>
      <c r="AV90">
        <f t="shared" si="89"/>
        <v>0</v>
      </c>
      <c r="AW90">
        <f t="shared" si="89"/>
        <v>0</v>
      </c>
      <c r="AX90">
        <f t="shared" si="89"/>
        <v>0</v>
      </c>
      <c r="BB90" s="35">
        <f t="shared" si="69"/>
        <v>0</v>
      </c>
      <c r="BC90" s="35">
        <f t="shared" si="70"/>
        <v>0</v>
      </c>
      <c r="BD90" s="35">
        <f t="shared" si="71"/>
        <v>0</v>
      </c>
      <c r="BE90" s="35">
        <f t="shared" si="72"/>
        <v>0</v>
      </c>
      <c r="BF90" s="35">
        <f t="shared" si="73"/>
        <v>0</v>
      </c>
      <c r="BG90" s="35">
        <f t="shared" si="74"/>
        <v>0</v>
      </c>
      <c r="BH90" s="35">
        <f t="shared" si="75"/>
        <v>0</v>
      </c>
      <c r="BI90" s="35">
        <f t="shared" si="76"/>
        <v>0</v>
      </c>
      <c r="BJ90" s="35">
        <f t="shared" si="77"/>
        <v>0</v>
      </c>
      <c r="BK90" s="35">
        <f t="shared" si="78"/>
        <v>0</v>
      </c>
      <c r="BL90" s="35">
        <f t="shared" si="79"/>
        <v>0</v>
      </c>
      <c r="BM90" s="35">
        <f t="shared" si="80"/>
        <v>0</v>
      </c>
      <c r="BN90">
        <f t="shared" si="85"/>
        <v>0</v>
      </c>
      <c r="BO90">
        <f t="shared" si="85"/>
        <v>0</v>
      </c>
      <c r="BP90">
        <f t="shared" si="85"/>
        <v>0</v>
      </c>
      <c r="BQ90">
        <f t="shared" si="63"/>
        <v>0</v>
      </c>
      <c r="BR90">
        <f t="shared" si="64"/>
        <v>0</v>
      </c>
      <c r="BS90">
        <f t="shared" si="65"/>
        <v>0</v>
      </c>
      <c r="BT90">
        <f t="shared" si="66"/>
        <v>0</v>
      </c>
      <c r="BU90">
        <f t="shared" si="67"/>
        <v>0</v>
      </c>
    </row>
    <row r="91" spans="1:73" x14ac:dyDescent="0.3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1"/>
        <v>0</v>
      </c>
      <c r="L91">
        <f t="shared" si="62"/>
        <v>0</v>
      </c>
      <c r="M91">
        <f t="shared" si="68"/>
        <v>0</v>
      </c>
      <c r="N91">
        <f t="shared" si="86"/>
        <v>0</v>
      </c>
      <c r="O91">
        <f t="shared" si="86"/>
        <v>0</v>
      </c>
      <c r="P91">
        <f t="shared" si="86"/>
        <v>0</v>
      </c>
      <c r="Q91">
        <f t="shared" si="86"/>
        <v>0</v>
      </c>
      <c r="R91">
        <f t="shared" si="86"/>
        <v>0</v>
      </c>
      <c r="S91">
        <f t="shared" si="86"/>
        <v>0</v>
      </c>
      <c r="T91">
        <f t="shared" si="86"/>
        <v>0</v>
      </c>
      <c r="U91">
        <f t="shared" si="86"/>
        <v>0</v>
      </c>
      <c r="V91">
        <f t="shared" si="86"/>
        <v>0</v>
      </c>
      <c r="W91">
        <f t="shared" si="86"/>
        <v>0</v>
      </c>
      <c r="X91">
        <f t="shared" si="87"/>
        <v>0</v>
      </c>
      <c r="Y91">
        <f t="shared" si="87"/>
        <v>0</v>
      </c>
      <c r="Z91">
        <f t="shared" si="87"/>
        <v>0</v>
      </c>
      <c r="AA91">
        <f t="shared" si="87"/>
        <v>0</v>
      </c>
      <c r="AB91">
        <f t="shared" si="87"/>
        <v>0</v>
      </c>
      <c r="AC91">
        <f t="shared" si="87"/>
        <v>0</v>
      </c>
      <c r="AD91">
        <f t="shared" si="87"/>
        <v>0</v>
      </c>
      <c r="AE91">
        <f t="shared" si="87"/>
        <v>0</v>
      </c>
      <c r="AF91">
        <f t="shared" si="87"/>
        <v>0</v>
      </c>
      <c r="AG91">
        <f t="shared" si="87"/>
        <v>0</v>
      </c>
      <c r="AH91">
        <f t="shared" si="88"/>
        <v>0</v>
      </c>
      <c r="AI91">
        <f t="shared" si="88"/>
        <v>0</v>
      </c>
      <c r="AJ91">
        <f t="shared" si="88"/>
        <v>0</v>
      </c>
      <c r="AK91">
        <f t="shared" si="88"/>
        <v>0</v>
      </c>
      <c r="AL91">
        <f t="shared" si="88"/>
        <v>0</v>
      </c>
      <c r="AM91">
        <f t="shared" si="88"/>
        <v>0</v>
      </c>
      <c r="AN91">
        <f t="shared" si="88"/>
        <v>0</v>
      </c>
      <c r="AO91">
        <f t="shared" si="88"/>
        <v>0</v>
      </c>
      <c r="AP91">
        <f t="shared" si="88"/>
        <v>0</v>
      </c>
      <c r="AQ91">
        <f t="shared" si="88"/>
        <v>0</v>
      </c>
      <c r="AR91">
        <f t="shared" si="89"/>
        <v>0</v>
      </c>
      <c r="AS91">
        <f t="shared" si="89"/>
        <v>0</v>
      </c>
      <c r="AT91">
        <f t="shared" si="89"/>
        <v>0</v>
      </c>
      <c r="AU91">
        <f t="shared" si="89"/>
        <v>0</v>
      </c>
      <c r="AV91">
        <f t="shared" si="89"/>
        <v>0</v>
      </c>
      <c r="AW91">
        <f t="shared" si="89"/>
        <v>0</v>
      </c>
      <c r="AX91">
        <f t="shared" si="89"/>
        <v>0</v>
      </c>
      <c r="BB91" s="35">
        <f t="shared" si="69"/>
        <v>0</v>
      </c>
      <c r="BC91" s="35">
        <f t="shared" si="70"/>
        <v>0</v>
      </c>
      <c r="BD91" s="35">
        <f t="shared" si="71"/>
        <v>0</v>
      </c>
      <c r="BE91" s="35">
        <f t="shared" si="72"/>
        <v>0</v>
      </c>
      <c r="BF91" s="35">
        <f t="shared" si="73"/>
        <v>0</v>
      </c>
      <c r="BG91" s="35">
        <f t="shared" si="74"/>
        <v>0</v>
      </c>
      <c r="BH91" s="35">
        <f t="shared" si="75"/>
        <v>0</v>
      </c>
      <c r="BI91" s="35">
        <f t="shared" si="76"/>
        <v>0</v>
      </c>
      <c r="BJ91" s="35">
        <f t="shared" si="77"/>
        <v>0</v>
      </c>
      <c r="BK91" s="35">
        <f t="shared" si="78"/>
        <v>0</v>
      </c>
      <c r="BL91" s="35">
        <f t="shared" si="79"/>
        <v>0</v>
      </c>
      <c r="BM91" s="35">
        <f t="shared" si="80"/>
        <v>0</v>
      </c>
      <c r="BN91">
        <f t="shared" si="85"/>
        <v>0</v>
      </c>
      <c r="BO91">
        <f t="shared" si="85"/>
        <v>0</v>
      </c>
      <c r="BP91">
        <f t="shared" si="85"/>
        <v>0</v>
      </c>
      <c r="BQ91">
        <f t="shared" si="63"/>
        <v>0</v>
      </c>
      <c r="BR91">
        <f t="shared" si="64"/>
        <v>0</v>
      </c>
      <c r="BS91">
        <f t="shared" si="65"/>
        <v>0</v>
      </c>
      <c r="BT91">
        <f t="shared" si="66"/>
        <v>0</v>
      </c>
      <c r="BU91">
        <f t="shared" si="67"/>
        <v>0</v>
      </c>
    </row>
    <row r="92" spans="1:73" x14ac:dyDescent="0.3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1"/>
        <v>0</v>
      </c>
      <c r="L92">
        <f t="shared" si="62"/>
        <v>0</v>
      </c>
      <c r="M92">
        <f t="shared" si="68"/>
        <v>0</v>
      </c>
      <c r="N92">
        <f t="shared" si="86"/>
        <v>0</v>
      </c>
      <c r="O92">
        <f t="shared" si="86"/>
        <v>0</v>
      </c>
      <c r="P92">
        <f t="shared" si="86"/>
        <v>0</v>
      </c>
      <c r="Q92">
        <f t="shared" si="86"/>
        <v>0</v>
      </c>
      <c r="R92">
        <f t="shared" si="86"/>
        <v>0</v>
      </c>
      <c r="S92">
        <f t="shared" si="86"/>
        <v>0</v>
      </c>
      <c r="T92">
        <f t="shared" si="86"/>
        <v>0</v>
      </c>
      <c r="U92">
        <f t="shared" si="86"/>
        <v>0</v>
      </c>
      <c r="V92">
        <f t="shared" si="86"/>
        <v>0</v>
      </c>
      <c r="W92">
        <f t="shared" si="86"/>
        <v>0</v>
      </c>
      <c r="X92">
        <f t="shared" si="87"/>
        <v>0</v>
      </c>
      <c r="Y92">
        <f t="shared" si="87"/>
        <v>0</v>
      </c>
      <c r="Z92">
        <f t="shared" si="87"/>
        <v>0</v>
      </c>
      <c r="AA92">
        <f t="shared" si="87"/>
        <v>0</v>
      </c>
      <c r="AB92">
        <f t="shared" si="87"/>
        <v>0</v>
      </c>
      <c r="AC92">
        <f t="shared" si="87"/>
        <v>0</v>
      </c>
      <c r="AD92">
        <f t="shared" si="87"/>
        <v>0</v>
      </c>
      <c r="AE92">
        <f t="shared" si="87"/>
        <v>0</v>
      </c>
      <c r="AF92">
        <f t="shared" si="87"/>
        <v>0</v>
      </c>
      <c r="AG92">
        <f t="shared" si="87"/>
        <v>0</v>
      </c>
      <c r="AH92">
        <f t="shared" si="88"/>
        <v>0</v>
      </c>
      <c r="AI92">
        <f t="shared" si="88"/>
        <v>0</v>
      </c>
      <c r="AJ92">
        <f t="shared" si="88"/>
        <v>0</v>
      </c>
      <c r="AK92">
        <f t="shared" si="88"/>
        <v>0</v>
      </c>
      <c r="AL92">
        <f t="shared" si="88"/>
        <v>0</v>
      </c>
      <c r="AM92">
        <f t="shared" si="88"/>
        <v>0</v>
      </c>
      <c r="AN92">
        <f t="shared" si="88"/>
        <v>0</v>
      </c>
      <c r="AO92">
        <f t="shared" si="88"/>
        <v>0</v>
      </c>
      <c r="AP92">
        <f t="shared" si="88"/>
        <v>0</v>
      </c>
      <c r="AQ92">
        <f t="shared" si="88"/>
        <v>0</v>
      </c>
      <c r="AR92">
        <f t="shared" si="89"/>
        <v>0</v>
      </c>
      <c r="AS92">
        <f t="shared" si="89"/>
        <v>0</v>
      </c>
      <c r="AT92">
        <f t="shared" si="89"/>
        <v>0</v>
      </c>
      <c r="AU92">
        <f t="shared" si="89"/>
        <v>0</v>
      </c>
      <c r="AV92">
        <f t="shared" si="89"/>
        <v>0</v>
      </c>
      <c r="AW92">
        <f t="shared" si="89"/>
        <v>0</v>
      </c>
      <c r="AX92">
        <f t="shared" si="89"/>
        <v>0</v>
      </c>
      <c r="BB92" s="35">
        <f t="shared" si="69"/>
        <v>0</v>
      </c>
      <c r="BC92" s="35">
        <f t="shared" si="70"/>
        <v>0</v>
      </c>
      <c r="BD92" s="35">
        <f t="shared" si="71"/>
        <v>0</v>
      </c>
      <c r="BE92" s="35">
        <f t="shared" si="72"/>
        <v>0</v>
      </c>
      <c r="BF92" s="35">
        <f t="shared" si="73"/>
        <v>0</v>
      </c>
      <c r="BG92" s="35">
        <f t="shared" si="74"/>
        <v>0</v>
      </c>
      <c r="BH92" s="35">
        <f t="shared" si="75"/>
        <v>0</v>
      </c>
      <c r="BI92" s="35">
        <f t="shared" si="76"/>
        <v>0</v>
      </c>
      <c r="BJ92" s="35">
        <f t="shared" si="77"/>
        <v>0</v>
      </c>
      <c r="BK92" s="35">
        <f t="shared" si="78"/>
        <v>0</v>
      </c>
      <c r="BL92" s="35">
        <f t="shared" si="79"/>
        <v>0</v>
      </c>
      <c r="BM92" s="35">
        <f t="shared" si="80"/>
        <v>0</v>
      </c>
      <c r="BN92">
        <f t="shared" si="85"/>
        <v>0</v>
      </c>
      <c r="BO92">
        <f t="shared" si="85"/>
        <v>0</v>
      </c>
      <c r="BP92">
        <f t="shared" si="85"/>
        <v>0</v>
      </c>
      <c r="BQ92">
        <f t="shared" si="63"/>
        <v>0</v>
      </c>
      <c r="BR92">
        <f t="shared" si="64"/>
        <v>0</v>
      </c>
      <c r="BS92">
        <f t="shared" si="65"/>
        <v>0</v>
      </c>
      <c r="BT92">
        <f t="shared" si="66"/>
        <v>0</v>
      </c>
      <c r="BU92">
        <f t="shared" si="67"/>
        <v>0</v>
      </c>
    </row>
    <row r="93" spans="1:73" x14ac:dyDescent="0.3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1"/>
        <v>0</v>
      </c>
      <c r="L93">
        <f t="shared" si="62"/>
        <v>0</v>
      </c>
      <c r="M93">
        <f t="shared" si="68"/>
        <v>0</v>
      </c>
      <c r="N93">
        <f t="shared" ref="N93:W102" si="90">IF($B93&lt;N$1,$C93*$D93,0)</f>
        <v>0</v>
      </c>
      <c r="O93">
        <f t="shared" si="90"/>
        <v>0</v>
      </c>
      <c r="P93">
        <f t="shared" si="90"/>
        <v>0</v>
      </c>
      <c r="Q93">
        <f t="shared" si="90"/>
        <v>0</v>
      </c>
      <c r="R93">
        <f t="shared" si="90"/>
        <v>0</v>
      </c>
      <c r="S93">
        <f t="shared" si="90"/>
        <v>0</v>
      </c>
      <c r="T93">
        <f t="shared" si="90"/>
        <v>0</v>
      </c>
      <c r="U93">
        <f t="shared" si="90"/>
        <v>0</v>
      </c>
      <c r="V93">
        <f t="shared" si="90"/>
        <v>0</v>
      </c>
      <c r="W93">
        <f t="shared" si="90"/>
        <v>0</v>
      </c>
      <c r="X93">
        <f t="shared" ref="X93:AG102" si="91">IF($B93&lt;X$1,$C93*$D93,0)</f>
        <v>0</v>
      </c>
      <c r="Y93">
        <f t="shared" si="91"/>
        <v>0</v>
      </c>
      <c r="Z93">
        <f t="shared" si="91"/>
        <v>0</v>
      </c>
      <c r="AA93">
        <f t="shared" si="91"/>
        <v>0</v>
      </c>
      <c r="AB93">
        <f t="shared" si="91"/>
        <v>0</v>
      </c>
      <c r="AC93">
        <f t="shared" si="91"/>
        <v>0</v>
      </c>
      <c r="AD93">
        <f t="shared" si="91"/>
        <v>0</v>
      </c>
      <c r="AE93">
        <f t="shared" si="91"/>
        <v>0</v>
      </c>
      <c r="AF93">
        <f t="shared" si="91"/>
        <v>0</v>
      </c>
      <c r="AG93">
        <f t="shared" si="91"/>
        <v>0</v>
      </c>
      <c r="AH93">
        <f t="shared" ref="AH93:AQ102" si="92">IF($B93&lt;AH$1,$C93*$D93,0)</f>
        <v>0</v>
      </c>
      <c r="AI93">
        <f t="shared" si="92"/>
        <v>0</v>
      </c>
      <c r="AJ93">
        <f t="shared" si="92"/>
        <v>0</v>
      </c>
      <c r="AK93">
        <f t="shared" si="92"/>
        <v>0</v>
      </c>
      <c r="AL93">
        <f t="shared" si="92"/>
        <v>0</v>
      </c>
      <c r="AM93">
        <f t="shared" si="92"/>
        <v>0</v>
      </c>
      <c r="AN93">
        <f t="shared" si="92"/>
        <v>0</v>
      </c>
      <c r="AO93">
        <f t="shared" si="92"/>
        <v>0</v>
      </c>
      <c r="AP93">
        <f t="shared" si="92"/>
        <v>0</v>
      </c>
      <c r="AQ93">
        <f t="shared" si="92"/>
        <v>0</v>
      </c>
      <c r="AR93">
        <f t="shared" ref="AR93:AX102" si="93">IF($B93&lt;AR$1,$C93*$D93,0)</f>
        <v>0</v>
      </c>
      <c r="AS93">
        <f t="shared" si="93"/>
        <v>0</v>
      </c>
      <c r="AT93">
        <f t="shared" si="93"/>
        <v>0</v>
      </c>
      <c r="AU93">
        <f t="shared" si="93"/>
        <v>0</v>
      </c>
      <c r="AV93">
        <f t="shared" si="93"/>
        <v>0</v>
      </c>
      <c r="AW93">
        <f t="shared" si="93"/>
        <v>0</v>
      </c>
      <c r="AX93">
        <f t="shared" si="93"/>
        <v>0</v>
      </c>
      <c r="BB93" s="35">
        <f t="shared" si="69"/>
        <v>0</v>
      </c>
      <c r="BC93" s="35">
        <f t="shared" si="70"/>
        <v>0</v>
      </c>
      <c r="BD93" s="35">
        <f t="shared" si="71"/>
        <v>0</v>
      </c>
      <c r="BE93" s="35">
        <f t="shared" si="72"/>
        <v>0</v>
      </c>
      <c r="BF93" s="35">
        <f t="shared" si="73"/>
        <v>0</v>
      </c>
      <c r="BG93" s="35">
        <f t="shared" si="74"/>
        <v>0</v>
      </c>
      <c r="BH93" s="35">
        <f t="shared" si="75"/>
        <v>0</v>
      </c>
      <c r="BI93" s="35">
        <f t="shared" si="76"/>
        <v>0</v>
      </c>
      <c r="BJ93" s="35">
        <f t="shared" si="77"/>
        <v>0</v>
      </c>
      <c r="BK93" s="35">
        <f t="shared" si="78"/>
        <v>0</v>
      </c>
      <c r="BL93" s="35">
        <f t="shared" si="79"/>
        <v>0</v>
      </c>
      <c r="BM93" s="35">
        <f t="shared" si="80"/>
        <v>0</v>
      </c>
      <c r="BN93">
        <f t="shared" si="85"/>
        <v>0</v>
      </c>
      <c r="BO93">
        <f t="shared" si="85"/>
        <v>0</v>
      </c>
      <c r="BP93">
        <f t="shared" si="85"/>
        <v>0</v>
      </c>
      <c r="BQ93">
        <f t="shared" si="63"/>
        <v>0</v>
      </c>
      <c r="BR93">
        <f t="shared" si="64"/>
        <v>0</v>
      </c>
      <c r="BS93">
        <f t="shared" si="65"/>
        <v>0</v>
      </c>
      <c r="BT93">
        <f t="shared" si="66"/>
        <v>0</v>
      </c>
      <c r="BU93">
        <f t="shared" si="67"/>
        <v>0</v>
      </c>
    </row>
    <row r="94" spans="1:73" x14ac:dyDescent="0.3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1"/>
        <v>0</v>
      </c>
      <c r="L94">
        <f t="shared" si="62"/>
        <v>0</v>
      </c>
      <c r="M94">
        <f t="shared" si="68"/>
        <v>0</v>
      </c>
      <c r="N94">
        <f t="shared" si="90"/>
        <v>0</v>
      </c>
      <c r="O94">
        <f t="shared" si="90"/>
        <v>0</v>
      </c>
      <c r="P94">
        <f t="shared" si="90"/>
        <v>0</v>
      </c>
      <c r="Q94">
        <f t="shared" si="90"/>
        <v>0</v>
      </c>
      <c r="R94">
        <f t="shared" si="90"/>
        <v>0</v>
      </c>
      <c r="S94">
        <f t="shared" si="90"/>
        <v>0</v>
      </c>
      <c r="T94">
        <f t="shared" si="90"/>
        <v>0</v>
      </c>
      <c r="U94">
        <f t="shared" si="90"/>
        <v>0</v>
      </c>
      <c r="V94">
        <f t="shared" si="90"/>
        <v>0</v>
      </c>
      <c r="W94">
        <f t="shared" si="90"/>
        <v>0</v>
      </c>
      <c r="X94">
        <f t="shared" si="91"/>
        <v>0</v>
      </c>
      <c r="Y94">
        <f t="shared" si="91"/>
        <v>0</v>
      </c>
      <c r="Z94">
        <f t="shared" si="91"/>
        <v>0</v>
      </c>
      <c r="AA94">
        <f t="shared" si="91"/>
        <v>0</v>
      </c>
      <c r="AB94">
        <f t="shared" si="91"/>
        <v>0</v>
      </c>
      <c r="AC94">
        <f t="shared" si="91"/>
        <v>0</v>
      </c>
      <c r="AD94">
        <f t="shared" si="91"/>
        <v>0</v>
      </c>
      <c r="AE94">
        <f t="shared" si="91"/>
        <v>0</v>
      </c>
      <c r="AF94">
        <f t="shared" si="91"/>
        <v>0</v>
      </c>
      <c r="AG94">
        <f t="shared" si="91"/>
        <v>0</v>
      </c>
      <c r="AH94">
        <f t="shared" si="92"/>
        <v>0</v>
      </c>
      <c r="AI94">
        <f t="shared" si="92"/>
        <v>0</v>
      </c>
      <c r="AJ94">
        <f t="shared" si="92"/>
        <v>0</v>
      </c>
      <c r="AK94">
        <f t="shared" si="92"/>
        <v>0</v>
      </c>
      <c r="AL94">
        <f t="shared" si="92"/>
        <v>0</v>
      </c>
      <c r="AM94">
        <f t="shared" si="92"/>
        <v>0</v>
      </c>
      <c r="AN94">
        <f t="shared" si="92"/>
        <v>0</v>
      </c>
      <c r="AO94">
        <f t="shared" si="92"/>
        <v>0</v>
      </c>
      <c r="AP94">
        <f t="shared" si="92"/>
        <v>0</v>
      </c>
      <c r="AQ94">
        <f t="shared" si="92"/>
        <v>0</v>
      </c>
      <c r="AR94">
        <f t="shared" si="93"/>
        <v>0</v>
      </c>
      <c r="AS94">
        <f t="shared" si="93"/>
        <v>0</v>
      </c>
      <c r="AT94">
        <f t="shared" si="93"/>
        <v>0</v>
      </c>
      <c r="AU94">
        <f t="shared" si="93"/>
        <v>0</v>
      </c>
      <c r="AV94">
        <f t="shared" si="93"/>
        <v>0</v>
      </c>
      <c r="AW94">
        <f t="shared" si="93"/>
        <v>0</v>
      </c>
      <c r="AX94">
        <f t="shared" si="93"/>
        <v>0</v>
      </c>
      <c r="BB94" s="35">
        <f t="shared" si="69"/>
        <v>0</v>
      </c>
      <c r="BC94" s="35">
        <f t="shared" si="70"/>
        <v>0</v>
      </c>
      <c r="BD94" s="35">
        <f t="shared" si="71"/>
        <v>0</v>
      </c>
      <c r="BE94" s="35">
        <f t="shared" si="72"/>
        <v>0</v>
      </c>
      <c r="BF94" s="35">
        <f t="shared" si="73"/>
        <v>0</v>
      </c>
      <c r="BG94" s="35">
        <f t="shared" si="74"/>
        <v>0</v>
      </c>
      <c r="BH94" s="35">
        <f t="shared" si="75"/>
        <v>0</v>
      </c>
      <c r="BI94" s="35">
        <f t="shared" si="76"/>
        <v>0</v>
      </c>
      <c r="BJ94" s="35">
        <f t="shared" si="77"/>
        <v>0</v>
      </c>
      <c r="BK94" s="35">
        <f t="shared" si="78"/>
        <v>0</v>
      </c>
      <c r="BL94" s="35">
        <f t="shared" si="79"/>
        <v>0</v>
      </c>
      <c r="BM94" s="35">
        <f t="shared" si="80"/>
        <v>0</v>
      </c>
      <c r="BN94">
        <f t="shared" si="85"/>
        <v>0</v>
      </c>
      <c r="BO94">
        <f t="shared" si="85"/>
        <v>0</v>
      </c>
      <c r="BP94">
        <f t="shared" si="85"/>
        <v>0</v>
      </c>
      <c r="BQ94">
        <f t="shared" si="63"/>
        <v>0</v>
      </c>
      <c r="BR94">
        <f t="shared" si="64"/>
        <v>0</v>
      </c>
      <c r="BS94">
        <f t="shared" si="65"/>
        <v>0</v>
      </c>
      <c r="BT94">
        <f t="shared" si="66"/>
        <v>0</v>
      </c>
      <c r="BU94">
        <f t="shared" si="67"/>
        <v>0</v>
      </c>
    </row>
    <row r="95" spans="1:73" x14ac:dyDescent="0.3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1"/>
        <v>0</v>
      </c>
      <c r="L95">
        <f t="shared" si="62"/>
        <v>0</v>
      </c>
      <c r="M95">
        <f t="shared" si="68"/>
        <v>0</v>
      </c>
      <c r="N95">
        <f t="shared" si="90"/>
        <v>0</v>
      </c>
      <c r="O95">
        <f t="shared" si="90"/>
        <v>0</v>
      </c>
      <c r="P95">
        <f t="shared" si="90"/>
        <v>0</v>
      </c>
      <c r="Q95">
        <f t="shared" si="90"/>
        <v>0</v>
      </c>
      <c r="R95">
        <f t="shared" si="90"/>
        <v>0</v>
      </c>
      <c r="S95">
        <f t="shared" si="90"/>
        <v>0</v>
      </c>
      <c r="T95">
        <f t="shared" si="90"/>
        <v>0</v>
      </c>
      <c r="U95">
        <f t="shared" si="90"/>
        <v>0</v>
      </c>
      <c r="V95">
        <f t="shared" si="90"/>
        <v>0</v>
      </c>
      <c r="W95">
        <f t="shared" si="90"/>
        <v>0</v>
      </c>
      <c r="X95">
        <f t="shared" si="91"/>
        <v>0</v>
      </c>
      <c r="Y95">
        <f t="shared" si="91"/>
        <v>0</v>
      </c>
      <c r="Z95">
        <f t="shared" si="91"/>
        <v>0</v>
      </c>
      <c r="AA95">
        <f t="shared" si="91"/>
        <v>0</v>
      </c>
      <c r="AB95">
        <f t="shared" si="91"/>
        <v>0</v>
      </c>
      <c r="AC95">
        <f t="shared" si="91"/>
        <v>0</v>
      </c>
      <c r="AD95">
        <f t="shared" si="91"/>
        <v>0</v>
      </c>
      <c r="AE95">
        <f t="shared" si="91"/>
        <v>0</v>
      </c>
      <c r="AF95">
        <f t="shared" si="91"/>
        <v>0</v>
      </c>
      <c r="AG95">
        <f t="shared" si="91"/>
        <v>0</v>
      </c>
      <c r="AH95">
        <f t="shared" si="92"/>
        <v>0</v>
      </c>
      <c r="AI95">
        <f t="shared" si="92"/>
        <v>0</v>
      </c>
      <c r="AJ95">
        <f t="shared" si="92"/>
        <v>0</v>
      </c>
      <c r="AK95">
        <f t="shared" si="92"/>
        <v>0</v>
      </c>
      <c r="AL95">
        <f t="shared" si="92"/>
        <v>0</v>
      </c>
      <c r="AM95">
        <f t="shared" si="92"/>
        <v>0</v>
      </c>
      <c r="AN95">
        <f t="shared" si="92"/>
        <v>0</v>
      </c>
      <c r="AO95">
        <f t="shared" si="92"/>
        <v>0</v>
      </c>
      <c r="AP95">
        <f t="shared" si="92"/>
        <v>0</v>
      </c>
      <c r="AQ95">
        <f t="shared" si="92"/>
        <v>0</v>
      </c>
      <c r="AR95">
        <f t="shared" si="93"/>
        <v>0</v>
      </c>
      <c r="AS95">
        <f t="shared" si="93"/>
        <v>0</v>
      </c>
      <c r="AT95">
        <f t="shared" si="93"/>
        <v>0</v>
      </c>
      <c r="AU95">
        <f t="shared" si="93"/>
        <v>0</v>
      </c>
      <c r="AV95">
        <f t="shared" si="93"/>
        <v>0</v>
      </c>
      <c r="AW95">
        <f t="shared" si="93"/>
        <v>0</v>
      </c>
      <c r="AX95">
        <f t="shared" si="93"/>
        <v>0</v>
      </c>
      <c r="BB95" s="35">
        <f t="shared" si="69"/>
        <v>0</v>
      </c>
      <c r="BC95" s="35">
        <f t="shared" si="70"/>
        <v>0</v>
      </c>
      <c r="BD95" s="35">
        <f t="shared" si="71"/>
        <v>0</v>
      </c>
      <c r="BE95" s="35">
        <f t="shared" si="72"/>
        <v>0</v>
      </c>
      <c r="BF95" s="35">
        <f t="shared" si="73"/>
        <v>0</v>
      </c>
      <c r="BG95" s="35">
        <f t="shared" si="74"/>
        <v>0</v>
      </c>
      <c r="BH95" s="35">
        <f t="shared" si="75"/>
        <v>0</v>
      </c>
      <c r="BI95" s="35">
        <f t="shared" si="76"/>
        <v>0</v>
      </c>
      <c r="BJ95" s="35">
        <f t="shared" si="77"/>
        <v>0</v>
      </c>
      <c r="BK95" s="35">
        <f t="shared" si="78"/>
        <v>0</v>
      </c>
      <c r="BL95" s="35">
        <f t="shared" si="79"/>
        <v>0</v>
      </c>
      <c r="BM95" s="35">
        <f t="shared" si="80"/>
        <v>0</v>
      </c>
      <c r="BN95">
        <f t="shared" si="85"/>
        <v>0</v>
      </c>
      <c r="BO95">
        <f t="shared" si="85"/>
        <v>0</v>
      </c>
      <c r="BP95">
        <f t="shared" si="85"/>
        <v>0</v>
      </c>
      <c r="BQ95">
        <f t="shared" si="63"/>
        <v>0</v>
      </c>
      <c r="BR95">
        <f t="shared" si="64"/>
        <v>0</v>
      </c>
      <c r="BS95">
        <f t="shared" si="65"/>
        <v>0</v>
      </c>
      <c r="BT95">
        <f t="shared" si="66"/>
        <v>0</v>
      </c>
      <c r="BU95">
        <f t="shared" si="67"/>
        <v>0</v>
      </c>
    </row>
    <row r="96" spans="1:73" x14ac:dyDescent="0.3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1"/>
        <v>0</v>
      </c>
      <c r="L96">
        <f t="shared" si="62"/>
        <v>0</v>
      </c>
      <c r="M96">
        <f t="shared" si="68"/>
        <v>0</v>
      </c>
      <c r="N96">
        <f t="shared" si="90"/>
        <v>0</v>
      </c>
      <c r="O96">
        <f t="shared" si="90"/>
        <v>0</v>
      </c>
      <c r="P96">
        <f t="shared" si="90"/>
        <v>0</v>
      </c>
      <c r="Q96">
        <f t="shared" si="90"/>
        <v>0</v>
      </c>
      <c r="R96">
        <f t="shared" si="90"/>
        <v>0</v>
      </c>
      <c r="S96">
        <f t="shared" si="90"/>
        <v>0</v>
      </c>
      <c r="T96">
        <f t="shared" si="90"/>
        <v>0</v>
      </c>
      <c r="U96">
        <f t="shared" si="90"/>
        <v>0</v>
      </c>
      <c r="V96">
        <f t="shared" si="90"/>
        <v>0</v>
      </c>
      <c r="W96">
        <f t="shared" si="90"/>
        <v>0</v>
      </c>
      <c r="X96">
        <f t="shared" si="91"/>
        <v>0</v>
      </c>
      <c r="Y96">
        <f t="shared" si="91"/>
        <v>0</v>
      </c>
      <c r="Z96">
        <f t="shared" si="91"/>
        <v>0</v>
      </c>
      <c r="AA96">
        <f t="shared" si="91"/>
        <v>0</v>
      </c>
      <c r="AB96">
        <f t="shared" si="91"/>
        <v>0</v>
      </c>
      <c r="AC96">
        <f t="shared" si="91"/>
        <v>0</v>
      </c>
      <c r="AD96">
        <f t="shared" si="91"/>
        <v>0</v>
      </c>
      <c r="AE96">
        <f t="shared" si="91"/>
        <v>0</v>
      </c>
      <c r="AF96">
        <f t="shared" si="91"/>
        <v>0</v>
      </c>
      <c r="AG96">
        <f t="shared" si="91"/>
        <v>0</v>
      </c>
      <c r="AH96">
        <f t="shared" si="92"/>
        <v>0</v>
      </c>
      <c r="AI96">
        <f t="shared" si="92"/>
        <v>0</v>
      </c>
      <c r="AJ96">
        <f t="shared" si="92"/>
        <v>0</v>
      </c>
      <c r="AK96">
        <f t="shared" si="92"/>
        <v>0</v>
      </c>
      <c r="AL96">
        <f t="shared" si="92"/>
        <v>0</v>
      </c>
      <c r="AM96">
        <f t="shared" si="92"/>
        <v>0</v>
      </c>
      <c r="AN96">
        <f t="shared" si="92"/>
        <v>0</v>
      </c>
      <c r="AO96">
        <f t="shared" si="92"/>
        <v>0</v>
      </c>
      <c r="AP96">
        <f t="shared" si="92"/>
        <v>0</v>
      </c>
      <c r="AQ96">
        <f t="shared" si="92"/>
        <v>0</v>
      </c>
      <c r="AR96">
        <f t="shared" si="93"/>
        <v>0</v>
      </c>
      <c r="AS96">
        <f t="shared" si="93"/>
        <v>0</v>
      </c>
      <c r="AT96">
        <f t="shared" si="93"/>
        <v>0</v>
      </c>
      <c r="AU96">
        <f t="shared" si="93"/>
        <v>0</v>
      </c>
      <c r="AV96">
        <f t="shared" si="93"/>
        <v>0</v>
      </c>
      <c r="AW96">
        <f t="shared" si="93"/>
        <v>0</v>
      </c>
      <c r="AX96">
        <f t="shared" si="93"/>
        <v>0</v>
      </c>
      <c r="BB96" s="35">
        <f t="shared" si="69"/>
        <v>0</v>
      </c>
      <c r="BC96" s="35">
        <f t="shared" si="70"/>
        <v>0</v>
      </c>
      <c r="BD96" s="35">
        <f t="shared" si="71"/>
        <v>0</v>
      </c>
      <c r="BE96" s="35">
        <f t="shared" si="72"/>
        <v>0</v>
      </c>
      <c r="BF96" s="35">
        <f t="shared" si="73"/>
        <v>0</v>
      </c>
      <c r="BG96" s="35">
        <f t="shared" si="74"/>
        <v>0</v>
      </c>
      <c r="BH96" s="35">
        <f t="shared" si="75"/>
        <v>0</v>
      </c>
      <c r="BI96" s="35">
        <f t="shared" si="76"/>
        <v>0</v>
      </c>
      <c r="BJ96" s="35">
        <f t="shared" si="77"/>
        <v>0</v>
      </c>
      <c r="BK96" s="35">
        <f t="shared" si="78"/>
        <v>0</v>
      </c>
      <c r="BL96" s="35">
        <f t="shared" si="79"/>
        <v>0</v>
      </c>
      <c r="BM96" s="35">
        <f t="shared" si="80"/>
        <v>0</v>
      </c>
      <c r="BN96">
        <f t="shared" si="85"/>
        <v>0</v>
      </c>
      <c r="BO96">
        <f t="shared" si="85"/>
        <v>0</v>
      </c>
      <c r="BP96">
        <f t="shared" si="85"/>
        <v>0</v>
      </c>
      <c r="BQ96">
        <f t="shared" si="63"/>
        <v>0</v>
      </c>
      <c r="BR96">
        <f t="shared" si="64"/>
        <v>0</v>
      </c>
      <c r="BS96">
        <f t="shared" si="65"/>
        <v>0</v>
      </c>
      <c r="BT96">
        <f t="shared" si="66"/>
        <v>0</v>
      </c>
      <c r="BU96">
        <f t="shared" si="67"/>
        <v>0</v>
      </c>
    </row>
    <row r="97" spans="1:73" x14ac:dyDescent="0.3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1"/>
        <v>0</v>
      </c>
      <c r="L97">
        <f t="shared" si="62"/>
        <v>0</v>
      </c>
      <c r="M97">
        <f t="shared" si="68"/>
        <v>0</v>
      </c>
      <c r="N97">
        <f t="shared" si="90"/>
        <v>0</v>
      </c>
      <c r="O97">
        <f t="shared" si="90"/>
        <v>0</v>
      </c>
      <c r="P97">
        <f t="shared" si="90"/>
        <v>0</v>
      </c>
      <c r="Q97">
        <f t="shared" si="90"/>
        <v>0</v>
      </c>
      <c r="R97">
        <f t="shared" si="90"/>
        <v>0</v>
      </c>
      <c r="S97">
        <f t="shared" si="90"/>
        <v>0</v>
      </c>
      <c r="T97">
        <f t="shared" si="90"/>
        <v>0</v>
      </c>
      <c r="U97">
        <f t="shared" si="90"/>
        <v>0</v>
      </c>
      <c r="V97">
        <f t="shared" si="90"/>
        <v>0</v>
      </c>
      <c r="W97">
        <f t="shared" si="90"/>
        <v>0</v>
      </c>
      <c r="X97">
        <f t="shared" si="91"/>
        <v>0</v>
      </c>
      <c r="Y97">
        <f t="shared" si="91"/>
        <v>0</v>
      </c>
      <c r="Z97">
        <f t="shared" si="91"/>
        <v>0</v>
      </c>
      <c r="AA97">
        <f t="shared" si="91"/>
        <v>0</v>
      </c>
      <c r="AB97">
        <f t="shared" si="91"/>
        <v>0</v>
      </c>
      <c r="AC97">
        <f t="shared" si="91"/>
        <v>0</v>
      </c>
      <c r="AD97">
        <f t="shared" si="91"/>
        <v>0</v>
      </c>
      <c r="AE97">
        <f t="shared" si="91"/>
        <v>0</v>
      </c>
      <c r="AF97">
        <f t="shared" si="91"/>
        <v>0</v>
      </c>
      <c r="AG97">
        <f t="shared" si="91"/>
        <v>0</v>
      </c>
      <c r="AH97">
        <f t="shared" si="92"/>
        <v>0</v>
      </c>
      <c r="AI97">
        <f t="shared" si="92"/>
        <v>0</v>
      </c>
      <c r="AJ97">
        <f t="shared" si="92"/>
        <v>0</v>
      </c>
      <c r="AK97">
        <f t="shared" si="92"/>
        <v>0</v>
      </c>
      <c r="AL97">
        <f t="shared" si="92"/>
        <v>0</v>
      </c>
      <c r="AM97">
        <f t="shared" si="92"/>
        <v>0</v>
      </c>
      <c r="AN97">
        <f t="shared" si="92"/>
        <v>0</v>
      </c>
      <c r="AO97">
        <f t="shared" si="92"/>
        <v>0</v>
      </c>
      <c r="AP97">
        <f t="shared" si="92"/>
        <v>0</v>
      </c>
      <c r="AQ97">
        <f t="shared" si="92"/>
        <v>0</v>
      </c>
      <c r="AR97">
        <f t="shared" si="93"/>
        <v>0</v>
      </c>
      <c r="AS97">
        <f t="shared" si="93"/>
        <v>0</v>
      </c>
      <c r="AT97">
        <f t="shared" si="93"/>
        <v>0</v>
      </c>
      <c r="AU97">
        <f t="shared" si="93"/>
        <v>0</v>
      </c>
      <c r="AV97">
        <f t="shared" si="93"/>
        <v>0</v>
      </c>
      <c r="AW97">
        <f t="shared" si="93"/>
        <v>0</v>
      </c>
      <c r="AX97">
        <f t="shared" si="93"/>
        <v>0</v>
      </c>
      <c r="BB97" s="35">
        <f t="shared" si="69"/>
        <v>0</v>
      </c>
      <c r="BC97" s="35">
        <f t="shared" si="70"/>
        <v>0</v>
      </c>
      <c r="BD97" s="35">
        <f t="shared" si="71"/>
        <v>0</v>
      </c>
      <c r="BE97" s="35">
        <f t="shared" si="72"/>
        <v>0</v>
      </c>
      <c r="BF97" s="35">
        <f t="shared" si="73"/>
        <v>0</v>
      </c>
      <c r="BG97" s="35">
        <f t="shared" si="74"/>
        <v>0</v>
      </c>
      <c r="BH97" s="35">
        <f t="shared" si="75"/>
        <v>0</v>
      </c>
      <c r="BI97" s="35">
        <f t="shared" si="76"/>
        <v>0</v>
      </c>
      <c r="BJ97" s="35">
        <f t="shared" si="77"/>
        <v>0</v>
      </c>
      <c r="BK97" s="35">
        <f t="shared" si="78"/>
        <v>0</v>
      </c>
      <c r="BL97" s="35">
        <f t="shared" si="79"/>
        <v>0</v>
      </c>
      <c r="BM97" s="35">
        <f t="shared" si="80"/>
        <v>0</v>
      </c>
      <c r="BN97">
        <f t="shared" si="85"/>
        <v>0</v>
      </c>
      <c r="BO97">
        <f t="shared" si="85"/>
        <v>0</v>
      </c>
      <c r="BP97">
        <f t="shared" si="85"/>
        <v>0</v>
      </c>
      <c r="BQ97">
        <f t="shared" si="63"/>
        <v>0</v>
      </c>
      <c r="BR97">
        <f t="shared" si="64"/>
        <v>0</v>
      </c>
      <c r="BS97">
        <f t="shared" si="65"/>
        <v>0</v>
      </c>
      <c r="BT97">
        <f t="shared" si="66"/>
        <v>0</v>
      </c>
      <c r="BU97">
        <f t="shared" si="67"/>
        <v>0</v>
      </c>
    </row>
    <row r="98" spans="1:73" x14ac:dyDescent="0.3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4">IF(B98&lt;$K$1,C98*D98,0)</f>
        <v>0</v>
      </c>
      <c r="L98">
        <f t="shared" ref="L98:L105" si="95">IF(B98&lt;$L$1,C98*D98,0)</f>
        <v>0</v>
      </c>
      <c r="M98">
        <f t="shared" si="68"/>
        <v>0</v>
      </c>
      <c r="N98">
        <f t="shared" si="90"/>
        <v>0</v>
      </c>
      <c r="O98">
        <f t="shared" si="90"/>
        <v>0</v>
      </c>
      <c r="P98">
        <f t="shared" si="90"/>
        <v>0</v>
      </c>
      <c r="Q98">
        <f t="shared" si="90"/>
        <v>0</v>
      </c>
      <c r="R98">
        <f t="shared" si="90"/>
        <v>0</v>
      </c>
      <c r="S98">
        <f t="shared" si="90"/>
        <v>0</v>
      </c>
      <c r="T98">
        <f t="shared" si="90"/>
        <v>0</v>
      </c>
      <c r="U98">
        <f t="shared" si="90"/>
        <v>0</v>
      </c>
      <c r="V98">
        <f t="shared" si="90"/>
        <v>0</v>
      </c>
      <c r="W98">
        <f t="shared" si="90"/>
        <v>0</v>
      </c>
      <c r="X98">
        <f t="shared" si="91"/>
        <v>0</v>
      </c>
      <c r="Y98">
        <f t="shared" si="91"/>
        <v>0</v>
      </c>
      <c r="Z98">
        <f t="shared" si="91"/>
        <v>0</v>
      </c>
      <c r="AA98">
        <f t="shared" si="91"/>
        <v>0</v>
      </c>
      <c r="AB98">
        <f t="shared" si="91"/>
        <v>0</v>
      </c>
      <c r="AC98">
        <f t="shared" si="91"/>
        <v>0</v>
      </c>
      <c r="AD98">
        <f t="shared" si="91"/>
        <v>0</v>
      </c>
      <c r="AE98">
        <f t="shared" si="91"/>
        <v>0</v>
      </c>
      <c r="AF98">
        <f t="shared" si="91"/>
        <v>0</v>
      </c>
      <c r="AG98">
        <f t="shared" si="91"/>
        <v>0</v>
      </c>
      <c r="AH98">
        <f t="shared" si="92"/>
        <v>0</v>
      </c>
      <c r="AI98">
        <f t="shared" si="92"/>
        <v>0</v>
      </c>
      <c r="AJ98">
        <f t="shared" si="92"/>
        <v>0</v>
      </c>
      <c r="AK98">
        <f t="shared" si="92"/>
        <v>0</v>
      </c>
      <c r="AL98">
        <f t="shared" si="92"/>
        <v>0</v>
      </c>
      <c r="AM98">
        <f t="shared" si="92"/>
        <v>0</v>
      </c>
      <c r="AN98">
        <f t="shared" si="92"/>
        <v>0</v>
      </c>
      <c r="AO98">
        <f t="shared" si="92"/>
        <v>0</v>
      </c>
      <c r="AP98">
        <f t="shared" si="92"/>
        <v>0</v>
      </c>
      <c r="AQ98">
        <f t="shared" si="92"/>
        <v>0</v>
      </c>
      <c r="AR98">
        <f t="shared" si="93"/>
        <v>0</v>
      </c>
      <c r="AS98">
        <f t="shared" si="93"/>
        <v>0</v>
      </c>
      <c r="AT98">
        <f t="shared" si="93"/>
        <v>0</v>
      </c>
      <c r="AU98">
        <f t="shared" si="93"/>
        <v>0</v>
      </c>
      <c r="AV98">
        <f t="shared" si="93"/>
        <v>0</v>
      </c>
      <c r="AW98">
        <f t="shared" si="93"/>
        <v>0</v>
      </c>
      <c r="AX98">
        <f t="shared" si="93"/>
        <v>0</v>
      </c>
      <c r="BB98" s="35">
        <f t="shared" si="69"/>
        <v>0</v>
      </c>
      <c r="BC98" s="35">
        <f t="shared" si="70"/>
        <v>0</v>
      </c>
      <c r="BD98" s="35">
        <f t="shared" si="71"/>
        <v>0</v>
      </c>
      <c r="BE98" s="35">
        <f t="shared" si="72"/>
        <v>0</v>
      </c>
      <c r="BF98" s="35">
        <f t="shared" si="73"/>
        <v>0</v>
      </c>
      <c r="BG98" s="35">
        <f t="shared" si="74"/>
        <v>0</v>
      </c>
      <c r="BH98" s="35">
        <f t="shared" si="75"/>
        <v>0</v>
      </c>
      <c r="BI98" s="35">
        <f t="shared" si="76"/>
        <v>0</v>
      </c>
      <c r="BJ98" s="35">
        <f t="shared" si="77"/>
        <v>0</v>
      </c>
      <c r="BK98" s="35">
        <f t="shared" si="78"/>
        <v>0</v>
      </c>
      <c r="BL98" s="35">
        <f t="shared" si="79"/>
        <v>0</v>
      </c>
      <c r="BM98" s="35">
        <f t="shared" si="80"/>
        <v>0</v>
      </c>
      <c r="BN98">
        <f t="shared" si="85"/>
        <v>0</v>
      </c>
      <c r="BO98">
        <f t="shared" si="85"/>
        <v>0</v>
      </c>
      <c r="BP98">
        <f t="shared" si="85"/>
        <v>0</v>
      </c>
      <c r="BQ98">
        <f t="shared" ref="BQ98:BQ129" si="96">IF(AND($D98&gt;0,$G98=BQ$1),$D98,0)</f>
        <v>0</v>
      </c>
      <c r="BR98">
        <f t="shared" ref="BR98:BR129" si="97">IF(AND($D98&gt;0,$G98=BR$1),$F98,0)</f>
        <v>0</v>
      </c>
      <c r="BS98">
        <f t="shared" ref="BS98:BS129" si="98">IF(AND($D98&gt;0,$G98=BS$1),$D98,0)</f>
        <v>0</v>
      </c>
      <c r="BT98">
        <f t="shared" ref="BT98:BT129" si="99">IF(AND($D98&gt;0,$G98=BT$1),$F98,0)</f>
        <v>0</v>
      </c>
      <c r="BU98">
        <f t="shared" ref="BU98:BU129" si="100">IF(AND($D98&gt;0,$G98=BU$1),$D98,0)</f>
        <v>0</v>
      </c>
    </row>
    <row r="99" spans="1:73" x14ac:dyDescent="0.3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4"/>
        <v>0</v>
      </c>
      <c r="L99">
        <f t="shared" si="95"/>
        <v>0</v>
      </c>
      <c r="M99">
        <f t="shared" ref="M99:M105" si="101">IF(B99&lt;$L$1,C99*D99,0)</f>
        <v>0</v>
      </c>
      <c r="N99">
        <f t="shared" si="90"/>
        <v>0</v>
      </c>
      <c r="O99">
        <f t="shared" si="90"/>
        <v>0</v>
      </c>
      <c r="P99">
        <f t="shared" si="90"/>
        <v>0</v>
      </c>
      <c r="Q99">
        <f t="shared" si="90"/>
        <v>0</v>
      </c>
      <c r="R99">
        <f t="shared" si="90"/>
        <v>0</v>
      </c>
      <c r="S99">
        <f t="shared" si="90"/>
        <v>0</v>
      </c>
      <c r="T99">
        <f t="shared" si="90"/>
        <v>0</v>
      </c>
      <c r="U99">
        <f t="shared" si="90"/>
        <v>0</v>
      </c>
      <c r="V99">
        <f t="shared" si="90"/>
        <v>0</v>
      </c>
      <c r="W99">
        <f t="shared" si="90"/>
        <v>0</v>
      </c>
      <c r="X99">
        <f t="shared" si="91"/>
        <v>0</v>
      </c>
      <c r="Y99">
        <f t="shared" si="91"/>
        <v>0</v>
      </c>
      <c r="Z99">
        <f t="shared" si="91"/>
        <v>0</v>
      </c>
      <c r="AA99">
        <f t="shared" si="91"/>
        <v>0</v>
      </c>
      <c r="AB99">
        <f t="shared" si="91"/>
        <v>0</v>
      </c>
      <c r="AC99">
        <f t="shared" si="91"/>
        <v>0</v>
      </c>
      <c r="AD99">
        <f t="shared" si="91"/>
        <v>0</v>
      </c>
      <c r="AE99">
        <f t="shared" si="91"/>
        <v>0</v>
      </c>
      <c r="AF99">
        <f t="shared" si="91"/>
        <v>0</v>
      </c>
      <c r="AG99">
        <f t="shared" si="91"/>
        <v>0</v>
      </c>
      <c r="AH99">
        <f t="shared" si="92"/>
        <v>0</v>
      </c>
      <c r="AI99">
        <f t="shared" si="92"/>
        <v>0</v>
      </c>
      <c r="AJ99">
        <f t="shared" si="92"/>
        <v>0</v>
      </c>
      <c r="AK99">
        <f t="shared" si="92"/>
        <v>0</v>
      </c>
      <c r="AL99">
        <f t="shared" si="92"/>
        <v>0</v>
      </c>
      <c r="AM99">
        <f t="shared" si="92"/>
        <v>0</v>
      </c>
      <c r="AN99">
        <f t="shared" si="92"/>
        <v>0</v>
      </c>
      <c r="AO99">
        <f t="shared" si="92"/>
        <v>0</v>
      </c>
      <c r="AP99">
        <f t="shared" si="92"/>
        <v>0</v>
      </c>
      <c r="AQ99">
        <f t="shared" si="92"/>
        <v>0</v>
      </c>
      <c r="AR99">
        <f t="shared" si="93"/>
        <v>0</v>
      </c>
      <c r="AS99">
        <f t="shared" si="93"/>
        <v>0</v>
      </c>
      <c r="AT99">
        <f t="shared" si="93"/>
        <v>0</v>
      </c>
      <c r="AU99">
        <f t="shared" si="93"/>
        <v>0</v>
      </c>
      <c r="AV99">
        <f t="shared" si="93"/>
        <v>0</v>
      </c>
      <c r="AW99">
        <f t="shared" si="93"/>
        <v>0</v>
      </c>
      <c r="AX99">
        <f t="shared" si="93"/>
        <v>0</v>
      </c>
      <c r="BB99" s="35">
        <f t="shared" si="69"/>
        <v>0</v>
      </c>
      <c r="BC99" s="35">
        <f t="shared" si="70"/>
        <v>0</v>
      </c>
      <c r="BD99" s="35">
        <f t="shared" si="71"/>
        <v>0</v>
      </c>
      <c r="BE99" s="35">
        <f t="shared" si="72"/>
        <v>0</v>
      </c>
      <c r="BF99" s="35">
        <f t="shared" si="73"/>
        <v>0</v>
      </c>
      <c r="BG99" s="35">
        <f t="shared" si="74"/>
        <v>0</v>
      </c>
      <c r="BH99" s="35">
        <f t="shared" si="75"/>
        <v>0</v>
      </c>
      <c r="BI99" s="35">
        <f t="shared" si="76"/>
        <v>0</v>
      </c>
      <c r="BJ99" s="35">
        <f t="shared" si="77"/>
        <v>0</v>
      </c>
      <c r="BK99" s="35">
        <f t="shared" si="78"/>
        <v>0</v>
      </c>
      <c r="BL99" s="35">
        <f t="shared" si="79"/>
        <v>0</v>
      </c>
      <c r="BM99" s="35">
        <f t="shared" si="80"/>
        <v>0</v>
      </c>
      <c r="BN99">
        <f t="shared" si="85"/>
        <v>0</v>
      </c>
      <c r="BO99">
        <f t="shared" si="85"/>
        <v>0</v>
      </c>
      <c r="BP99">
        <f t="shared" si="85"/>
        <v>0</v>
      </c>
      <c r="BQ99">
        <f t="shared" si="96"/>
        <v>0</v>
      </c>
      <c r="BR99">
        <f t="shared" si="97"/>
        <v>0</v>
      </c>
      <c r="BS99">
        <f t="shared" si="98"/>
        <v>0</v>
      </c>
      <c r="BT99">
        <f t="shared" si="99"/>
        <v>0</v>
      </c>
      <c r="BU99">
        <f t="shared" si="100"/>
        <v>0</v>
      </c>
    </row>
    <row r="100" spans="1:73" x14ac:dyDescent="0.3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4"/>
        <v>0</v>
      </c>
      <c r="L100">
        <f t="shared" si="95"/>
        <v>0</v>
      </c>
      <c r="M100">
        <f t="shared" si="101"/>
        <v>0</v>
      </c>
      <c r="N100">
        <f t="shared" si="90"/>
        <v>0</v>
      </c>
      <c r="O100">
        <f t="shared" si="90"/>
        <v>0</v>
      </c>
      <c r="P100">
        <f t="shared" si="90"/>
        <v>0</v>
      </c>
      <c r="Q100">
        <f t="shared" si="90"/>
        <v>0</v>
      </c>
      <c r="R100">
        <f t="shared" si="90"/>
        <v>0</v>
      </c>
      <c r="S100">
        <f t="shared" si="90"/>
        <v>0</v>
      </c>
      <c r="T100">
        <f t="shared" si="90"/>
        <v>0</v>
      </c>
      <c r="U100">
        <f t="shared" si="90"/>
        <v>0</v>
      </c>
      <c r="V100">
        <f t="shared" si="90"/>
        <v>0</v>
      </c>
      <c r="W100">
        <f t="shared" si="90"/>
        <v>0</v>
      </c>
      <c r="X100">
        <f t="shared" si="91"/>
        <v>0</v>
      </c>
      <c r="Y100">
        <f t="shared" si="91"/>
        <v>0</v>
      </c>
      <c r="Z100">
        <f t="shared" si="91"/>
        <v>0</v>
      </c>
      <c r="AA100">
        <f t="shared" si="91"/>
        <v>0</v>
      </c>
      <c r="AB100">
        <f t="shared" si="91"/>
        <v>0</v>
      </c>
      <c r="AC100">
        <f t="shared" si="91"/>
        <v>0</v>
      </c>
      <c r="AD100">
        <f t="shared" si="91"/>
        <v>0</v>
      </c>
      <c r="AE100">
        <f t="shared" si="91"/>
        <v>0</v>
      </c>
      <c r="AF100">
        <f t="shared" si="91"/>
        <v>0</v>
      </c>
      <c r="AG100">
        <f t="shared" si="91"/>
        <v>0</v>
      </c>
      <c r="AH100">
        <f t="shared" si="92"/>
        <v>0</v>
      </c>
      <c r="AI100">
        <f t="shared" si="92"/>
        <v>0</v>
      </c>
      <c r="AJ100">
        <f t="shared" si="92"/>
        <v>0</v>
      </c>
      <c r="AK100">
        <f t="shared" si="92"/>
        <v>0</v>
      </c>
      <c r="AL100">
        <f t="shared" si="92"/>
        <v>0</v>
      </c>
      <c r="AM100">
        <f t="shared" si="92"/>
        <v>0</v>
      </c>
      <c r="AN100">
        <f t="shared" si="92"/>
        <v>0</v>
      </c>
      <c r="AO100">
        <f t="shared" si="92"/>
        <v>0</v>
      </c>
      <c r="AP100">
        <f t="shared" si="92"/>
        <v>0</v>
      </c>
      <c r="AQ100">
        <f t="shared" si="92"/>
        <v>0</v>
      </c>
      <c r="AR100">
        <f t="shared" si="93"/>
        <v>0</v>
      </c>
      <c r="AS100">
        <f t="shared" si="93"/>
        <v>0</v>
      </c>
      <c r="AT100">
        <f t="shared" si="93"/>
        <v>0</v>
      </c>
      <c r="AU100">
        <f t="shared" si="93"/>
        <v>0</v>
      </c>
      <c r="AV100">
        <f t="shared" si="93"/>
        <v>0</v>
      </c>
      <c r="AW100">
        <f t="shared" si="93"/>
        <v>0</v>
      </c>
      <c r="AX100">
        <f t="shared" si="93"/>
        <v>0</v>
      </c>
      <c r="BB100" s="35">
        <f t="shared" si="69"/>
        <v>0</v>
      </c>
      <c r="BC100" s="35">
        <f t="shared" si="70"/>
        <v>0</v>
      </c>
      <c r="BD100" s="35">
        <f t="shared" si="71"/>
        <v>0</v>
      </c>
      <c r="BE100" s="35">
        <f t="shared" si="72"/>
        <v>0</v>
      </c>
      <c r="BF100" s="35">
        <f t="shared" si="73"/>
        <v>0</v>
      </c>
      <c r="BG100" s="35">
        <f t="shared" si="74"/>
        <v>0</v>
      </c>
      <c r="BH100" s="35">
        <f t="shared" si="75"/>
        <v>0</v>
      </c>
      <c r="BI100" s="35">
        <f t="shared" si="76"/>
        <v>0</v>
      </c>
      <c r="BJ100" s="35">
        <f t="shared" si="77"/>
        <v>0</v>
      </c>
      <c r="BK100" s="35">
        <f t="shared" si="78"/>
        <v>0</v>
      </c>
      <c r="BL100" s="35">
        <f t="shared" si="79"/>
        <v>0</v>
      </c>
      <c r="BM100" s="35">
        <f t="shared" si="80"/>
        <v>0</v>
      </c>
      <c r="BN100">
        <f t="shared" si="85"/>
        <v>0</v>
      </c>
      <c r="BO100">
        <f t="shared" si="85"/>
        <v>0</v>
      </c>
      <c r="BP100">
        <f t="shared" si="85"/>
        <v>0</v>
      </c>
      <c r="BQ100">
        <f t="shared" si="96"/>
        <v>0</v>
      </c>
      <c r="BR100">
        <f t="shared" si="97"/>
        <v>0</v>
      </c>
      <c r="BS100">
        <f t="shared" si="98"/>
        <v>0</v>
      </c>
      <c r="BT100">
        <f t="shared" si="99"/>
        <v>0</v>
      </c>
      <c r="BU100">
        <f t="shared" si="100"/>
        <v>0</v>
      </c>
    </row>
    <row r="101" spans="1:73" x14ac:dyDescent="0.3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4"/>
        <v>0</v>
      </c>
      <c r="L101">
        <f t="shared" si="95"/>
        <v>0</v>
      </c>
      <c r="M101">
        <f t="shared" si="101"/>
        <v>0</v>
      </c>
      <c r="N101">
        <f t="shared" si="90"/>
        <v>0</v>
      </c>
      <c r="O101">
        <f t="shared" si="90"/>
        <v>0</v>
      </c>
      <c r="P101">
        <f t="shared" si="90"/>
        <v>0</v>
      </c>
      <c r="Q101">
        <f t="shared" si="90"/>
        <v>0</v>
      </c>
      <c r="R101">
        <f t="shared" si="90"/>
        <v>0</v>
      </c>
      <c r="S101">
        <f t="shared" si="90"/>
        <v>0</v>
      </c>
      <c r="T101">
        <f t="shared" si="90"/>
        <v>0</v>
      </c>
      <c r="U101">
        <f t="shared" si="90"/>
        <v>0</v>
      </c>
      <c r="V101">
        <f t="shared" si="90"/>
        <v>0</v>
      </c>
      <c r="W101">
        <f t="shared" si="90"/>
        <v>0</v>
      </c>
      <c r="X101">
        <f t="shared" si="91"/>
        <v>0</v>
      </c>
      <c r="Y101">
        <f t="shared" si="91"/>
        <v>0</v>
      </c>
      <c r="Z101">
        <f t="shared" si="91"/>
        <v>0</v>
      </c>
      <c r="AA101">
        <f t="shared" si="91"/>
        <v>0</v>
      </c>
      <c r="AB101">
        <f t="shared" si="91"/>
        <v>0</v>
      </c>
      <c r="AC101">
        <f t="shared" si="91"/>
        <v>0</v>
      </c>
      <c r="AD101">
        <f t="shared" si="91"/>
        <v>0</v>
      </c>
      <c r="AE101">
        <f t="shared" si="91"/>
        <v>0</v>
      </c>
      <c r="AF101">
        <f t="shared" si="91"/>
        <v>0</v>
      </c>
      <c r="AG101">
        <f t="shared" si="91"/>
        <v>0</v>
      </c>
      <c r="AH101">
        <f t="shared" si="92"/>
        <v>0</v>
      </c>
      <c r="AI101">
        <f t="shared" si="92"/>
        <v>0</v>
      </c>
      <c r="AJ101">
        <f t="shared" si="92"/>
        <v>0</v>
      </c>
      <c r="AK101">
        <f t="shared" si="92"/>
        <v>0</v>
      </c>
      <c r="AL101">
        <f t="shared" si="92"/>
        <v>0</v>
      </c>
      <c r="AM101">
        <f t="shared" si="92"/>
        <v>0</v>
      </c>
      <c r="AN101">
        <f t="shared" si="92"/>
        <v>0</v>
      </c>
      <c r="AO101">
        <f t="shared" si="92"/>
        <v>0</v>
      </c>
      <c r="AP101">
        <f t="shared" si="92"/>
        <v>0</v>
      </c>
      <c r="AQ101">
        <f t="shared" si="92"/>
        <v>0</v>
      </c>
      <c r="AR101">
        <f t="shared" si="93"/>
        <v>0</v>
      </c>
      <c r="AS101">
        <f t="shared" si="93"/>
        <v>0</v>
      </c>
      <c r="AT101">
        <f t="shared" si="93"/>
        <v>0</v>
      </c>
      <c r="AU101">
        <f t="shared" si="93"/>
        <v>0</v>
      </c>
      <c r="AV101">
        <f t="shared" si="93"/>
        <v>0</v>
      </c>
      <c r="AW101">
        <f t="shared" si="93"/>
        <v>0</v>
      </c>
      <c r="AX101">
        <f t="shared" si="93"/>
        <v>0</v>
      </c>
      <c r="BB101" s="35">
        <f t="shared" si="69"/>
        <v>0</v>
      </c>
      <c r="BC101" s="35">
        <f t="shared" si="70"/>
        <v>0</v>
      </c>
      <c r="BD101" s="35">
        <f t="shared" si="71"/>
        <v>0</v>
      </c>
      <c r="BE101" s="35">
        <f t="shared" si="72"/>
        <v>0</v>
      </c>
      <c r="BF101" s="35">
        <f t="shared" si="73"/>
        <v>0</v>
      </c>
      <c r="BG101" s="35">
        <f t="shared" si="74"/>
        <v>0</v>
      </c>
      <c r="BH101" s="35">
        <f t="shared" si="75"/>
        <v>0</v>
      </c>
      <c r="BI101" s="35">
        <f t="shared" si="76"/>
        <v>0</v>
      </c>
      <c r="BJ101" s="35">
        <f t="shared" si="77"/>
        <v>0</v>
      </c>
      <c r="BK101" s="35">
        <f t="shared" si="78"/>
        <v>0</v>
      </c>
      <c r="BL101" s="35">
        <f t="shared" si="79"/>
        <v>0</v>
      </c>
      <c r="BM101" s="35">
        <f t="shared" si="80"/>
        <v>0</v>
      </c>
      <c r="BN101">
        <f t="shared" si="85"/>
        <v>0</v>
      </c>
      <c r="BO101">
        <f t="shared" si="85"/>
        <v>0</v>
      </c>
      <c r="BP101">
        <f t="shared" si="85"/>
        <v>0</v>
      </c>
      <c r="BQ101">
        <f t="shared" si="96"/>
        <v>0</v>
      </c>
      <c r="BR101">
        <f t="shared" si="97"/>
        <v>0</v>
      </c>
      <c r="BS101">
        <f t="shared" si="98"/>
        <v>0</v>
      </c>
      <c r="BT101">
        <f t="shared" si="99"/>
        <v>0</v>
      </c>
      <c r="BU101">
        <f t="shared" si="100"/>
        <v>0</v>
      </c>
    </row>
    <row r="102" spans="1:73" x14ac:dyDescent="0.3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4"/>
        <v>0</v>
      </c>
      <c r="L102">
        <f t="shared" si="95"/>
        <v>0</v>
      </c>
      <c r="M102">
        <f t="shared" si="101"/>
        <v>0</v>
      </c>
      <c r="N102">
        <f t="shared" si="90"/>
        <v>0</v>
      </c>
      <c r="O102">
        <f t="shared" si="90"/>
        <v>0</v>
      </c>
      <c r="P102">
        <f t="shared" si="90"/>
        <v>0</v>
      </c>
      <c r="Q102">
        <f t="shared" si="90"/>
        <v>0</v>
      </c>
      <c r="R102">
        <f t="shared" si="90"/>
        <v>0</v>
      </c>
      <c r="S102">
        <f t="shared" si="90"/>
        <v>0</v>
      </c>
      <c r="T102">
        <f t="shared" si="90"/>
        <v>0</v>
      </c>
      <c r="U102">
        <f t="shared" si="90"/>
        <v>0</v>
      </c>
      <c r="V102">
        <f t="shared" si="90"/>
        <v>0</v>
      </c>
      <c r="W102">
        <f t="shared" si="90"/>
        <v>0</v>
      </c>
      <c r="X102">
        <f t="shared" si="91"/>
        <v>0</v>
      </c>
      <c r="Y102">
        <f t="shared" si="91"/>
        <v>0</v>
      </c>
      <c r="Z102">
        <f t="shared" si="91"/>
        <v>0</v>
      </c>
      <c r="AA102">
        <f t="shared" si="91"/>
        <v>0</v>
      </c>
      <c r="AB102">
        <f t="shared" si="91"/>
        <v>0</v>
      </c>
      <c r="AC102">
        <f t="shared" si="91"/>
        <v>0</v>
      </c>
      <c r="AD102">
        <f t="shared" si="91"/>
        <v>0</v>
      </c>
      <c r="AE102">
        <f t="shared" si="91"/>
        <v>0</v>
      </c>
      <c r="AF102">
        <f t="shared" si="91"/>
        <v>0</v>
      </c>
      <c r="AG102">
        <f t="shared" si="91"/>
        <v>0</v>
      </c>
      <c r="AH102">
        <f t="shared" si="92"/>
        <v>0</v>
      </c>
      <c r="AI102">
        <f t="shared" si="92"/>
        <v>0</v>
      </c>
      <c r="AJ102">
        <f t="shared" si="92"/>
        <v>0</v>
      </c>
      <c r="AK102">
        <f t="shared" si="92"/>
        <v>0</v>
      </c>
      <c r="AL102">
        <f t="shared" si="92"/>
        <v>0</v>
      </c>
      <c r="AM102">
        <f t="shared" si="92"/>
        <v>0</v>
      </c>
      <c r="AN102">
        <f t="shared" si="92"/>
        <v>0</v>
      </c>
      <c r="AO102">
        <f t="shared" si="92"/>
        <v>0</v>
      </c>
      <c r="AP102">
        <f t="shared" si="92"/>
        <v>0</v>
      </c>
      <c r="AQ102">
        <f t="shared" si="92"/>
        <v>0</v>
      </c>
      <c r="AR102">
        <f t="shared" si="93"/>
        <v>0</v>
      </c>
      <c r="AS102">
        <f t="shared" si="93"/>
        <v>0</v>
      </c>
      <c r="AT102">
        <f t="shared" si="93"/>
        <v>0</v>
      </c>
      <c r="AU102">
        <f t="shared" si="93"/>
        <v>0</v>
      </c>
      <c r="AV102">
        <f t="shared" si="93"/>
        <v>0</v>
      </c>
      <c r="AW102">
        <f t="shared" si="93"/>
        <v>0</v>
      </c>
      <c r="AX102">
        <f t="shared" si="93"/>
        <v>0</v>
      </c>
      <c r="BB102" s="35">
        <f t="shared" si="69"/>
        <v>0</v>
      </c>
      <c r="BC102" s="35">
        <f t="shared" si="70"/>
        <v>0</v>
      </c>
      <c r="BD102" s="35">
        <f t="shared" si="71"/>
        <v>0</v>
      </c>
      <c r="BE102" s="35">
        <f t="shared" si="72"/>
        <v>0</v>
      </c>
      <c r="BF102" s="35">
        <f t="shared" si="73"/>
        <v>0</v>
      </c>
      <c r="BG102" s="35">
        <f t="shared" si="74"/>
        <v>0</v>
      </c>
      <c r="BH102" s="35">
        <f t="shared" si="75"/>
        <v>0</v>
      </c>
      <c r="BI102" s="35">
        <f t="shared" si="76"/>
        <v>0</v>
      </c>
      <c r="BJ102" s="35">
        <f t="shared" si="77"/>
        <v>0</v>
      </c>
      <c r="BK102" s="35">
        <f t="shared" si="78"/>
        <v>0</v>
      </c>
      <c r="BL102" s="35">
        <f t="shared" si="79"/>
        <v>0</v>
      </c>
      <c r="BM102" s="35">
        <f t="shared" si="80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6"/>
        <v>0</v>
      </c>
      <c r="BR102">
        <f t="shared" si="97"/>
        <v>0</v>
      </c>
      <c r="BS102">
        <f t="shared" si="98"/>
        <v>0</v>
      </c>
      <c r="BT102">
        <f t="shared" si="99"/>
        <v>0</v>
      </c>
      <c r="BU102">
        <f t="shared" si="100"/>
        <v>0</v>
      </c>
    </row>
    <row r="103" spans="1:73" x14ac:dyDescent="0.3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4"/>
        <v>0</v>
      </c>
      <c r="L103">
        <f t="shared" si="95"/>
        <v>0</v>
      </c>
      <c r="M103">
        <f t="shared" si="101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69"/>
        <v>0</v>
      </c>
      <c r="BC103" s="35">
        <f t="shared" si="70"/>
        <v>0</v>
      </c>
      <c r="BD103" s="35">
        <f t="shared" si="71"/>
        <v>0</v>
      </c>
      <c r="BE103" s="35">
        <f t="shared" si="72"/>
        <v>0</v>
      </c>
      <c r="BF103" s="35">
        <f t="shared" si="73"/>
        <v>0</v>
      </c>
      <c r="BG103" s="35">
        <f t="shared" si="74"/>
        <v>0</v>
      </c>
      <c r="BH103" s="35">
        <f t="shared" si="75"/>
        <v>0</v>
      </c>
      <c r="BI103" s="35">
        <f t="shared" si="76"/>
        <v>0</v>
      </c>
      <c r="BJ103" s="35">
        <f t="shared" si="77"/>
        <v>0</v>
      </c>
      <c r="BK103" s="35">
        <f t="shared" si="78"/>
        <v>0</v>
      </c>
      <c r="BL103" s="35">
        <f t="shared" si="79"/>
        <v>0</v>
      </c>
      <c r="BM103" s="35">
        <f t="shared" si="80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6"/>
        <v>0</v>
      </c>
      <c r="BR103">
        <f t="shared" si="97"/>
        <v>0</v>
      </c>
      <c r="BS103">
        <f t="shared" si="98"/>
        <v>0</v>
      </c>
      <c r="BT103">
        <f t="shared" si="99"/>
        <v>0</v>
      </c>
      <c r="BU103">
        <f t="shared" si="100"/>
        <v>0</v>
      </c>
    </row>
    <row r="104" spans="1:73" x14ac:dyDescent="0.3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4"/>
        <v>0</v>
      </c>
      <c r="L104">
        <f t="shared" si="95"/>
        <v>0</v>
      </c>
      <c r="M104">
        <f t="shared" si="101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69"/>
        <v>0</v>
      </c>
      <c r="BC104" s="35">
        <f t="shared" si="70"/>
        <v>0</v>
      </c>
      <c r="BD104" s="35">
        <f t="shared" si="71"/>
        <v>0</v>
      </c>
      <c r="BE104" s="35">
        <f t="shared" si="72"/>
        <v>0</v>
      </c>
      <c r="BF104" s="35">
        <f t="shared" si="73"/>
        <v>0</v>
      </c>
      <c r="BG104" s="35">
        <f t="shared" si="74"/>
        <v>0</v>
      </c>
      <c r="BH104" s="35">
        <f t="shared" si="75"/>
        <v>0</v>
      </c>
      <c r="BI104" s="35">
        <f t="shared" si="76"/>
        <v>0</v>
      </c>
      <c r="BJ104" s="35">
        <f t="shared" si="77"/>
        <v>0</v>
      </c>
      <c r="BK104" s="35">
        <f t="shared" si="78"/>
        <v>0</v>
      </c>
      <c r="BL104" s="35">
        <f t="shared" si="79"/>
        <v>0</v>
      </c>
      <c r="BM104" s="35">
        <f t="shared" si="80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6"/>
        <v>0</v>
      </c>
      <c r="BR104">
        <f t="shared" si="97"/>
        <v>0</v>
      </c>
      <c r="BS104">
        <f t="shared" si="98"/>
        <v>0</v>
      </c>
      <c r="BT104">
        <f t="shared" si="99"/>
        <v>0</v>
      </c>
      <c r="BU104">
        <f t="shared" si="100"/>
        <v>0</v>
      </c>
    </row>
    <row r="105" spans="1:73" x14ac:dyDescent="0.3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4"/>
        <v>0</v>
      </c>
      <c r="L105">
        <f t="shared" si="95"/>
        <v>0</v>
      </c>
      <c r="M105">
        <f t="shared" si="101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69"/>
        <v>0</v>
      </c>
      <c r="BC105" s="35">
        <f t="shared" si="70"/>
        <v>0</v>
      </c>
      <c r="BD105" s="35">
        <f t="shared" si="71"/>
        <v>0</v>
      </c>
      <c r="BE105" s="35">
        <f t="shared" si="72"/>
        <v>0</v>
      </c>
      <c r="BF105" s="35">
        <f t="shared" si="73"/>
        <v>0</v>
      </c>
      <c r="BG105" s="35">
        <f t="shared" si="74"/>
        <v>0</v>
      </c>
      <c r="BH105" s="35">
        <f t="shared" si="75"/>
        <v>0</v>
      </c>
      <c r="BI105" s="35">
        <f t="shared" si="76"/>
        <v>0</v>
      </c>
      <c r="BJ105" s="35">
        <f t="shared" si="77"/>
        <v>0</v>
      </c>
      <c r="BK105" s="35">
        <f t="shared" si="78"/>
        <v>0</v>
      </c>
      <c r="BL105" s="35">
        <f t="shared" si="79"/>
        <v>0</v>
      </c>
      <c r="BM105" s="35">
        <f t="shared" si="80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6"/>
        <v>0</v>
      </c>
      <c r="BR105">
        <f t="shared" si="97"/>
        <v>0</v>
      </c>
      <c r="BS105">
        <f t="shared" si="98"/>
        <v>0</v>
      </c>
      <c r="BT105">
        <f t="shared" si="99"/>
        <v>0</v>
      </c>
      <c r="BU105">
        <f t="shared" si="100"/>
        <v>0</v>
      </c>
    </row>
    <row r="106" spans="1:73" x14ac:dyDescent="0.3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ref="M106:M169" si="109">IF(B106&lt;$L$1,C106*D106,0)</f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69"/>
        <v>0</v>
      </c>
      <c r="BC106" s="35">
        <f t="shared" si="70"/>
        <v>0</v>
      </c>
      <c r="BD106" s="35">
        <f t="shared" si="71"/>
        <v>0</v>
      </c>
      <c r="BE106" s="35">
        <f t="shared" si="72"/>
        <v>0</v>
      </c>
      <c r="BF106" s="35">
        <f t="shared" si="73"/>
        <v>0</v>
      </c>
      <c r="BG106" s="35">
        <f t="shared" si="74"/>
        <v>0</v>
      </c>
      <c r="BH106" s="35">
        <f t="shared" si="75"/>
        <v>0</v>
      </c>
      <c r="BI106" s="35">
        <f t="shared" si="76"/>
        <v>0</v>
      </c>
      <c r="BJ106" s="35">
        <f t="shared" si="77"/>
        <v>0</v>
      </c>
      <c r="BK106" s="35">
        <f t="shared" si="78"/>
        <v>0</v>
      </c>
      <c r="BL106" s="35">
        <f t="shared" si="79"/>
        <v>0</v>
      </c>
      <c r="BM106" s="35">
        <f t="shared" si="80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6"/>
        <v>0</v>
      </c>
      <c r="BR106">
        <f t="shared" si="97"/>
        <v>0</v>
      </c>
      <c r="BS106">
        <f t="shared" si="98"/>
        <v>0</v>
      </c>
      <c r="BT106">
        <f t="shared" si="99"/>
        <v>0</v>
      </c>
      <c r="BU106">
        <f t="shared" si="100"/>
        <v>0</v>
      </c>
    </row>
    <row r="107" spans="1:73" x14ac:dyDescent="0.3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10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69"/>
        <v>0</v>
      </c>
      <c r="BC107" s="35">
        <f t="shared" si="70"/>
        <v>0</v>
      </c>
      <c r="BD107" s="35">
        <f t="shared" si="71"/>
        <v>0</v>
      </c>
      <c r="BE107" s="35">
        <f t="shared" si="72"/>
        <v>0</v>
      </c>
      <c r="BF107" s="35">
        <f t="shared" si="73"/>
        <v>0</v>
      </c>
      <c r="BG107" s="35">
        <f t="shared" si="74"/>
        <v>0</v>
      </c>
      <c r="BH107" s="35">
        <f t="shared" si="75"/>
        <v>0</v>
      </c>
      <c r="BI107" s="35">
        <f t="shared" si="76"/>
        <v>0</v>
      </c>
      <c r="BJ107" s="35">
        <f t="shared" si="77"/>
        <v>0</v>
      </c>
      <c r="BK107" s="35">
        <f t="shared" si="78"/>
        <v>0</v>
      </c>
      <c r="BL107" s="35">
        <f t="shared" si="79"/>
        <v>0</v>
      </c>
      <c r="BM107" s="35">
        <f t="shared" si="80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6"/>
        <v>0</v>
      </c>
      <c r="BR107">
        <f t="shared" si="97"/>
        <v>0</v>
      </c>
      <c r="BS107">
        <f t="shared" si="98"/>
        <v>0</v>
      </c>
      <c r="BT107">
        <f t="shared" si="99"/>
        <v>0</v>
      </c>
      <c r="BU107">
        <f t="shared" si="100"/>
        <v>0</v>
      </c>
    </row>
    <row r="108" spans="1:73" x14ac:dyDescent="0.3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10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69"/>
        <v>0</v>
      </c>
      <c r="BC108" s="35">
        <f t="shared" si="70"/>
        <v>0</v>
      </c>
      <c r="BD108" s="35">
        <f t="shared" si="71"/>
        <v>0</v>
      </c>
      <c r="BE108" s="35">
        <f t="shared" si="72"/>
        <v>0</v>
      </c>
      <c r="BF108" s="35">
        <f t="shared" si="73"/>
        <v>0</v>
      </c>
      <c r="BG108" s="35">
        <f t="shared" si="74"/>
        <v>0</v>
      </c>
      <c r="BH108" s="35">
        <f t="shared" si="75"/>
        <v>0</v>
      </c>
      <c r="BI108" s="35">
        <f t="shared" si="76"/>
        <v>0</v>
      </c>
      <c r="BJ108" s="35">
        <f t="shared" si="77"/>
        <v>0</v>
      </c>
      <c r="BK108" s="35">
        <f t="shared" si="78"/>
        <v>0</v>
      </c>
      <c r="BL108" s="35">
        <f t="shared" si="79"/>
        <v>0</v>
      </c>
      <c r="BM108" s="35">
        <f t="shared" si="80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6"/>
        <v>0</v>
      </c>
      <c r="BR108">
        <f t="shared" si="97"/>
        <v>0</v>
      </c>
      <c r="BS108">
        <f t="shared" si="98"/>
        <v>0</v>
      </c>
      <c r="BT108">
        <f t="shared" si="99"/>
        <v>0</v>
      </c>
      <c r="BU108">
        <f t="shared" si="100"/>
        <v>0</v>
      </c>
    </row>
    <row r="109" spans="1:73" x14ac:dyDescent="0.3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10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69"/>
        <v>0</v>
      </c>
      <c r="BC109" s="35">
        <f t="shared" si="70"/>
        <v>0</v>
      </c>
      <c r="BD109" s="35">
        <f t="shared" si="71"/>
        <v>0</v>
      </c>
      <c r="BE109" s="35">
        <f t="shared" si="72"/>
        <v>0</v>
      </c>
      <c r="BF109" s="35">
        <f t="shared" si="73"/>
        <v>0</v>
      </c>
      <c r="BG109" s="35">
        <f t="shared" si="74"/>
        <v>0</v>
      </c>
      <c r="BH109" s="35">
        <f t="shared" si="75"/>
        <v>0</v>
      </c>
      <c r="BI109" s="35">
        <f t="shared" si="76"/>
        <v>0</v>
      </c>
      <c r="BJ109" s="35">
        <f t="shared" si="77"/>
        <v>0</v>
      </c>
      <c r="BK109" s="35">
        <f t="shared" si="78"/>
        <v>0</v>
      </c>
      <c r="BL109" s="35">
        <f t="shared" si="79"/>
        <v>0</v>
      </c>
      <c r="BM109" s="35">
        <f t="shared" si="80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6"/>
        <v>0</v>
      </c>
      <c r="BR109">
        <f t="shared" si="97"/>
        <v>0</v>
      </c>
      <c r="BS109">
        <f t="shared" si="98"/>
        <v>0</v>
      </c>
      <c r="BT109">
        <f t="shared" si="99"/>
        <v>0</v>
      </c>
      <c r="BU109">
        <f t="shared" si="100"/>
        <v>0</v>
      </c>
    </row>
    <row r="110" spans="1:73" x14ac:dyDescent="0.3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10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69"/>
        <v>0</v>
      </c>
      <c r="BC110" s="35">
        <f t="shared" si="70"/>
        <v>0</v>
      </c>
      <c r="BD110" s="35">
        <f t="shared" si="71"/>
        <v>0</v>
      </c>
      <c r="BE110" s="35">
        <f t="shared" si="72"/>
        <v>0</v>
      </c>
      <c r="BF110" s="35">
        <f t="shared" si="73"/>
        <v>0</v>
      </c>
      <c r="BG110" s="35">
        <f t="shared" si="74"/>
        <v>0</v>
      </c>
      <c r="BH110" s="35">
        <f t="shared" si="75"/>
        <v>0</v>
      </c>
      <c r="BI110" s="35">
        <f t="shared" si="76"/>
        <v>0</v>
      </c>
      <c r="BJ110" s="35">
        <f t="shared" si="77"/>
        <v>0</v>
      </c>
      <c r="BK110" s="35">
        <f t="shared" si="78"/>
        <v>0</v>
      </c>
      <c r="BL110" s="35">
        <f t="shared" si="79"/>
        <v>0</v>
      </c>
      <c r="BM110" s="35">
        <f t="shared" si="80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6"/>
        <v>0</v>
      </c>
      <c r="BR110">
        <f t="shared" si="97"/>
        <v>0</v>
      </c>
      <c r="BS110">
        <f t="shared" si="98"/>
        <v>0</v>
      </c>
      <c r="BT110">
        <f t="shared" si="99"/>
        <v>0</v>
      </c>
      <c r="BU110">
        <f t="shared" si="100"/>
        <v>0</v>
      </c>
    </row>
    <row r="111" spans="1:73" x14ac:dyDescent="0.3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10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69"/>
        <v>0</v>
      </c>
      <c r="BC111" s="35">
        <f t="shared" si="70"/>
        <v>0</v>
      </c>
      <c r="BD111" s="35">
        <f t="shared" si="71"/>
        <v>0</v>
      </c>
      <c r="BE111" s="35">
        <f t="shared" si="72"/>
        <v>0</v>
      </c>
      <c r="BF111" s="35">
        <f t="shared" si="73"/>
        <v>0</v>
      </c>
      <c r="BG111" s="35">
        <f t="shared" si="74"/>
        <v>0</v>
      </c>
      <c r="BH111" s="35">
        <f t="shared" si="75"/>
        <v>0</v>
      </c>
      <c r="BI111" s="35">
        <f t="shared" si="76"/>
        <v>0</v>
      </c>
      <c r="BJ111" s="35">
        <f t="shared" si="77"/>
        <v>0</v>
      </c>
      <c r="BK111" s="35">
        <f t="shared" si="78"/>
        <v>0</v>
      </c>
      <c r="BL111" s="35">
        <f t="shared" si="79"/>
        <v>0</v>
      </c>
      <c r="BM111" s="35">
        <f t="shared" si="80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6"/>
        <v>0</v>
      </c>
      <c r="BR111">
        <f t="shared" si="97"/>
        <v>0</v>
      </c>
      <c r="BS111">
        <f t="shared" si="98"/>
        <v>0</v>
      </c>
      <c r="BT111">
        <f t="shared" si="99"/>
        <v>0</v>
      </c>
      <c r="BU111">
        <f t="shared" si="100"/>
        <v>0</v>
      </c>
    </row>
    <row r="112" spans="1:73" x14ac:dyDescent="0.3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10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69"/>
        <v>0</v>
      </c>
      <c r="BC112" s="35">
        <f t="shared" si="70"/>
        <v>0</v>
      </c>
      <c r="BD112" s="35">
        <f t="shared" si="71"/>
        <v>0</v>
      </c>
      <c r="BE112" s="35">
        <f t="shared" si="72"/>
        <v>0</v>
      </c>
      <c r="BF112" s="35">
        <f t="shared" si="73"/>
        <v>0</v>
      </c>
      <c r="BG112" s="35">
        <f t="shared" si="74"/>
        <v>0</v>
      </c>
      <c r="BH112" s="35">
        <f t="shared" si="75"/>
        <v>0</v>
      </c>
      <c r="BI112" s="35">
        <f t="shared" si="76"/>
        <v>0</v>
      </c>
      <c r="BJ112" s="35">
        <f t="shared" si="77"/>
        <v>0</v>
      </c>
      <c r="BK112" s="35">
        <f t="shared" si="78"/>
        <v>0</v>
      </c>
      <c r="BL112" s="35">
        <f t="shared" si="79"/>
        <v>0</v>
      </c>
      <c r="BM112" s="35">
        <f t="shared" si="80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6"/>
        <v>0</v>
      </c>
      <c r="BR112">
        <f t="shared" si="97"/>
        <v>0</v>
      </c>
      <c r="BS112">
        <f t="shared" si="98"/>
        <v>0</v>
      </c>
      <c r="BT112">
        <f t="shared" si="99"/>
        <v>0</v>
      </c>
      <c r="BU112">
        <f t="shared" si="100"/>
        <v>0</v>
      </c>
    </row>
    <row r="113" spans="1:73" x14ac:dyDescent="0.3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10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69"/>
        <v>0</v>
      </c>
      <c r="BC113" s="35">
        <f t="shared" si="70"/>
        <v>0</v>
      </c>
      <c r="BD113" s="35">
        <f t="shared" si="71"/>
        <v>0</v>
      </c>
      <c r="BE113" s="35">
        <f t="shared" si="72"/>
        <v>0</v>
      </c>
      <c r="BF113" s="35">
        <f t="shared" si="73"/>
        <v>0</v>
      </c>
      <c r="BG113" s="35">
        <f t="shared" si="74"/>
        <v>0</v>
      </c>
      <c r="BH113" s="35">
        <f t="shared" si="75"/>
        <v>0</v>
      </c>
      <c r="BI113" s="35">
        <f t="shared" si="76"/>
        <v>0</v>
      </c>
      <c r="BJ113" s="35">
        <f t="shared" si="77"/>
        <v>0</v>
      </c>
      <c r="BK113" s="35">
        <f t="shared" si="78"/>
        <v>0</v>
      </c>
      <c r="BL113" s="35">
        <f t="shared" si="79"/>
        <v>0</v>
      </c>
      <c r="BM113" s="35">
        <f t="shared" si="80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6"/>
        <v>0</v>
      </c>
      <c r="BR113">
        <f t="shared" si="97"/>
        <v>0</v>
      </c>
      <c r="BS113">
        <f t="shared" si="98"/>
        <v>0</v>
      </c>
      <c r="BT113">
        <f t="shared" si="99"/>
        <v>0</v>
      </c>
      <c r="BU113">
        <f t="shared" si="100"/>
        <v>0</v>
      </c>
    </row>
    <row r="114" spans="1:73" x14ac:dyDescent="0.3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10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69"/>
        <v>0</v>
      </c>
      <c r="BC114" s="35">
        <f t="shared" si="70"/>
        <v>0</v>
      </c>
      <c r="BD114" s="35">
        <f t="shared" si="71"/>
        <v>0</v>
      </c>
      <c r="BE114" s="35">
        <f t="shared" si="72"/>
        <v>0</v>
      </c>
      <c r="BF114" s="35">
        <f t="shared" si="73"/>
        <v>0</v>
      </c>
      <c r="BG114" s="35">
        <f t="shared" si="74"/>
        <v>0</v>
      </c>
      <c r="BH114" s="35">
        <f t="shared" si="75"/>
        <v>0</v>
      </c>
      <c r="BI114" s="35">
        <f t="shared" si="76"/>
        <v>0</v>
      </c>
      <c r="BJ114" s="35">
        <f t="shared" si="77"/>
        <v>0</v>
      </c>
      <c r="BK114" s="35">
        <f t="shared" si="78"/>
        <v>0</v>
      </c>
      <c r="BL114" s="35">
        <f t="shared" si="79"/>
        <v>0</v>
      </c>
      <c r="BM114" s="35">
        <f t="shared" si="80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6"/>
        <v>0</v>
      </c>
      <c r="BR114">
        <f t="shared" si="97"/>
        <v>0</v>
      </c>
      <c r="BS114">
        <f t="shared" si="98"/>
        <v>0</v>
      </c>
      <c r="BT114">
        <f t="shared" si="99"/>
        <v>0</v>
      </c>
      <c r="BU114">
        <f t="shared" si="100"/>
        <v>0</v>
      </c>
    </row>
    <row r="115" spans="1:73" x14ac:dyDescent="0.3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10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69"/>
        <v>0</v>
      </c>
      <c r="BC115" s="35">
        <f t="shared" si="70"/>
        <v>0</v>
      </c>
      <c r="BD115" s="35">
        <f t="shared" si="71"/>
        <v>0</v>
      </c>
      <c r="BE115" s="35">
        <f t="shared" si="72"/>
        <v>0</v>
      </c>
      <c r="BF115" s="35">
        <f t="shared" si="73"/>
        <v>0</v>
      </c>
      <c r="BG115" s="35">
        <f t="shared" si="74"/>
        <v>0</v>
      </c>
      <c r="BH115" s="35">
        <f t="shared" si="75"/>
        <v>0</v>
      </c>
      <c r="BI115" s="35">
        <f t="shared" si="76"/>
        <v>0</v>
      </c>
      <c r="BJ115" s="35">
        <f t="shared" si="77"/>
        <v>0</v>
      </c>
      <c r="BK115" s="35">
        <f t="shared" si="78"/>
        <v>0</v>
      </c>
      <c r="BL115" s="35">
        <f t="shared" si="79"/>
        <v>0</v>
      </c>
      <c r="BM115" s="35">
        <f t="shared" si="80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6"/>
        <v>0</v>
      </c>
      <c r="BR115">
        <f t="shared" si="97"/>
        <v>0</v>
      </c>
      <c r="BS115">
        <f t="shared" si="98"/>
        <v>0</v>
      </c>
      <c r="BT115">
        <f t="shared" si="99"/>
        <v>0</v>
      </c>
      <c r="BU115">
        <f t="shared" si="100"/>
        <v>0</v>
      </c>
    </row>
    <row r="116" spans="1:73" x14ac:dyDescent="0.3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10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69"/>
        <v>0</v>
      </c>
      <c r="BC116" s="35">
        <f t="shared" si="70"/>
        <v>0</v>
      </c>
      <c r="BD116" s="35">
        <f t="shared" si="71"/>
        <v>0</v>
      </c>
      <c r="BE116" s="35">
        <f t="shared" si="72"/>
        <v>0</v>
      </c>
      <c r="BF116" s="35">
        <f t="shared" si="73"/>
        <v>0</v>
      </c>
      <c r="BG116" s="35">
        <f t="shared" si="74"/>
        <v>0</v>
      </c>
      <c r="BH116" s="35">
        <f t="shared" si="75"/>
        <v>0</v>
      </c>
      <c r="BI116" s="35">
        <f t="shared" si="76"/>
        <v>0</v>
      </c>
      <c r="BJ116" s="35">
        <f t="shared" si="77"/>
        <v>0</v>
      </c>
      <c r="BK116" s="35">
        <f t="shared" si="78"/>
        <v>0</v>
      </c>
      <c r="BL116" s="35">
        <f t="shared" si="79"/>
        <v>0</v>
      </c>
      <c r="BM116" s="35">
        <f t="shared" si="80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6"/>
        <v>0</v>
      </c>
      <c r="BR116">
        <f t="shared" si="97"/>
        <v>0</v>
      </c>
      <c r="BS116">
        <f t="shared" si="98"/>
        <v>0</v>
      </c>
      <c r="BT116">
        <f t="shared" si="99"/>
        <v>0</v>
      </c>
      <c r="BU116">
        <f t="shared" si="100"/>
        <v>0</v>
      </c>
    </row>
    <row r="117" spans="1:73" x14ac:dyDescent="0.3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10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69"/>
        <v>0</v>
      </c>
      <c r="BC117" s="35">
        <f t="shared" si="70"/>
        <v>0</v>
      </c>
      <c r="BD117" s="35">
        <f t="shared" si="71"/>
        <v>0</v>
      </c>
      <c r="BE117" s="35">
        <f t="shared" si="72"/>
        <v>0</v>
      </c>
      <c r="BF117" s="35">
        <f t="shared" si="73"/>
        <v>0</v>
      </c>
      <c r="BG117" s="35">
        <f t="shared" si="74"/>
        <v>0</v>
      </c>
      <c r="BH117" s="35">
        <f t="shared" si="75"/>
        <v>0</v>
      </c>
      <c r="BI117" s="35">
        <f t="shared" si="76"/>
        <v>0</v>
      </c>
      <c r="BJ117" s="35">
        <f t="shared" si="77"/>
        <v>0</v>
      </c>
      <c r="BK117" s="35">
        <f t="shared" si="78"/>
        <v>0</v>
      </c>
      <c r="BL117" s="35">
        <f t="shared" si="79"/>
        <v>0</v>
      </c>
      <c r="BM117" s="35">
        <f t="shared" si="80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6"/>
        <v>0</v>
      </c>
      <c r="BR117">
        <f t="shared" si="97"/>
        <v>0</v>
      </c>
      <c r="BS117">
        <f t="shared" si="98"/>
        <v>0</v>
      </c>
      <c r="BT117">
        <f t="shared" si="99"/>
        <v>0</v>
      </c>
      <c r="BU117">
        <f t="shared" si="100"/>
        <v>0</v>
      </c>
    </row>
    <row r="118" spans="1:73" x14ac:dyDescent="0.3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10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69"/>
        <v>0</v>
      </c>
      <c r="BC118" s="35">
        <f t="shared" si="70"/>
        <v>0</v>
      </c>
      <c r="BD118" s="35">
        <f t="shared" si="71"/>
        <v>0</v>
      </c>
      <c r="BE118" s="35">
        <f t="shared" si="72"/>
        <v>0</v>
      </c>
      <c r="BF118" s="35">
        <f t="shared" si="73"/>
        <v>0</v>
      </c>
      <c r="BG118" s="35">
        <f t="shared" si="74"/>
        <v>0</v>
      </c>
      <c r="BH118" s="35">
        <f t="shared" si="75"/>
        <v>0</v>
      </c>
      <c r="BI118" s="35">
        <f t="shared" si="76"/>
        <v>0</v>
      </c>
      <c r="BJ118" s="35">
        <f t="shared" si="77"/>
        <v>0</v>
      </c>
      <c r="BK118" s="35">
        <f t="shared" si="78"/>
        <v>0</v>
      </c>
      <c r="BL118" s="35">
        <f t="shared" si="79"/>
        <v>0</v>
      </c>
      <c r="BM118" s="35">
        <f t="shared" si="80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6"/>
        <v>0</v>
      </c>
      <c r="BR118">
        <f t="shared" si="97"/>
        <v>0</v>
      </c>
      <c r="BS118">
        <f t="shared" si="98"/>
        <v>0</v>
      </c>
      <c r="BT118">
        <f t="shared" si="99"/>
        <v>0</v>
      </c>
      <c r="BU118">
        <f t="shared" si="100"/>
        <v>0</v>
      </c>
    </row>
    <row r="119" spans="1:73" x14ac:dyDescent="0.3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109"/>
        <v>0</v>
      </c>
      <c r="N119">
        <f t="shared" ref="N119:AC134" si="110">IF($B119&lt;N$1,$C119*$D119,0)</f>
        <v>0</v>
      </c>
      <c r="O119">
        <f t="shared" si="110"/>
        <v>0</v>
      </c>
      <c r="P119">
        <f t="shared" si="110"/>
        <v>0</v>
      </c>
      <c r="Q119">
        <f t="shared" si="110"/>
        <v>0</v>
      </c>
      <c r="R119">
        <f t="shared" si="110"/>
        <v>0</v>
      </c>
      <c r="S119">
        <f t="shared" si="110"/>
        <v>0</v>
      </c>
      <c r="T119">
        <f t="shared" si="110"/>
        <v>0</v>
      </c>
      <c r="U119">
        <f t="shared" si="110"/>
        <v>0</v>
      </c>
      <c r="V119">
        <f t="shared" si="110"/>
        <v>0</v>
      </c>
      <c r="W119">
        <f t="shared" si="110"/>
        <v>0</v>
      </c>
      <c r="X119">
        <f t="shared" si="110"/>
        <v>0</v>
      </c>
      <c r="Y119">
        <f t="shared" si="110"/>
        <v>0</v>
      </c>
      <c r="Z119">
        <f t="shared" si="110"/>
        <v>0</v>
      </c>
      <c r="AA119">
        <f t="shared" si="110"/>
        <v>0</v>
      </c>
      <c r="AB119">
        <f t="shared" si="110"/>
        <v>0</v>
      </c>
      <c r="AC119">
        <f t="shared" si="110"/>
        <v>0</v>
      </c>
      <c r="AD119">
        <f t="shared" ref="AD119:AS138" si="111">IF($B119&lt;AD$1,$C119*$D119,0)</f>
        <v>0</v>
      </c>
      <c r="AE119">
        <f t="shared" si="111"/>
        <v>0</v>
      </c>
      <c r="AF119">
        <f t="shared" si="111"/>
        <v>0</v>
      </c>
      <c r="AG119">
        <f t="shared" si="111"/>
        <v>0</v>
      </c>
      <c r="AH119">
        <f t="shared" si="111"/>
        <v>0</v>
      </c>
      <c r="AI119">
        <f t="shared" si="111"/>
        <v>0</v>
      </c>
      <c r="AJ119">
        <f t="shared" si="111"/>
        <v>0</v>
      </c>
      <c r="AK119">
        <f t="shared" si="111"/>
        <v>0</v>
      </c>
      <c r="AL119">
        <f t="shared" si="111"/>
        <v>0</v>
      </c>
      <c r="AM119">
        <f t="shared" si="111"/>
        <v>0</v>
      </c>
      <c r="AN119">
        <f t="shared" si="111"/>
        <v>0</v>
      </c>
      <c r="AO119">
        <f t="shared" si="111"/>
        <v>0</v>
      </c>
      <c r="AP119">
        <f t="shared" si="111"/>
        <v>0</v>
      </c>
      <c r="AQ119">
        <f t="shared" si="111"/>
        <v>0</v>
      </c>
      <c r="AR119">
        <f t="shared" si="111"/>
        <v>0</v>
      </c>
      <c r="AS119">
        <f t="shared" si="111"/>
        <v>0</v>
      </c>
      <c r="AT119">
        <f t="shared" ref="AR119:AX155" si="112">IF($B119&lt;AT$1,$C119*$D119,0)</f>
        <v>0</v>
      </c>
      <c r="AU119">
        <f t="shared" si="112"/>
        <v>0</v>
      </c>
      <c r="AV119">
        <f t="shared" si="112"/>
        <v>0</v>
      </c>
      <c r="AW119">
        <f t="shared" si="112"/>
        <v>0</v>
      </c>
      <c r="AX119">
        <f t="shared" si="112"/>
        <v>0</v>
      </c>
      <c r="BB119" s="35">
        <f t="shared" si="69"/>
        <v>0</v>
      </c>
      <c r="BC119" s="35">
        <f t="shared" si="70"/>
        <v>0</v>
      </c>
      <c r="BD119" s="35">
        <f t="shared" si="71"/>
        <v>0</v>
      </c>
      <c r="BE119" s="35">
        <f t="shared" si="72"/>
        <v>0</v>
      </c>
      <c r="BF119" s="35">
        <f t="shared" si="73"/>
        <v>0</v>
      </c>
      <c r="BG119" s="35">
        <f t="shared" si="74"/>
        <v>0</v>
      </c>
      <c r="BH119" s="35">
        <f t="shared" si="75"/>
        <v>0</v>
      </c>
      <c r="BI119" s="35">
        <f t="shared" si="76"/>
        <v>0</v>
      </c>
      <c r="BJ119" s="35">
        <f t="shared" si="77"/>
        <v>0</v>
      </c>
      <c r="BK119" s="35">
        <f t="shared" si="78"/>
        <v>0</v>
      </c>
      <c r="BL119" s="35">
        <f t="shared" si="79"/>
        <v>0</v>
      </c>
      <c r="BM119" s="35">
        <f t="shared" si="80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6"/>
        <v>0</v>
      </c>
      <c r="BR119">
        <f t="shared" si="97"/>
        <v>0</v>
      </c>
      <c r="BS119">
        <f t="shared" si="98"/>
        <v>0</v>
      </c>
      <c r="BT119">
        <f t="shared" si="99"/>
        <v>0</v>
      </c>
      <c r="BU119">
        <f t="shared" si="100"/>
        <v>0</v>
      </c>
    </row>
    <row r="120" spans="1:73" x14ac:dyDescent="0.3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109"/>
        <v>0</v>
      </c>
      <c r="N120">
        <f t="shared" si="110"/>
        <v>0</v>
      </c>
      <c r="O120">
        <f t="shared" si="110"/>
        <v>0</v>
      </c>
      <c r="P120">
        <f t="shared" si="110"/>
        <v>0</v>
      </c>
      <c r="Q120">
        <f t="shared" si="110"/>
        <v>0</v>
      </c>
      <c r="R120">
        <f t="shared" si="110"/>
        <v>0</v>
      </c>
      <c r="S120">
        <f t="shared" si="110"/>
        <v>0</v>
      </c>
      <c r="T120">
        <f t="shared" si="110"/>
        <v>0</v>
      </c>
      <c r="U120">
        <f t="shared" si="110"/>
        <v>0</v>
      </c>
      <c r="V120">
        <f t="shared" si="110"/>
        <v>0</v>
      </c>
      <c r="W120">
        <f t="shared" si="110"/>
        <v>0</v>
      </c>
      <c r="X120">
        <f t="shared" si="110"/>
        <v>0</v>
      </c>
      <c r="Y120">
        <f t="shared" si="110"/>
        <v>0</v>
      </c>
      <c r="Z120">
        <f t="shared" si="110"/>
        <v>0</v>
      </c>
      <c r="AA120">
        <f t="shared" si="110"/>
        <v>0</v>
      </c>
      <c r="AB120">
        <f t="shared" si="110"/>
        <v>0</v>
      </c>
      <c r="AC120">
        <f t="shared" si="110"/>
        <v>0</v>
      </c>
      <c r="AD120">
        <f t="shared" si="111"/>
        <v>0</v>
      </c>
      <c r="AE120">
        <f t="shared" si="111"/>
        <v>0</v>
      </c>
      <c r="AF120">
        <f t="shared" si="111"/>
        <v>0</v>
      </c>
      <c r="AG120">
        <f t="shared" si="111"/>
        <v>0</v>
      </c>
      <c r="AH120">
        <f t="shared" si="111"/>
        <v>0</v>
      </c>
      <c r="AI120">
        <f t="shared" si="111"/>
        <v>0</v>
      </c>
      <c r="AJ120">
        <f t="shared" si="111"/>
        <v>0</v>
      </c>
      <c r="AK120">
        <f t="shared" si="111"/>
        <v>0</v>
      </c>
      <c r="AL120">
        <f t="shared" si="111"/>
        <v>0</v>
      </c>
      <c r="AM120">
        <f t="shared" si="111"/>
        <v>0</v>
      </c>
      <c r="AN120">
        <f t="shared" si="111"/>
        <v>0</v>
      </c>
      <c r="AO120">
        <f t="shared" si="111"/>
        <v>0</v>
      </c>
      <c r="AP120">
        <f t="shared" si="111"/>
        <v>0</v>
      </c>
      <c r="AQ120">
        <f t="shared" si="111"/>
        <v>0</v>
      </c>
      <c r="AR120">
        <f t="shared" si="112"/>
        <v>0</v>
      </c>
      <c r="AS120">
        <f t="shared" si="112"/>
        <v>0</v>
      </c>
      <c r="AT120">
        <f t="shared" si="112"/>
        <v>0</v>
      </c>
      <c r="AU120">
        <f t="shared" si="112"/>
        <v>0</v>
      </c>
      <c r="AV120">
        <f t="shared" si="112"/>
        <v>0</v>
      </c>
      <c r="AW120">
        <f t="shared" si="112"/>
        <v>0</v>
      </c>
      <c r="AX120">
        <f t="shared" si="112"/>
        <v>0</v>
      </c>
      <c r="BB120" s="35">
        <f t="shared" si="69"/>
        <v>0</v>
      </c>
      <c r="BC120" s="35">
        <f t="shared" si="70"/>
        <v>0</v>
      </c>
      <c r="BD120" s="35">
        <f t="shared" si="71"/>
        <v>0</v>
      </c>
      <c r="BE120" s="35">
        <f t="shared" si="72"/>
        <v>0</v>
      </c>
      <c r="BF120" s="35">
        <f t="shared" si="73"/>
        <v>0</v>
      </c>
      <c r="BG120" s="35">
        <f t="shared" si="74"/>
        <v>0</v>
      </c>
      <c r="BH120" s="35">
        <f t="shared" si="75"/>
        <v>0</v>
      </c>
      <c r="BI120" s="35">
        <f t="shared" si="76"/>
        <v>0</v>
      </c>
      <c r="BJ120" s="35">
        <f t="shared" si="77"/>
        <v>0</v>
      </c>
      <c r="BK120" s="35">
        <f t="shared" si="78"/>
        <v>0</v>
      </c>
      <c r="BL120" s="35">
        <f t="shared" si="79"/>
        <v>0</v>
      </c>
      <c r="BM120" s="35">
        <f t="shared" si="80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6"/>
        <v>0</v>
      </c>
      <c r="BR120">
        <f t="shared" si="97"/>
        <v>0</v>
      </c>
      <c r="BS120">
        <f t="shared" si="98"/>
        <v>0</v>
      </c>
      <c r="BT120">
        <f t="shared" si="99"/>
        <v>0</v>
      </c>
      <c r="BU120">
        <f t="shared" si="100"/>
        <v>0</v>
      </c>
    </row>
    <row r="121" spans="1:73" x14ac:dyDescent="0.3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109"/>
        <v>0</v>
      </c>
      <c r="N121">
        <f t="shared" si="110"/>
        <v>0</v>
      </c>
      <c r="O121">
        <f t="shared" si="110"/>
        <v>0</v>
      </c>
      <c r="P121">
        <f t="shared" si="110"/>
        <v>0</v>
      </c>
      <c r="Q121">
        <f t="shared" si="110"/>
        <v>0</v>
      </c>
      <c r="R121">
        <f t="shared" si="110"/>
        <v>0</v>
      </c>
      <c r="S121">
        <f t="shared" si="110"/>
        <v>0</v>
      </c>
      <c r="T121">
        <f t="shared" si="110"/>
        <v>0</v>
      </c>
      <c r="U121">
        <f t="shared" si="110"/>
        <v>0</v>
      </c>
      <c r="V121">
        <f t="shared" si="110"/>
        <v>0</v>
      </c>
      <c r="W121">
        <f t="shared" si="110"/>
        <v>0</v>
      </c>
      <c r="X121">
        <f t="shared" si="110"/>
        <v>0</v>
      </c>
      <c r="Y121">
        <f t="shared" si="110"/>
        <v>0</v>
      </c>
      <c r="Z121">
        <f t="shared" si="110"/>
        <v>0</v>
      </c>
      <c r="AA121">
        <f t="shared" si="110"/>
        <v>0</v>
      </c>
      <c r="AB121">
        <f t="shared" si="110"/>
        <v>0</v>
      </c>
      <c r="AC121">
        <f t="shared" si="110"/>
        <v>0</v>
      </c>
      <c r="AD121">
        <f t="shared" si="111"/>
        <v>0</v>
      </c>
      <c r="AE121">
        <f t="shared" si="111"/>
        <v>0</v>
      </c>
      <c r="AF121">
        <f t="shared" si="111"/>
        <v>0</v>
      </c>
      <c r="AG121">
        <f t="shared" si="111"/>
        <v>0</v>
      </c>
      <c r="AH121">
        <f t="shared" si="111"/>
        <v>0</v>
      </c>
      <c r="AI121">
        <f t="shared" si="111"/>
        <v>0</v>
      </c>
      <c r="AJ121">
        <f t="shared" si="111"/>
        <v>0</v>
      </c>
      <c r="AK121">
        <f t="shared" si="111"/>
        <v>0</v>
      </c>
      <c r="AL121">
        <f t="shared" si="111"/>
        <v>0</v>
      </c>
      <c r="AM121">
        <f t="shared" si="111"/>
        <v>0</v>
      </c>
      <c r="AN121">
        <f t="shared" si="111"/>
        <v>0</v>
      </c>
      <c r="AO121">
        <f t="shared" si="111"/>
        <v>0</v>
      </c>
      <c r="AP121">
        <f t="shared" si="111"/>
        <v>0</v>
      </c>
      <c r="AQ121">
        <f t="shared" si="111"/>
        <v>0</v>
      </c>
      <c r="AR121">
        <f t="shared" si="112"/>
        <v>0</v>
      </c>
      <c r="AS121">
        <f t="shared" si="112"/>
        <v>0</v>
      </c>
      <c r="AT121">
        <f t="shared" si="112"/>
        <v>0</v>
      </c>
      <c r="AU121">
        <f t="shared" si="112"/>
        <v>0</v>
      </c>
      <c r="AV121">
        <f t="shared" si="112"/>
        <v>0</v>
      </c>
      <c r="AW121">
        <f t="shared" si="112"/>
        <v>0</v>
      </c>
      <c r="AX121">
        <f t="shared" si="112"/>
        <v>0</v>
      </c>
      <c r="BB121" s="35">
        <f t="shared" si="69"/>
        <v>0</v>
      </c>
      <c r="BC121" s="35">
        <f t="shared" si="70"/>
        <v>0</v>
      </c>
      <c r="BD121" s="35">
        <f t="shared" si="71"/>
        <v>0</v>
      </c>
      <c r="BE121" s="35">
        <f t="shared" si="72"/>
        <v>0</v>
      </c>
      <c r="BF121" s="35">
        <f t="shared" si="73"/>
        <v>0</v>
      </c>
      <c r="BG121" s="35">
        <f t="shared" si="74"/>
        <v>0</v>
      </c>
      <c r="BH121" s="35">
        <f t="shared" si="75"/>
        <v>0</v>
      </c>
      <c r="BI121" s="35">
        <f t="shared" si="76"/>
        <v>0</v>
      </c>
      <c r="BJ121" s="35">
        <f t="shared" si="77"/>
        <v>0</v>
      </c>
      <c r="BK121" s="35">
        <f t="shared" si="78"/>
        <v>0</v>
      </c>
      <c r="BL121" s="35">
        <f t="shared" si="79"/>
        <v>0</v>
      </c>
      <c r="BM121" s="35">
        <f t="shared" si="80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6"/>
        <v>0</v>
      </c>
      <c r="BR121">
        <f t="shared" si="97"/>
        <v>0</v>
      </c>
      <c r="BS121">
        <f t="shared" si="98"/>
        <v>0</v>
      </c>
      <c r="BT121">
        <f t="shared" si="99"/>
        <v>0</v>
      </c>
      <c r="BU121">
        <f t="shared" si="100"/>
        <v>0</v>
      </c>
    </row>
    <row r="122" spans="1:73" x14ac:dyDescent="0.3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109"/>
        <v>0</v>
      </c>
      <c r="N122">
        <f t="shared" si="110"/>
        <v>0</v>
      </c>
      <c r="O122">
        <f t="shared" si="110"/>
        <v>0</v>
      </c>
      <c r="P122">
        <f t="shared" si="110"/>
        <v>0</v>
      </c>
      <c r="Q122">
        <f t="shared" si="110"/>
        <v>0</v>
      </c>
      <c r="R122">
        <f t="shared" si="110"/>
        <v>0</v>
      </c>
      <c r="S122">
        <f t="shared" si="110"/>
        <v>0</v>
      </c>
      <c r="T122">
        <f t="shared" si="110"/>
        <v>0</v>
      </c>
      <c r="U122">
        <f t="shared" si="110"/>
        <v>0</v>
      </c>
      <c r="V122">
        <f t="shared" si="110"/>
        <v>0</v>
      </c>
      <c r="W122">
        <f t="shared" si="110"/>
        <v>0</v>
      </c>
      <c r="X122">
        <f t="shared" si="110"/>
        <v>0</v>
      </c>
      <c r="Y122">
        <f t="shared" si="110"/>
        <v>0</v>
      </c>
      <c r="Z122">
        <f t="shared" si="110"/>
        <v>0</v>
      </c>
      <c r="AA122">
        <f t="shared" si="110"/>
        <v>0</v>
      </c>
      <c r="AB122">
        <f t="shared" si="110"/>
        <v>0</v>
      </c>
      <c r="AC122">
        <f t="shared" si="110"/>
        <v>0</v>
      </c>
      <c r="AD122">
        <f t="shared" si="111"/>
        <v>0</v>
      </c>
      <c r="AE122">
        <f t="shared" si="111"/>
        <v>0</v>
      </c>
      <c r="AF122">
        <f t="shared" si="111"/>
        <v>0</v>
      </c>
      <c r="AG122">
        <f t="shared" si="111"/>
        <v>0</v>
      </c>
      <c r="AH122">
        <f t="shared" si="111"/>
        <v>0</v>
      </c>
      <c r="AI122">
        <f t="shared" si="111"/>
        <v>0</v>
      </c>
      <c r="AJ122">
        <f t="shared" si="111"/>
        <v>0</v>
      </c>
      <c r="AK122">
        <f t="shared" si="111"/>
        <v>0</v>
      </c>
      <c r="AL122">
        <f t="shared" si="111"/>
        <v>0</v>
      </c>
      <c r="AM122">
        <f t="shared" si="111"/>
        <v>0</v>
      </c>
      <c r="AN122">
        <f t="shared" si="111"/>
        <v>0</v>
      </c>
      <c r="AO122">
        <f t="shared" si="111"/>
        <v>0</v>
      </c>
      <c r="AP122">
        <f t="shared" si="111"/>
        <v>0</v>
      </c>
      <c r="AQ122">
        <f t="shared" si="111"/>
        <v>0</v>
      </c>
      <c r="AR122">
        <f t="shared" si="112"/>
        <v>0</v>
      </c>
      <c r="AS122">
        <f t="shared" si="112"/>
        <v>0</v>
      </c>
      <c r="AT122">
        <f t="shared" si="112"/>
        <v>0</v>
      </c>
      <c r="AU122">
        <f t="shared" si="112"/>
        <v>0</v>
      </c>
      <c r="AV122">
        <f t="shared" si="112"/>
        <v>0</v>
      </c>
      <c r="AW122">
        <f t="shared" si="112"/>
        <v>0</v>
      </c>
      <c r="AX122">
        <f t="shared" si="112"/>
        <v>0</v>
      </c>
      <c r="BB122" s="35">
        <f t="shared" si="69"/>
        <v>0</v>
      </c>
      <c r="BC122" s="35">
        <f t="shared" si="70"/>
        <v>0</v>
      </c>
      <c r="BD122" s="35">
        <f t="shared" si="71"/>
        <v>0</v>
      </c>
      <c r="BE122" s="35">
        <f t="shared" si="72"/>
        <v>0</v>
      </c>
      <c r="BF122" s="35">
        <f t="shared" si="73"/>
        <v>0</v>
      </c>
      <c r="BG122" s="35">
        <f t="shared" si="74"/>
        <v>0</v>
      </c>
      <c r="BH122" s="35">
        <f t="shared" si="75"/>
        <v>0</v>
      </c>
      <c r="BI122" s="35">
        <f t="shared" si="76"/>
        <v>0</v>
      </c>
      <c r="BJ122" s="35">
        <f t="shared" si="77"/>
        <v>0</v>
      </c>
      <c r="BK122" s="35">
        <f t="shared" si="78"/>
        <v>0</v>
      </c>
      <c r="BL122" s="35">
        <f t="shared" si="79"/>
        <v>0</v>
      </c>
      <c r="BM122" s="35">
        <f t="shared" si="80"/>
        <v>0</v>
      </c>
      <c r="BN122">
        <f t="shared" ref="BN122:BP141" si="113">IF(AND($D122&gt;0,$G122=BN$1),$F122,0)</f>
        <v>0</v>
      </c>
      <c r="BO122">
        <f t="shared" si="113"/>
        <v>0</v>
      </c>
      <c r="BP122">
        <f t="shared" si="113"/>
        <v>0</v>
      </c>
      <c r="BQ122">
        <f t="shared" si="96"/>
        <v>0</v>
      </c>
      <c r="BR122">
        <f t="shared" si="97"/>
        <v>0</v>
      </c>
      <c r="BS122">
        <f t="shared" si="98"/>
        <v>0</v>
      </c>
      <c r="BT122">
        <f t="shared" si="99"/>
        <v>0</v>
      </c>
      <c r="BU122">
        <f t="shared" si="100"/>
        <v>0</v>
      </c>
    </row>
    <row r="123" spans="1:73" x14ac:dyDescent="0.3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109"/>
        <v>0</v>
      </c>
      <c r="N123">
        <f t="shared" si="110"/>
        <v>0</v>
      </c>
      <c r="O123">
        <f t="shared" si="110"/>
        <v>0</v>
      </c>
      <c r="P123">
        <f t="shared" si="110"/>
        <v>0</v>
      </c>
      <c r="Q123">
        <f t="shared" si="110"/>
        <v>0</v>
      </c>
      <c r="R123">
        <f t="shared" si="110"/>
        <v>0</v>
      </c>
      <c r="S123">
        <f t="shared" si="110"/>
        <v>0</v>
      </c>
      <c r="T123">
        <f t="shared" si="110"/>
        <v>0</v>
      </c>
      <c r="U123">
        <f t="shared" si="110"/>
        <v>0</v>
      </c>
      <c r="V123">
        <f t="shared" si="110"/>
        <v>0</v>
      </c>
      <c r="W123">
        <f t="shared" si="110"/>
        <v>0</v>
      </c>
      <c r="X123">
        <f t="shared" si="110"/>
        <v>0</v>
      </c>
      <c r="Y123">
        <f t="shared" si="110"/>
        <v>0</v>
      </c>
      <c r="Z123">
        <f t="shared" si="110"/>
        <v>0</v>
      </c>
      <c r="AA123">
        <f t="shared" si="110"/>
        <v>0</v>
      </c>
      <c r="AB123">
        <f t="shared" si="110"/>
        <v>0</v>
      </c>
      <c r="AC123">
        <f t="shared" si="110"/>
        <v>0</v>
      </c>
      <c r="AD123">
        <f t="shared" si="111"/>
        <v>0</v>
      </c>
      <c r="AE123">
        <f t="shared" si="111"/>
        <v>0</v>
      </c>
      <c r="AF123">
        <f t="shared" si="111"/>
        <v>0</v>
      </c>
      <c r="AG123">
        <f t="shared" si="111"/>
        <v>0</v>
      </c>
      <c r="AH123">
        <f t="shared" si="111"/>
        <v>0</v>
      </c>
      <c r="AI123">
        <f t="shared" si="111"/>
        <v>0</v>
      </c>
      <c r="AJ123">
        <f t="shared" si="111"/>
        <v>0</v>
      </c>
      <c r="AK123">
        <f t="shared" si="111"/>
        <v>0</v>
      </c>
      <c r="AL123">
        <f t="shared" si="111"/>
        <v>0</v>
      </c>
      <c r="AM123">
        <f t="shared" si="111"/>
        <v>0</v>
      </c>
      <c r="AN123">
        <f t="shared" si="111"/>
        <v>0</v>
      </c>
      <c r="AO123">
        <f t="shared" si="111"/>
        <v>0</v>
      </c>
      <c r="AP123">
        <f t="shared" si="111"/>
        <v>0</v>
      </c>
      <c r="AQ123">
        <f t="shared" si="111"/>
        <v>0</v>
      </c>
      <c r="AR123">
        <f t="shared" si="112"/>
        <v>0</v>
      </c>
      <c r="AS123">
        <f t="shared" si="112"/>
        <v>0</v>
      </c>
      <c r="AT123">
        <f t="shared" si="112"/>
        <v>0</v>
      </c>
      <c r="AU123">
        <f t="shared" si="112"/>
        <v>0</v>
      </c>
      <c r="AV123">
        <f t="shared" si="112"/>
        <v>0</v>
      </c>
      <c r="AW123">
        <f t="shared" si="112"/>
        <v>0</v>
      </c>
      <c r="AX123">
        <f t="shared" si="112"/>
        <v>0</v>
      </c>
      <c r="BB123" s="35">
        <f t="shared" si="69"/>
        <v>0</v>
      </c>
      <c r="BC123" s="35">
        <f t="shared" si="70"/>
        <v>0</v>
      </c>
      <c r="BD123" s="35">
        <f t="shared" si="71"/>
        <v>0</v>
      </c>
      <c r="BE123" s="35">
        <f t="shared" si="72"/>
        <v>0</v>
      </c>
      <c r="BF123" s="35">
        <f t="shared" si="73"/>
        <v>0</v>
      </c>
      <c r="BG123" s="35">
        <f t="shared" si="74"/>
        <v>0</v>
      </c>
      <c r="BH123" s="35">
        <f t="shared" si="75"/>
        <v>0</v>
      </c>
      <c r="BI123" s="35">
        <f t="shared" si="76"/>
        <v>0</v>
      </c>
      <c r="BJ123" s="35">
        <f t="shared" si="77"/>
        <v>0</v>
      </c>
      <c r="BK123" s="35">
        <f t="shared" si="78"/>
        <v>0</v>
      </c>
      <c r="BL123" s="35">
        <f t="shared" si="79"/>
        <v>0</v>
      </c>
      <c r="BM123" s="35">
        <f t="shared" si="80"/>
        <v>0</v>
      </c>
      <c r="BN123">
        <f t="shared" si="113"/>
        <v>0</v>
      </c>
      <c r="BO123">
        <f t="shared" si="113"/>
        <v>0</v>
      </c>
      <c r="BP123">
        <f t="shared" si="113"/>
        <v>0</v>
      </c>
      <c r="BQ123">
        <f t="shared" si="96"/>
        <v>0</v>
      </c>
      <c r="BR123">
        <f t="shared" si="97"/>
        <v>0</v>
      </c>
      <c r="BS123">
        <f t="shared" si="98"/>
        <v>0</v>
      </c>
      <c r="BT123">
        <f t="shared" si="99"/>
        <v>0</v>
      </c>
      <c r="BU123">
        <f t="shared" si="100"/>
        <v>0</v>
      </c>
    </row>
    <row r="124" spans="1:73" x14ac:dyDescent="0.3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109"/>
        <v>0</v>
      </c>
      <c r="N124">
        <f t="shared" si="110"/>
        <v>0</v>
      </c>
      <c r="O124">
        <f t="shared" si="110"/>
        <v>0</v>
      </c>
      <c r="P124">
        <f t="shared" si="110"/>
        <v>0</v>
      </c>
      <c r="Q124">
        <f t="shared" si="110"/>
        <v>0</v>
      </c>
      <c r="R124">
        <f t="shared" si="110"/>
        <v>0</v>
      </c>
      <c r="S124">
        <f t="shared" si="110"/>
        <v>0</v>
      </c>
      <c r="T124">
        <f t="shared" si="110"/>
        <v>0</v>
      </c>
      <c r="U124">
        <f t="shared" si="110"/>
        <v>0</v>
      </c>
      <c r="V124">
        <f t="shared" si="110"/>
        <v>0</v>
      </c>
      <c r="W124">
        <f t="shared" si="110"/>
        <v>0</v>
      </c>
      <c r="X124">
        <f t="shared" si="110"/>
        <v>0</v>
      </c>
      <c r="Y124">
        <f t="shared" si="110"/>
        <v>0</v>
      </c>
      <c r="Z124">
        <f t="shared" si="110"/>
        <v>0</v>
      </c>
      <c r="AA124">
        <f t="shared" si="110"/>
        <v>0</v>
      </c>
      <c r="AB124">
        <f t="shared" si="110"/>
        <v>0</v>
      </c>
      <c r="AC124">
        <f t="shared" si="110"/>
        <v>0</v>
      </c>
      <c r="AD124">
        <f t="shared" si="111"/>
        <v>0</v>
      </c>
      <c r="AE124">
        <f t="shared" si="111"/>
        <v>0</v>
      </c>
      <c r="AF124">
        <f t="shared" si="111"/>
        <v>0</v>
      </c>
      <c r="AG124">
        <f t="shared" si="111"/>
        <v>0</v>
      </c>
      <c r="AH124">
        <f t="shared" si="111"/>
        <v>0</v>
      </c>
      <c r="AI124">
        <f t="shared" si="111"/>
        <v>0</v>
      </c>
      <c r="AJ124">
        <f t="shared" si="111"/>
        <v>0</v>
      </c>
      <c r="AK124">
        <f t="shared" si="111"/>
        <v>0</v>
      </c>
      <c r="AL124">
        <f t="shared" si="111"/>
        <v>0</v>
      </c>
      <c r="AM124">
        <f t="shared" si="111"/>
        <v>0</v>
      </c>
      <c r="AN124">
        <f t="shared" si="111"/>
        <v>0</v>
      </c>
      <c r="AO124">
        <f t="shared" si="111"/>
        <v>0</v>
      </c>
      <c r="AP124">
        <f t="shared" si="111"/>
        <v>0</v>
      </c>
      <c r="AQ124">
        <f t="shared" si="111"/>
        <v>0</v>
      </c>
      <c r="AR124">
        <f t="shared" si="112"/>
        <v>0</v>
      </c>
      <c r="AS124">
        <f t="shared" si="112"/>
        <v>0</v>
      </c>
      <c r="AT124">
        <f t="shared" si="112"/>
        <v>0</v>
      </c>
      <c r="AU124">
        <f t="shared" si="112"/>
        <v>0</v>
      </c>
      <c r="AV124">
        <f t="shared" si="112"/>
        <v>0</v>
      </c>
      <c r="AW124">
        <f t="shared" si="112"/>
        <v>0</v>
      </c>
      <c r="AX124">
        <f t="shared" si="112"/>
        <v>0</v>
      </c>
      <c r="BB124" s="35">
        <f t="shared" si="69"/>
        <v>0</v>
      </c>
      <c r="BC124" s="35">
        <f t="shared" si="70"/>
        <v>0</v>
      </c>
      <c r="BD124" s="35">
        <f t="shared" si="71"/>
        <v>0</v>
      </c>
      <c r="BE124" s="35">
        <f t="shared" si="72"/>
        <v>0</v>
      </c>
      <c r="BF124" s="35">
        <f t="shared" si="73"/>
        <v>0</v>
      </c>
      <c r="BG124" s="35">
        <f t="shared" si="74"/>
        <v>0</v>
      </c>
      <c r="BH124" s="35">
        <f t="shared" si="75"/>
        <v>0</v>
      </c>
      <c r="BI124" s="35">
        <f t="shared" si="76"/>
        <v>0</v>
      </c>
      <c r="BJ124" s="35">
        <f t="shared" si="77"/>
        <v>0</v>
      </c>
      <c r="BK124" s="35">
        <f t="shared" si="78"/>
        <v>0</v>
      </c>
      <c r="BL124" s="35">
        <f t="shared" si="79"/>
        <v>0</v>
      </c>
      <c r="BM124" s="35">
        <f t="shared" si="80"/>
        <v>0</v>
      </c>
      <c r="BN124">
        <f t="shared" si="113"/>
        <v>0</v>
      </c>
      <c r="BO124">
        <f t="shared" si="113"/>
        <v>0</v>
      </c>
      <c r="BP124">
        <f t="shared" si="113"/>
        <v>0</v>
      </c>
      <c r="BQ124">
        <f t="shared" si="96"/>
        <v>0</v>
      </c>
      <c r="BR124">
        <f t="shared" si="97"/>
        <v>0</v>
      </c>
      <c r="BS124">
        <f t="shared" si="98"/>
        <v>0</v>
      </c>
      <c r="BT124">
        <f t="shared" si="99"/>
        <v>0</v>
      </c>
      <c r="BU124">
        <f t="shared" si="100"/>
        <v>0</v>
      </c>
    </row>
    <row r="125" spans="1:73" x14ac:dyDescent="0.3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109"/>
        <v>0</v>
      </c>
      <c r="N125">
        <f t="shared" si="110"/>
        <v>0</v>
      </c>
      <c r="O125">
        <f t="shared" si="110"/>
        <v>0</v>
      </c>
      <c r="P125">
        <f t="shared" si="110"/>
        <v>0</v>
      </c>
      <c r="Q125">
        <f t="shared" si="110"/>
        <v>0</v>
      </c>
      <c r="R125">
        <f t="shared" si="110"/>
        <v>0</v>
      </c>
      <c r="S125">
        <f t="shared" si="110"/>
        <v>0</v>
      </c>
      <c r="T125">
        <f t="shared" si="110"/>
        <v>0</v>
      </c>
      <c r="U125">
        <f t="shared" si="110"/>
        <v>0</v>
      </c>
      <c r="V125">
        <f t="shared" si="110"/>
        <v>0</v>
      </c>
      <c r="W125">
        <f t="shared" si="110"/>
        <v>0</v>
      </c>
      <c r="X125">
        <f t="shared" si="110"/>
        <v>0</v>
      </c>
      <c r="Y125">
        <f t="shared" si="110"/>
        <v>0</v>
      </c>
      <c r="Z125">
        <f t="shared" si="110"/>
        <v>0</v>
      </c>
      <c r="AA125">
        <f t="shared" si="110"/>
        <v>0</v>
      </c>
      <c r="AB125">
        <f t="shared" si="110"/>
        <v>0</v>
      </c>
      <c r="AC125">
        <f t="shared" si="110"/>
        <v>0</v>
      </c>
      <c r="AD125">
        <f t="shared" si="111"/>
        <v>0</v>
      </c>
      <c r="AE125">
        <f t="shared" si="111"/>
        <v>0</v>
      </c>
      <c r="AF125">
        <f t="shared" si="111"/>
        <v>0</v>
      </c>
      <c r="AG125">
        <f t="shared" si="111"/>
        <v>0</v>
      </c>
      <c r="AH125">
        <f t="shared" si="111"/>
        <v>0</v>
      </c>
      <c r="AI125">
        <f t="shared" si="111"/>
        <v>0</v>
      </c>
      <c r="AJ125">
        <f t="shared" si="111"/>
        <v>0</v>
      </c>
      <c r="AK125">
        <f t="shared" si="111"/>
        <v>0</v>
      </c>
      <c r="AL125">
        <f t="shared" si="111"/>
        <v>0</v>
      </c>
      <c r="AM125">
        <f t="shared" si="111"/>
        <v>0</v>
      </c>
      <c r="AN125">
        <f t="shared" si="111"/>
        <v>0</v>
      </c>
      <c r="AO125">
        <f t="shared" si="111"/>
        <v>0</v>
      </c>
      <c r="AP125">
        <f t="shared" si="111"/>
        <v>0</v>
      </c>
      <c r="AQ125">
        <f t="shared" si="111"/>
        <v>0</v>
      </c>
      <c r="AR125">
        <f t="shared" si="112"/>
        <v>0</v>
      </c>
      <c r="AS125">
        <f t="shared" si="112"/>
        <v>0</v>
      </c>
      <c r="AT125">
        <f t="shared" si="112"/>
        <v>0</v>
      </c>
      <c r="AU125">
        <f t="shared" si="112"/>
        <v>0</v>
      </c>
      <c r="AV125">
        <f t="shared" si="112"/>
        <v>0</v>
      </c>
      <c r="AW125">
        <f t="shared" si="112"/>
        <v>0</v>
      </c>
      <c r="AX125">
        <f t="shared" si="112"/>
        <v>0</v>
      </c>
      <c r="BB125" s="35">
        <f t="shared" si="69"/>
        <v>0</v>
      </c>
      <c r="BC125" s="35">
        <f t="shared" si="70"/>
        <v>0</v>
      </c>
      <c r="BD125" s="35">
        <f t="shared" si="71"/>
        <v>0</v>
      </c>
      <c r="BE125" s="35">
        <f t="shared" si="72"/>
        <v>0</v>
      </c>
      <c r="BF125" s="35">
        <f t="shared" si="73"/>
        <v>0</v>
      </c>
      <c r="BG125" s="35">
        <f t="shared" si="74"/>
        <v>0</v>
      </c>
      <c r="BH125" s="35">
        <f t="shared" si="75"/>
        <v>0</v>
      </c>
      <c r="BI125" s="35">
        <f t="shared" si="76"/>
        <v>0</v>
      </c>
      <c r="BJ125" s="35">
        <f t="shared" si="77"/>
        <v>0</v>
      </c>
      <c r="BK125" s="35">
        <f t="shared" si="78"/>
        <v>0</v>
      </c>
      <c r="BL125" s="35">
        <f t="shared" si="79"/>
        <v>0</v>
      </c>
      <c r="BM125" s="35">
        <f t="shared" si="80"/>
        <v>0</v>
      </c>
      <c r="BN125">
        <f t="shared" si="113"/>
        <v>0</v>
      </c>
      <c r="BO125">
        <f t="shared" si="113"/>
        <v>0</v>
      </c>
      <c r="BP125">
        <f t="shared" si="113"/>
        <v>0</v>
      </c>
      <c r="BQ125">
        <f t="shared" si="96"/>
        <v>0</v>
      </c>
      <c r="BR125">
        <f t="shared" si="97"/>
        <v>0</v>
      </c>
      <c r="BS125">
        <f t="shared" si="98"/>
        <v>0</v>
      </c>
      <c r="BT125">
        <f t="shared" si="99"/>
        <v>0</v>
      </c>
      <c r="BU125">
        <f t="shared" si="100"/>
        <v>0</v>
      </c>
    </row>
    <row r="126" spans="1:73" x14ac:dyDescent="0.3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109"/>
        <v>0</v>
      </c>
      <c r="N126">
        <f t="shared" si="110"/>
        <v>0</v>
      </c>
      <c r="O126">
        <f t="shared" si="110"/>
        <v>0</v>
      </c>
      <c r="P126">
        <f t="shared" si="110"/>
        <v>0</v>
      </c>
      <c r="Q126">
        <f t="shared" si="110"/>
        <v>0</v>
      </c>
      <c r="R126">
        <f t="shared" si="110"/>
        <v>0</v>
      </c>
      <c r="S126">
        <f t="shared" si="110"/>
        <v>0</v>
      </c>
      <c r="T126">
        <f t="shared" si="110"/>
        <v>0</v>
      </c>
      <c r="U126">
        <f t="shared" si="110"/>
        <v>0</v>
      </c>
      <c r="V126">
        <f t="shared" si="110"/>
        <v>0</v>
      </c>
      <c r="W126">
        <f t="shared" si="110"/>
        <v>0</v>
      </c>
      <c r="X126">
        <f t="shared" si="110"/>
        <v>0</v>
      </c>
      <c r="Y126">
        <f t="shared" si="110"/>
        <v>0</v>
      </c>
      <c r="Z126">
        <f t="shared" si="110"/>
        <v>0</v>
      </c>
      <c r="AA126">
        <f t="shared" si="110"/>
        <v>0</v>
      </c>
      <c r="AB126">
        <f t="shared" si="110"/>
        <v>0</v>
      </c>
      <c r="AC126">
        <f t="shared" si="110"/>
        <v>0</v>
      </c>
      <c r="AD126">
        <f t="shared" si="111"/>
        <v>0</v>
      </c>
      <c r="AE126">
        <f t="shared" si="111"/>
        <v>0</v>
      </c>
      <c r="AF126">
        <f t="shared" si="111"/>
        <v>0</v>
      </c>
      <c r="AG126">
        <f t="shared" si="111"/>
        <v>0</v>
      </c>
      <c r="AH126">
        <f t="shared" si="111"/>
        <v>0</v>
      </c>
      <c r="AI126">
        <f t="shared" si="111"/>
        <v>0</v>
      </c>
      <c r="AJ126">
        <f t="shared" si="111"/>
        <v>0</v>
      </c>
      <c r="AK126">
        <f t="shared" si="111"/>
        <v>0</v>
      </c>
      <c r="AL126">
        <f t="shared" si="111"/>
        <v>0</v>
      </c>
      <c r="AM126">
        <f t="shared" si="111"/>
        <v>0</v>
      </c>
      <c r="AN126">
        <f t="shared" si="111"/>
        <v>0</v>
      </c>
      <c r="AO126">
        <f t="shared" si="111"/>
        <v>0</v>
      </c>
      <c r="AP126">
        <f t="shared" si="111"/>
        <v>0</v>
      </c>
      <c r="AQ126">
        <f t="shared" si="111"/>
        <v>0</v>
      </c>
      <c r="AR126">
        <f t="shared" si="112"/>
        <v>0</v>
      </c>
      <c r="AS126">
        <f t="shared" si="112"/>
        <v>0</v>
      </c>
      <c r="AT126">
        <f t="shared" si="112"/>
        <v>0</v>
      </c>
      <c r="AU126">
        <f t="shared" si="112"/>
        <v>0</v>
      </c>
      <c r="AV126">
        <f t="shared" si="112"/>
        <v>0</v>
      </c>
      <c r="AW126">
        <f t="shared" si="112"/>
        <v>0</v>
      </c>
      <c r="AX126">
        <f t="shared" si="112"/>
        <v>0</v>
      </c>
      <c r="BB126" s="35">
        <f t="shared" si="69"/>
        <v>0</v>
      </c>
      <c r="BC126" s="35">
        <f t="shared" si="70"/>
        <v>0</v>
      </c>
      <c r="BD126" s="35">
        <f t="shared" si="71"/>
        <v>0</v>
      </c>
      <c r="BE126" s="35">
        <f t="shared" si="72"/>
        <v>0</v>
      </c>
      <c r="BF126" s="35">
        <f t="shared" si="73"/>
        <v>0</v>
      </c>
      <c r="BG126" s="35">
        <f t="shared" si="74"/>
        <v>0</v>
      </c>
      <c r="BH126" s="35">
        <f t="shared" si="75"/>
        <v>0</v>
      </c>
      <c r="BI126" s="35">
        <f t="shared" si="76"/>
        <v>0</v>
      </c>
      <c r="BJ126" s="35">
        <f t="shared" si="77"/>
        <v>0</v>
      </c>
      <c r="BK126" s="35">
        <f t="shared" si="78"/>
        <v>0</v>
      </c>
      <c r="BL126" s="35">
        <f t="shared" si="79"/>
        <v>0</v>
      </c>
      <c r="BM126" s="35">
        <f t="shared" si="80"/>
        <v>0</v>
      </c>
      <c r="BN126">
        <f t="shared" si="113"/>
        <v>0</v>
      </c>
      <c r="BO126">
        <f t="shared" si="113"/>
        <v>0</v>
      </c>
      <c r="BP126">
        <f t="shared" si="113"/>
        <v>0</v>
      </c>
      <c r="BQ126">
        <f t="shared" si="96"/>
        <v>0</v>
      </c>
      <c r="BR126">
        <f t="shared" si="97"/>
        <v>0</v>
      </c>
      <c r="BS126">
        <f t="shared" si="98"/>
        <v>0</v>
      </c>
      <c r="BT126">
        <f t="shared" si="99"/>
        <v>0</v>
      </c>
      <c r="BU126">
        <f t="shared" si="100"/>
        <v>0</v>
      </c>
    </row>
    <row r="127" spans="1:73" x14ac:dyDescent="0.3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109"/>
        <v>0</v>
      </c>
      <c r="N127">
        <f t="shared" si="110"/>
        <v>0</v>
      </c>
      <c r="O127">
        <f t="shared" si="110"/>
        <v>0</v>
      </c>
      <c r="P127">
        <f t="shared" si="110"/>
        <v>0</v>
      </c>
      <c r="Q127">
        <f t="shared" si="110"/>
        <v>0</v>
      </c>
      <c r="R127">
        <f t="shared" si="110"/>
        <v>0</v>
      </c>
      <c r="S127">
        <f t="shared" si="110"/>
        <v>0</v>
      </c>
      <c r="T127">
        <f t="shared" si="110"/>
        <v>0</v>
      </c>
      <c r="U127">
        <f t="shared" si="110"/>
        <v>0</v>
      </c>
      <c r="V127">
        <f t="shared" si="110"/>
        <v>0</v>
      </c>
      <c r="W127">
        <f t="shared" si="110"/>
        <v>0</v>
      </c>
      <c r="X127">
        <f t="shared" si="110"/>
        <v>0</v>
      </c>
      <c r="Y127">
        <f t="shared" si="110"/>
        <v>0</v>
      </c>
      <c r="Z127">
        <f t="shared" si="110"/>
        <v>0</v>
      </c>
      <c r="AA127">
        <f t="shared" si="110"/>
        <v>0</v>
      </c>
      <c r="AB127">
        <f t="shared" si="110"/>
        <v>0</v>
      </c>
      <c r="AC127">
        <f t="shared" si="110"/>
        <v>0</v>
      </c>
      <c r="AD127">
        <f t="shared" si="111"/>
        <v>0</v>
      </c>
      <c r="AE127">
        <f t="shared" si="111"/>
        <v>0</v>
      </c>
      <c r="AF127">
        <f t="shared" si="111"/>
        <v>0</v>
      </c>
      <c r="AG127">
        <f t="shared" si="111"/>
        <v>0</v>
      </c>
      <c r="AH127">
        <f t="shared" si="111"/>
        <v>0</v>
      </c>
      <c r="AI127">
        <f t="shared" si="111"/>
        <v>0</v>
      </c>
      <c r="AJ127">
        <f t="shared" si="111"/>
        <v>0</v>
      </c>
      <c r="AK127">
        <f t="shared" si="111"/>
        <v>0</v>
      </c>
      <c r="AL127">
        <f t="shared" si="111"/>
        <v>0</v>
      </c>
      <c r="AM127">
        <f t="shared" si="111"/>
        <v>0</v>
      </c>
      <c r="AN127">
        <f t="shared" si="111"/>
        <v>0</v>
      </c>
      <c r="AO127">
        <f t="shared" si="111"/>
        <v>0</v>
      </c>
      <c r="AP127">
        <f t="shared" si="111"/>
        <v>0</v>
      </c>
      <c r="AQ127">
        <f t="shared" si="111"/>
        <v>0</v>
      </c>
      <c r="AR127">
        <f t="shared" si="112"/>
        <v>0</v>
      </c>
      <c r="AS127">
        <f t="shared" si="112"/>
        <v>0</v>
      </c>
      <c r="AT127">
        <f t="shared" si="112"/>
        <v>0</v>
      </c>
      <c r="AU127">
        <f t="shared" si="112"/>
        <v>0</v>
      </c>
      <c r="AV127">
        <f t="shared" si="112"/>
        <v>0</v>
      </c>
      <c r="AW127">
        <f t="shared" si="112"/>
        <v>0</v>
      </c>
      <c r="AX127">
        <f t="shared" si="112"/>
        <v>0</v>
      </c>
      <c r="BB127" s="35">
        <f t="shared" si="69"/>
        <v>0</v>
      </c>
      <c r="BC127" s="35">
        <f t="shared" si="70"/>
        <v>0</v>
      </c>
      <c r="BD127" s="35">
        <f t="shared" si="71"/>
        <v>0</v>
      </c>
      <c r="BE127" s="35">
        <f t="shared" si="72"/>
        <v>0</v>
      </c>
      <c r="BF127" s="35">
        <f t="shared" si="73"/>
        <v>0</v>
      </c>
      <c r="BG127" s="35">
        <f t="shared" si="74"/>
        <v>0</v>
      </c>
      <c r="BH127" s="35">
        <f t="shared" si="75"/>
        <v>0</v>
      </c>
      <c r="BI127" s="35">
        <f t="shared" si="76"/>
        <v>0</v>
      </c>
      <c r="BJ127" s="35">
        <f t="shared" si="77"/>
        <v>0</v>
      </c>
      <c r="BK127" s="35">
        <f t="shared" si="78"/>
        <v>0</v>
      </c>
      <c r="BL127" s="35">
        <f t="shared" si="79"/>
        <v>0</v>
      </c>
      <c r="BM127" s="35">
        <f t="shared" si="80"/>
        <v>0</v>
      </c>
      <c r="BN127">
        <f t="shared" si="113"/>
        <v>0</v>
      </c>
      <c r="BO127">
        <f t="shared" si="113"/>
        <v>0</v>
      </c>
      <c r="BP127">
        <f t="shared" si="113"/>
        <v>0</v>
      </c>
      <c r="BQ127">
        <f t="shared" si="96"/>
        <v>0</v>
      </c>
      <c r="BR127">
        <f t="shared" si="97"/>
        <v>0</v>
      </c>
      <c r="BS127">
        <f t="shared" si="98"/>
        <v>0</v>
      </c>
      <c r="BT127">
        <f t="shared" si="99"/>
        <v>0</v>
      </c>
      <c r="BU127">
        <f t="shared" si="100"/>
        <v>0</v>
      </c>
    </row>
    <row r="128" spans="1:73" x14ac:dyDescent="0.3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109"/>
        <v>0</v>
      </c>
      <c r="N128">
        <f t="shared" si="110"/>
        <v>0</v>
      </c>
      <c r="O128">
        <f t="shared" si="110"/>
        <v>0</v>
      </c>
      <c r="P128">
        <f t="shared" si="110"/>
        <v>0</v>
      </c>
      <c r="Q128">
        <f t="shared" si="110"/>
        <v>0</v>
      </c>
      <c r="R128">
        <f t="shared" si="110"/>
        <v>0</v>
      </c>
      <c r="S128">
        <f t="shared" si="110"/>
        <v>0</v>
      </c>
      <c r="T128">
        <f t="shared" si="110"/>
        <v>0</v>
      </c>
      <c r="U128">
        <f t="shared" si="110"/>
        <v>0</v>
      </c>
      <c r="V128">
        <f t="shared" si="110"/>
        <v>0</v>
      </c>
      <c r="W128">
        <f t="shared" si="110"/>
        <v>0</v>
      </c>
      <c r="X128">
        <f t="shared" si="110"/>
        <v>0</v>
      </c>
      <c r="Y128">
        <f t="shared" si="110"/>
        <v>0</v>
      </c>
      <c r="Z128">
        <f t="shared" si="110"/>
        <v>0</v>
      </c>
      <c r="AA128">
        <f t="shared" si="110"/>
        <v>0</v>
      </c>
      <c r="AB128">
        <f t="shared" si="110"/>
        <v>0</v>
      </c>
      <c r="AC128">
        <f t="shared" si="110"/>
        <v>0</v>
      </c>
      <c r="AD128">
        <f t="shared" si="111"/>
        <v>0</v>
      </c>
      <c r="AE128">
        <f t="shared" si="111"/>
        <v>0</v>
      </c>
      <c r="AF128">
        <f t="shared" si="111"/>
        <v>0</v>
      </c>
      <c r="AG128">
        <f t="shared" si="111"/>
        <v>0</v>
      </c>
      <c r="AH128">
        <f t="shared" si="111"/>
        <v>0</v>
      </c>
      <c r="AI128">
        <f t="shared" si="111"/>
        <v>0</v>
      </c>
      <c r="AJ128">
        <f t="shared" si="111"/>
        <v>0</v>
      </c>
      <c r="AK128">
        <f t="shared" si="111"/>
        <v>0</v>
      </c>
      <c r="AL128">
        <f t="shared" si="111"/>
        <v>0</v>
      </c>
      <c r="AM128">
        <f t="shared" si="111"/>
        <v>0</v>
      </c>
      <c r="AN128">
        <f t="shared" si="111"/>
        <v>0</v>
      </c>
      <c r="AO128">
        <f t="shared" si="111"/>
        <v>0</v>
      </c>
      <c r="AP128">
        <f t="shared" si="111"/>
        <v>0</v>
      </c>
      <c r="AQ128">
        <f t="shared" si="111"/>
        <v>0</v>
      </c>
      <c r="AR128">
        <f t="shared" si="112"/>
        <v>0</v>
      </c>
      <c r="AS128">
        <f t="shared" si="112"/>
        <v>0</v>
      </c>
      <c r="AT128">
        <f t="shared" si="112"/>
        <v>0</v>
      </c>
      <c r="AU128">
        <f t="shared" si="112"/>
        <v>0</v>
      </c>
      <c r="AV128">
        <f t="shared" si="112"/>
        <v>0</v>
      </c>
      <c r="AW128">
        <f t="shared" si="112"/>
        <v>0</v>
      </c>
      <c r="AX128">
        <f t="shared" si="112"/>
        <v>0</v>
      </c>
      <c r="BB128" s="35">
        <f t="shared" si="69"/>
        <v>0</v>
      </c>
      <c r="BC128" s="35">
        <f t="shared" si="70"/>
        <v>0</v>
      </c>
      <c r="BD128" s="35">
        <f t="shared" si="71"/>
        <v>0</v>
      </c>
      <c r="BE128" s="35">
        <f t="shared" si="72"/>
        <v>0</v>
      </c>
      <c r="BF128" s="35">
        <f t="shared" si="73"/>
        <v>0</v>
      </c>
      <c r="BG128" s="35">
        <f t="shared" si="74"/>
        <v>0</v>
      </c>
      <c r="BH128" s="35">
        <f t="shared" si="75"/>
        <v>0</v>
      </c>
      <c r="BI128" s="35">
        <f t="shared" si="76"/>
        <v>0</v>
      </c>
      <c r="BJ128" s="35">
        <f t="shared" si="77"/>
        <v>0</v>
      </c>
      <c r="BK128" s="35">
        <f t="shared" si="78"/>
        <v>0</v>
      </c>
      <c r="BL128" s="35">
        <f t="shared" si="79"/>
        <v>0</v>
      </c>
      <c r="BM128" s="35">
        <f t="shared" si="80"/>
        <v>0</v>
      </c>
      <c r="BN128">
        <f t="shared" si="113"/>
        <v>0</v>
      </c>
      <c r="BO128">
        <f t="shared" si="113"/>
        <v>0</v>
      </c>
      <c r="BP128">
        <f t="shared" si="113"/>
        <v>0</v>
      </c>
      <c r="BQ128">
        <f t="shared" si="96"/>
        <v>0</v>
      </c>
      <c r="BR128">
        <f t="shared" si="97"/>
        <v>0</v>
      </c>
      <c r="BS128">
        <f t="shared" si="98"/>
        <v>0</v>
      </c>
      <c r="BT128">
        <f t="shared" si="99"/>
        <v>0</v>
      </c>
      <c r="BU128">
        <f t="shared" si="100"/>
        <v>0</v>
      </c>
    </row>
    <row r="129" spans="1:73" x14ac:dyDescent="0.3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109"/>
        <v>0</v>
      </c>
      <c r="N129">
        <f t="shared" si="110"/>
        <v>0</v>
      </c>
      <c r="O129">
        <f t="shared" si="110"/>
        <v>0</v>
      </c>
      <c r="P129">
        <f t="shared" si="110"/>
        <v>0</v>
      </c>
      <c r="Q129">
        <f t="shared" si="110"/>
        <v>0</v>
      </c>
      <c r="R129">
        <f t="shared" si="110"/>
        <v>0</v>
      </c>
      <c r="S129">
        <f t="shared" si="110"/>
        <v>0</v>
      </c>
      <c r="T129">
        <f t="shared" si="110"/>
        <v>0</v>
      </c>
      <c r="U129">
        <f t="shared" si="110"/>
        <v>0</v>
      </c>
      <c r="V129">
        <f t="shared" si="110"/>
        <v>0</v>
      </c>
      <c r="W129">
        <f t="shared" si="110"/>
        <v>0</v>
      </c>
      <c r="X129">
        <f t="shared" si="110"/>
        <v>0</v>
      </c>
      <c r="Y129">
        <f t="shared" si="110"/>
        <v>0</v>
      </c>
      <c r="Z129">
        <f t="shared" si="110"/>
        <v>0</v>
      </c>
      <c r="AA129">
        <f t="shared" si="110"/>
        <v>0</v>
      </c>
      <c r="AB129">
        <f t="shared" si="110"/>
        <v>0</v>
      </c>
      <c r="AC129">
        <f t="shared" si="110"/>
        <v>0</v>
      </c>
      <c r="AD129">
        <f t="shared" si="111"/>
        <v>0</v>
      </c>
      <c r="AE129">
        <f t="shared" si="111"/>
        <v>0</v>
      </c>
      <c r="AF129">
        <f t="shared" si="111"/>
        <v>0</v>
      </c>
      <c r="AG129">
        <f t="shared" si="111"/>
        <v>0</v>
      </c>
      <c r="AH129">
        <f t="shared" si="111"/>
        <v>0</v>
      </c>
      <c r="AI129">
        <f t="shared" si="111"/>
        <v>0</v>
      </c>
      <c r="AJ129">
        <f t="shared" si="111"/>
        <v>0</v>
      </c>
      <c r="AK129">
        <f t="shared" si="111"/>
        <v>0</v>
      </c>
      <c r="AL129">
        <f t="shared" si="111"/>
        <v>0</v>
      </c>
      <c r="AM129">
        <f t="shared" si="111"/>
        <v>0</v>
      </c>
      <c r="AN129">
        <f t="shared" si="111"/>
        <v>0</v>
      </c>
      <c r="AO129">
        <f t="shared" si="111"/>
        <v>0</v>
      </c>
      <c r="AP129">
        <f t="shared" si="111"/>
        <v>0</v>
      </c>
      <c r="AQ129">
        <f t="shared" si="111"/>
        <v>0</v>
      </c>
      <c r="AR129">
        <f t="shared" si="112"/>
        <v>0</v>
      </c>
      <c r="AS129">
        <f t="shared" si="112"/>
        <v>0</v>
      </c>
      <c r="AT129">
        <f t="shared" si="112"/>
        <v>0</v>
      </c>
      <c r="AU129">
        <f t="shared" si="112"/>
        <v>0</v>
      </c>
      <c r="AV129">
        <f t="shared" si="112"/>
        <v>0</v>
      </c>
      <c r="AW129">
        <f t="shared" si="112"/>
        <v>0</v>
      </c>
      <c r="AX129">
        <f t="shared" si="112"/>
        <v>0</v>
      </c>
      <c r="BB129" s="35">
        <f t="shared" si="69"/>
        <v>0</v>
      </c>
      <c r="BC129" s="35">
        <f t="shared" si="70"/>
        <v>0</v>
      </c>
      <c r="BD129" s="35">
        <f t="shared" si="71"/>
        <v>0</v>
      </c>
      <c r="BE129" s="35">
        <f t="shared" si="72"/>
        <v>0</v>
      </c>
      <c r="BF129" s="35">
        <f t="shared" si="73"/>
        <v>0</v>
      </c>
      <c r="BG129" s="35">
        <f t="shared" si="74"/>
        <v>0</v>
      </c>
      <c r="BH129" s="35">
        <f t="shared" si="75"/>
        <v>0</v>
      </c>
      <c r="BI129" s="35">
        <f t="shared" si="76"/>
        <v>0</v>
      </c>
      <c r="BJ129" s="35">
        <f t="shared" si="77"/>
        <v>0</v>
      </c>
      <c r="BK129" s="35">
        <f t="shared" si="78"/>
        <v>0</v>
      </c>
      <c r="BL129" s="35">
        <f t="shared" si="79"/>
        <v>0</v>
      </c>
      <c r="BM129" s="35">
        <f t="shared" si="80"/>
        <v>0</v>
      </c>
      <c r="BN129">
        <f t="shared" si="113"/>
        <v>0</v>
      </c>
      <c r="BO129">
        <f t="shared" si="113"/>
        <v>0</v>
      </c>
      <c r="BP129">
        <f t="shared" si="113"/>
        <v>0</v>
      </c>
      <c r="BQ129">
        <f t="shared" si="96"/>
        <v>0</v>
      </c>
      <c r="BR129">
        <f t="shared" si="97"/>
        <v>0</v>
      </c>
      <c r="BS129">
        <f t="shared" si="98"/>
        <v>0</v>
      </c>
      <c r="BT129">
        <f t="shared" si="99"/>
        <v>0</v>
      </c>
      <c r="BU129">
        <f t="shared" si="100"/>
        <v>0</v>
      </c>
    </row>
    <row r="130" spans="1:73" x14ac:dyDescent="0.3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109"/>
        <v>0</v>
      </c>
      <c r="N130">
        <f t="shared" si="110"/>
        <v>0</v>
      </c>
      <c r="O130">
        <f t="shared" si="110"/>
        <v>0</v>
      </c>
      <c r="P130">
        <f t="shared" si="110"/>
        <v>0</v>
      </c>
      <c r="Q130">
        <f t="shared" si="110"/>
        <v>0</v>
      </c>
      <c r="R130">
        <f t="shared" si="110"/>
        <v>0</v>
      </c>
      <c r="S130">
        <f t="shared" si="110"/>
        <v>0</v>
      </c>
      <c r="T130">
        <f t="shared" si="110"/>
        <v>0</v>
      </c>
      <c r="U130">
        <f t="shared" si="110"/>
        <v>0</v>
      </c>
      <c r="V130">
        <f t="shared" si="110"/>
        <v>0</v>
      </c>
      <c r="W130">
        <f t="shared" si="110"/>
        <v>0</v>
      </c>
      <c r="X130">
        <f t="shared" si="110"/>
        <v>0</v>
      </c>
      <c r="Y130">
        <f t="shared" si="110"/>
        <v>0</v>
      </c>
      <c r="Z130">
        <f t="shared" si="110"/>
        <v>0</v>
      </c>
      <c r="AA130">
        <f t="shared" si="110"/>
        <v>0</v>
      </c>
      <c r="AB130">
        <f t="shared" si="110"/>
        <v>0</v>
      </c>
      <c r="AC130">
        <f t="shared" si="110"/>
        <v>0</v>
      </c>
      <c r="AD130">
        <f t="shared" si="111"/>
        <v>0</v>
      </c>
      <c r="AE130">
        <f t="shared" si="111"/>
        <v>0</v>
      </c>
      <c r="AF130">
        <f t="shared" si="111"/>
        <v>0</v>
      </c>
      <c r="AG130">
        <f t="shared" si="111"/>
        <v>0</v>
      </c>
      <c r="AH130">
        <f t="shared" si="111"/>
        <v>0</v>
      </c>
      <c r="AI130">
        <f t="shared" si="111"/>
        <v>0</v>
      </c>
      <c r="AJ130">
        <f t="shared" si="111"/>
        <v>0</v>
      </c>
      <c r="AK130">
        <f t="shared" si="111"/>
        <v>0</v>
      </c>
      <c r="AL130">
        <f t="shared" si="111"/>
        <v>0</v>
      </c>
      <c r="AM130">
        <f t="shared" si="111"/>
        <v>0</v>
      </c>
      <c r="AN130">
        <f t="shared" si="111"/>
        <v>0</v>
      </c>
      <c r="AO130">
        <f t="shared" si="111"/>
        <v>0</v>
      </c>
      <c r="AP130">
        <f t="shared" si="111"/>
        <v>0</v>
      </c>
      <c r="AQ130">
        <f t="shared" si="111"/>
        <v>0</v>
      </c>
      <c r="AR130">
        <f t="shared" si="112"/>
        <v>0</v>
      </c>
      <c r="AS130">
        <f t="shared" si="112"/>
        <v>0</v>
      </c>
      <c r="AT130">
        <f t="shared" si="112"/>
        <v>0</v>
      </c>
      <c r="AU130">
        <f t="shared" si="112"/>
        <v>0</v>
      </c>
      <c r="AV130">
        <f t="shared" si="112"/>
        <v>0</v>
      </c>
      <c r="AW130">
        <f t="shared" si="112"/>
        <v>0</v>
      </c>
      <c r="AX130">
        <f t="shared" si="112"/>
        <v>0</v>
      </c>
      <c r="BB130" s="35">
        <f t="shared" si="69"/>
        <v>0</v>
      </c>
      <c r="BC130" s="35">
        <f t="shared" si="70"/>
        <v>0</v>
      </c>
      <c r="BD130" s="35">
        <f t="shared" si="71"/>
        <v>0</v>
      </c>
      <c r="BE130" s="35">
        <f t="shared" si="72"/>
        <v>0</v>
      </c>
      <c r="BF130" s="35">
        <f t="shared" si="73"/>
        <v>0</v>
      </c>
      <c r="BG130" s="35">
        <f t="shared" si="74"/>
        <v>0</v>
      </c>
      <c r="BH130" s="35">
        <f t="shared" si="75"/>
        <v>0</v>
      </c>
      <c r="BI130" s="35">
        <f t="shared" si="76"/>
        <v>0</v>
      </c>
      <c r="BJ130" s="35">
        <f t="shared" si="77"/>
        <v>0</v>
      </c>
      <c r="BK130" s="35">
        <f t="shared" si="78"/>
        <v>0</v>
      </c>
      <c r="BL130" s="35">
        <f t="shared" si="79"/>
        <v>0</v>
      </c>
      <c r="BM130" s="35">
        <f t="shared" si="80"/>
        <v>0</v>
      </c>
      <c r="BN130">
        <f t="shared" si="113"/>
        <v>0</v>
      </c>
      <c r="BO130">
        <f t="shared" si="113"/>
        <v>0</v>
      </c>
      <c r="BP130">
        <f t="shared" si="113"/>
        <v>0</v>
      </c>
      <c r="BQ130">
        <f t="shared" ref="BQ130:BQ161" si="114">IF(AND($D130&gt;0,$G130=BQ$1),$D130,0)</f>
        <v>0</v>
      </c>
      <c r="BR130">
        <f t="shared" ref="BR130:BR161" si="115">IF(AND($D130&gt;0,$G130=BR$1),$F130,0)</f>
        <v>0</v>
      </c>
      <c r="BS130">
        <f t="shared" ref="BS130:BS161" si="116">IF(AND($D130&gt;0,$G130=BS$1),$D130,0)</f>
        <v>0</v>
      </c>
      <c r="BT130">
        <f t="shared" ref="BT130:BT161" si="117">IF(AND($D130&gt;0,$G130=BT$1),$F130,0)</f>
        <v>0</v>
      </c>
      <c r="BU130">
        <f t="shared" ref="BU130:BU161" si="118">IF(AND($D130&gt;0,$G130=BU$1),$D130,0)</f>
        <v>0</v>
      </c>
    </row>
    <row r="131" spans="1:73" x14ac:dyDescent="0.3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109"/>
        <v>0</v>
      </c>
      <c r="N131">
        <f t="shared" si="110"/>
        <v>0</v>
      </c>
      <c r="O131">
        <f t="shared" si="110"/>
        <v>0</v>
      </c>
      <c r="P131">
        <f t="shared" si="110"/>
        <v>0</v>
      </c>
      <c r="Q131">
        <f t="shared" si="110"/>
        <v>0</v>
      </c>
      <c r="R131">
        <f t="shared" si="110"/>
        <v>0</v>
      </c>
      <c r="S131">
        <f t="shared" si="110"/>
        <v>0</v>
      </c>
      <c r="T131">
        <f t="shared" si="110"/>
        <v>0</v>
      </c>
      <c r="U131">
        <f t="shared" si="110"/>
        <v>0</v>
      </c>
      <c r="V131">
        <f t="shared" si="110"/>
        <v>0</v>
      </c>
      <c r="W131">
        <f t="shared" si="110"/>
        <v>0</v>
      </c>
      <c r="X131">
        <f t="shared" si="110"/>
        <v>0</v>
      </c>
      <c r="Y131">
        <f t="shared" si="110"/>
        <v>0</v>
      </c>
      <c r="Z131">
        <f t="shared" si="110"/>
        <v>0</v>
      </c>
      <c r="AA131">
        <f t="shared" si="110"/>
        <v>0</v>
      </c>
      <c r="AB131">
        <f t="shared" si="110"/>
        <v>0</v>
      </c>
      <c r="AC131">
        <f t="shared" si="110"/>
        <v>0</v>
      </c>
      <c r="AD131">
        <f t="shared" si="111"/>
        <v>0</v>
      </c>
      <c r="AE131">
        <f t="shared" si="111"/>
        <v>0</v>
      </c>
      <c r="AF131">
        <f t="shared" si="111"/>
        <v>0</v>
      </c>
      <c r="AG131">
        <f t="shared" si="111"/>
        <v>0</v>
      </c>
      <c r="AH131">
        <f t="shared" si="111"/>
        <v>0</v>
      </c>
      <c r="AI131">
        <f t="shared" si="111"/>
        <v>0</v>
      </c>
      <c r="AJ131">
        <f t="shared" si="111"/>
        <v>0</v>
      </c>
      <c r="AK131">
        <f t="shared" si="111"/>
        <v>0</v>
      </c>
      <c r="AL131">
        <f t="shared" si="111"/>
        <v>0</v>
      </c>
      <c r="AM131">
        <f t="shared" si="111"/>
        <v>0</v>
      </c>
      <c r="AN131">
        <f t="shared" si="111"/>
        <v>0</v>
      </c>
      <c r="AO131">
        <f t="shared" si="111"/>
        <v>0</v>
      </c>
      <c r="AP131">
        <f t="shared" si="111"/>
        <v>0</v>
      </c>
      <c r="AQ131">
        <f t="shared" si="111"/>
        <v>0</v>
      </c>
      <c r="AR131">
        <f t="shared" si="112"/>
        <v>0</v>
      </c>
      <c r="AS131">
        <f t="shared" si="112"/>
        <v>0</v>
      </c>
      <c r="AT131">
        <f t="shared" si="112"/>
        <v>0</v>
      </c>
      <c r="AU131">
        <f t="shared" si="112"/>
        <v>0</v>
      </c>
      <c r="AV131">
        <f t="shared" si="112"/>
        <v>0</v>
      </c>
      <c r="AW131">
        <f t="shared" si="112"/>
        <v>0</v>
      </c>
      <c r="AX131">
        <f t="shared" si="112"/>
        <v>0</v>
      </c>
      <c r="BB131" s="35">
        <f t="shared" si="69"/>
        <v>0</v>
      </c>
      <c r="BC131" s="35">
        <f t="shared" si="70"/>
        <v>0</v>
      </c>
      <c r="BD131" s="35">
        <f t="shared" si="71"/>
        <v>0</v>
      </c>
      <c r="BE131" s="35">
        <f t="shared" si="72"/>
        <v>0</v>
      </c>
      <c r="BF131" s="35">
        <f t="shared" si="73"/>
        <v>0</v>
      </c>
      <c r="BG131" s="35">
        <f t="shared" si="74"/>
        <v>0</v>
      </c>
      <c r="BH131" s="35">
        <f t="shared" si="75"/>
        <v>0</v>
      </c>
      <c r="BI131" s="35">
        <f t="shared" si="76"/>
        <v>0</v>
      </c>
      <c r="BJ131" s="35">
        <f t="shared" si="77"/>
        <v>0</v>
      </c>
      <c r="BK131" s="35">
        <f t="shared" si="78"/>
        <v>0</v>
      </c>
      <c r="BL131" s="35">
        <f t="shared" si="79"/>
        <v>0</v>
      </c>
      <c r="BM131" s="35">
        <f t="shared" si="80"/>
        <v>0</v>
      </c>
      <c r="BN131">
        <f t="shared" si="113"/>
        <v>0</v>
      </c>
      <c r="BO131">
        <f t="shared" si="113"/>
        <v>0</v>
      </c>
      <c r="BP131">
        <f t="shared" si="113"/>
        <v>0</v>
      </c>
      <c r="BQ131">
        <f t="shared" si="114"/>
        <v>0</v>
      </c>
      <c r="BR131">
        <f t="shared" si="115"/>
        <v>0</v>
      </c>
      <c r="BS131">
        <f t="shared" si="116"/>
        <v>0</v>
      </c>
      <c r="BT131">
        <f t="shared" si="117"/>
        <v>0</v>
      </c>
      <c r="BU131">
        <f t="shared" si="118"/>
        <v>0</v>
      </c>
    </row>
    <row r="132" spans="1:73" x14ac:dyDescent="0.3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si="109"/>
        <v>0</v>
      </c>
      <c r="N132">
        <f t="shared" si="110"/>
        <v>0</v>
      </c>
      <c r="O132">
        <f t="shared" si="110"/>
        <v>0</v>
      </c>
      <c r="P132">
        <f t="shared" si="110"/>
        <v>0</v>
      </c>
      <c r="Q132">
        <f t="shared" si="110"/>
        <v>0</v>
      </c>
      <c r="R132">
        <f t="shared" si="110"/>
        <v>0</v>
      </c>
      <c r="S132">
        <f t="shared" si="110"/>
        <v>0</v>
      </c>
      <c r="T132">
        <f t="shared" si="110"/>
        <v>0</v>
      </c>
      <c r="U132">
        <f t="shared" si="110"/>
        <v>0</v>
      </c>
      <c r="V132">
        <f t="shared" si="110"/>
        <v>0</v>
      </c>
      <c r="W132">
        <f t="shared" si="110"/>
        <v>0</v>
      </c>
      <c r="X132">
        <f t="shared" si="110"/>
        <v>0</v>
      </c>
      <c r="Y132">
        <f t="shared" si="110"/>
        <v>0</v>
      </c>
      <c r="Z132">
        <f t="shared" si="110"/>
        <v>0</v>
      </c>
      <c r="AA132">
        <f t="shared" si="110"/>
        <v>0</v>
      </c>
      <c r="AB132">
        <f t="shared" si="110"/>
        <v>0</v>
      </c>
      <c r="AC132">
        <f t="shared" si="110"/>
        <v>0</v>
      </c>
      <c r="AD132">
        <f t="shared" si="111"/>
        <v>0</v>
      </c>
      <c r="AE132">
        <f t="shared" si="111"/>
        <v>0</v>
      </c>
      <c r="AF132">
        <f t="shared" si="111"/>
        <v>0</v>
      </c>
      <c r="AG132">
        <f t="shared" si="111"/>
        <v>0</v>
      </c>
      <c r="AH132">
        <f t="shared" si="111"/>
        <v>0</v>
      </c>
      <c r="AI132">
        <f t="shared" si="111"/>
        <v>0</v>
      </c>
      <c r="AJ132">
        <f t="shared" si="111"/>
        <v>0</v>
      </c>
      <c r="AK132">
        <f t="shared" si="111"/>
        <v>0</v>
      </c>
      <c r="AL132">
        <f t="shared" si="111"/>
        <v>0</v>
      </c>
      <c r="AM132">
        <f t="shared" si="111"/>
        <v>0</v>
      </c>
      <c r="AN132">
        <f t="shared" si="111"/>
        <v>0</v>
      </c>
      <c r="AO132">
        <f t="shared" si="111"/>
        <v>0</v>
      </c>
      <c r="AP132">
        <f t="shared" si="111"/>
        <v>0</v>
      </c>
      <c r="AQ132">
        <f t="shared" si="111"/>
        <v>0</v>
      </c>
      <c r="AR132">
        <f t="shared" si="112"/>
        <v>0</v>
      </c>
      <c r="AS132">
        <f t="shared" si="112"/>
        <v>0</v>
      </c>
      <c r="AT132">
        <f t="shared" si="112"/>
        <v>0</v>
      </c>
      <c r="AU132">
        <f t="shared" si="112"/>
        <v>0</v>
      </c>
      <c r="AV132">
        <f t="shared" si="112"/>
        <v>0</v>
      </c>
      <c r="AW132">
        <f t="shared" si="112"/>
        <v>0</v>
      </c>
      <c r="AX132">
        <f t="shared" si="112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3"/>
        <v>0</v>
      </c>
      <c r="BO132">
        <f t="shared" si="113"/>
        <v>0</v>
      </c>
      <c r="BP132">
        <f t="shared" si="113"/>
        <v>0</v>
      </c>
      <c r="BQ132">
        <f t="shared" si="114"/>
        <v>0</v>
      </c>
      <c r="BR132">
        <f t="shared" si="115"/>
        <v>0</v>
      </c>
      <c r="BS132">
        <f t="shared" si="116"/>
        <v>0</v>
      </c>
      <c r="BT132">
        <f t="shared" si="117"/>
        <v>0</v>
      </c>
      <c r="BU132">
        <f t="shared" si="118"/>
        <v>0</v>
      </c>
    </row>
    <row r="133" spans="1:73" x14ac:dyDescent="0.3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09"/>
        <v>0</v>
      </c>
      <c r="N133">
        <f t="shared" si="110"/>
        <v>0</v>
      </c>
      <c r="O133">
        <f t="shared" si="110"/>
        <v>0</v>
      </c>
      <c r="P133">
        <f t="shared" si="110"/>
        <v>0</v>
      </c>
      <c r="Q133">
        <f t="shared" si="110"/>
        <v>0</v>
      </c>
      <c r="R133">
        <f t="shared" si="110"/>
        <v>0</v>
      </c>
      <c r="S133">
        <f t="shared" si="110"/>
        <v>0</v>
      </c>
      <c r="T133">
        <f t="shared" si="110"/>
        <v>0</v>
      </c>
      <c r="U133">
        <f t="shared" si="110"/>
        <v>0</v>
      </c>
      <c r="V133">
        <f t="shared" si="110"/>
        <v>0</v>
      </c>
      <c r="W133">
        <f t="shared" si="110"/>
        <v>0</v>
      </c>
      <c r="X133">
        <f t="shared" si="110"/>
        <v>0</v>
      </c>
      <c r="Y133">
        <f t="shared" si="110"/>
        <v>0</v>
      </c>
      <c r="Z133">
        <f t="shared" si="110"/>
        <v>0</v>
      </c>
      <c r="AA133">
        <f t="shared" si="110"/>
        <v>0</v>
      </c>
      <c r="AB133">
        <f t="shared" si="110"/>
        <v>0</v>
      </c>
      <c r="AC133">
        <f t="shared" si="110"/>
        <v>0</v>
      </c>
      <c r="AD133">
        <f t="shared" si="111"/>
        <v>0</v>
      </c>
      <c r="AE133">
        <f t="shared" si="111"/>
        <v>0</v>
      </c>
      <c r="AF133">
        <f t="shared" si="111"/>
        <v>0</v>
      </c>
      <c r="AG133">
        <f t="shared" si="111"/>
        <v>0</v>
      </c>
      <c r="AH133">
        <f t="shared" si="111"/>
        <v>0</v>
      </c>
      <c r="AI133">
        <f t="shared" si="111"/>
        <v>0</v>
      </c>
      <c r="AJ133">
        <f t="shared" si="111"/>
        <v>0</v>
      </c>
      <c r="AK133">
        <f t="shared" si="111"/>
        <v>0</v>
      </c>
      <c r="AL133">
        <f t="shared" si="111"/>
        <v>0</v>
      </c>
      <c r="AM133">
        <f t="shared" si="111"/>
        <v>0</v>
      </c>
      <c r="AN133">
        <f t="shared" si="111"/>
        <v>0</v>
      </c>
      <c r="AO133">
        <f t="shared" si="111"/>
        <v>0</v>
      </c>
      <c r="AP133">
        <f t="shared" si="111"/>
        <v>0</v>
      </c>
      <c r="AQ133">
        <f t="shared" si="111"/>
        <v>0</v>
      </c>
      <c r="AR133">
        <f t="shared" si="112"/>
        <v>0</v>
      </c>
      <c r="AS133">
        <f t="shared" si="112"/>
        <v>0</v>
      </c>
      <c r="AT133">
        <f t="shared" si="112"/>
        <v>0</v>
      </c>
      <c r="AU133">
        <f t="shared" si="112"/>
        <v>0</v>
      </c>
      <c r="AV133">
        <f t="shared" si="112"/>
        <v>0</v>
      </c>
      <c r="AW133">
        <f t="shared" si="112"/>
        <v>0</v>
      </c>
      <c r="AX133">
        <f t="shared" si="112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3"/>
        <v>0</v>
      </c>
      <c r="BO133">
        <f t="shared" si="113"/>
        <v>0</v>
      </c>
      <c r="BP133">
        <f t="shared" si="113"/>
        <v>0</v>
      </c>
      <c r="BQ133">
        <f t="shared" si="114"/>
        <v>0</v>
      </c>
      <c r="BR133">
        <f t="shared" si="115"/>
        <v>0</v>
      </c>
      <c r="BS133">
        <f t="shared" si="116"/>
        <v>0</v>
      </c>
      <c r="BT133">
        <f t="shared" si="117"/>
        <v>0</v>
      </c>
      <c r="BU133">
        <f t="shared" si="118"/>
        <v>0</v>
      </c>
    </row>
    <row r="134" spans="1:73" x14ac:dyDescent="0.3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09"/>
        <v>0</v>
      </c>
      <c r="N134">
        <f t="shared" si="110"/>
        <v>0</v>
      </c>
      <c r="O134">
        <f t="shared" si="110"/>
        <v>0</v>
      </c>
      <c r="P134">
        <f t="shared" si="110"/>
        <v>0</v>
      </c>
      <c r="Q134">
        <f t="shared" si="110"/>
        <v>0</v>
      </c>
      <c r="R134">
        <f t="shared" si="110"/>
        <v>0</v>
      </c>
      <c r="S134">
        <f t="shared" si="110"/>
        <v>0</v>
      </c>
      <c r="T134">
        <f t="shared" si="110"/>
        <v>0</v>
      </c>
      <c r="U134">
        <f t="shared" si="110"/>
        <v>0</v>
      </c>
      <c r="V134">
        <f t="shared" si="110"/>
        <v>0</v>
      </c>
      <c r="W134">
        <f t="shared" si="110"/>
        <v>0</v>
      </c>
      <c r="X134">
        <f t="shared" si="110"/>
        <v>0</v>
      </c>
      <c r="Y134">
        <f t="shared" si="110"/>
        <v>0</v>
      </c>
      <c r="Z134">
        <f t="shared" si="110"/>
        <v>0</v>
      </c>
      <c r="AA134">
        <f t="shared" si="110"/>
        <v>0</v>
      </c>
      <c r="AB134">
        <f t="shared" si="110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1"/>
        <v>0</v>
      </c>
      <c r="AI134">
        <f t="shared" si="111"/>
        <v>0</v>
      </c>
      <c r="AJ134">
        <f t="shared" si="111"/>
        <v>0</v>
      </c>
      <c r="AK134">
        <f t="shared" si="111"/>
        <v>0</v>
      </c>
      <c r="AL134">
        <f t="shared" si="111"/>
        <v>0</v>
      </c>
      <c r="AM134">
        <f t="shared" si="111"/>
        <v>0</v>
      </c>
      <c r="AN134">
        <f t="shared" si="111"/>
        <v>0</v>
      </c>
      <c r="AO134">
        <f t="shared" si="111"/>
        <v>0</v>
      </c>
      <c r="AP134">
        <f t="shared" si="111"/>
        <v>0</v>
      </c>
      <c r="AQ134">
        <f t="shared" si="111"/>
        <v>0</v>
      </c>
      <c r="AR134">
        <f t="shared" si="112"/>
        <v>0</v>
      </c>
      <c r="AS134">
        <f t="shared" si="112"/>
        <v>0</v>
      </c>
      <c r="AT134">
        <f t="shared" si="112"/>
        <v>0</v>
      </c>
      <c r="AU134">
        <f t="shared" si="112"/>
        <v>0</v>
      </c>
      <c r="AV134">
        <f t="shared" si="112"/>
        <v>0</v>
      </c>
      <c r="AW134">
        <f t="shared" si="112"/>
        <v>0</v>
      </c>
      <c r="AX134">
        <f t="shared" si="112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3"/>
        <v>0</v>
      </c>
      <c r="BO134">
        <f t="shared" si="113"/>
        <v>0</v>
      </c>
      <c r="BP134">
        <f t="shared" si="113"/>
        <v>0</v>
      </c>
      <c r="BQ134">
        <f t="shared" si="114"/>
        <v>0</v>
      </c>
      <c r="BR134">
        <f t="shared" si="115"/>
        <v>0</v>
      </c>
      <c r="BS134">
        <f t="shared" si="116"/>
        <v>0</v>
      </c>
      <c r="BT134">
        <f t="shared" si="117"/>
        <v>0</v>
      </c>
      <c r="BU134">
        <f t="shared" si="118"/>
        <v>0</v>
      </c>
    </row>
    <row r="135" spans="1:73" x14ac:dyDescent="0.3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09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1"/>
        <v>0</v>
      </c>
      <c r="AI135">
        <f t="shared" si="111"/>
        <v>0</v>
      </c>
      <c r="AJ135">
        <f t="shared" si="111"/>
        <v>0</v>
      </c>
      <c r="AK135">
        <f t="shared" si="111"/>
        <v>0</v>
      </c>
      <c r="AL135">
        <f t="shared" si="111"/>
        <v>0</v>
      </c>
      <c r="AM135">
        <f t="shared" si="111"/>
        <v>0</v>
      </c>
      <c r="AN135">
        <f t="shared" si="111"/>
        <v>0</v>
      </c>
      <c r="AO135">
        <f t="shared" si="111"/>
        <v>0</v>
      </c>
      <c r="AP135">
        <f t="shared" si="111"/>
        <v>0</v>
      </c>
      <c r="AQ135">
        <f t="shared" si="111"/>
        <v>0</v>
      </c>
      <c r="AR135">
        <f t="shared" si="112"/>
        <v>0</v>
      </c>
      <c r="AS135">
        <f t="shared" si="112"/>
        <v>0</v>
      </c>
      <c r="AT135">
        <f t="shared" si="112"/>
        <v>0</v>
      </c>
      <c r="AU135">
        <f t="shared" si="112"/>
        <v>0</v>
      </c>
      <c r="AV135">
        <f t="shared" si="112"/>
        <v>0</v>
      </c>
      <c r="AW135">
        <f t="shared" si="112"/>
        <v>0</v>
      </c>
      <c r="AX135">
        <f t="shared" si="112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3"/>
        <v>0</v>
      </c>
      <c r="BO135">
        <f t="shared" si="113"/>
        <v>0</v>
      </c>
      <c r="BP135">
        <f t="shared" si="113"/>
        <v>0</v>
      </c>
      <c r="BQ135">
        <f t="shared" si="114"/>
        <v>0</v>
      </c>
      <c r="BR135">
        <f t="shared" si="115"/>
        <v>0</v>
      </c>
      <c r="BS135">
        <f t="shared" si="116"/>
        <v>0</v>
      </c>
      <c r="BT135">
        <f t="shared" si="117"/>
        <v>0</v>
      </c>
      <c r="BU135">
        <f t="shared" si="118"/>
        <v>0</v>
      </c>
    </row>
    <row r="136" spans="1:73" x14ac:dyDescent="0.3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09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1"/>
        <v>0</v>
      </c>
      <c r="AI136">
        <f t="shared" si="111"/>
        <v>0</v>
      </c>
      <c r="AJ136">
        <f t="shared" si="111"/>
        <v>0</v>
      </c>
      <c r="AK136">
        <f t="shared" si="111"/>
        <v>0</v>
      </c>
      <c r="AL136">
        <f t="shared" si="111"/>
        <v>0</v>
      </c>
      <c r="AM136">
        <f t="shared" si="111"/>
        <v>0</v>
      </c>
      <c r="AN136">
        <f t="shared" si="111"/>
        <v>0</v>
      </c>
      <c r="AO136">
        <f t="shared" si="111"/>
        <v>0</v>
      </c>
      <c r="AP136">
        <f t="shared" si="111"/>
        <v>0</v>
      </c>
      <c r="AQ136">
        <f t="shared" si="111"/>
        <v>0</v>
      </c>
      <c r="AR136">
        <f t="shared" si="112"/>
        <v>0</v>
      </c>
      <c r="AS136">
        <f t="shared" si="112"/>
        <v>0</v>
      </c>
      <c r="AT136">
        <f t="shared" si="112"/>
        <v>0</v>
      </c>
      <c r="AU136">
        <f t="shared" si="112"/>
        <v>0</v>
      </c>
      <c r="AV136">
        <f t="shared" si="112"/>
        <v>0</v>
      </c>
      <c r="AW136">
        <f t="shared" si="112"/>
        <v>0</v>
      </c>
      <c r="AX136">
        <f t="shared" si="112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3"/>
        <v>0</v>
      </c>
      <c r="BO136">
        <f t="shared" si="113"/>
        <v>0</v>
      </c>
      <c r="BP136">
        <f t="shared" si="113"/>
        <v>0</v>
      </c>
      <c r="BQ136">
        <f t="shared" si="114"/>
        <v>0</v>
      </c>
      <c r="BR136">
        <f t="shared" si="115"/>
        <v>0</v>
      </c>
      <c r="BS136">
        <f t="shared" si="116"/>
        <v>0</v>
      </c>
      <c r="BT136">
        <f t="shared" si="117"/>
        <v>0</v>
      </c>
      <c r="BU136">
        <f t="shared" si="118"/>
        <v>0</v>
      </c>
    </row>
    <row r="137" spans="1:73" x14ac:dyDescent="0.3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09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1"/>
        <v>0</v>
      </c>
      <c r="AI137">
        <f t="shared" si="111"/>
        <v>0</v>
      </c>
      <c r="AJ137">
        <f t="shared" si="111"/>
        <v>0</v>
      </c>
      <c r="AK137">
        <f t="shared" si="111"/>
        <v>0</v>
      </c>
      <c r="AL137">
        <f t="shared" si="111"/>
        <v>0</v>
      </c>
      <c r="AM137">
        <f t="shared" si="111"/>
        <v>0</v>
      </c>
      <c r="AN137">
        <f t="shared" si="111"/>
        <v>0</v>
      </c>
      <c r="AO137">
        <f t="shared" si="111"/>
        <v>0</v>
      </c>
      <c r="AP137">
        <f t="shared" si="111"/>
        <v>0</v>
      </c>
      <c r="AQ137">
        <f t="shared" si="111"/>
        <v>0</v>
      </c>
      <c r="AR137">
        <f t="shared" si="112"/>
        <v>0</v>
      </c>
      <c r="AS137">
        <f t="shared" si="112"/>
        <v>0</v>
      </c>
      <c r="AT137">
        <f t="shared" si="112"/>
        <v>0</v>
      </c>
      <c r="AU137">
        <f t="shared" si="112"/>
        <v>0</v>
      </c>
      <c r="AV137">
        <f t="shared" si="112"/>
        <v>0</v>
      </c>
      <c r="AW137">
        <f t="shared" si="112"/>
        <v>0</v>
      </c>
      <c r="AX137">
        <f t="shared" si="112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3"/>
        <v>0</v>
      </c>
      <c r="BO137">
        <f t="shared" si="113"/>
        <v>0</v>
      </c>
      <c r="BP137">
        <f t="shared" si="113"/>
        <v>0</v>
      </c>
      <c r="BQ137">
        <f t="shared" si="114"/>
        <v>0</v>
      </c>
      <c r="BR137">
        <f t="shared" si="115"/>
        <v>0</v>
      </c>
      <c r="BS137">
        <f t="shared" si="116"/>
        <v>0</v>
      </c>
      <c r="BT137">
        <f t="shared" si="117"/>
        <v>0</v>
      </c>
      <c r="BU137">
        <f t="shared" si="118"/>
        <v>0</v>
      </c>
    </row>
    <row r="138" spans="1:73" x14ac:dyDescent="0.3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09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1"/>
        <v>0</v>
      </c>
      <c r="AI138">
        <f t="shared" si="111"/>
        <v>0</v>
      </c>
      <c r="AJ138">
        <f t="shared" si="111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2"/>
        <v>0</v>
      </c>
      <c r="AS138">
        <f t="shared" si="112"/>
        <v>0</v>
      </c>
      <c r="AT138">
        <f t="shared" si="112"/>
        <v>0</v>
      </c>
      <c r="AU138">
        <f t="shared" si="112"/>
        <v>0</v>
      </c>
      <c r="AV138">
        <f t="shared" si="112"/>
        <v>0</v>
      </c>
      <c r="AW138">
        <f t="shared" si="112"/>
        <v>0</v>
      </c>
      <c r="AX138">
        <f t="shared" si="112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3"/>
        <v>0</v>
      </c>
      <c r="BO138">
        <f t="shared" si="113"/>
        <v>0</v>
      </c>
      <c r="BP138">
        <f t="shared" si="113"/>
        <v>0</v>
      </c>
      <c r="BQ138">
        <f t="shared" si="114"/>
        <v>0</v>
      </c>
      <c r="BR138">
        <f t="shared" si="115"/>
        <v>0</v>
      </c>
      <c r="BS138">
        <f t="shared" si="116"/>
        <v>0</v>
      </c>
      <c r="BT138">
        <f t="shared" si="117"/>
        <v>0</v>
      </c>
      <c r="BU138">
        <f t="shared" si="118"/>
        <v>0</v>
      </c>
    </row>
    <row r="139" spans="1:73" x14ac:dyDescent="0.3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09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2"/>
        <v>0</v>
      </c>
      <c r="AS139">
        <f t="shared" si="112"/>
        <v>0</v>
      </c>
      <c r="AT139">
        <f t="shared" si="112"/>
        <v>0</v>
      </c>
      <c r="AU139">
        <f t="shared" si="112"/>
        <v>0</v>
      </c>
      <c r="AV139">
        <f t="shared" si="112"/>
        <v>0</v>
      </c>
      <c r="AW139">
        <f t="shared" si="112"/>
        <v>0</v>
      </c>
      <c r="AX139">
        <f t="shared" si="112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3"/>
        <v>0</v>
      </c>
      <c r="BO139">
        <f t="shared" si="113"/>
        <v>0</v>
      </c>
      <c r="BP139">
        <f t="shared" si="113"/>
        <v>0</v>
      </c>
      <c r="BQ139">
        <f t="shared" si="114"/>
        <v>0</v>
      </c>
      <c r="BR139">
        <f t="shared" si="115"/>
        <v>0</v>
      </c>
      <c r="BS139">
        <f t="shared" si="116"/>
        <v>0</v>
      </c>
      <c r="BT139">
        <f t="shared" si="117"/>
        <v>0</v>
      </c>
      <c r="BU139">
        <f t="shared" si="118"/>
        <v>0</v>
      </c>
    </row>
    <row r="140" spans="1:73" x14ac:dyDescent="0.3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09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2"/>
        <v>0</v>
      </c>
      <c r="AS140">
        <f t="shared" si="112"/>
        <v>0</v>
      </c>
      <c r="AT140">
        <f t="shared" si="112"/>
        <v>0</v>
      </c>
      <c r="AU140">
        <f t="shared" si="112"/>
        <v>0</v>
      </c>
      <c r="AV140">
        <f t="shared" si="112"/>
        <v>0</v>
      </c>
      <c r="AW140">
        <f t="shared" si="112"/>
        <v>0</v>
      </c>
      <c r="AX140">
        <f t="shared" si="112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3"/>
        <v>0</v>
      </c>
      <c r="BO140">
        <f t="shared" si="113"/>
        <v>0</v>
      </c>
      <c r="BP140">
        <f t="shared" si="113"/>
        <v>0</v>
      </c>
      <c r="BQ140">
        <f t="shared" si="114"/>
        <v>0</v>
      </c>
      <c r="BR140">
        <f t="shared" si="115"/>
        <v>0</v>
      </c>
      <c r="BS140">
        <f t="shared" si="116"/>
        <v>0</v>
      </c>
      <c r="BT140">
        <f t="shared" si="117"/>
        <v>0</v>
      </c>
      <c r="BU140">
        <f t="shared" si="118"/>
        <v>0</v>
      </c>
    </row>
    <row r="141" spans="1:73" x14ac:dyDescent="0.3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09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2"/>
        <v>0</v>
      </c>
      <c r="AS141">
        <f t="shared" si="112"/>
        <v>0</v>
      </c>
      <c r="AT141">
        <f t="shared" si="112"/>
        <v>0</v>
      </c>
      <c r="AU141">
        <f t="shared" si="112"/>
        <v>0</v>
      </c>
      <c r="AV141">
        <f t="shared" si="112"/>
        <v>0</v>
      </c>
      <c r="AW141">
        <f t="shared" si="112"/>
        <v>0</v>
      </c>
      <c r="AX141">
        <f t="shared" si="112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3"/>
        <v>0</v>
      </c>
      <c r="BO141">
        <f t="shared" si="113"/>
        <v>0</v>
      </c>
      <c r="BP141">
        <f t="shared" si="113"/>
        <v>0</v>
      </c>
      <c r="BQ141">
        <f t="shared" si="114"/>
        <v>0</v>
      </c>
      <c r="BR141">
        <f t="shared" si="115"/>
        <v>0</v>
      </c>
      <c r="BS141">
        <f t="shared" si="116"/>
        <v>0</v>
      </c>
      <c r="BT141">
        <f t="shared" si="117"/>
        <v>0</v>
      </c>
      <c r="BU141">
        <f t="shared" si="118"/>
        <v>0</v>
      </c>
    </row>
    <row r="142" spans="1:73" x14ac:dyDescent="0.3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09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2"/>
        <v>0</v>
      </c>
      <c r="AS142">
        <f t="shared" si="112"/>
        <v>0</v>
      </c>
      <c r="AT142">
        <f t="shared" si="112"/>
        <v>0</v>
      </c>
      <c r="AU142">
        <f t="shared" si="112"/>
        <v>0</v>
      </c>
      <c r="AV142">
        <f t="shared" si="112"/>
        <v>0</v>
      </c>
      <c r="AW142">
        <f t="shared" si="112"/>
        <v>0</v>
      </c>
      <c r="AX142">
        <f t="shared" si="112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4"/>
        <v>0</v>
      </c>
      <c r="BR142">
        <f t="shared" si="115"/>
        <v>0</v>
      </c>
      <c r="BS142">
        <f t="shared" si="116"/>
        <v>0</v>
      </c>
      <c r="BT142">
        <f t="shared" si="117"/>
        <v>0</v>
      </c>
      <c r="BU142">
        <f t="shared" si="118"/>
        <v>0</v>
      </c>
    </row>
    <row r="143" spans="1:73" x14ac:dyDescent="0.3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09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2"/>
        <v>0</v>
      </c>
      <c r="AS143">
        <f t="shared" si="112"/>
        <v>0</v>
      </c>
      <c r="AT143">
        <f t="shared" si="112"/>
        <v>0</v>
      </c>
      <c r="AU143">
        <f t="shared" si="112"/>
        <v>0</v>
      </c>
      <c r="AV143">
        <f t="shared" si="112"/>
        <v>0</v>
      </c>
      <c r="AW143">
        <f t="shared" si="112"/>
        <v>0</v>
      </c>
      <c r="AX143">
        <f t="shared" si="112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4"/>
        <v>0</v>
      </c>
      <c r="BR143">
        <f t="shared" si="115"/>
        <v>0</v>
      </c>
      <c r="BS143">
        <f t="shared" si="116"/>
        <v>0</v>
      </c>
      <c r="BT143">
        <f t="shared" si="117"/>
        <v>0</v>
      </c>
      <c r="BU143">
        <f t="shared" si="118"/>
        <v>0</v>
      </c>
    </row>
    <row r="144" spans="1:73" x14ac:dyDescent="0.3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09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2"/>
        <v>0</v>
      </c>
      <c r="AS144">
        <f t="shared" si="112"/>
        <v>0</v>
      </c>
      <c r="AT144">
        <f t="shared" si="112"/>
        <v>0</v>
      </c>
      <c r="AU144">
        <f t="shared" si="112"/>
        <v>0</v>
      </c>
      <c r="AV144">
        <f t="shared" si="112"/>
        <v>0</v>
      </c>
      <c r="AW144">
        <f t="shared" si="112"/>
        <v>0</v>
      </c>
      <c r="AX144">
        <f t="shared" si="112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4"/>
        <v>0</v>
      </c>
      <c r="BR144">
        <f t="shared" si="115"/>
        <v>0</v>
      </c>
      <c r="BS144">
        <f t="shared" si="116"/>
        <v>0</v>
      </c>
      <c r="BT144">
        <f t="shared" si="117"/>
        <v>0</v>
      </c>
      <c r="BU144">
        <f t="shared" si="118"/>
        <v>0</v>
      </c>
    </row>
    <row r="145" spans="1:73" x14ac:dyDescent="0.3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09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2"/>
        <v>0</v>
      </c>
      <c r="AS145">
        <f t="shared" si="112"/>
        <v>0</v>
      </c>
      <c r="AT145">
        <f t="shared" si="112"/>
        <v>0</v>
      </c>
      <c r="AU145">
        <f t="shared" si="112"/>
        <v>0</v>
      </c>
      <c r="AV145">
        <f t="shared" si="112"/>
        <v>0</v>
      </c>
      <c r="AW145">
        <f t="shared" si="112"/>
        <v>0</v>
      </c>
      <c r="AX145">
        <f t="shared" si="112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4"/>
        <v>0</v>
      </c>
      <c r="BR145">
        <f t="shared" si="115"/>
        <v>0</v>
      </c>
      <c r="BS145">
        <f t="shared" si="116"/>
        <v>0</v>
      </c>
      <c r="BT145">
        <f t="shared" si="117"/>
        <v>0</v>
      </c>
      <c r="BU145">
        <f t="shared" si="118"/>
        <v>0</v>
      </c>
    </row>
    <row r="146" spans="1:73" x14ac:dyDescent="0.3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09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2"/>
        <v>0</v>
      </c>
      <c r="AS146">
        <f t="shared" si="112"/>
        <v>0</v>
      </c>
      <c r="AT146">
        <f t="shared" si="112"/>
        <v>0</v>
      </c>
      <c r="AU146">
        <f t="shared" si="112"/>
        <v>0</v>
      </c>
      <c r="AV146">
        <f t="shared" si="112"/>
        <v>0</v>
      </c>
      <c r="AW146">
        <f t="shared" si="112"/>
        <v>0</v>
      </c>
      <c r="AX146">
        <f t="shared" si="112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4"/>
        <v>0</v>
      </c>
      <c r="BR146">
        <f t="shared" si="115"/>
        <v>0</v>
      </c>
      <c r="BS146">
        <f t="shared" si="116"/>
        <v>0</v>
      </c>
      <c r="BT146">
        <f t="shared" si="117"/>
        <v>0</v>
      </c>
      <c r="BU146">
        <f t="shared" si="118"/>
        <v>0</v>
      </c>
    </row>
    <row r="147" spans="1:73" x14ac:dyDescent="0.3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09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2"/>
        <v>0</v>
      </c>
      <c r="AS147">
        <f t="shared" si="112"/>
        <v>0</v>
      </c>
      <c r="AT147">
        <f t="shared" si="112"/>
        <v>0</v>
      </c>
      <c r="AU147">
        <f t="shared" si="112"/>
        <v>0</v>
      </c>
      <c r="AV147">
        <f t="shared" si="112"/>
        <v>0</v>
      </c>
      <c r="AW147">
        <f t="shared" si="112"/>
        <v>0</v>
      </c>
      <c r="AX147">
        <f t="shared" si="112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4"/>
        <v>0</v>
      </c>
      <c r="BR147">
        <f t="shared" si="115"/>
        <v>0</v>
      </c>
      <c r="BS147">
        <f t="shared" si="116"/>
        <v>0</v>
      </c>
      <c r="BT147">
        <f t="shared" si="117"/>
        <v>0</v>
      </c>
      <c r="BU147">
        <f t="shared" si="118"/>
        <v>0</v>
      </c>
    </row>
    <row r="148" spans="1:73" x14ac:dyDescent="0.3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09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2"/>
        <v>0</v>
      </c>
      <c r="AS148">
        <f t="shared" si="112"/>
        <v>0</v>
      </c>
      <c r="AT148">
        <f t="shared" si="112"/>
        <v>0</v>
      </c>
      <c r="AU148">
        <f t="shared" si="112"/>
        <v>0</v>
      </c>
      <c r="AV148">
        <f t="shared" si="112"/>
        <v>0</v>
      </c>
      <c r="AW148">
        <f t="shared" si="112"/>
        <v>0</v>
      </c>
      <c r="AX148">
        <f t="shared" si="112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4"/>
        <v>0</v>
      </c>
      <c r="BR148">
        <f t="shared" si="115"/>
        <v>0</v>
      </c>
      <c r="BS148">
        <f t="shared" si="116"/>
        <v>0</v>
      </c>
      <c r="BT148">
        <f t="shared" si="117"/>
        <v>0</v>
      </c>
      <c r="BU148">
        <f t="shared" si="118"/>
        <v>0</v>
      </c>
    </row>
    <row r="149" spans="1:73" x14ac:dyDescent="0.3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09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2"/>
        <v>0</v>
      </c>
      <c r="AS149">
        <f t="shared" si="112"/>
        <v>0</v>
      </c>
      <c r="AT149">
        <f t="shared" si="112"/>
        <v>0</v>
      </c>
      <c r="AU149">
        <f t="shared" si="112"/>
        <v>0</v>
      </c>
      <c r="AV149">
        <f t="shared" si="112"/>
        <v>0</v>
      </c>
      <c r="AW149">
        <f t="shared" si="112"/>
        <v>0</v>
      </c>
      <c r="AX149">
        <f t="shared" si="112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4"/>
        <v>0</v>
      </c>
      <c r="BR149">
        <f t="shared" si="115"/>
        <v>0</v>
      </c>
      <c r="BS149">
        <f t="shared" si="116"/>
        <v>0</v>
      </c>
      <c r="BT149">
        <f t="shared" si="117"/>
        <v>0</v>
      </c>
      <c r="BU149">
        <f t="shared" si="118"/>
        <v>0</v>
      </c>
    </row>
    <row r="150" spans="1:73" x14ac:dyDescent="0.3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09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2"/>
        <v>0</v>
      </c>
      <c r="AS150">
        <f t="shared" si="112"/>
        <v>0</v>
      </c>
      <c r="AT150">
        <f t="shared" si="112"/>
        <v>0</v>
      </c>
      <c r="AU150">
        <f t="shared" si="112"/>
        <v>0</v>
      </c>
      <c r="AV150">
        <f t="shared" si="112"/>
        <v>0</v>
      </c>
      <c r="AW150">
        <f t="shared" si="112"/>
        <v>0</v>
      </c>
      <c r="AX150">
        <f t="shared" si="112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4"/>
        <v>0</v>
      </c>
      <c r="BR150">
        <f t="shared" si="115"/>
        <v>0</v>
      </c>
      <c r="BS150">
        <f t="shared" si="116"/>
        <v>0</v>
      </c>
      <c r="BT150">
        <f t="shared" si="117"/>
        <v>0</v>
      </c>
      <c r="BU150">
        <f t="shared" si="118"/>
        <v>0</v>
      </c>
    </row>
    <row r="151" spans="1:73" x14ac:dyDescent="0.3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09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2"/>
        <v>0</v>
      </c>
      <c r="AS151">
        <f t="shared" si="112"/>
        <v>0</v>
      </c>
      <c r="AT151">
        <f t="shared" si="112"/>
        <v>0</v>
      </c>
      <c r="AU151">
        <f t="shared" si="112"/>
        <v>0</v>
      </c>
      <c r="AV151">
        <f t="shared" si="112"/>
        <v>0</v>
      </c>
      <c r="AW151">
        <f t="shared" si="112"/>
        <v>0</v>
      </c>
      <c r="AX151">
        <f t="shared" si="112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4"/>
        <v>0</v>
      </c>
      <c r="BR151">
        <f t="shared" si="115"/>
        <v>0</v>
      </c>
      <c r="BS151">
        <f t="shared" si="116"/>
        <v>0</v>
      </c>
      <c r="BT151">
        <f t="shared" si="117"/>
        <v>0</v>
      </c>
      <c r="BU151">
        <f t="shared" si="118"/>
        <v>0</v>
      </c>
    </row>
    <row r="152" spans="1:73" x14ac:dyDescent="0.3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09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2"/>
        <v>0</v>
      </c>
      <c r="AS152">
        <f t="shared" si="112"/>
        <v>0</v>
      </c>
      <c r="AT152">
        <f t="shared" si="112"/>
        <v>0</v>
      </c>
      <c r="AU152">
        <f t="shared" si="112"/>
        <v>0</v>
      </c>
      <c r="AV152">
        <f t="shared" si="112"/>
        <v>0</v>
      </c>
      <c r="AW152">
        <f t="shared" si="112"/>
        <v>0</v>
      </c>
      <c r="AX152">
        <f t="shared" si="112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4"/>
        <v>0</v>
      </c>
      <c r="BR152">
        <f t="shared" si="115"/>
        <v>0</v>
      </c>
      <c r="BS152">
        <f t="shared" si="116"/>
        <v>0</v>
      </c>
      <c r="BT152">
        <f t="shared" si="117"/>
        <v>0</v>
      </c>
      <c r="BU152">
        <f t="shared" si="118"/>
        <v>0</v>
      </c>
    </row>
    <row r="153" spans="1:73" x14ac:dyDescent="0.3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09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2"/>
        <v>0</v>
      </c>
      <c r="AS153">
        <f t="shared" si="112"/>
        <v>0</v>
      </c>
      <c r="AT153">
        <f t="shared" si="112"/>
        <v>0</v>
      </c>
      <c r="AU153">
        <f t="shared" si="112"/>
        <v>0</v>
      </c>
      <c r="AV153">
        <f t="shared" si="112"/>
        <v>0</v>
      </c>
      <c r="AW153">
        <f t="shared" si="112"/>
        <v>0</v>
      </c>
      <c r="AX153">
        <f t="shared" si="112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4"/>
        <v>0</v>
      </c>
      <c r="BR153">
        <f t="shared" si="115"/>
        <v>0</v>
      </c>
      <c r="BS153">
        <f t="shared" si="116"/>
        <v>0</v>
      </c>
      <c r="BT153">
        <f t="shared" si="117"/>
        <v>0</v>
      </c>
      <c r="BU153">
        <f t="shared" si="118"/>
        <v>0</v>
      </c>
    </row>
    <row r="154" spans="1:73" x14ac:dyDescent="0.3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09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2"/>
        <v>0</v>
      </c>
      <c r="AS154">
        <f t="shared" si="112"/>
        <v>0</v>
      </c>
      <c r="AT154">
        <f t="shared" si="112"/>
        <v>0</v>
      </c>
      <c r="AU154">
        <f t="shared" si="112"/>
        <v>0</v>
      </c>
      <c r="AV154">
        <f t="shared" si="112"/>
        <v>0</v>
      </c>
      <c r="AW154">
        <f t="shared" si="112"/>
        <v>0</v>
      </c>
      <c r="AX154">
        <f t="shared" si="112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4"/>
        <v>0</v>
      </c>
      <c r="BR154">
        <f t="shared" si="115"/>
        <v>0</v>
      </c>
      <c r="BS154">
        <f t="shared" si="116"/>
        <v>0</v>
      </c>
      <c r="BT154">
        <f t="shared" si="117"/>
        <v>0</v>
      </c>
      <c r="BU154">
        <f t="shared" si="118"/>
        <v>0</v>
      </c>
    </row>
    <row r="155" spans="1:73" x14ac:dyDescent="0.3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09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2"/>
        <v>0</v>
      </c>
      <c r="AS155">
        <f t="shared" si="112"/>
        <v>0</v>
      </c>
      <c r="AT155">
        <f t="shared" si="112"/>
        <v>0</v>
      </c>
      <c r="AU155">
        <f t="shared" si="112"/>
        <v>0</v>
      </c>
      <c r="AV155">
        <f t="shared" si="112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4"/>
        <v>0</v>
      </c>
      <c r="BR155">
        <f t="shared" si="115"/>
        <v>0</v>
      </c>
      <c r="BS155">
        <f t="shared" si="116"/>
        <v>0</v>
      </c>
      <c r="BT155">
        <f t="shared" si="117"/>
        <v>0</v>
      </c>
      <c r="BU155">
        <f t="shared" si="118"/>
        <v>0</v>
      </c>
    </row>
    <row r="156" spans="1:73" x14ac:dyDescent="0.3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09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4"/>
        <v>0</v>
      </c>
      <c r="BR156">
        <f t="shared" si="115"/>
        <v>0</v>
      </c>
      <c r="BS156">
        <f t="shared" si="116"/>
        <v>0</v>
      </c>
      <c r="BT156">
        <f t="shared" si="117"/>
        <v>0</v>
      </c>
      <c r="BU156">
        <f t="shared" si="118"/>
        <v>0</v>
      </c>
    </row>
    <row r="157" spans="1:73" x14ac:dyDescent="0.3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09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4"/>
        <v>0</v>
      </c>
      <c r="BR157">
        <f t="shared" si="115"/>
        <v>0</v>
      </c>
      <c r="BS157">
        <f t="shared" si="116"/>
        <v>0</v>
      </c>
      <c r="BT157">
        <f t="shared" si="117"/>
        <v>0</v>
      </c>
      <c r="BU157">
        <f t="shared" si="118"/>
        <v>0</v>
      </c>
    </row>
    <row r="158" spans="1:73" x14ac:dyDescent="0.3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09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4"/>
        <v>0</v>
      </c>
      <c r="BR158">
        <f t="shared" si="115"/>
        <v>0</v>
      </c>
      <c r="BS158">
        <f t="shared" si="116"/>
        <v>0</v>
      </c>
      <c r="BT158">
        <f t="shared" si="117"/>
        <v>0</v>
      </c>
      <c r="BU158">
        <f t="shared" si="118"/>
        <v>0</v>
      </c>
    </row>
    <row r="159" spans="1:73" x14ac:dyDescent="0.3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09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4"/>
        <v>0</v>
      </c>
      <c r="BR159">
        <f t="shared" si="115"/>
        <v>0</v>
      </c>
      <c r="BS159">
        <f t="shared" si="116"/>
        <v>0</v>
      </c>
      <c r="BT159">
        <f t="shared" si="117"/>
        <v>0</v>
      </c>
      <c r="BU159">
        <f t="shared" si="118"/>
        <v>0</v>
      </c>
    </row>
    <row r="160" spans="1:73" x14ac:dyDescent="0.3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09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4"/>
        <v>0</v>
      </c>
      <c r="BR160">
        <f t="shared" si="115"/>
        <v>0</v>
      </c>
      <c r="BS160">
        <f t="shared" si="116"/>
        <v>0</v>
      </c>
      <c r="BT160">
        <f t="shared" si="117"/>
        <v>0</v>
      </c>
      <c r="BU160">
        <f t="shared" si="118"/>
        <v>0</v>
      </c>
    </row>
    <row r="161" spans="1:73" x14ac:dyDescent="0.3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09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4"/>
        <v>0</v>
      </c>
      <c r="BR161">
        <f t="shared" si="115"/>
        <v>0</v>
      </c>
      <c r="BS161">
        <f t="shared" si="116"/>
        <v>0</v>
      </c>
      <c r="BT161">
        <f t="shared" si="117"/>
        <v>0</v>
      </c>
      <c r="BU161">
        <f t="shared" si="118"/>
        <v>0</v>
      </c>
    </row>
    <row r="162" spans="1:73" x14ac:dyDescent="0.3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09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09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09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09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09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09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09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09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ref="M170:M195" si="147">IF(B170&lt;$L$1,C170*D170,0)</f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47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47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47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47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47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47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47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47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47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47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47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47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8">IF(AND($D182&gt;0,$G182=BN$1),$F182,0)</f>
        <v>0</v>
      </c>
      <c r="BO182">
        <f t="shared" si="148"/>
        <v>0</v>
      </c>
      <c r="BP182">
        <f t="shared" si="148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47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8"/>
        <v>0</v>
      </c>
      <c r="BO183">
        <f t="shared" si="148"/>
        <v>0</v>
      </c>
      <c r="BP183">
        <f t="shared" si="148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47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8"/>
        <v>0</v>
      </c>
      <c r="BO184">
        <f t="shared" si="148"/>
        <v>0</v>
      </c>
      <c r="BP184">
        <f t="shared" si="148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47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9">IF($B185&lt;AC$1,$C185*$D185,0)</f>
        <v>0</v>
      </c>
      <c r="AD185">
        <f t="shared" si="149"/>
        <v>0</v>
      </c>
      <c r="AE185">
        <f t="shared" si="149"/>
        <v>0</v>
      </c>
      <c r="AF185">
        <f t="shared" si="149"/>
        <v>0</v>
      </c>
      <c r="AG185">
        <f t="shared" si="149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8"/>
        <v>0</v>
      </c>
      <c r="BO185">
        <f t="shared" si="148"/>
        <v>0</v>
      </c>
      <c r="BP185">
        <f t="shared" si="148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47"/>
        <v>0</v>
      </c>
      <c r="N186">
        <f t="shared" ref="N186:W195" si="150">IF($B186&lt;N$1,$C186*$D186,0)</f>
        <v>0</v>
      </c>
      <c r="O186">
        <f t="shared" si="150"/>
        <v>0</v>
      </c>
      <c r="P186">
        <f t="shared" si="150"/>
        <v>0</v>
      </c>
      <c r="Q186">
        <f t="shared" si="150"/>
        <v>0</v>
      </c>
      <c r="R186">
        <f t="shared" si="150"/>
        <v>0</v>
      </c>
      <c r="S186">
        <f t="shared" si="150"/>
        <v>0</v>
      </c>
      <c r="T186">
        <f t="shared" si="150"/>
        <v>0</v>
      </c>
      <c r="U186">
        <f t="shared" si="150"/>
        <v>0</v>
      </c>
      <c r="V186">
        <f t="shared" si="150"/>
        <v>0</v>
      </c>
      <c r="W186">
        <f t="shared" si="150"/>
        <v>0</v>
      </c>
      <c r="X186">
        <f t="shared" si="149"/>
        <v>0</v>
      </c>
      <c r="Y186">
        <f t="shared" si="149"/>
        <v>0</v>
      </c>
      <c r="Z186">
        <f t="shared" si="149"/>
        <v>0</v>
      </c>
      <c r="AA186">
        <f t="shared" si="149"/>
        <v>0</v>
      </c>
      <c r="AB186">
        <f t="shared" si="149"/>
        <v>0</v>
      </c>
      <c r="AC186">
        <f t="shared" si="149"/>
        <v>0</v>
      </c>
      <c r="AD186">
        <f t="shared" si="149"/>
        <v>0</v>
      </c>
      <c r="AE186">
        <f t="shared" si="149"/>
        <v>0</v>
      </c>
      <c r="AF186">
        <f t="shared" si="149"/>
        <v>0</v>
      </c>
      <c r="AG186">
        <f t="shared" si="149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8"/>
        <v>0</v>
      </c>
      <c r="BO186">
        <f t="shared" si="148"/>
        <v>0</v>
      </c>
      <c r="BP186">
        <f t="shared" si="148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47"/>
        <v>0</v>
      </c>
      <c r="N187">
        <f t="shared" si="150"/>
        <v>0</v>
      </c>
      <c r="O187">
        <f t="shared" si="150"/>
        <v>0</v>
      </c>
      <c r="P187">
        <f t="shared" si="150"/>
        <v>0</v>
      </c>
      <c r="Q187">
        <f t="shared" si="150"/>
        <v>0</v>
      </c>
      <c r="R187">
        <f t="shared" si="150"/>
        <v>0</v>
      </c>
      <c r="S187">
        <f t="shared" si="150"/>
        <v>0</v>
      </c>
      <c r="T187">
        <f t="shared" si="150"/>
        <v>0</v>
      </c>
      <c r="U187">
        <f t="shared" si="150"/>
        <v>0</v>
      </c>
      <c r="V187">
        <f t="shared" si="150"/>
        <v>0</v>
      </c>
      <c r="W187">
        <f t="shared" si="150"/>
        <v>0</v>
      </c>
      <c r="X187">
        <f t="shared" si="149"/>
        <v>0</v>
      </c>
      <c r="Y187">
        <f t="shared" si="149"/>
        <v>0</v>
      </c>
      <c r="Z187">
        <f t="shared" si="149"/>
        <v>0</v>
      </c>
      <c r="AA187">
        <f t="shared" si="149"/>
        <v>0</v>
      </c>
      <c r="AB187">
        <f t="shared" si="149"/>
        <v>0</v>
      </c>
      <c r="AC187">
        <f t="shared" si="149"/>
        <v>0</v>
      </c>
      <c r="AD187">
        <f t="shared" si="149"/>
        <v>0</v>
      </c>
      <c r="AE187">
        <f t="shared" si="149"/>
        <v>0</v>
      </c>
      <c r="AF187">
        <f t="shared" si="149"/>
        <v>0</v>
      </c>
      <c r="AG187">
        <f t="shared" si="149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8"/>
        <v>0</v>
      </c>
      <c r="BO187">
        <f t="shared" si="148"/>
        <v>0</v>
      </c>
      <c r="BP187">
        <f t="shared" si="148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47"/>
        <v>0</v>
      </c>
      <c r="N188">
        <f t="shared" si="150"/>
        <v>0</v>
      </c>
      <c r="O188">
        <f t="shared" si="150"/>
        <v>0</v>
      </c>
      <c r="P188">
        <f t="shared" si="150"/>
        <v>0</v>
      </c>
      <c r="Q188">
        <f t="shared" si="150"/>
        <v>0</v>
      </c>
      <c r="R188">
        <f t="shared" si="150"/>
        <v>0</v>
      </c>
      <c r="S188">
        <f t="shared" si="150"/>
        <v>0</v>
      </c>
      <c r="T188">
        <f t="shared" si="150"/>
        <v>0</v>
      </c>
      <c r="U188">
        <f t="shared" si="150"/>
        <v>0</v>
      </c>
      <c r="V188">
        <f t="shared" si="150"/>
        <v>0</v>
      </c>
      <c r="W188">
        <f t="shared" si="150"/>
        <v>0</v>
      </c>
      <c r="X188">
        <f t="shared" si="149"/>
        <v>0</v>
      </c>
      <c r="Y188">
        <f t="shared" si="149"/>
        <v>0</v>
      </c>
      <c r="Z188">
        <f t="shared" si="149"/>
        <v>0</v>
      </c>
      <c r="AA188">
        <f t="shared" si="149"/>
        <v>0</v>
      </c>
      <c r="AB188">
        <f t="shared" si="149"/>
        <v>0</v>
      </c>
      <c r="AC188">
        <f t="shared" si="149"/>
        <v>0</v>
      </c>
      <c r="AD188">
        <f t="shared" si="149"/>
        <v>0</v>
      </c>
      <c r="AE188">
        <f t="shared" si="149"/>
        <v>0</v>
      </c>
      <c r="AF188">
        <f t="shared" si="149"/>
        <v>0</v>
      </c>
      <c r="AG188">
        <f t="shared" si="149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8"/>
        <v>0</v>
      </c>
      <c r="BO188">
        <f t="shared" si="148"/>
        <v>0</v>
      </c>
      <c r="BP188">
        <f t="shared" si="148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47"/>
        <v>0</v>
      </c>
      <c r="N189">
        <f t="shared" si="150"/>
        <v>0</v>
      </c>
      <c r="O189">
        <f t="shared" si="150"/>
        <v>0</v>
      </c>
      <c r="P189">
        <f t="shared" si="150"/>
        <v>0</v>
      </c>
      <c r="Q189">
        <f t="shared" si="150"/>
        <v>0</v>
      </c>
      <c r="R189">
        <f t="shared" si="150"/>
        <v>0</v>
      </c>
      <c r="S189">
        <f t="shared" si="150"/>
        <v>0</v>
      </c>
      <c r="T189">
        <f t="shared" si="150"/>
        <v>0</v>
      </c>
      <c r="U189">
        <f t="shared" si="150"/>
        <v>0</v>
      </c>
      <c r="V189">
        <f t="shared" si="150"/>
        <v>0</v>
      </c>
      <c r="W189">
        <f t="shared" si="150"/>
        <v>0</v>
      </c>
      <c r="X189">
        <f t="shared" si="149"/>
        <v>0</v>
      </c>
      <c r="Y189">
        <f t="shared" si="149"/>
        <v>0</v>
      </c>
      <c r="Z189">
        <f t="shared" si="149"/>
        <v>0</v>
      </c>
      <c r="AA189">
        <f t="shared" si="149"/>
        <v>0</v>
      </c>
      <c r="AB189">
        <f t="shared" si="149"/>
        <v>0</v>
      </c>
      <c r="AC189">
        <f t="shared" si="149"/>
        <v>0</v>
      </c>
      <c r="AD189">
        <f t="shared" si="149"/>
        <v>0</v>
      </c>
      <c r="AE189">
        <f t="shared" si="149"/>
        <v>0</v>
      </c>
      <c r="AF189">
        <f t="shared" si="149"/>
        <v>0</v>
      </c>
      <c r="AG189">
        <f t="shared" si="149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1">IF($B189&lt;AK$1,$C189*$D189,0)</f>
        <v>0</v>
      </c>
      <c r="AL189">
        <f t="shared" si="151"/>
        <v>0</v>
      </c>
      <c r="AM189">
        <f t="shared" si="151"/>
        <v>0</v>
      </c>
      <c r="AN189">
        <f t="shared" si="151"/>
        <v>0</v>
      </c>
      <c r="AO189">
        <f t="shared" si="151"/>
        <v>0</v>
      </c>
      <c r="AP189">
        <f t="shared" si="151"/>
        <v>0</v>
      </c>
      <c r="AQ189">
        <f t="shared" si="151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8"/>
        <v>0</v>
      </c>
      <c r="BO189">
        <f t="shared" si="148"/>
        <v>0</v>
      </c>
      <c r="BP189">
        <f t="shared" si="148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47"/>
        <v>0</v>
      </c>
      <c r="N190">
        <f t="shared" si="150"/>
        <v>0</v>
      </c>
      <c r="O190">
        <f t="shared" si="150"/>
        <v>0</v>
      </c>
      <c r="P190">
        <f t="shared" si="150"/>
        <v>0</v>
      </c>
      <c r="Q190">
        <f t="shared" si="150"/>
        <v>0</v>
      </c>
      <c r="R190">
        <f t="shared" si="150"/>
        <v>0</v>
      </c>
      <c r="S190">
        <f t="shared" si="150"/>
        <v>0</v>
      </c>
      <c r="T190">
        <f t="shared" si="150"/>
        <v>0</v>
      </c>
      <c r="U190">
        <f t="shared" si="150"/>
        <v>0</v>
      </c>
      <c r="V190">
        <f t="shared" si="150"/>
        <v>0</v>
      </c>
      <c r="W190">
        <f t="shared" si="150"/>
        <v>0</v>
      </c>
      <c r="X190">
        <f t="shared" si="149"/>
        <v>0</v>
      </c>
      <c r="Y190">
        <f t="shared" si="149"/>
        <v>0</v>
      </c>
      <c r="Z190">
        <f t="shared" si="149"/>
        <v>0</v>
      </c>
      <c r="AA190">
        <f t="shared" si="149"/>
        <v>0</v>
      </c>
      <c r="AB190">
        <f t="shared" si="149"/>
        <v>0</v>
      </c>
      <c r="AC190">
        <f t="shared" si="149"/>
        <v>0</v>
      </c>
      <c r="AD190">
        <f t="shared" si="149"/>
        <v>0</v>
      </c>
      <c r="AE190">
        <f t="shared" si="149"/>
        <v>0</v>
      </c>
      <c r="AF190">
        <f t="shared" si="149"/>
        <v>0</v>
      </c>
      <c r="AG190">
        <f t="shared" si="149"/>
        <v>0</v>
      </c>
      <c r="AH190">
        <f t="shared" si="151"/>
        <v>0</v>
      </c>
      <c r="AI190">
        <f t="shared" si="151"/>
        <v>0</v>
      </c>
      <c r="AJ190">
        <f t="shared" si="151"/>
        <v>0</v>
      </c>
      <c r="AK190">
        <f t="shared" si="151"/>
        <v>0</v>
      </c>
      <c r="AL190">
        <f t="shared" si="151"/>
        <v>0</v>
      </c>
      <c r="AM190">
        <f t="shared" si="151"/>
        <v>0</v>
      </c>
      <c r="AN190">
        <f t="shared" si="151"/>
        <v>0</v>
      </c>
      <c r="AO190">
        <f t="shared" si="151"/>
        <v>0</v>
      </c>
      <c r="AP190">
        <f t="shared" si="151"/>
        <v>0</v>
      </c>
      <c r="AQ190">
        <f t="shared" si="151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8"/>
        <v>0</v>
      </c>
      <c r="BO190">
        <f t="shared" si="148"/>
        <v>0</v>
      </c>
      <c r="BP190">
        <f t="shared" si="148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47"/>
        <v>0</v>
      </c>
      <c r="N191">
        <f t="shared" si="150"/>
        <v>0</v>
      </c>
      <c r="O191">
        <f t="shared" si="150"/>
        <v>0</v>
      </c>
      <c r="P191">
        <f t="shared" si="150"/>
        <v>0</v>
      </c>
      <c r="Q191">
        <f t="shared" si="150"/>
        <v>0</v>
      </c>
      <c r="R191">
        <f t="shared" si="150"/>
        <v>0</v>
      </c>
      <c r="S191">
        <f t="shared" si="150"/>
        <v>0</v>
      </c>
      <c r="T191">
        <f t="shared" si="150"/>
        <v>0</v>
      </c>
      <c r="U191">
        <f t="shared" si="150"/>
        <v>0</v>
      </c>
      <c r="V191">
        <f t="shared" si="150"/>
        <v>0</v>
      </c>
      <c r="W191">
        <f t="shared" si="150"/>
        <v>0</v>
      </c>
      <c r="X191">
        <f t="shared" si="149"/>
        <v>0</v>
      </c>
      <c r="Y191">
        <f t="shared" si="149"/>
        <v>0</v>
      </c>
      <c r="Z191">
        <f t="shared" si="149"/>
        <v>0</v>
      </c>
      <c r="AA191">
        <f t="shared" si="149"/>
        <v>0</v>
      </c>
      <c r="AB191">
        <f t="shared" si="149"/>
        <v>0</v>
      </c>
      <c r="AC191">
        <f t="shared" si="149"/>
        <v>0</v>
      </c>
      <c r="AD191">
        <f t="shared" si="149"/>
        <v>0</v>
      </c>
      <c r="AE191">
        <f t="shared" si="149"/>
        <v>0</v>
      </c>
      <c r="AF191">
        <f t="shared" si="149"/>
        <v>0</v>
      </c>
      <c r="AG191">
        <f t="shared" si="149"/>
        <v>0</v>
      </c>
      <c r="AH191">
        <f t="shared" si="151"/>
        <v>0</v>
      </c>
      <c r="AI191">
        <f t="shared" si="151"/>
        <v>0</v>
      </c>
      <c r="AJ191">
        <f t="shared" si="151"/>
        <v>0</v>
      </c>
      <c r="AK191">
        <f t="shared" si="151"/>
        <v>0</v>
      </c>
      <c r="AL191">
        <f t="shared" si="151"/>
        <v>0</v>
      </c>
      <c r="AM191">
        <f t="shared" si="151"/>
        <v>0</v>
      </c>
      <c r="AN191">
        <f t="shared" si="151"/>
        <v>0</v>
      </c>
      <c r="AO191">
        <f t="shared" si="151"/>
        <v>0</v>
      </c>
      <c r="AP191">
        <f t="shared" si="151"/>
        <v>0</v>
      </c>
      <c r="AQ191">
        <f t="shared" si="151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8"/>
        <v>0</v>
      </c>
      <c r="BO191">
        <f t="shared" si="148"/>
        <v>0</v>
      </c>
      <c r="BP191">
        <f t="shared" si="148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47"/>
        <v>0</v>
      </c>
      <c r="N192">
        <f t="shared" si="150"/>
        <v>0</v>
      </c>
      <c r="O192">
        <f t="shared" si="150"/>
        <v>0</v>
      </c>
      <c r="P192">
        <f t="shared" si="150"/>
        <v>0</v>
      </c>
      <c r="Q192">
        <f t="shared" si="150"/>
        <v>0</v>
      </c>
      <c r="R192">
        <f t="shared" si="150"/>
        <v>0</v>
      </c>
      <c r="S192">
        <f t="shared" si="150"/>
        <v>0</v>
      </c>
      <c r="T192">
        <f t="shared" si="150"/>
        <v>0</v>
      </c>
      <c r="U192">
        <f t="shared" si="150"/>
        <v>0</v>
      </c>
      <c r="V192">
        <f t="shared" si="150"/>
        <v>0</v>
      </c>
      <c r="W192">
        <f t="shared" si="150"/>
        <v>0</v>
      </c>
      <c r="X192">
        <f t="shared" si="149"/>
        <v>0</v>
      </c>
      <c r="Y192">
        <f t="shared" si="149"/>
        <v>0</v>
      </c>
      <c r="Z192">
        <f t="shared" si="149"/>
        <v>0</v>
      </c>
      <c r="AA192">
        <f t="shared" si="149"/>
        <v>0</v>
      </c>
      <c r="AB192">
        <f t="shared" si="149"/>
        <v>0</v>
      </c>
      <c r="AC192">
        <f t="shared" si="149"/>
        <v>0</v>
      </c>
      <c r="AD192">
        <f t="shared" si="149"/>
        <v>0</v>
      </c>
      <c r="AE192">
        <f t="shared" si="149"/>
        <v>0</v>
      </c>
      <c r="AF192">
        <f t="shared" si="149"/>
        <v>0</v>
      </c>
      <c r="AG192">
        <f t="shared" si="149"/>
        <v>0</v>
      </c>
      <c r="AH192">
        <f t="shared" si="151"/>
        <v>0</v>
      </c>
      <c r="AI192">
        <f t="shared" si="151"/>
        <v>0</v>
      </c>
      <c r="AJ192">
        <f t="shared" si="151"/>
        <v>0</v>
      </c>
      <c r="AK192">
        <f t="shared" si="151"/>
        <v>0</v>
      </c>
      <c r="AL192">
        <f t="shared" si="151"/>
        <v>0</v>
      </c>
      <c r="AM192">
        <f t="shared" si="151"/>
        <v>0</v>
      </c>
      <c r="AN192">
        <f t="shared" si="151"/>
        <v>0</v>
      </c>
      <c r="AO192">
        <f t="shared" si="151"/>
        <v>0</v>
      </c>
      <c r="AP192">
        <f t="shared" si="151"/>
        <v>0</v>
      </c>
      <c r="AQ192">
        <f t="shared" si="151"/>
        <v>0</v>
      </c>
      <c r="AR192">
        <f t="shared" si="135"/>
        <v>0</v>
      </c>
      <c r="AS192">
        <f t="shared" ref="AR192:AX195" si="152">IF($B192&lt;AS$1,$C192*$D192,0)</f>
        <v>0</v>
      </c>
      <c r="AT192">
        <f t="shared" si="152"/>
        <v>0</v>
      </c>
      <c r="AU192">
        <f t="shared" si="152"/>
        <v>0</v>
      </c>
      <c r="AV192">
        <f t="shared" si="152"/>
        <v>0</v>
      </c>
      <c r="AW192">
        <f t="shared" si="152"/>
        <v>0</v>
      </c>
      <c r="AX192">
        <f t="shared" si="152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8"/>
        <v>0</v>
      </c>
      <c r="BO192">
        <f t="shared" si="148"/>
        <v>0</v>
      </c>
      <c r="BP192">
        <f t="shared" si="148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47"/>
        <v>0</v>
      </c>
      <c r="N193">
        <f t="shared" si="150"/>
        <v>0</v>
      </c>
      <c r="O193">
        <f t="shared" si="150"/>
        <v>0</v>
      </c>
      <c r="P193">
        <f t="shared" si="150"/>
        <v>0</v>
      </c>
      <c r="Q193">
        <f t="shared" si="150"/>
        <v>0</v>
      </c>
      <c r="R193">
        <f t="shared" si="150"/>
        <v>0</v>
      </c>
      <c r="S193">
        <f t="shared" si="150"/>
        <v>0</v>
      </c>
      <c r="T193">
        <f t="shared" si="150"/>
        <v>0</v>
      </c>
      <c r="U193">
        <f t="shared" si="150"/>
        <v>0</v>
      </c>
      <c r="V193">
        <f t="shared" si="150"/>
        <v>0</v>
      </c>
      <c r="W193">
        <f t="shared" si="150"/>
        <v>0</v>
      </c>
      <c r="X193">
        <f t="shared" si="149"/>
        <v>0</v>
      </c>
      <c r="Y193">
        <f t="shared" si="149"/>
        <v>0</v>
      </c>
      <c r="Z193">
        <f t="shared" si="149"/>
        <v>0</v>
      </c>
      <c r="AA193">
        <f t="shared" si="149"/>
        <v>0</v>
      </c>
      <c r="AB193">
        <f t="shared" si="149"/>
        <v>0</v>
      </c>
      <c r="AC193">
        <f t="shared" si="149"/>
        <v>0</v>
      </c>
      <c r="AD193">
        <f t="shared" si="149"/>
        <v>0</v>
      </c>
      <c r="AE193">
        <f t="shared" si="149"/>
        <v>0</v>
      </c>
      <c r="AF193">
        <f t="shared" si="149"/>
        <v>0</v>
      </c>
      <c r="AG193">
        <f t="shared" si="149"/>
        <v>0</v>
      </c>
      <c r="AH193">
        <f t="shared" si="151"/>
        <v>0</v>
      </c>
      <c r="AI193">
        <f t="shared" si="151"/>
        <v>0</v>
      </c>
      <c r="AJ193">
        <f t="shared" si="151"/>
        <v>0</v>
      </c>
      <c r="AK193">
        <f t="shared" si="151"/>
        <v>0</v>
      </c>
      <c r="AL193">
        <f t="shared" si="151"/>
        <v>0</v>
      </c>
      <c r="AM193">
        <f t="shared" si="151"/>
        <v>0</v>
      </c>
      <c r="AN193">
        <f t="shared" si="151"/>
        <v>0</v>
      </c>
      <c r="AO193">
        <f t="shared" si="151"/>
        <v>0</v>
      </c>
      <c r="AP193">
        <f t="shared" si="151"/>
        <v>0</v>
      </c>
      <c r="AQ193">
        <f t="shared" si="151"/>
        <v>0</v>
      </c>
      <c r="AR193">
        <f t="shared" si="152"/>
        <v>0</v>
      </c>
      <c r="AS193">
        <f t="shared" si="152"/>
        <v>0</v>
      </c>
      <c r="AT193">
        <f t="shared" si="152"/>
        <v>0</v>
      </c>
      <c r="AU193">
        <f t="shared" si="152"/>
        <v>0</v>
      </c>
      <c r="AV193">
        <f t="shared" si="152"/>
        <v>0</v>
      </c>
      <c r="AW193">
        <f t="shared" si="152"/>
        <v>0</v>
      </c>
      <c r="AX193">
        <f t="shared" si="152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8"/>
        <v>0</v>
      </c>
      <c r="BO193">
        <f t="shared" si="148"/>
        <v>0</v>
      </c>
      <c r="BP193">
        <f t="shared" si="148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47"/>
        <v>0</v>
      </c>
      <c r="N194">
        <f t="shared" si="150"/>
        <v>0</v>
      </c>
      <c r="O194">
        <f t="shared" si="150"/>
        <v>0</v>
      </c>
      <c r="P194">
        <f t="shared" si="150"/>
        <v>0</v>
      </c>
      <c r="Q194">
        <f t="shared" si="150"/>
        <v>0</v>
      </c>
      <c r="R194">
        <f t="shared" si="150"/>
        <v>0</v>
      </c>
      <c r="S194">
        <f t="shared" si="150"/>
        <v>0</v>
      </c>
      <c r="T194">
        <f t="shared" si="150"/>
        <v>0</v>
      </c>
      <c r="U194">
        <f t="shared" si="150"/>
        <v>0</v>
      </c>
      <c r="V194">
        <f t="shared" si="150"/>
        <v>0</v>
      </c>
      <c r="W194">
        <f t="shared" si="150"/>
        <v>0</v>
      </c>
      <c r="X194">
        <f t="shared" si="149"/>
        <v>0</v>
      </c>
      <c r="Y194">
        <f t="shared" si="149"/>
        <v>0</v>
      </c>
      <c r="Z194">
        <f t="shared" si="149"/>
        <v>0</v>
      </c>
      <c r="AA194">
        <f t="shared" si="149"/>
        <v>0</v>
      </c>
      <c r="AB194">
        <f t="shared" si="149"/>
        <v>0</v>
      </c>
      <c r="AC194">
        <f t="shared" si="149"/>
        <v>0</v>
      </c>
      <c r="AD194">
        <f t="shared" si="149"/>
        <v>0</v>
      </c>
      <c r="AE194">
        <f t="shared" si="149"/>
        <v>0</v>
      </c>
      <c r="AF194">
        <f t="shared" si="149"/>
        <v>0</v>
      </c>
      <c r="AG194">
        <f t="shared" si="149"/>
        <v>0</v>
      </c>
      <c r="AH194">
        <f t="shared" si="151"/>
        <v>0</v>
      </c>
      <c r="AI194">
        <f t="shared" si="151"/>
        <v>0</v>
      </c>
      <c r="AJ194">
        <f t="shared" si="151"/>
        <v>0</v>
      </c>
      <c r="AK194">
        <f t="shared" si="151"/>
        <v>0</v>
      </c>
      <c r="AL194">
        <f t="shared" si="151"/>
        <v>0</v>
      </c>
      <c r="AM194">
        <f t="shared" si="151"/>
        <v>0</v>
      </c>
      <c r="AN194">
        <f t="shared" si="151"/>
        <v>0</v>
      </c>
      <c r="AO194">
        <f t="shared" si="151"/>
        <v>0</v>
      </c>
      <c r="AP194">
        <f t="shared" si="151"/>
        <v>0</v>
      </c>
      <c r="AQ194">
        <f t="shared" si="151"/>
        <v>0</v>
      </c>
      <c r="AR194">
        <f t="shared" si="152"/>
        <v>0</v>
      </c>
      <c r="AS194">
        <f t="shared" si="152"/>
        <v>0</v>
      </c>
      <c r="AT194">
        <f t="shared" si="152"/>
        <v>0</v>
      </c>
      <c r="AU194">
        <f t="shared" si="152"/>
        <v>0</v>
      </c>
      <c r="AV194">
        <f t="shared" si="152"/>
        <v>0</v>
      </c>
      <c r="AW194">
        <f t="shared" si="152"/>
        <v>0</v>
      </c>
      <c r="AX194">
        <f t="shared" si="152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8"/>
        <v>0</v>
      </c>
      <c r="BO194">
        <f t="shared" si="148"/>
        <v>0</v>
      </c>
      <c r="BP194">
        <f t="shared" si="148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47"/>
        <v>0</v>
      </c>
      <c r="N195">
        <f t="shared" si="150"/>
        <v>0</v>
      </c>
      <c r="O195">
        <f t="shared" si="150"/>
        <v>0</v>
      </c>
      <c r="P195">
        <f t="shared" si="150"/>
        <v>0</v>
      </c>
      <c r="Q195">
        <f t="shared" si="150"/>
        <v>0</v>
      </c>
      <c r="R195">
        <f t="shared" si="150"/>
        <v>0</v>
      </c>
      <c r="S195">
        <f t="shared" si="150"/>
        <v>0</v>
      </c>
      <c r="T195">
        <f t="shared" si="150"/>
        <v>0</v>
      </c>
      <c r="U195">
        <f t="shared" si="150"/>
        <v>0</v>
      </c>
      <c r="V195">
        <f t="shared" si="150"/>
        <v>0</v>
      </c>
      <c r="W195">
        <f t="shared" si="150"/>
        <v>0</v>
      </c>
      <c r="X195">
        <f t="shared" si="149"/>
        <v>0</v>
      </c>
      <c r="Y195">
        <f t="shared" si="149"/>
        <v>0</v>
      </c>
      <c r="Z195">
        <f t="shared" si="149"/>
        <v>0</v>
      </c>
      <c r="AA195">
        <f t="shared" si="149"/>
        <v>0</v>
      </c>
      <c r="AB195">
        <f t="shared" si="149"/>
        <v>0</v>
      </c>
      <c r="AC195">
        <f t="shared" si="149"/>
        <v>0</v>
      </c>
      <c r="AD195">
        <f t="shared" si="149"/>
        <v>0</v>
      </c>
      <c r="AE195">
        <f t="shared" si="149"/>
        <v>0</v>
      </c>
      <c r="AF195">
        <f t="shared" si="149"/>
        <v>0</v>
      </c>
      <c r="AG195">
        <f t="shared" si="149"/>
        <v>0</v>
      </c>
      <c r="AH195">
        <f t="shared" si="151"/>
        <v>0</v>
      </c>
      <c r="AI195">
        <f t="shared" si="151"/>
        <v>0</v>
      </c>
      <c r="AJ195">
        <f t="shared" si="151"/>
        <v>0</v>
      </c>
      <c r="AK195">
        <f t="shared" si="151"/>
        <v>0</v>
      </c>
      <c r="AL195">
        <f t="shared" si="151"/>
        <v>0</v>
      </c>
      <c r="AM195">
        <f t="shared" si="151"/>
        <v>0</v>
      </c>
      <c r="AN195">
        <f t="shared" si="151"/>
        <v>0</v>
      </c>
      <c r="AO195">
        <f t="shared" si="151"/>
        <v>0</v>
      </c>
      <c r="AP195">
        <f t="shared" si="151"/>
        <v>0</v>
      </c>
      <c r="AQ195">
        <f t="shared" si="151"/>
        <v>0</v>
      </c>
      <c r="AR195">
        <f t="shared" si="152"/>
        <v>0</v>
      </c>
      <c r="AS195">
        <f t="shared" si="152"/>
        <v>0</v>
      </c>
      <c r="AT195">
        <f t="shared" si="152"/>
        <v>0</v>
      </c>
      <c r="AU195">
        <f t="shared" si="152"/>
        <v>0</v>
      </c>
      <c r="AV195">
        <f t="shared" si="152"/>
        <v>0</v>
      </c>
      <c r="AW195">
        <f t="shared" si="152"/>
        <v>0</v>
      </c>
      <c r="AX195">
        <f t="shared" si="152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8"/>
        <v>0</v>
      </c>
      <c r="BO195">
        <f t="shared" si="148"/>
        <v>0</v>
      </c>
      <c r="BP195">
        <f t="shared" si="148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">
      <c r="BA196" t="s">
        <v>64</v>
      </c>
      <c r="BB196" s="35">
        <f t="shared" ref="BB196:BU196" si="153">SUM(BB2:BB195)</f>
        <v>39</v>
      </c>
      <c r="BC196" s="35">
        <f t="shared" si="153"/>
        <v>104</v>
      </c>
      <c r="BD196" s="35">
        <f t="shared" si="153"/>
        <v>0</v>
      </c>
      <c r="BE196" s="35">
        <f t="shared" si="153"/>
        <v>0</v>
      </c>
      <c r="BF196" s="35">
        <f t="shared" si="153"/>
        <v>0</v>
      </c>
      <c r="BG196" s="35">
        <f t="shared" si="153"/>
        <v>0</v>
      </c>
      <c r="BH196" s="35">
        <f t="shared" si="153"/>
        <v>4</v>
      </c>
      <c r="BI196" s="35">
        <f t="shared" si="153"/>
        <v>10</v>
      </c>
      <c r="BJ196" s="35">
        <f t="shared" si="153"/>
        <v>0</v>
      </c>
      <c r="BK196" s="35">
        <f t="shared" si="153"/>
        <v>0</v>
      </c>
      <c r="BL196" s="35">
        <f t="shared" ref="BL196" si="154">BN196+BP196+BR196+BT196</f>
        <v>0</v>
      </c>
      <c r="BM196" s="35">
        <f t="shared" si="153"/>
        <v>0</v>
      </c>
      <c r="BN196">
        <f t="shared" si="153"/>
        <v>0</v>
      </c>
      <c r="BO196">
        <f t="shared" si="153"/>
        <v>0</v>
      </c>
      <c r="BP196">
        <f t="shared" si="153"/>
        <v>0</v>
      </c>
      <c r="BQ196">
        <f t="shared" si="153"/>
        <v>0</v>
      </c>
      <c r="BR196">
        <f t="shared" si="153"/>
        <v>0</v>
      </c>
      <c r="BS196">
        <f t="shared" si="153"/>
        <v>0</v>
      </c>
      <c r="BT196">
        <f t="shared" si="153"/>
        <v>0</v>
      </c>
      <c r="BU196">
        <f t="shared" si="153"/>
        <v>0</v>
      </c>
    </row>
    <row r="198" spans="1:73" x14ac:dyDescent="0.3">
      <c r="J198" t="s">
        <v>159</v>
      </c>
      <c r="K198">
        <f t="shared" ref="K198:AX198" si="155">SUM(K2:K195)</f>
        <v>127</v>
      </c>
      <c r="L198">
        <f t="shared" si="155"/>
        <v>127</v>
      </c>
      <c r="M198">
        <f t="shared" si="155"/>
        <v>127</v>
      </c>
      <c r="N198">
        <f t="shared" si="155"/>
        <v>127</v>
      </c>
      <c r="O198">
        <f t="shared" si="155"/>
        <v>127</v>
      </c>
      <c r="P198">
        <f t="shared" si="155"/>
        <v>127</v>
      </c>
      <c r="Q198">
        <f t="shared" si="155"/>
        <v>127</v>
      </c>
      <c r="R198">
        <f t="shared" si="155"/>
        <v>127</v>
      </c>
      <c r="S198">
        <f t="shared" si="155"/>
        <v>127</v>
      </c>
      <c r="T198">
        <f t="shared" si="155"/>
        <v>127</v>
      </c>
      <c r="U198">
        <f t="shared" si="155"/>
        <v>127</v>
      </c>
      <c r="V198">
        <f t="shared" si="155"/>
        <v>127</v>
      </c>
      <c r="W198">
        <f t="shared" si="155"/>
        <v>127</v>
      </c>
      <c r="X198">
        <f t="shared" si="155"/>
        <v>127</v>
      </c>
      <c r="Y198">
        <f t="shared" si="155"/>
        <v>127</v>
      </c>
      <c r="Z198">
        <f t="shared" si="155"/>
        <v>127</v>
      </c>
      <c r="AA198">
        <f t="shared" si="155"/>
        <v>127</v>
      </c>
      <c r="AB198">
        <f t="shared" si="155"/>
        <v>127</v>
      </c>
      <c r="AC198">
        <f t="shared" si="155"/>
        <v>127</v>
      </c>
      <c r="AD198">
        <f t="shared" si="155"/>
        <v>127</v>
      </c>
      <c r="AE198">
        <f t="shared" si="155"/>
        <v>127</v>
      </c>
      <c r="AF198">
        <f t="shared" si="155"/>
        <v>127</v>
      </c>
      <c r="AG198">
        <f t="shared" si="155"/>
        <v>127</v>
      </c>
      <c r="AH198">
        <f t="shared" si="155"/>
        <v>127</v>
      </c>
      <c r="AI198">
        <f t="shared" si="155"/>
        <v>127</v>
      </c>
      <c r="AJ198">
        <f t="shared" si="155"/>
        <v>127</v>
      </c>
      <c r="AK198">
        <f t="shared" si="155"/>
        <v>127</v>
      </c>
      <c r="AL198">
        <f t="shared" si="155"/>
        <v>127</v>
      </c>
      <c r="AM198">
        <f t="shared" si="155"/>
        <v>127</v>
      </c>
      <c r="AN198">
        <f t="shared" si="155"/>
        <v>127</v>
      </c>
      <c r="AO198">
        <f t="shared" si="155"/>
        <v>127</v>
      </c>
      <c r="AP198">
        <f t="shared" si="155"/>
        <v>127</v>
      </c>
      <c r="AQ198">
        <f t="shared" si="155"/>
        <v>127</v>
      </c>
      <c r="AR198">
        <f t="shared" si="155"/>
        <v>127</v>
      </c>
      <c r="AS198">
        <f t="shared" si="155"/>
        <v>127</v>
      </c>
      <c r="AT198">
        <f t="shared" si="155"/>
        <v>127</v>
      </c>
      <c r="AU198">
        <f t="shared" si="155"/>
        <v>127</v>
      </c>
      <c r="AV198">
        <f t="shared" si="155"/>
        <v>127</v>
      </c>
      <c r="AW198">
        <f t="shared" si="155"/>
        <v>127</v>
      </c>
      <c r="AX198">
        <f t="shared" si="155"/>
        <v>127</v>
      </c>
    </row>
    <row r="199" spans="1:73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35">
      <c r="J200">
        <v>2026</v>
      </c>
      <c r="K200">
        <f>K198</f>
        <v>127</v>
      </c>
      <c r="L200">
        <f>L198</f>
        <v>127</v>
      </c>
      <c r="BL200" s="2"/>
      <c r="BN200" s="2"/>
    </row>
    <row r="201" spans="1:73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/>
      <c r="BN201" s="2"/>
      <c r="BO201" s="2"/>
    </row>
    <row r="202" spans="1:73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39</v>
      </c>
      <c r="BE202" s="35">
        <f>BD196</f>
        <v>0</v>
      </c>
      <c r="BF202" s="35">
        <f>BF196</f>
        <v>0</v>
      </c>
      <c r="BG202" s="35">
        <f>BH196</f>
        <v>4</v>
      </c>
      <c r="BH202" s="35">
        <f>BJ196</f>
        <v>0</v>
      </c>
      <c r="BI202" s="36">
        <f>BL196</f>
        <v>0</v>
      </c>
      <c r="BJ202" s="37">
        <f>BN196</f>
        <v>0</v>
      </c>
      <c r="BK202" s="38">
        <f>BP196</f>
        <v>0</v>
      </c>
      <c r="BL202" s="38">
        <f>BR196</f>
        <v>0</v>
      </c>
      <c r="BM202" s="39">
        <f>BT196</f>
        <v>0</v>
      </c>
    </row>
    <row r="203" spans="1:73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104</v>
      </c>
      <c r="BE203" s="41">
        <f>BE196</f>
        <v>0</v>
      </c>
      <c r="BF203" s="41">
        <f>BG196</f>
        <v>0</v>
      </c>
      <c r="BG203" s="41">
        <f>BI196</f>
        <v>10</v>
      </c>
      <c r="BH203" s="41">
        <f>BK196</f>
        <v>0</v>
      </c>
      <c r="BI203" s="42">
        <f>BM196</f>
        <v>0</v>
      </c>
      <c r="BJ203" s="43">
        <f>BO196</f>
        <v>0</v>
      </c>
      <c r="BK203" s="44">
        <f>BQ196</f>
        <v>0</v>
      </c>
      <c r="BL203" s="44">
        <f>BS196</f>
        <v>0</v>
      </c>
      <c r="BM203" s="45">
        <f>BU196</f>
        <v>0</v>
      </c>
    </row>
    <row r="204" spans="1:73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opLeftCell="A4" workbookViewId="0">
      <selection activeCell="R25" sqref="R25"/>
    </sheetView>
  </sheetViews>
  <sheetFormatPr defaultRowHeight="14.4" x14ac:dyDescent="0.3"/>
  <sheetData>
    <row r="28" spans="1:11" ht="15" customHeight="1" thickBot="1" x14ac:dyDescent="0.35">
      <c r="A28" t="s">
        <v>160</v>
      </c>
      <c r="H28" t="s">
        <v>109</v>
      </c>
      <c r="J28" s="2"/>
    </row>
    <row r="29" spans="1:11" x14ac:dyDescent="0.3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/>
    </row>
    <row r="30" spans="1:11" x14ac:dyDescent="0.3">
      <c r="A30" s="34" t="s">
        <v>112</v>
      </c>
      <c r="B30" s="35">
        <f>'book stat'!BD202</f>
        <v>39</v>
      </c>
      <c r="C30" s="35">
        <f>'book stat'!BE202</f>
        <v>0</v>
      </c>
      <c r="D30" s="35">
        <f>'book stat'!BF202</f>
        <v>0</v>
      </c>
      <c r="E30" s="35">
        <f>'book stat'!BG202</f>
        <v>4</v>
      </c>
      <c r="F30" s="35">
        <f>'book stat'!BH202</f>
        <v>0</v>
      </c>
      <c r="G30" s="35">
        <f>'book stat'!BI202</f>
        <v>0</v>
      </c>
      <c r="H30" s="35">
        <f>'book stat'!BJ202</f>
        <v>0</v>
      </c>
      <c r="I30" s="35">
        <f>'book stat'!BK202</f>
        <v>0</v>
      </c>
      <c r="J30" s="35">
        <f>'book stat'!BL202</f>
        <v>0</v>
      </c>
      <c r="K30" s="35">
        <f>'book stat'!BM202</f>
        <v>0</v>
      </c>
    </row>
    <row r="31" spans="1:11" ht="15" customHeight="1" thickBot="1" x14ac:dyDescent="0.35">
      <c r="A31" s="40" t="s">
        <v>113</v>
      </c>
      <c r="B31" s="35">
        <f>'book stat'!BD203</f>
        <v>104</v>
      </c>
      <c r="C31" s="35">
        <f>'book stat'!BE203</f>
        <v>0</v>
      </c>
      <c r="D31" s="35">
        <f>'book stat'!BF203</f>
        <v>0</v>
      </c>
      <c r="E31" s="35">
        <f>'book stat'!BG203</f>
        <v>10</v>
      </c>
      <c r="F31" s="35">
        <f>'book stat'!BH203</f>
        <v>0</v>
      </c>
      <c r="G31" s="35">
        <f>'book stat'!BI203</f>
        <v>0</v>
      </c>
      <c r="H31" s="35">
        <f>'book stat'!BJ203</f>
        <v>0</v>
      </c>
      <c r="I31" s="35">
        <f>'book stat'!BK203</f>
        <v>0</v>
      </c>
      <c r="J31" s="35">
        <f>'book stat'!BL203</f>
        <v>0</v>
      </c>
      <c r="K31" s="35">
        <f>'book stat'!BM203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06" activePane="bottomLeft" state="frozen"/>
      <selection pane="bottomLeft" activeCell="F117" sqref="F117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4" width="5.5546875" style="2" customWidth="1"/>
    <col min="5" max="5" width="5.5546875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42" customWidth="1"/>
    <col min="28" max="29" width="4.5546875" style="2" customWidth="1"/>
    <col min="30" max="30" width="8" style="18" customWidth="1"/>
  </cols>
  <sheetData>
    <row r="1" spans="1:30" s="6" customFormat="1" ht="30" customHeight="1" thickBot="1" x14ac:dyDescent="0.35">
      <c r="A1" s="59" t="s">
        <v>114</v>
      </c>
      <c r="B1" s="16" t="s">
        <v>115</v>
      </c>
      <c r="C1" s="17" t="s">
        <v>116</v>
      </c>
      <c r="D1" s="172">
        <v>1</v>
      </c>
      <c r="E1" s="173"/>
      <c r="F1" s="67" t="s">
        <v>117</v>
      </c>
      <c r="G1" s="68" t="s">
        <v>8</v>
      </c>
      <c r="H1" s="174">
        <v>2</v>
      </c>
      <c r="I1" s="173"/>
      <c r="J1" s="67" t="s">
        <v>117</v>
      </c>
      <c r="K1" s="69" t="s">
        <v>8</v>
      </c>
      <c r="L1" s="174">
        <v>3</v>
      </c>
      <c r="M1" s="173"/>
      <c r="N1" s="67" t="s">
        <v>117</v>
      </c>
      <c r="O1" s="70" t="s">
        <v>8</v>
      </c>
      <c r="P1" s="172">
        <v>4</v>
      </c>
      <c r="Q1" s="173"/>
      <c r="R1" s="67" t="s">
        <v>117</v>
      </c>
      <c r="S1" s="69" t="s">
        <v>8</v>
      </c>
      <c r="T1" s="175">
        <v>5</v>
      </c>
      <c r="U1" s="176"/>
      <c r="V1" s="67" t="s">
        <v>117</v>
      </c>
      <c r="W1" s="69" t="s">
        <v>8</v>
      </c>
      <c r="X1" s="172">
        <v>6</v>
      </c>
      <c r="Y1" s="173"/>
      <c r="Z1" s="71" t="s">
        <v>118</v>
      </c>
      <c r="AA1" s="140">
        <f>SUM(AA2:AA171)</f>
        <v>168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/>
      <c r="R6" s="61"/>
      <c r="S6" s="61"/>
      <c r="T6" s="8"/>
      <c r="U6" s="8"/>
      <c r="V6" s="125"/>
      <c r="W6" s="125"/>
      <c r="X6" s="23"/>
      <c r="Y6" s="23"/>
      <c r="Z6" s="147">
        <f t="shared" si="2"/>
        <v>0</v>
      </c>
      <c r="AA6" s="141">
        <f t="shared" si="3"/>
        <v>0</v>
      </c>
      <c r="AB6" s="8">
        <f t="shared" si="0"/>
        <v>0</v>
      </c>
      <c r="AC6" s="24">
        <f t="shared" si="1"/>
        <v>0</v>
      </c>
      <c r="AD6" s="19"/>
    </row>
    <row r="7" spans="1:30" ht="30" customHeight="1" x14ac:dyDescent="0.3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/>
      <c r="Q7" s="8"/>
      <c r="R7" s="61"/>
      <c r="S7" s="61"/>
      <c r="T7" s="8"/>
      <c r="U7" s="8"/>
      <c r="V7" s="125"/>
      <c r="W7" s="125"/>
      <c r="X7" s="23"/>
      <c r="Y7" s="23"/>
      <c r="Z7" s="147">
        <f t="shared" si="2"/>
        <v>0</v>
      </c>
      <c r="AA7" s="141">
        <f t="shared" si="3"/>
        <v>0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/>
      <c r="Q8" s="8"/>
      <c r="R8" s="21"/>
      <c r="S8" s="21"/>
      <c r="T8" s="8"/>
      <c r="U8" s="8"/>
      <c r="V8" s="21"/>
      <c r="W8" s="21"/>
      <c r="X8" s="23"/>
      <c r="Y8" s="23"/>
      <c r="Z8" s="147">
        <f t="shared" si="2"/>
        <v>0</v>
      </c>
      <c r="AA8" s="141">
        <f t="shared" si="3"/>
        <v>0</v>
      </c>
      <c r="AB8" s="8">
        <f t="shared" si="0"/>
        <v>0</v>
      </c>
      <c r="AC8" s="24">
        <f t="shared" si="1"/>
        <v>0</v>
      </c>
      <c r="AD8" s="19"/>
    </row>
    <row r="9" spans="1:30" ht="30" customHeight="1" x14ac:dyDescent="0.3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/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0</v>
      </c>
      <c r="AB18" s="8">
        <f t="shared" si="0"/>
        <v>0</v>
      </c>
      <c r="AC18" s="24">
        <f t="shared" si="1"/>
        <v>0</v>
      </c>
      <c r="AD18" s="19"/>
    </row>
    <row r="19" spans="1:30" ht="30" customHeight="1" x14ac:dyDescent="0.3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/>
      <c r="Q19" s="8"/>
      <c r="R19" s="125"/>
      <c r="S19" s="125"/>
      <c r="T19" s="8"/>
      <c r="U19" s="8"/>
      <c r="V19" s="21"/>
      <c r="W19" s="21" t="str">
        <f>IFERROR(VLOOKUP(U19,Database!$A$2:$I$200,9,FALSE),"-")</f>
        <v>-</v>
      </c>
      <c r="X19" s="23"/>
      <c r="Y19" s="23"/>
      <c r="Z19" s="147">
        <f t="shared" si="2"/>
        <v>0</v>
      </c>
      <c r="AA19" s="141">
        <f t="shared" si="3"/>
        <v>0</v>
      </c>
      <c r="AB19" s="8">
        <f t="shared" si="0"/>
        <v>0</v>
      </c>
      <c r="AC19" s="24">
        <f t="shared" si="1"/>
        <v>0</v>
      </c>
      <c r="AD19" s="19"/>
    </row>
    <row r="20" spans="1:30" ht="30" customHeight="1" x14ac:dyDescent="0.3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/>
      <c r="Q20" s="8"/>
      <c r="R20" s="125"/>
      <c r="S20" s="125"/>
      <c r="T20" s="8"/>
      <c r="U20" s="8"/>
      <c r="V20" s="21"/>
      <c r="W20" s="21"/>
      <c r="X20" s="23"/>
      <c r="Y20" s="23"/>
      <c r="Z20" s="147">
        <f t="shared" si="2"/>
        <v>0</v>
      </c>
      <c r="AA20" s="141">
        <f t="shared" si="3"/>
        <v>0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/>
      <c r="Q21" s="8"/>
      <c r="R21" s="125"/>
      <c r="S21" s="125"/>
      <c r="T21" s="8"/>
      <c r="U21" s="8"/>
      <c r="V21" s="21"/>
      <c r="W21" s="21"/>
      <c r="X21" s="23"/>
      <c r="Y21" s="23"/>
      <c r="Z21" s="147">
        <f t="shared" si="2"/>
        <v>0</v>
      </c>
      <c r="AA21" s="141">
        <f t="shared" si="3"/>
        <v>1</v>
      </c>
      <c r="AB21" s="8">
        <f t="shared" si="0"/>
        <v>1</v>
      </c>
      <c r="AC21" s="24">
        <f t="shared" si="1"/>
        <v>0</v>
      </c>
      <c r="AD21" s="19"/>
    </row>
    <row r="22" spans="1:30" ht="30" customHeight="1" x14ac:dyDescent="0.3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/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0</v>
      </c>
      <c r="AD22" s="19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">
      <c r="A27" s="6"/>
      <c r="B27" s="6" t="s">
        <v>126</v>
      </c>
      <c r="C27" s="7">
        <v>46164</v>
      </c>
      <c r="D27" s="11"/>
      <c r="E27" s="9"/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4</v>
      </c>
      <c r="AB27" s="8">
        <f t="shared" si="0"/>
        <v>0</v>
      </c>
      <c r="AC27" s="24">
        <f t="shared" si="1"/>
        <v>0</v>
      </c>
      <c r="AD27" s="19"/>
    </row>
    <row r="28" spans="1:30" ht="30" customHeight="1" x14ac:dyDescent="0.3">
      <c r="A28" s="6"/>
      <c r="B28" s="6" t="s">
        <v>127</v>
      </c>
      <c r="C28" s="7">
        <v>46165</v>
      </c>
      <c r="D28" s="11"/>
      <c r="E28" s="9"/>
      <c r="F28" s="21"/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8</v>
      </c>
      <c r="AA28" s="141">
        <f t="shared" si="3"/>
        <v>4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">
      <c r="A29" s="6" t="s">
        <v>232</v>
      </c>
      <c r="B29" s="6" t="s">
        <v>128</v>
      </c>
      <c r="C29" s="7">
        <v>46166</v>
      </c>
      <c r="D29" s="11"/>
      <c r="E29" s="9"/>
      <c r="F29" s="21"/>
      <c r="G29" s="20"/>
      <c r="H29" s="171">
        <v>20</v>
      </c>
      <c r="I29" s="8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8</v>
      </c>
      <c r="AA29" s="141">
        <f t="shared" si="3"/>
        <v>3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">
      <c r="A30" s="6" t="s">
        <v>233</v>
      </c>
      <c r="B30" s="6" t="s">
        <v>122</v>
      </c>
      <c r="C30" s="7">
        <v>46167</v>
      </c>
      <c r="D30" s="11"/>
      <c r="E30" s="9"/>
      <c r="F30" s="125"/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6</v>
      </c>
      <c r="AA30" s="141">
        <f t="shared" si="3"/>
        <v>0</v>
      </c>
      <c r="AB30" s="8">
        <f t="shared" si="0"/>
        <v>0</v>
      </c>
      <c r="AC30" s="24">
        <f t="shared" si="1"/>
        <v>3</v>
      </c>
      <c r="AD30" s="19"/>
    </row>
    <row r="31" spans="1:30" ht="30" customHeight="1" x14ac:dyDescent="0.3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/>
      <c r="S36" s="122"/>
      <c r="T36" s="122"/>
      <c r="U36" s="122"/>
      <c r="V36" s="21"/>
      <c r="W36" s="21"/>
      <c r="X36" s="23"/>
      <c r="Y36" s="23"/>
      <c r="Z36" s="147">
        <f t="shared" si="2"/>
        <v>2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/>
      <c r="S37" s="125"/>
      <c r="T37" s="122"/>
      <c r="U37" s="122"/>
      <c r="V37" s="21"/>
      <c r="W37" s="21"/>
      <c r="X37" s="23"/>
      <c r="Y37" s="23"/>
      <c r="Z37" s="147">
        <f t="shared" si="2"/>
        <v>0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/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0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8"/>
      <c r="N39" s="21"/>
      <c r="O39" s="21"/>
      <c r="P39" s="150">
        <v>2</v>
      </c>
      <c r="Q39" s="150">
        <v>2</v>
      </c>
      <c r="R39" s="125"/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0</v>
      </c>
      <c r="AA39" s="141">
        <f t="shared" si="3"/>
        <v>2</v>
      </c>
      <c r="AB39" s="8">
        <f t="shared" si="0"/>
        <v>0</v>
      </c>
      <c r="AC39" s="24">
        <f t="shared" si="1"/>
        <v>0</v>
      </c>
      <c r="AD39" s="19"/>
    </row>
    <row r="40" spans="1:30" ht="30" customHeight="1" x14ac:dyDescent="0.3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5"/>
      <c r="M40" s="8"/>
      <c r="N40" s="21"/>
      <c r="O40" s="21"/>
      <c r="P40" s="150">
        <v>2</v>
      </c>
      <c r="Q40" s="150">
        <v>2</v>
      </c>
      <c r="R40" s="125"/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0</v>
      </c>
      <c r="AA40" s="141">
        <f t="shared" si="3"/>
        <v>2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8"/>
      <c r="M41" s="8"/>
      <c r="N41" s="21"/>
      <c r="O41" s="21"/>
      <c r="P41" s="150">
        <v>2</v>
      </c>
      <c r="Q41" s="150">
        <v>2</v>
      </c>
      <c r="R41" s="125"/>
      <c r="S41" s="125"/>
      <c r="T41" s="151">
        <v>12</v>
      </c>
      <c r="U41" s="151">
        <v>12</v>
      </c>
      <c r="V41" s="21"/>
      <c r="W41" s="21"/>
      <c r="X41" s="23"/>
      <c r="Y41" s="23"/>
      <c r="Z41" s="147">
        <f t="shared" si="2"/>
        <v>0</v>
      </c>
      <c r="AA41" s="141">
        <f t="shared" si="3"/>
        <v>4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8"/>
      <c r="M42" s="8"/>
      <c r="N42" s="21"/>
      <c r="O42" s="21"/>
      <c r="P42" s="150">
        <v>2</v>
      </c>
      <c r="Q42" s="150">
        <v>2</v>
      </c>
      <c r="R42" s="125"/>
      <c r="S42" s="125"/>
      <c r="T42" s="151">
        <v>12</v>
      </c>
      <c r="U42" s="122"/>
      <c r="V42" s="21"/>
      <c r="W42" s="21"/>
      <c r="X42" s="23"/>
      <c r="Y42" s="23"/>
      <c r="Z42" s="147">
        <f t="shared" si="2"/>
        <v>0</v>
      </c>
      <c r="AA42" s="141">
        <f t="shared" si="3"/>
        <v>3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8"/>
      <c r="M43" s="8"/>
      <c r="N43" s="21"/>
      <c r="O43" s="21"/>
      <c r="P43" s="150">
        <v>2</v>
      </c>
      <c r="Q43" s="8"/>
      <c r="R43" s="125"/>
      <c r="S43" s="125"/>
      <c r="T43" s="122"/>
      <c r="U43" s="122"/>
      <c r="V43" s="21"/>
      <c r="W43" s="21"/>
      <c r="X43" s="23"/>
      <c r="Y43" s="23"/>
      <c r="Z43" s="147">
        <f t="shared" si="2"/>
        <v>0</v>
      </c>
      <c r="AA43" s="141">
        <f t="shared" si="3"/>
        <v>0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8"/>
      <c r="M44" s="8"/>
      <c r="N44" s="21"/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0</v>
      </c>
      <c r="AA44" s="141">
        <f t="shared" si="3"/>
        <v>2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8"/>
      <c r="M45" s="151">
        <v>18</v>
      </c>
      <c r="N45" s="21"/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4</v>
      </c>
      <c r="AA45" s="141">
        <f t="shared" si="3"/>
        <v>5</v>
      </c>
      <c r="AB45" s="8">
        <f t="shared" si="0"/>
        <v>3</v>
      </c>
      <c r="AC45" s="24">
        <f t="shared" si="1"/>
        <v>0</v>
      </c>
      <c r="AD45" s="19"/>
    </row>
    <row r="46" spans="1:30" ht="30" customHeight="1" x14ac:dyDescent="0.3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54">
        <v>16</v>
      </c>
      <c r="E51" s="154">
        <v>16</v>
      </c>
      <c r="F51" s="125">
        <v>2</v>
      </c>
      <c r="G51" s="144"/>
      <c r="H51" s="154">
        <v>16</v>
      </c>
      <c r="I51" s="153">
        <v>16</v>
      </c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2</v>
      </c>
      <c r="AB51" s="8">
        <f t="shared" si="4"/>
        <v>0</v>
      </c>
      <c r="AC51" s="24">
        <f t="shared" si="5"/>
        <v>2</v>
      </c>
      <c r="AD51" s="19"/>
    </row>
    <row r="52" spans="1:30" ht="30" customHeight="1" x14ac:dyDescent="0.3">
      <c r="A52" s="6"/>
      <c r="B52" s="6" t="s">
        <v>123</v>
      </c>
      <c r="C52" s="7">
        <v>46189</v>
      </c>
      <c r="D52" s="154">
        <v>16</v>
      </c>
      <c r="E52" s="9"/>
      <c r="F52" s="125">
        <v>2</v>
      </c>
      <c r="G52" s="144"/>
      <c r="H52" s="153">
        <v>16</v>
      </c>
      <c r="I52" s="8"/>
      <c r="J52" s="21">
        <v>2</v>
      </c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4</v>
      </c>
      <c r="AA52" s="141">
        <f t="shared" si="3"/>
        <v>0</v>
      </c>
      <c r="AB52" s="8">
        <f t="shared" si="4"/>
        <v>0</v>
      </c>
      <c r="AC52" s="24">
        <f t="shared" si="5"/>
        <v>2</v>
      </c>
      <c r="AD52" s="19"/>
    </row>
    <row r="53" spans="1:30" ht="30" customHeight="1" x14ac:dyDescent="0.3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8"/>
      <c r="V53" s="21"/>
      <c r="W53" s="21"/>
      <c r="X53" s="23"/>
      <c r="Y53" s="23"/>
      <c r="Z53" s="147">
        <f t="shared" si="2"/>
        <v>0</v>
      </c>
      <c r="AA53" s="141">
        <f t="shared" si="3"/>
        <v>0</v>
      </c>
      <c r="AB53" s="8">
        <f t="shared" si="4"/>
        <v>0</v>
      </c>
      <c r="AC53" s="24">
        <f t="shared" si="5"/>
        <v>0</v>
      </c>
      <c r="AD53" s="19"/>
    </row>
    <row r="54" spans="1:30" ht="30" customHeight="1" x14ac:dyDescent="0.3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8"/>
      <c r="U54" s="8"/>
      <c r="V54" s="21"/>
      <c r="W54" s="21"/>
      <c r="X54" s="23"/>
      <c r="Y54" s="23"/>
      <c r="Z54" s="147">
        <f t="shared" si="2"/>
        <v>0</v>
      </c>
      <c r="AA54" s="141">
        <f t="shared" si="3"/>
        <v>0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8"/>
      <c r="U55" s="8"/>
      <c r="V55" s="21"/>
      <c r="W55" s="21"/>
      <c r="X55" s="23"/>
      <c r="Y55" s="23"/>
      <c r="Z55" s="147">
        <f t="shared" si="2"/>
        <v>0</v>
      </c>
      <c r="AA55" s="141">
        <f t="shared" si="3"/>
        <v>0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8"/>
      <c r="U56" s="8"/>
      <c r="V56" s="21"/>
      <c r="W56" s="21"/>
      <c r="X56" s="23"/>
      <c r="Y56" s="23"/>
      <c r="Z56" s="147">
        <f t="shared" si="2"/>
        <v>0</v>
      </c>
      <c r="AA56" s="141">
        <f t="shared" si="3"/>
        <v>0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8"/>
      <c r="U57" s="8"/>
      <c r="V57" s="21"/>
      <c r="W57" s="21"/>
      <c r="X57" s="23"/>
      <c r="Y57" s="23"/>
      <c r="Z57" s="147">
        <f t="shared" si="2"/>
        <v>0</v>
      </c>
      <c r="AA57" s="141">
        <f t="shared" si="3"/>
        <v>0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8"/>
      <c r="U58" s="8"/>
      <c r="V58" s="21"/>
      <c r="W58" s="21"/>
      <c r="X58" s="23"/>
      <c r="Y58" s="23"/>
      <c r="Z58" s="147">
        <f t="shared" si="2"/>
        <v>0</v>
      </c>
      <c r="AA58" s="141">
        <f t="shared" si="3"/>
        <v>0</v>
      </c>
      <c r="AB58" s="8">
        <f t="shared" si="4"/>
        <v>0</v>
      </c>
      <c r="AC58" s="24">
        <f t="shared" si="5"/>
        <v>0</v>
      </c>
      <c r="AD58" s="19"/>
    </row>
    <row r="59" spans="1:30" ht="30" customHeight="1" x14ac:dyDescent="0.3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/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0</v>
      </c>
      <c r="AB61" s="8">
        <f t="shared" si="4"/>
        <v>0</v>
      </c>
      <c r="AC61" s="24">
        <f t="shared" si="5"/>
        <v>0</v>
      </c>
      <c r="AD61" s="19"/>
    </row>
    <row r="62" spans="1:30" ht="30" customHeight="1" x14ac:dyDescent="0.3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/>
      <c r="M62" s="8"/>
      <c r="N62" s="21"/>
      <c r="O62" s="21"/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0</v>
      </c>
      <c r="AA62" s="141">
        <f t="shared" si="3"/>
        <v>0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/>
      <c r="M63" s="8"/>
      <c r="N63" s="21"/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0</v>
      </c>
      <c r="AA63" s="141">
        <f t="shared" si="3"/>
        <v>0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/>
      <c r="M64" s="8"/>
      <c r="N64" s="21"/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0</v>
      </c>
      <c r="AA64" s="141">
        <f t="shared" si="3"/>
        <v>0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/>
      <c r="M65" s="8"/>
      <c r="N65" s="21"/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0</v>
      </c>
      <c r="AA65" s="141">
        <f t="shared" si="3"/>
        <v>0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/>
      <c r="M66" s="8"/>
      <c r="N66" s="21"/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0</v>
      </c>
      <c r="AA66" s="141">
        <f t="shared" si="3"/>
        <v>0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/>
      <c r="M67" s="8"/>
      <c r="N67" s="21"/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0</v>
      </c>
      <c r="AA67" s="141">
        <f t="shared" ref="AA67:AA130" si="7">COUNT(E67,I67,M67,Q67,U67)</f>
        <v>0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/>
      <c r="M68" s="8"/>
      <c r="N68" s="21"/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0</v>
      </c>
      <c r="AA68" s="141">
        <f t="shared" si="7"/>
        <v>1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/>
      <c r="M69" s="8"/>
      <c r="N69" s="21"/>
      <c r="O69" s="21"/>
      <c r="P69" s="9"/>
      <c r="Q69" s="154">
        <v>14</v>
      </c>
      <c r="R69" s="125"/>
      <c r="S69" s="144"/>
      <c r="T69" s="8"/>
      <c r="U69" s="151">
        <v>7</v>
      </c>
      <c r="V69" s="21"/>
      <c r="W69" s="21"/>
      <c r="X69" s="137"/>
      <c r="Y69" s="137"/>
      <c r="Z69" s="147">
        <f t="shared" si="6"/>
        <v>2</v>
      </c>
      <c r="AA69" s="141">
        <f t="shared" si="7"/>
        <v>3</v>
      </c>
      <c r="AB69" s="8">
        <f t="shared" si="4"/>
        <v>2</v>
      </c>
      <c r="AC69" s="24">
        <f t="shared" si="5"/>
        <v>0</v>
      </c>
      <c r="AD69" s="19"/>
    </row>
    <row r="70" spans="1:30" ht="30" customHeight="1" x14ac:dyDescent="0.3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/>
      <c r="M70" s="8"/>
      <c r="N70" s="21"/>
      <c r="O70" s="21"/>
      <c r="P70" s="154">
        <v>14</v>
      </c>
      <c r="Q70" s="154">
        <v>14</v>
      </c>
      <c r="R70" s="125">
        <v>2</v>
      </c>
      <c r="S70" s="144"/>
      <c r="T70" s="151">
        <v>7</v>
      </c>
      <c r="U70" s="151">
        <v>7</v>
      </c>
      <c r="V70" s="21"/>
      <c r="W70" s="21"/>
      <c r="X70" s="137"/>
      <c r="Y70" s="137"/>
      <c r="Z70" s="147">
        <f t="shared" si="6"/>
        <v>4</v>
      </c>
      <c r="AA70" s="141">
        <f t="shared" si="7"/>
        <v>3</v>
      </c>
      <c r="AB70" s="8">
        <f t="shared" si="4"/>
        <v>0</v>
      </c>
      <c r="AC70" s="24">
        <f t="shared" si="5"/>
        <v>0</v>
      </c>
      <c r="AD70" s="19"/>
    </row>
    <row r="71" spans="1:30" ht="30" customHeight="1" x14ac:dyDescent="0.3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/>
      <c r="M71" s="8"/>
      <c r="N71" s="21"/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4</v>
      </c>
      <c r="AA71" s="141">
        <f t="shared" si="7"/>
        <v>2</v>
      </c>
      <c r="AB71" s="8">
        <f t="shared" si="4"/>
        <v>0</v>
      </c>
      <c r="AC71" s="24">
        <f t="shared" si="5"/>
        <v>1</v>
      </c>
      <c r="AD71" s="19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/>
      <c r="F72" s="125"/>
      <c r="G72" s="144"/>
      <c r="H72" s="8"/>
      <c r="I72" s="8"/>
      <c r="J72" s="21"/>
      <c r="K72" s="20"/>
      <c r="L72" s="8"/>
      <c r="M72" s="8"/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2</v>
      </c>
      <c r="AB72" s="8">
        <f t="shared" si="4"/>
        <v>0</v>
      </c>
      <c r="AC72" s="24">
        <f t="shared" si="5"/>
        <v>0</v>
      </c>
      <c r="AD72" s="19"/>
    </row>
    <row r="73" spans="1:30" ht="30" customHeight="1" x14ac:dyDescent="0.3">
      <c r="A73" s="6"/>
      <c r="B73" s="6" t="s">
        <v>123</v>
      </c>
      <c r="C73" s="7">
        <v>46210</v>
      </c>
      <c r="D73" s="8"/>
      <c r="E73" s="8"/>
      <c r="F73" s="125"/>
      <c r="G73" s="144"/>
      <c r="H73" s="8"/>
      <c r="I73" s="8"/>
      <c r="J73" s="21"/>
      <c r="K73" s="20"/>
      <c r="L73" s="8"/>
      <c r="M73" s="8"/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2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">
      <c r="A74" s="6"/>
      <c r="B74" s="6" t="s">
        <v>124</v>
      </c>
      <c r="C74" s="7">
        <v>46211</v>
      </c>
      <c r="D74" s="8"/>
      <c r="E74" s="8"/>
      <c r="F74" s="125"/>
      <c r="G74" s="144"/>
      <c r="H74" s="8"/>
      <c r="I74" s="151">
        <v>13</v>
      </c>
      <c r="J74" s="21"/>
      <c r="K74" s="20"/>
      <c r="L74" s="8"/>
      <c r="M74" s="8"/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3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">
      <c r="A75" s="6"/>
      <c r="B75" s="6" t="s">
        <v>125</v>
      </c>
      <c r="C75" s="7">
        <v>46212</v>
      </c>
      <c r="D75" s="8"/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/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0</v>
      </c>
      <c r="AD75" s="19"/>
    </row>
    <row r="76" spans="1:30" ht="30" customHeight="1" x14ac:dyDescent="0.3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51">
        <v>14</v>
      </c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3</v>
      </c>
      <c r="AB76" s="8">
        <f t="shared" si="4"/>
        <v>0</v>
      </c>
      <c r="AC76" s="24">
        <f t="shared" si="5"/>
        <v>0</v>
      </c>
      <c r="AD76" s="19"/>
    </row>
    <row r="77" spans="1:30" ht="30" customHeight="1" x14ac:dyDescent="0.3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51">
        <v>14</v>
      </c>
      <c r="Q77" s="8"/>
      <c r="R77" s="125">
        <v>2</v>
      </c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4</v>
      </c>
      <c r="AA77" s="141">
        <f t="shared" si="7"/>
        <v>1</v>
      </c>
      <c r="AB77" s="8">
        <f t="shared" si="4"/>
        <v>0</v>
      </c>
      <c r="AC77" s="24">
        <f t="shared" si="5"/>
        <v>2</v>
      </c>
      <c r="AD77" s="19"/>
    </row>
    <row r="78" spans="1:30" ht="30" customHeight="1" x14ac:dyDescent="0.3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8"/>
      <c r="N79" s="21"/>
      <c r="O79" s="21"/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2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0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8"/>
      <c r="M80" s="8"/>
      <c r="N80" s="21"/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3</v>
      </c>
      <c r="AA80" s="141">
        <f t="shared" si="7"/>
        <v>2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8"/>
      <c r="M81" s="8"/>
      <c r="N81" s="21"/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3</v>
      </c>
      <c r="AA81" s="141">
        <f t="shared" si="7"/>
        <v>1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8"/>
      <c r="M82" s="8"/>
      <c r="N82" s="21"/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1</v>
      </c>
      <c r="AA82" s="141">
        <f t="shared" si="7"/>
        <v>1</v>
      </c>
      <c r="AB82" s="8">
        <f t="shared" si="8"/>
        <v>0</v>
      </c>
      <c r="AC82" s="24">
        <f t="shared" si="9"/>
        <v>0</v>
      </c>
      <c r="AD82" s="19"/>
    </row>
    <row r="83" spans="1:30" ht="30" customHeight="1" x14ac:dyDescent="0.3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/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1</v>
      </c>
      <c r="AB84" s="8">
        <f t="shared" si="8"/>
        <v>0</v>
      </c>
      <c r="AC84" s="24">
        <f t="shared" si="9"/>
        <v>0</v>
      </c>
      <c r="AD84" s="19"/>
    </row>
    <row r="85" spans="1:30" ht="30" customHeight="1" x14ac:dyDescent="0.3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/>
      <c r="J85" s="21"/>
      <c r="K85" s="20"/>
      <c r="L85" s="8"/>
      <c r="M85" s="8"/>
      <c r="N85" s="21"/>
      <c r="O85" s="21"/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2</v>
      </c>
      <c r="AB85" s="8">
        <f t="shared" si="8"/>
        <v>1</v>
      </c>
      <c r="AC85" s="24">
        <f t="shared" si="9"/>
        <v>0</v>
      </c>
      <c r="AD85" s="19"/>
    </row>
    <row r="86" spans="1:30" ht="30" customHeight="1" x14ac:dyDescent="0.3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/>
      <c r="I86" s="8"/>
      <c r="J86" s="21"/>
      <c r="K86" s="20"/>
      <c r="L86" s="8"/>
      <c r="M86" s="8"/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3</v>
      </c>
      <c r="AA86" s="141">
        <f t="shared" si="7"/>
        <v>2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/>
      <c r="I87" s="8"/>
      <c r="J87" s="21"/>
      <c r="K87" s="20"/>
      <c r="L87" s="8"/>
      <c r="M87" s="8"/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3</v>
      </c>
      <c r="AA87" s="141">
        <f t="shared" si="7"/>
        <v>2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/>
      <c r="I88" s="8"/>
      <c r="J88" s="21"/>
      <c r="K88" s="20"/>
      <c r="L88" s="8"/>
      <c r="M88" s="8"/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3</v>
      </c>
      <c r="AA88" s="141">
        <f t="shared" si="7"/>
        <v>3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/>
      <c r="I89" s="8"/>
      <c r="J89" s="21"/>
      <c r="K89" s="20"/>
      <c r="L89" s="8"/>
      <c r="M89" s="8"/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3</v>
      </c>
      <c r="AA89" s="141">
        <f t="shared" si="7"/>
        <v>3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/>
      <c r="I90" s="8"/>
      <c r="J90" s="21"/>
      <c r="K90" s="20"/>
      <c r="L90" s="8"/>
      <c r="M90" s="8"/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3</v>
      </c>
      <c r="AA90" s="141">
        <f t="shared" si="7"/>
        <v>3</v>
      </c>
      <c r="AB90" s="8">
        <f t="shared" si="8"/>
        <v>0</v>
      </c>
      <c r="AC90" s="24">
        <f t="shared" si="9"/>
        <v>0</v>
      </c>
      <c r="AD90" s="19"/>
    </row>
    <row r="91" spans="1:30" ht="30" customHeight="1" x14ac:dyDescent="0.3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/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/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1</v>
      </c>
      <c r="AB91" s="8">
        <f t="shared" si="8"/>
        <v>0</v>
      </c>
      <c r="AC91" s="24">
        <f t="shared" si="9"/>
        <v>2</v>
      </c>
      <c r="AD91" s="19"/>
    </row>
    <row r="92" spans="1:30" ht="30" customHeight="1" x14ac:dyDescent="0.3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/>
      <c r="U92" s="8"/>
      <c r="V92" s="21"/>
      <c r="W92" s="21"/>
      <c r="X92" s="23"/>
      <c r="Y92" s="23"/>
      <c r="Z92" s="147">
        <f t="shared" si="6"/>
        <v>1</v>
      </c>
      <c r="AA92" s="141">
        <f t="shared" si="7"/>
        <v>0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/>
      <c r="N93" s="21"/>
      <c r="O93" s="21"/>
      <c r="P93" s="8"/>
      <c r="Q93" s="8"/>
      <c r="R93" s="125"/>
      <c r="S93" s="125"/>
      <c r="T93" s="8"/>
      <c r="U93" s="8"/>
      <c r="V93" s="21"/>
      <c r="W93" s="21"/>
      <c r="X93" s="23"/>
      <c r="Y93" s="23"/>
      <c r="Z93" s="147">
        <f t="shared" si="6"/>
        <v>0</v>
      </c>
      <c r="AA93" s="141">
        <f t="shared" si="7"/>
        <v>0</v>
      </c>
      <c r="AB93" s="8">
        <f t="shared" si="8"/>
        <v>0</v>
      </c>
      <c r="AC93" s="24">
        <f t="shared" si="9"/>
        <v>0</v>
      </c>
      <c r="AD93" s="19"/>
    </row>
    <row r="94" spans="1:30" ht="30" customHeight="1" x14ac:dyDescent="0.3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/>
      <c r="M94" s="8"/>
      <c r="N94" s="21"/>
      <c r="O94" s="21"/>
      <c r="P94" s="8"/>
      <c r="Q94" s="8"/>
      <c r="R94" s="125"/>
      <c r="S94" s="125"/>
      <c r="T94" s="8"/>
      <c r="U94" s="8"/>
      <c r="V94" s="21"/>
      <c r="W94" s="21"/>
      <c r="X94" s="23"/>
      <c r="Y94" s="23"/>
      <c r="Z94" s="147">
        <f t="shared" si="6"/>
        <v>0</v>
      </c>
      <c r="AA94" s="141">
        <f t="shared" si="7"/>
        <v>0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/>
      <c r="M95" s="8"/>
      <c r="N95" s="21"/>
      <c r="O95" s="21"/>
      <c r="P95" s="8"/>
      <c r="Q95" s="8"/>
      <c r="R95" s="125"/>
      <c r="S95" s="125"/>
      <c r="T95" s="8"/>
      <c r="U95" s="8"/>
      <c r="V95" s="21"/>
      <c r="W95" s="21"/>
      <c r="X95" s="23"/>
      <c r="Y95" s="23"/>
      <c r="Z95" s="147">
        <f t="shared" si="6"/>
        <v>0</v>
      </c>
      <c r="AA95" s="141">
        <f t="shared" si="7"/>
        <v>0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/>
      <c r="M96" s="8"/>
      <c r="N96" s="21"/>
      <c r="O96" s="21"/>
      <c r="P96" s="8"/>
      <c r="Q96" s="8"/>
      <c r="R96" s="125"/>
      <c r="S96" s="125"/>
      <c r="T96" s="8"/>
      <c r="U96" s="8"/>
      <c r="V96" s="21"/>
      <c r="W96" s="21"/>
      <c r="X96" s="23"/>
      <c r="Y96" s="23"/>
      <c r="Z96" s="147">
        <f t="shared" si="6"/>
        <v>0</v>
      </c>
      <c r="AA96" s="141">
        <f t="shared" si="7"/>
        <v>0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/>
      <c r="M97" s="8"/>
      <c r="N97" s="21"/>
      <c r="O97" s="21"/>
      <c r="P97" s="8"/>
      <c r="Q97" s="8"/>
      <c r="R97" s="125"/>
      <c r="S97" s="125"/>
      <c r="T97" s="8"/>
      <c r="U97" s="8"/>
      <c r="V97" s="21"/>
      <c r="W97" s="21"/>
      <c r="X97" s="23"/>
      <c r="Y97" s="23"/>
      <c r="Z97" s="147">
        <f t="shared" si="6"/>
        <v>0</v>
      </c>
      <c r="AA97" s="141">
        <f t="shared" si="7"/>
        <v>0</v>
      </c>
      <c r="AB97" s="8">
        <f t="shared" si="8"/>
        <v>0</v>
      </c>
      <c r="AC97" s="24">
        <f t="shared" si="9"/>
        <v>0</v>
      </c>
      <c r="AD97" s="19"/>
    </row>
    <row r="98" spans="1:30" ht="30" customHeight="1" x14ac:dyDescent="0.3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/>
      <c r="U98" s="8"/>
      <c r="V98" s="21"/>
      <c r="W98" s="21"/>
      <c r="X98" s="23"/>
      <c r="Y98" s="23"/>
      <c r="Z98" s="147">
        <f t="shared" si="6"/>
        <v>0</v>
      </c>
      <c r="AA98" s="141">
        <f t="shared" si="7"/>
        <v>0</v>
      </c>
      <c r="AB98" s="8">
        <f t="shared" si="8"/>
        <v>0</v>
      </c>
      <c r="AC98" s="24">
        <f t="shared" si="9"/>
        <v>0</v>
      </c>
      <c r="AD98" s="19"/>
    </row>
    <row r="99" spans="1:30" ht="30" customHeight="1" x14ac:dyDescent="0.3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/>
      <c r="V100" s="21"/>
      <c r="W100" s="21"/>
      <c r="X100" s="23"/>
      <c r="Y100" s="23"/>
      <c r="Z100" s="147">
        <f t="shared" si="6"/>
        <v>0</v>
      </c>
      <c r="AA100" s="141">
        <f t="shared" si="7"/>
        <v>1</v>
      </c>
      <c r="AB100" s="8">
        <f t="shared" si="8"/>
        <v>1</v>
      </c>
      <c r="AC100" s="24">
        <f t="shared" si="9"/>
        <v>0</v>
      </c>
      <c r="AD100" s="19"/>
    </row>
    <row r="101" spans="1:30" ht="30" customHeight="1" x14ac:dyDescent="0.3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/>
      <c r="U101" s="8"/>
      <c r="V101" s="21"/>
      <c r="W101" s="21"/>
      <c r="X101" s="23"/>
      <c r="Y101" s="23"/>
      <c r="Z101" s="147">
        <f t="shared" si="6"/>
        <v>0</v>
      </c>
      <c r="AA101" s="141">
        <f t="shared" si="7"/>
        <v>1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/>
      <c r="U102" s="8"/>
      <c r="V102" s="21"/>
      <c r="W102" s="21"/>
      <c r="X102" s="23"/>
      <c r="Y102" s="23"/>
      <c r="Z102" s="147">
        <f t="shared" si="6"/>
        <v>0</v>
      </c>
      <c r="AA102" s="141">
        <f t="shared" si="7"/>
        <v>1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/>
      <c r="J103" s="21"/>
      <c r="K103" s="20"/>
      <c r="L103" s="8"/>
      <c r="M103" s="8"/>
      <c r="N103" s="21"/>
      <c r="O103" s="21"/>
      <c r="P103" s="8"/>
      <c r="Q103" s="8"/>
      <c r="R103" s="125"/>
      <c r="S103" s="125"/>
      <c r="T103" s="8"/>
      <c r="U103" s="8"/>
      <c r="V103" s="21"/>
      <c r="W103" s="21"/>
      <c r="X103" s="23"/>
      <c r="Y103" s="23"/>
      <c r="Z103" s="147">
        <f t="shared" si="6"/>
        <v>0</v>
      </c>
      <c r="AA103" s="141">
        <f t="shared" si="7"/>
        <v>1</v>
      </c>
      <c r="AB103" s="8">
        <f t="shared" si="8"/>
        <v>0</v>
      </c>
      <c r="AC103" s="24">
        <f t="shared" si="9"/>
        <v>0</v>
      </c>
      <c r="AD103" s="19"/>
    </row>
    <row r="104" spans="1:30" ht="30" customHeight="1" x14ac:dyDescent="0.3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/>
      <c r="I104" s="158"/>
      <c r="J104" s="158"/>
      <c r="K104" s="159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23"/>
      <c r="Y104" s="23"/>
      <c r="Z104" s="147">
        <f t="shared" si="6"/>
        <v>0</v>
      </c>
      <c r="AA104" s="141">
        <f t="shared" si="7"/>
        <v>1</v>
      </c>
      <c r="AB104" s="8">
        <f t="shared" si="8"/>
        <v>0</v>
      </c>
      <c r="AC104" s="24">
        <f t="shared" si="9"/>
        <v>0</v>
      </c>
      <c r="AD104" s="19"/>
    </row>
    <row r="105" spans="1:30" ht="30" customHeight="1" x14ac:dyDescent="0.3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/>
      <c r="I105" s="158"/>
      <c r="J105" s="158"/>
      <c r="K105" s="159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23"/>
      <c r="Y105" s="23"/>
      <c r="Z105" s="147">
        <f t="shared" si="6"/>
        <v>0</v>
      </c>
      <c r="AA105" s="141">
        <f t="shared" si="7"/>
        <v>0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">
      <c r="A106" s="6"/>
      <c r="B106" s="6" t="s">
        <v>128</v>
      </c>
      <c r="C106" s="7">
        <v>46243</v>
      </c>
      <c r="D106" s="9"/>
      <c r="E106" s="9"/>
      <c r="F106" s="21"/>
      <c r="G106" s="20"/>
      <c r="H106" s="8"/>
      <c r="I106" s="8"/>
      <c r="J106" s="21"/>
      <c r="K106" s="20"/>
      <c r="L106" s="8"/>
      <c r="M106" s="8"/>
      <c r="N106" s="21"/>
      <c r="O106" s="21"/>
      <c r="P106" s="8"/>
      <c r="Q106" s="8"/>
      <c r="R106" s="125"/>
      <c r="S106" s="125"/>
      <c r="T106" s="8"/>
      <c r="U106" s="8"/>
      <c r="V106" s="21"/>
      <c r="W106" s="21"/>
      <c r="X106" s="23"/>
      <c r="Y106" s="23"/>
      <c r="Z106" s="147">
        <f t="shared" si="6"/>
        <v>0</v>
      </c>
      <c r="AA106" s="141">
        <f t="shared" si="7"/>
        <v>0</v>
      </c>
      <c r="AB106" s="8">
        <f t="shared" si="8"/>
        <v>0</v>
      </c>
      <c r="AC106" s="24">
        <f t="shared" si="9"/>
        <v>0</v>
      </c>
      <c r="AD106" s="19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/>
      <c r="I107" s="8"/>
      <c r="J107" s="21"/>
      <c r="K107" s="20"/>
      <c r="L107" s="8"/>
      <c r="M107" s="8"/>
      <c r="N107" s="21"/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0</v>
      </c>
      <c r="AA107" s="141">
        <f t="shared" si="7"/>
        <v>0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">
      <c r="A108" s="6"/>
      <c r="B108" s="6" t="s">
        <v>123</v>
      </c>
      <c r="C108" s="7">
        <v>46245</v>
      </c>
      <c r="D108" s="9"/>
      <c r="E108" s="9"/>
      <c r="F108" s="21"/>
      <c r="G108" s="20"/>
      <c r="H108" s="8"/>
      <c r="I108" s="8"/>
      <c r="J108" s="21"/>
      <c r="K108" s="20"/>
      <c r="L108" s="8"/>
      <c r="M108" s="8"/>
      <c r="N108" s="21"/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 t="shared" si="6"/>
        <v>0</v>
      </c>
      <c r="AA108" s="141">
        <f t="shared" si="7"/>
        <v>0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">
      <c r="A109" s="6"/>
      <c r="B109" s="6" t="s">
        <v>124</v>
      </c>
      <c r="C109" s="7">
        <v>46246</v>
      </c>
      <c r="D109" s="9"/>
      <c r="E109" s="9"/>
      <c r="F109" s="21"/>
      <c r="G109" s="20"/>
      <c r="H109" s="15"/>
      <c r="I109" s="9"/>
      <c r="J109" s="21"/>
      <c r="K109" s="20"/>
      <c r="L109" s="8"/>
      <c r="M109" s="8"/>
      <c r="N109" s="21"/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>
        <f t="shared" si="6"/>
        <v>0</v>
      </c>
      <c r="AA109" s="141">
        <f t="shared" si="7"/>
        <v>2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/>
      <c r="I110" s="9"/>
      <c r="J110" s="21"/>
      <c r="K110" s="20"/>
      <c r="L110" s="8"/>
      <c r="M110" s="8">
        <v>23</v>
      </c>
      <c r="N110" s="21"/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4</v>
      </c>
      <c r="AA110" s="141">
        <f t="shared" si="7"/>
        <v>3</v>
      </c>
      <c r="AB110" s="8">
        <f t="shared" si="8"/>
        <v>1</v>
      </c>
      <c r="AC110" s="24">
        <f t="shared" si="9"/>
        <v>0</v>
      </c>
      <c r="AD110" s="19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9"/>
      <c r="I111" s="9"/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3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9"/>
      <c r="I112" s="9"/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3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">
      <c r="A113" s="6"/>
      <c r="B113" s="6" t="s">
        <v>128</v>
      </c>
      <c r="C113" s="7">
        <v>46250</v>
      </c>
      <c r="D113" s="9"/>
      <c r="E113" s="9"/>
      <c r="F113" s="21"/>
      <c r="G113" s="20"/>
      <c r="H113" s="9"/>
      <c r="I113" s="8"/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8"/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0</v>
      </c>
      <c r="AB113" s="8">
        <f t="shared" si="10"/>
        <v>0</v>
      </c>
      <c r="AC113" s="24">
        <f t="shared" si="11"/>
        <v>3</v>
      </c>
      <c r="AD113" s="19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5"/>
      <c r="I114" s="8"/>
      <c r="J114" s="21"/>
      <c r="K114" s="20"/>
      <c r="L114" s="8"/>
      <c r="M114" s="8"/>
      <c r="N114" s="21"/>
      <c r="O114" s="21"/>
      <c r="P114" s="8"/>
      <c r="Q114" s="8"/>
      <c r="R114" s="125"/>
      <c r="S114" s="125"/>
      <c r="T114" s="8"/>
      <c r="U114" s="151">
        <v>21</v>
      </c>
      <c r="V114" s="21"/>
      <c r="W114" s="21" t="s">
        <v>165</v>
      </c>
      <c r="X114" s="23"/>
      <c r="Y114" s="23"/>
      <c r="Z114" s="147">
        <f t="shared" si="6"/>
        <v>0</v>
      </c>
      <c r="AA114" s="141">
        <f t="shared" si="7"/>
        <v>2</v>
      </c>
      <c r="AB114" s="8">
        <f t="shared" si="10"/>
        <v>2</v>
      </c>
      <c r="AC114" s="24">
        <f t="shared" si="11"/>
        <v>0</v>
      </c>
      <c r="AD114" s="19"/>
    </row>
    <row r="115" spans="1:30" ht="30" customHeight="1" x14ac:dyDescent="0.3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 t="s">
        <v>236</v>
      </c>
      <c r="H115" s="15"/>
      <c r="I115" s="8"/>
      <c r="J115" s="21"/>
      <c r="K115" s="20"/>
      <c r="L115" s="8"/>
      <c r="M115" s="8"/>
      <c r="N115" s="21"/>
      <c r="O115" s="21"/>
      <c r="P115" s="8"/>
      <c r="Q115" s="8"/>
      <c r="R115" s="125"/>
      <c r="S115" s="125"/>
      <c r="T115" s="151">
        <v>21</v>
      </c>
      <c r="U115" s="151">
        <v>21</v>
      </c>
      <c r="V115" s="21">
        <v>2</v>
      </c>
      <c r="W115" s="21"/>
      <c r="X115" s="23"/>
      <c r="Y115" s="23"/>
      <c r="Z115" s="147">
        <f t="shared" si="6"/>
        <v>4</v>
      </c>
      <c r="AA115" s="141">
        <f t="shared" si="7"/>
        <v>2</v>
      </c>
      <c r="AB115" s="8">
        <f t="shared" si="10"/>
        <v>0</v>
      </c>
      <c r="AC115" s="24">
        <f t="shared" si="11"/>
        <v>0</v>
      </c>
      <c r="AD115" s="19"/>
    </row>
    <row r="116" spans="1:30" ht="30" customHeight="1" x14ac:dyDescent="0.3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/>
      <c r="I116" s="8"/>
      <c r="J116" s="21"/>
      <c r="K116" s="20"/>
      <c r="L116" s="8"/>
      <c r="M116" s="8"/>
      <c r="N116" s="21"/>
      <c r="O116" s="21"/>
      <c r="P116" s="8"/>
      <c r="Q116" s="8"/>
      <c r="R116" s="125"/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4</v>
      </c>
      <c r="AA116" s="141">
        <f t="shared" si="7"/>
        <v>2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">
      <c r="A117" s="6"/>
      <c r="B117" s="6" t="s">
        <v>125</v>
      </c>
      <c r="C117" s="7">
        <v>46254</v>
      </c>
      <c r="D117" s="11">
        <v>26</v>
      </c>
      <c r="E117" s="9"/>
      <c r="F117" s="21">
        <v>2</v>
      </c>
      <c r="G117" s="20"/>
      <c r="H117" s="15"/>
      <c r="I117" s="8"/>
      <c r="J117" s="21"/>
      <c r="K117" s="20"/>
      <c r="L117" s="8"/>
      <c r="M117" s="8"/>
      <c r="N117" s="21"/>
      <c r="O117" s="21"/>
      <c r="P117" s="8"/>
      <c r="Q117" s="8"/>
      <c r="R117" s="125"/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4</v>
      </c>
      <c r="AA117" s="141">
        <f t="shared" si="7"/>
        <v>1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">
      <c r="A118" s="6"/>
      <c r="B118" s="6" t="s">
        <v>126</v>
      </c>
      <c r="C118" s="7">
        <v>46255</v>
      </c>
      <c r="D118" s="11"/>
      <c r="E118" s="9"/>
      <c r="F118" s="21"/>
      <c r="G118" s="20"/>
      <c r="H118" s="15"/>
      <c r="I118" s="8"/>
      <c r="J118" s="21"/>
      <c r="K118" s="20"/>
      <c r="L118" s="8"/>
      <c r="M118" s="8"/>
      <c r="N118" s="21"/>
      <c r="O118" s="21"/>
      <c r="P118" s="8"/>
      <c r="Q118" s="8"/>
      <c r="R118" s="125"/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2</v>
      </c>
      <c r="AA118" s="141">
        <f t="shared" si="7"/>
        <v>1</v>
      </c>
      <c r="AB118" s="8">
        <f t="shared" si="10"/>
        <v>0</v>
      </c>
      <c r="AC118" s="24">
        <f t="shared" si="11"/>
        <v>0</v>
      </c>
      <c r="AD118" s="19"/>
    </row>
    <row r="119" spans="1:30" ht="30" customHeight="1" x14ac:dyDescent="0.3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8"/>
      <c r="V124" s="125"/>
      <c r="W124" s="125"/>
      <c r="X124" s="23"/>
      <c r="Y124" s="23"/>
      <c r="Z124" s="147">
        <f t="shared" si="6"/>
        <v>0</v>
      </c>
      <c r="AA124" s="141">
        <f t="shared" si="7"/>
        <v>0</v>
      </c>
      <c r="AB124" s="8">
        <f t="shared" si="10"/>
        <v>0</v>
      </c>
      <c r="AC124" s="24">
        <f t="shared" si="11"/>
        <v>1</v>
      </c>
      <c r="AD124" s="19"/>
    </row>
    <row r="125" spans="1:30" ht="30" customHeight="1" x14ac:dyDescent="0.3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8"/>
      <c r="U125" s="8"/>
      <c r="V125" s="125"/>
      <c r="W125" s="125"/>
      <c r="X125" s="23"/>
      <c r="Y125" s="23"/>
      <c r="Z125" s="147">
        <f t="shared" si="6"/>
        <v>0</v>
      </c>
      <c r="AA125" s="141">
        <f t="shared" si="7"/>
        <v>0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8"/>
      <c r="U126" s="8"/>
      <c r="V126" s="125"/>
      <c r="W126" s="125"/>
      <c r="X126" s="23"/>
      <c r="Y126" s="23"/>
      <c r="Z126" s="147">
        <f t="shared" si="6"/>
        <v>0</v>
      </c>
      <c r="AA126" s="141">
        <f t="shared" si="7"/>
        <v>0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8"/>
      <c r="U127" s="8"/>
      <c r="V127" s="125"/>
      <c r="W127" s="125"/>
      <c r="X127" s="23"/>
      <c r="Y127" s="23"/>
      <c r="Z127" s="147">
        <f t="shared" si="6"/>
        <v>0</v>
      </c>
      <c r="AA127" s="141">
        <f t="shared" si="7"/>
        <v>0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8"/>
      <c r="U128" s="8"/>
      <c r="V128" s="125"/>
      <c r="W128" s="125"/>
      <c r="X128" s="23"/>
      <c r="Y128" s="23"/>
      <c r="Z128" s="147">
        <f t="shared" si="6"/>
        <v>0</v>
      </c>
      <c r="AA128" s="141">
        <f t="shared" si="7"/>
        <v>0</v>
      </c>
      <c r="AB128" s="8">
        <f t="shared" si="10"/>
        <v>0</v>
      </c>
      <c r="AC128" s="24">
        <f t="shared" si="11"/>
        <v>0</v>
      </c>
      <c r="AD128" s="19"/>
    </row>
    <row r="129" spans="1:30" ht="30" customHeight="1" x14ac:dyDescent="0.3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/>
      <c r="J144" s="21"/>
      <c r="K144" s="20"/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1</v>
      </c>
      <c r="AB144" s="8">
        <f t="shared" si="14"/>
        <v>0</v>
      </c>
      <c r="AC144" s="24">
        <f t="shared" si="15"/>
        <v>0</v>
      </c>
      <c r="AD144" s="19"/>
    </row>
    <row r="145" spans="1:30" ht="30" customHeight="1" x14ac:dyDescent="0.3">
      <c r="A145" s="6"/>
      <c r="B145" s="6" t="s">
        <v>125</v>
      </c>
      <c r="C145" s="7">
        <v>46282</v>
      </c>
      <c r="D145" s="11"/>
      <c r="E145" s="9"/>
      <c r="F145" s="21"/>
      <c r="G145" s="20"/>
      <c r="H145" s="15"/>
      <c r="I145" s="8"/>
      <c r="J145" s="21"/>
      <c r="K145" s="20"/>
      <c r="L145" s="8"/>
      <c r="M145" s="8"/>
      <c r="N145" s="21"/>
      <c r="O145" s="21"/>
      <c r="P145" s="8"/>
      <c r="Q145" s="8"/>
      <c r="R145" s="125"/>
      <c r="S145" s="125"/>
      <c r="T145" s="8">
        <v>22</v>
      </c>
      <c r="U145" s="8"/>
      <c r="V145" s="21"/>
      <c r="W145" s="21"/>
      <c r="X145" s="23"/>
      <c r="Y145" s="23"/>
      <c r="Z145" s="147">
        <f t="shared" si="12"/>
        <v>0</v>
      </c>
      <c r="AA145" s="141">
        <f t="shared" si="13"/>
        <v>0</v>
      </c>
      <c r="AB145" s="8">
        <f t="shared" si="14"/>
        <v>0</v>
      </c>
      <c r="AC145" s="24">
        <f t="shared" si="15"/>
        <v>1</v>
      </c>
      <c r="AD145" s="19"/>
    </row>
    <row r="146" spans="1:30" ht="30" customHeight="1" x14ac:dyDescent="0.3">
      <c r="A146" s="6"/>
      <c r="B146" s="6" t="s">
        <v>126</v>
      </c>
      <c r="C146" s="7">
        <v>46283</v>
      </c>
      <c r="D146" s="11"/>
      <c r="E146" s="9"/>
      <c r="F146" s="21"/>
      <c r="G146" s="20"/>
      <c r="H146" s="15"/>
      <c r="I146" s="8"/>
      <c r="J146" s="21"/>
      <c r="K146" s="20"/>
      <c r="L146" s="8"/>
      <c r="M146" s="8"/>
      <c r="N146" s="21"/>
      <c r="O146" s="21"/>
      <c r="P146" s="8"/>
      <c r="Q146" s="8"/>
      <c r="R146" s="125"/>
      <c r="S146" s="125"/>
      <c r="T146" s="8"/>
      <c r="U146" s="150">
        <v>18</v>
      </c>
      <c r="V146" s="21"/>
      <c r="W146" s="21"/>
      <c r="X146" s="23"/>
      <c r="Y146" s="23"/>
      <c r="Z146" s="147">
        <f t="shared" si="12"/>
        <v>0</v>
      </c>
      <c r="AA146" s="141">
        <f t="shared" si="13"/>
        <v>1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">
      <c r="A147" s="6"/>
      <c r="B147" s="6" t="s">
        <v>127</v>
      </c>
      <c r="C147" s="7">
        <v>46284</v>
      </c>
      <c r="D147" s="11"/>
      <c r="E147" s="9"/>
      <c r="F147" s="21"/>
      <c r="G147" s="20"/>
      <c r="H147" s="15"/>
      <c r="I147" s="8"/>
      <c r="J147" s="21"/>
      <c r="K147" s="20"/>
      <c r="L147" s="8"/>
      <c r="M147" s="8"/>
      <c r="N147" s="21"/>
      <c r="O147" s="21"/>
      <c r="P147" s="8"/>
      <c r="Q147" s="8"/>
      <c r="R147" s="125"/>
      <c r="S147" s="125"/>
      <c r="T147" s="150">
        <v>18</v>
      </c>
      <c r="U147" s="150">
        <v>18</v>
      </c>
      <c r="V147" s="21"/>
      <c r="W147" s="21"/>
      <c r="X147" s="23"/>
      <c r="Y147" s="23"/>
      <c r="Z147" s="147">
        <f t="shared" si="12"/>
        <v>0</v>
      </c>
      <c r="AA147" s="141">
        <f t="shared" si="13"/>
        <v>1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">
      <c r="A148" s="6"/>
      <c r="B148" s="6" t="s">
        <v>128</v>
      </c>
      <c r="C148" s="7">
        <v>46285</v>
      </c>
      <c r="D148" s="11"/>
      <c r="E148" s="9"/>
      <c r="F148" s="21"/>
      <c r="G148" s="20"/>
      <c r="H148" s="15"/>
      <c r="I148" s="8"/>
      <c r="J148" s="21"/>
      <c r="K148" s="20"/>
      <c r="L148" s="8"/>
      <c r="M148" s="8"/>
      <c r="N148" s="21"/>
      <c r="O148" s="21"/>
      <c r="P148" s="8"/>
      <c r="Q148" s="8"/>
      <c r="R148" s="125"/>
      <c r="S148" s="125"/>
      <c r="T148" s="150">
        <v>18</v>
      </c>
      <c r="U148" s="8"/>
      <c r="V148" s="21"/>
      <c r="W148" s="21"/>
      <c r="X148" s="23"/>
      <c r="Y148" s="23"/>
      <c r="Z148" s="147">
        <f t="shared" si="12"/>
        <v>0</v>
      </c>
      <c r="AA148" s="141">
        <f t="shared" si="13"/>
        <v>0</v>
      </c>
      <c r="AB148" s="8">
        <f t="shared" si="14"/>
        <v>0</v>
      </c>
      <c r="AC148" s="24">
        <f t="shared" si="15"/>
        <v>1</v>
      </c>
      <c r="AD148" s="19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15"/>
      <c r="I149" s="8"/>
      <c r="J149" s="21"/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0</v>
      </c>
      <c r="AA149" s="141">
        <f t="shared" si="13"/>
        <v>0</v>
      </c>
      <c r="AB149" s="8">
        <f t="shared" si="14"/>
        <v>0</v>
      </c>
      <c r="AC149" s="24">
        <f t="shared" si="15"/>
        <v>0</v>
      </c>
      <c r="AD149" s="19"/>
    </row>
    <row r="150" spans="1:30" ht="30" customHeight="1" x14ac:dyDescent="0.3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35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35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35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35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35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35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171" name="comments"/>
    <protectedRange sqref="A2:A171" name="week and events"/>
    <protectedRange sqref="D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4" x14ac:dyDescent="0.3"/>
  <cols>
    <col min="2" max="2" width="8.5546875" style="25" customWidth="1"/>
    <col min="3" max="3" width="2.5546875" bestFit="1" customWidth="1"/>
    <col min="4" max="4" width="8.44140625" style="2" bestFit="1" customWidth="1"/>
    <col min="5" max="5" width="5.5546875" style="3" customWidth="1"/>
    <col min="6" max="7" width="5.5546875" style="2" customWidth="1"/>
    <col min="8" max="8" width="5.5546875" style="3" customWidth="1"/>
    <col min="9" max="10" width="5.5546875" style="2" customWidth="1"/>
    <col min="11" max="11" width="5.5546875" style="3" customWidth="1"/>
    <col min="12" max="13" width="5.5546875" style="2" customWidth="1"/>
    <col min="14" max="14" width="5.5546875" style="3" customWidth="1"/>
    <col min="15" max="16" width="5.5546875" style="2" customWidth="1"/>
    <col min="17" max="17" width="5.5546875" style="3" customWidth="1"/>
    <col min="18" max="19" width="5.5546875" style="2" customWidth="1"/>
    <col min="20" max="20" width="4.5546875" customWidth="1"/>
  </cols>
  <sheetData>
    <row r="1" spans="1:19" s="55" customFormat="1" ht="19.350000000000001" customHeight="1" thickBot="1" x14ac:dyDescent="0.4">
      <c r="A1" s="55" t="s">
        <v>131</v>
      </c>
      <c r="B1" s="56" t="s">
        <v>116</v>
      </c>
      <c r="C1" s="74" t="s">
        <v>132</v>
      </c>
      <c r="D1" s="75">
        <f ca="1">TODAY()</f>
        <v>46019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35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35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35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35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35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-</v>
      </c>
      <c r="P6" s="50" t="str">
        <f>IFERROR(IF(AND(booking!AB6&gt;0,booking!P6&lt;&gt;booking!Q6),VLOOKUP(booking!Q6,Database!$A$1:'Database'!$L$175,9,FALSE),"-"),"-")</f>
        <v>-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-</v>
      </c>
      <c r="S6" s="50" t="str">
        <f>IFERROR(IF(AND(booking!AB6&gt;0,booking!T6&lt;&gt;booking!U6),VLOOKUP(booking!U6,Database!$A$1:'Database'!$L$175,9,FALSE),"-"),"-")</f>
        <v>-</v>
      </c>
    </row>
    <row r="7" spans="1:19" ht="15" customHeight="1" thickBot="1" x14ac:dyDescent="0.35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35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-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-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-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35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35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35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35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35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35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" customHeight="1" thickBot="1" x14ac:dyDescent="0.35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35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35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35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-</v>
      </c>
      <c r="P18" s="50" t="str">
        <f>IFERROR(IF(AND(booking!AB18&gt;0,booking!P18&lt;&gt;booking!Q18),VLOOKUP(booking!Q18,Database!$A$1:'Database'!$L$175,9,FALSE),"-"),"-")</f>
        <v>-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35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-</v>
      </c>
      <c r="S19" s="50" t="str">
        <f>IFERROR(IF(AND(booking!AB19&gt;0,booking!T19&lt;&gt;booking!U19),VLOOKUP(booking!U19,Database!$A$1:'Database'!$L$175,9,FALSE),"-"),"-")</f>
        <v>-</v>
      </c>
    </row>
    <row r="20" spans="1:19" ht="15" hidden="1" customHeight="1" thickBot="1" x14ac:dyDescent="0.35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35">
      <c r="A21" t="str">
        <f>booking!B21</f>
        <v>lørdag</v>
      </c>
      <c r="B21" s="25">
        <f>booking!C21</f>
        <v>46158</v>
      </c>
      <c r="D21" s="2" t="str">
        <f>IF(booking!AC21&gt;0,"Y","-")</f>
        <v>-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-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35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-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-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35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35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35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35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>
        <f>IFERROR(IF(AND(booking!AB26&gt;0,booking!H26&lt;&gt;booking!I26),VLOOKUP(booking!I26,Database!$A$1:'Database'!$L$175,6,FALSE),"-"),"-")</f>
        <v>0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>
        <f>IFERROR(IF(AND(booking!AB26&gt;0,booking!L26&lt;&gt;booking!M26),VLOOKUP(booking!M26,Database!$A$1:'Database'!$L$175,6,FALSE),"-"),"-")</f>
        <v>0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>
        <f>IFERROR(IF(AND(booking!AB26&gt;0,booking!P26&lt;&gt;booking!Q26),VLOOKUP(booking!Q26,Database!$A$1:'Database'!$L$175,6,FALSE),"-"),"-")</f>
        <v>0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35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-</v>
      </c>
      <c r="G27" s="50" t="str">
        <f>IFERROR(IF(AND(booking!AB27&gt;0,booking!D27&lt;&gt;booking!E27),VLOOKUP(booking!E27,Database!$A$1:'Database'!$L$175,9,FALSE),"-"),"-")</f>
        <v>-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35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35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35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-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35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35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35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35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35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35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35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35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35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-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35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35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35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35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35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35">
      <c r="A45" t="str">
        <f>booking!B45</f>
        <v>tirsdag</v>
      </c>
      <c r="B45" s="25">
        <f>booking!C45</f>
        <v>46182</v>
      </c>
      <c r="D45" s="2" t="str">
        <f>IF(booking!AC45&gt;0,"Y","-")</f>
        <v>-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35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35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35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35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35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35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-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-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35">
      <c r="A52" t="str">
        <f>booking!B52</f>
        <v>tirsdag</v>
      </c>
      <c r="B52" s="25">
        <f>booking!C52</f>
        <v>46189</v>
      </c>
      <c r="D52" s="2" t="str">
        <f>IF(booking!AC52&gt;0,"Y","-")</f>
        <v>Y</v>
      </c>
      <c r="E52" s="54" t="str">
        <f>IF(AND(booking!D52&lt;&gt;booking!E52,booking!D52&gt;0),"udc","-")</f>
        <v>udc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udc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35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-</v>
      </c>
      <c r="S53" s="50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35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35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35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35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35">
      <c r="A58" t="str">
        <f>booking!B58</f>
        <v>mandag</v>
      </c>
      <c r="B58" s="25">
        <f>booking!C58</f>
        <v>46195</v>
      </c>
      <c r="D58" s="2" t="str">
        <f>IF(booking!AC58&gt;0,"Y","-")</f>
        <v>-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-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35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35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35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-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35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35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35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35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35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35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35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>
        <f>IFERROR(IF(AND(booking!AB68&gt;0,booking!D68&lt;&gt;booking!E68),VLOOKUP(booking!E68,Database!$A$1:'Database'!$L$175,6,FALSE),"-"),"-")</f>
        <v>0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35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DK</v>
      </c>
      <c r="S69" s="50">
        <f>IFERROR(IF(AND(booking!AB69&gt;0,booking!T69&lt;&gt;booking!U69),VLOOKUP(booking!U69,Database!$A$1:'Database'!$L$175,9,FALSE),"-"),"-")</f>
        <v>0</v>
      </c>
    </row>
    <row r="70" spans="1:19" ht="15" customHeight="1" thickBot="1" x14ac:dyDescent="0.35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-</v>
      </c>
      <c r="S70" s="50" t="str">
        <f>IFERROR(IF(AND(booking!AB70&gt;0,booking!T70&lt;&gt;booking!U70),VLOOKUP(booking!U70,Database!$A$1:'Database'!$L$175,9,FALSE),"-"),"-")</f>
        <v>-</v>
      </c>
    </row>
    <row r="71" spans="1:19" ht="15" customHeight="1" thickBot="1" x14ac:dyDescent="0.35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-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35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-</v>
      </c>
      <c r="G72" s="50" t="str">
        <f>IFERROR(IF(AND(booking!AB72&gt;0,booking!D72&lt;&gt;booking!E72),VLOOKUP(booking!E72,Database!$A$1:'Database'!$L$175,9,FALSE),"-"),"-")</f>
        <v>-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-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35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35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35">
      <c r="A75" t="str">
        <f>booking!B75</f>
        <v>torsdag</v>
      </c>
      <c r="B75" s="25">
        <f>booking!C75</f>
        <v>46212</v>
      </c>
      <c r="D75" s="2" t="str">
        <f>IF(booking!AC75&gt;0,"Y","-")</f>
        <v>-</v>
      </c>
      <c r="E75" s="54" t="str">
        <f>IF(AND(booking!D75&lt;&gt;booking!E75,booking!D75&gt;0),"udc","-")</f>
        <v>-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-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35">
      <c r="A76" t="str">
        <f>booking!B76</f>
        <v>fredag</v>
      </c>
      <c r="B76" s="25">
        <f>booking!C76</f>
        <v>46213</v>
      </c>
      <c r="D76" s="2" t="str">
        <f>IF(booking!AC76&gt;0,"Y","-")</f>
        <v>-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-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35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udc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35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35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-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35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35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35">
      <c r="A82" t="str">
        <f>booking!B82</f>
        <v>torsdag</v>
      </c>
      <c r="B82" s="25">
        <f>booking!C82</f>
        <v>46219</v>
      </c>
      <c r="D82" s="2" t="str">
        <f>IF(booking!AC82&gt;0,"Y","-")</f>
        <v>-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-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35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35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-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35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-</v>
      </c>
      <c r="J85" s="50" t="str">
        <f>IFERROR(IF(AND(booking!AB85&gt;0,booking!H85&lt;&gt;booking!I85),VLOOKUP(booking!I85,Database!$A$1:'Database'!$L$175,9,FALSE),"-"),"-")</f>
        <v>-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35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35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35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35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35">
      <c r="A90" t="str">
        <f>booking!B90</f>
        <v>fredag</v>
      </c>
      <c r="B90" s="25">
        <f>booking!C90</f>
        <v>46227</v>
      </c>
      <c r="D90" s="2" t="str">
        <f>IF(booking!AC90&gt;0,"Y","-")</f>
        <v>-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-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35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-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-</v>
      </c>
      <c r="S91" s="50" t="str">
        <f>IFERROR(IF(AND(booking!AB91&gt;0,booking!T91&lt;&gt;booking!U91),VLOOKUP(booking!U91,Database!$A$1:'Database'!$L$175,9,FALSE),"-"),"-")</f>
        <v>-</v>
      </c>
    </row>
    <row r="92" spans="1:19" ht="15" customHeight="1" thickBot="1" x14ac:dyDescent="0.35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35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-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35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35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35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35">
      <c r="A97" t="str">
        <f>booking!B97</f>
        <v>fredag</v>
      </c>
      <c r="B97" s="25">
        <f>booking!C97</f>
        <v>46234</v>
      </c>
      <c r="D97" s="2" t="str">
        <f>IF(booking!AC97&gt;0,"Y","-")</f>
        <v>-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-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35">
      <c r="A98" t="str">
        <f>booking!B98</f>
        <v>lørdag</v>
      </c>
      <c r="B98" s="25">
        <f>booking!C98</f>
        <v>46235</v>
      </c>
      <c r="D98" s="2" t="str">
        <f>IF(booking!AC98&gt;0,"Y","-")</f>
        <v>-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-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35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35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-</v>
      </c>
      <c r="S100" s="50" t="str">
        <f>IFERROR(IF(AND(booking!AB100&gt;0,booking!T100&lt;&gt;booking!U100),VLOOKUP(booking!U100,Database!$A$1:'Database'!$L$175,9,FALSE),"-"),"-")</f>
        <v>-</v>
      </c>
    </row>
    <row r="101" spans="1:19" ht="15" customHeight="1" thickBot="1" x14ac:dyDescent="0.35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35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35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-</v>
      </c>
      <c r="J103" s="50" t="str">
        <f>IFERROR(IF(AND(booking!AB103&gt;0,booking!H103&lt;&gt;booking!I103),VLOOKUP(booking!I103,Database!$A$1:'Database'!$L$175,9,FALSE),"-"),"-")</f>
        <v>-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-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-</v>
      </c>
      <c r="P103" s="50" t="str">
        <f>IFERROR(IF(AND(booking!AB103&gt;0,booking!P103&lt;&gt;booking!Q103),VLOOKUP(booking!Q103,Database!$A$1:'Database'!$L$175,9,FALSE),"-"),"-")</f>
        <v>-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35">
      <c r="A104" t="str">
        <f>booking!B104</f>
        <v>fredag</v>
      </c>
      <c r="B104" s="25">
        <f>booking!C104</f>
        <v>46241</v>
      </c>
      <c r="D104" s="2" t="str">
        <f>IF(booking!AC104&gt;0,"Y","-")</f>
        <v>-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-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35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35">
      <c r="A106" t="str">
        <f>booking!B106</f>
        <v>søndag</v>
      </c>
      <c r="B106" s="25">
        <f>booking!C106</f>
        <v>46243</v>
      </c>
      <c r="D106" s="2" t="str">
        <f>IF(booking!AC106&gt;0,"Y","-")</f>
        <v>-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-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35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35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35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35">
      <c r="A110" t="str">
        <f>booking!B110</f>
        <v>torsdag</v>
      </c>
      <c r="B110" s="25">
        <f>booking!C110</f>
        <v>46247</v>
      </c>
      <c r="D110" s="2" t="str">
        <f>IF(booking!AC110&gt;0,"Y","-")</f>
        <v>-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-</v>
      </c>
      <c r="I110" s="50" t="str">
        <f>IFERROR(IF(AND(booking!AB110&gt;0,booking!H110&lt;&gt;booking!I110),VLOOKUP(booking!I110,Database!$A$1:'Database'!$L$175,6,FALSE),"-"),"-")</f>
        <v>-</v>
      </c>
      <c r="J110" s="50" t="str">
        <f>IFERROR(IF(AND(booking!AB110&gt;0,booking!H110&lt;&gt;booking!I110),VLOOKUP(booking!I110,Database!$A$1:'Database'!$L$175,9,FALSE),"-"),"-")</f>
        <v>-</v>
      </c>
      <c r="K110" s="54" t="str">
        <f>IF(AND(booking!L110&lt;&gt;booking!M110,booking!L110&gt;0),"udc","-")</f>
        <v>-</v>
      </c>
      <c r="L110" s="50">
        <f>IFERROR(IF(AND(booking!AB110&gt;0,booking!L110&lt;&gt;booking!M110),VLOOKUP(booking!M110,Database!$A$1:'Database'!$L$175,6,FALSE),"-"),"-")</f>
        <v>0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35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35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35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-</v>
      </c>
      <c r="P113" s="50" t="str">
        <f>IFERROR(IF(AND(booking!AB113&gt;0,booking!P113&lt;&gt;booking!Q113),VLOOKUP(booking!Q113,Database!$A$1:'Database'!$L$175,9,FALSE),"-"),"-")</f>
        <v>-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35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>
        <f>IFERROR(IF(AND(booking!AB114&gt;0,booking!D114&lt;&gt;booking!E114),VLOOKUP(booking!E114,Database!$A$1:'Database'!$L$175,6,FALSE),"-"),"-")</f>
        <v>0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-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>
        <f>IFERROR(IF(AND(booking!AB114&gt;0,booking!T114&lt;&gt;booking!U114),VLOOKUP(booking!U114,Database!$A$1:'Database'!$L$175,6,FALSE),"-"),"-")</f>
        <v>0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35">
      <c r="A115" t="str">
        <f>booking!B115</f>
        <v>tirsdag</v>
      </c>
      <c r="B115" s="25">
        <f>booking!C115</f>
        <v>46252</v>
      </c>
      <c r="D115" s="2" t="str">
        <f>IF(booking!AC115&gt;0,"Y","-")</f>
        <v>-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-</v>
      </c>
      <c r="I115" s="50" t="str">
        <f>IFERROR(IF(AND(booking!AB115&gt;0,booking!H115&lt;&gt;booking!I115),VLOOKUP(booking!I115,Database!$A$1:'Database'!$L$175,6,FALSE),"-"),"-")</f>
        <v>-</v>
      </c>
      <c r="J115" s="50" t="str">
        <f>IFERROR(IF(AND(booking!AB115&gt;0,booking!H115&lt;&gt;booking!I115),VLOOKUP(booking!I115,Database!$A$1:'Database'!$L$175,9,FALSE),"-"),"-")</f>
        <v>-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35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35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udc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-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35">
      <c r="A118" t="str">
        <f>booking!B118</f>
        <v>fredag</v>
      </c>
      <c r="B118" s="25">
        <f>booking!C118</f>
        <v>46255</v>
      </c>
      <c r="D118" s="2" t="str">
        <f>IF(booking!AC118&gt;0,"Y","-")</f>
        <v>-</v>
      </c>
      <c r="E118" s="54" t="str">
        <f>IF(AND(booking!D118&lt;&gt;booking!E118,booking!D118&gt;0),"udc","-")</f>
        <v>-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-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-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35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>
        <f>IFERROR(IF(AND(booking!AB119&gt;0,booking!P119&lt;&gt;booking!Q119),VLOOKUP(booking!Q119,Database!$A$1:'Database'!$L$175,6,FALSE),"-"),"-")</f>
        <v>0</v>
      </c>
      <c r="P119" s="50">
        <f>IFERROR(IF(AND(booking!AB119&gt;0,booking!P119&lt;&gt;booking!Q119),VLOOKUP(booking!Q119,Database!$A$1:'Database'!$L$175,9,FALSE),"-"),"-")</f>
        <v>0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35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35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35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35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>
        <f>IFERROR(IF(AND(booking!AB123&gt;0,booking!P123&lt;&gt;booking!Q123),VLOOKUP(booking!Q123,Database!$A$1:'Database'!$L$175,6,FALSE),"-"),"-")</f>
        <v>0</v>
      </c>
      <c r="P123" s="50">
        <f>IFERROR(IF(AND(booking!AB123&gt;0,booking!P123&lt;&gt;booking!Q123),VLOOKUP(booking!Q123,Database!$A$1:'Database'!$L$175,9,FALSE),"-"),"-")</f>
        <v>0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35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-</v>
      </c>
      <c r="S124" s="50" t="str">
        <f>IFERROR(IF(AND(booking!AB124&gt;0,booking!T124&lt;&gt;booking!U124),VLOOKUP(booking!U124,Database!$A$1:'Database'!$L$175,9,FALSE),"-"),"-")</f>
        <v>-</v>
      </c>
    </row>
    <row r="125" spans="1:19" ht="15" customHeight="1" thickBot="1" x14ac:dyDescent="0.35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35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35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35">
      <c r="A128" t="str">
        <f>booking!B128</f>
        <v>mandag</v>
      </c>
      <c r="B128" s="25">
        <f>booking!C128</f>
        <v>46265</v>
      </c>
      <c r="D128" s="2" t="str">
        <f>IF(booking!AC128&gt;0,"Y","-")</f>
        <v>-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-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35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35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35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35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35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35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>
        <f>IFERROR(IF(AND(booking!AB134&gt;0,booking!T134&lt;&gt;booking!U134),VLOOKUP(booking!U134,Database!$A$1:'Database'!$L$175,6,FALSE),"-"),"-")</f>
        <v>0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35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35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35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35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35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35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35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35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35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35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-</v>
      </c>
      <c r="J144" s="50" t="str">
        <f>IFERROR(IF(AND(booking!AB144&gt;0,booking!H144&lt;&gt;booking!I144),VLOOKUP(booking!I144,Database!$A$1:'Database'!$L$175,9,FALSE),"-"),"-")</f>
        <v>-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35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-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-</v>
      </c>
      <c r="P145" s="50" t="str">
        <f>IFERROR(IF(AND(booking!AB145&gt;0,booking!P145&lt;&gt;booking!Q145),VLOOKUP(booking!Q145,Database!$A$1:'Database'!$L$175,9,FALSE),"-"),"-")</f>
        <v>-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35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35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35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-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-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35">
      <c r="A149" t="str">
        <f>booking!B149</f>
        <v>mandag</v>
      </c>
      <c r="B149" s="25">
        <f>booking!C149</f>
        <v>46286</v>
      </c>
      <c r="D149" s="2" t="str">
        <f>IF(booking!AC149&gt;0,"Y","-")</f>
        <v>-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-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35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35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35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35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35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35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35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35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35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35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35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35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35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35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35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35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35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35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35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35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35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35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7.44140625" bestFit="1" customWidth="1"/>
    <col min="2" max="2" width="8.109375" style="25" bestFit="1" customWidth="1"/>
    <col min="3" max="3" width="3.88671875" bestFit="1" customWidth="1"/>
    <col min="4" max="4" width="8.44140625" style="2" bestFit="1" customWidth="1"/>
    <col min="5" max="5" width="6.5546875" style="2" customWidth="1"/>
    <col min="6" max="8" width="6.5546875" style="79" customWidth="1"/>
    <col min="9" max="10" width="6.5546875" customWidth="1"/>
    <col min="11" max="13" width="6.5546875" style="79" customWidth="1"/>
    <col min="14" max="14" width="6.5546875" customWidth="1"/>
    <col min="15" max="17" width="6.5546875" style="79" customWidth="1"/>
    <col min="18" max="18" width="6.5546875" style="78" customWidth="1"/>
    <col min="19" max="21" width="6.5546875" style="79" customWidth="1"/>
    <col min="22" max="22" width="6.5546875" customWidth="1"/>
    <col min="23" max="25" width="6.5546875" style="79" customWidth="1"/>
  </cols>
  <sheetData>
    <row r="1" spans="1:26" ht="20.100000000000001" customHeight="1" thickBot="1" x14ac:dyDescent="0.35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46019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35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35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35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35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35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-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 t="str">
        <f>IF(AND(D6="Y",booking!P6&lt;&gt;booking!Q6,booking!Q6&gt;0),booking!Q6,"-")</f>
        <v>-</v>
      </c>
      <c r="S6" s="85" t="str">
        <f>IFERROR(VLOOKUP(R6,Database!$A$2:$L$175,8,FALSE),"-")</f>
        <v>-</v>
      </c>
      <c r="T6" s="85" t="str">
        <f>IFERROR(VLOOKUP(R6,Database!$A$2:$L$175,6,FALSE),"-")</f>
        <v>-</v>
      </c>
      <c r="U6" s="89" t="str">
        <f>IFERROR(VLOOKUP(R6,Database!$A$2:$L$175,9,FALSE),"-")</f>
        <v>-</v>
      </c>
      <c r="V6" s="104" t="str">
        <f>IF(AND(D6="Y",booking!T6&lt;&gt;booking!U6,booking!U6&gt;0),booking!U6,"-")</f>
        <v>-</v>
      </c>
      <c r="W6" s="86" t="str">
        <f>IFERROR(VLOOKUP(V6,Database!$A$2:$L$175,8,FALSE),"-")</f>
        <v>-</v>
      </c>
      <c r="X6" s="86" t="str">
        <f>IFERROR(VLOOKUP(V6,Database!$A$2:$L$175,6,FALSE),"-")</f>
        <v>-</v>
      </c>
      <c r="Y6" s="88" t="str">
        <f>IFERROR(VLOOKUP(V6,Database!$A$2:$L$175,9,FALSE),"-")</f>
        <v>-</v>
      </c>
    </row>
    <row r="7" spans="1:26" ht="15" customHeight="1" thickBot="1" x14ac:dyDescent="0.35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35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35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35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35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35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35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35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35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35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35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35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-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 t="str">
        <f>IF(AND(D18="Y",booking!P18&lt;&gt;booking!Q18,booking!Q18&gt;0),booking!Q18,"-")</f>
        <v>-</v>
      </c>
      <c r="S18" s="85" t="str">
        <f>IFERROR(VLOOKUP(R18,Database!$A$2:$L$175,8,FALSE),"-")</f>
        <v>-</v>
      </c>
      <c r="T18" s="85" t="str">
        <f>IFERROR(VLOOKUP(R18,Database!$A$2:$L$175,6,FALSE),"-")</f>
        <v>-</v>
      </c>
      <c r="U18" s="89" t="str">
        <f>IFERROR(VLOOKUP(R18,Database!$A$2:$L$175,9,FALSE),"-")</f>
        <v>-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35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-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 t="str">
        <f>IF(AND(D19="Y",booking!T19&lt;&gt;booking!U19,booking!U19&gt;0),booking!U19,"-")</f>
        <v>-</v>
      </c>
      <c r="W19" s="86" t="str">
        <f>IFERROR(VLOOKUP(V19,Database!$A$2:$L$175,8,FALSE),"-")</f>
        <v>-</v>
      </c>
      <c r="X19" s="86" t="str">
        <f>IFERROR(VLOOKUP(V19,Database!$A$2:$L$175,6,FALSE),"-")</f>
        <v>-</v>
      </c>
      <c r="Y19" s="88" t="str">
        <f>IFERROR(VLOOKUP(V19,Database!$A$2:$L$175,9,FALSE),"-")</f>
        <v>-</v>
      </c>
    </row>
    <row r="20" spans="1:25" ht="15" customHeight="1" thickBot="1" x14ac:dyDescent="0.35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35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35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35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35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35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35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>
        <f>IFERROR(VLOOKUP(J26,Database!$A$2:$L$175,6,FALSE),"-")</f>
        <v>0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>
        <f>IFERROR(VLOOKUP(N26,Database!$A$2:$L$175,6,FALSE),"-")</f>
        <v>0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>
        <f>IFERROR(VLOOKUP(R26,Database!$A$2:$L$175,6,FALSE),"-")</f>
        <v>0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35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-</v>
      </c>
      <c r="E27" s="103" t="str">
        <f>IF(AND(D27="Y",booking!D27&lt;&gt;booking!E27,booking!E27&gt;0),booking!E27,"-")</f>
        <v>-</v>
      </c>
      <c r="F27" s="85" t="str">
        <f>IFERROR(VLOOKUP(E27,Database!$A$2:$L$175,8,FALSE),"-")</f>
        <v>-</v>
      </c>
      <c r="G27" s="85" t="str">
        <f>IFERROR(VLOOKUP(E27,Database!$A$2:$L$175,6,FALSE),"-")</f>
        <v>-</v>
      </c>
      <c r="H27" s="101" t="str">
        <f>IFERROR(VLOOKUP(E27,Database!$A$2:$L$175,9,FALSE),"-")</f>
        <v>-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35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35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35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35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35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35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35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35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35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35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35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35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-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 t="str">
        <f>IF(AND(D39="Y",booking!L39&lt;&gt;booking!M39,booking!M39&gt;0),booking!M39,"-")</f>
        <v>-</v>
      </c>
      <c r="O39" s="85" t="str">
        <f>IFERROR(VLOOKUP(N39,Database!$A$2:$L$175,8,FALSE),"-")</f>
        <v>-</v>
      </c>
      <c r="P39" s="85" t="str">
        <f>IFERROR(VLOOKUP(N39,Database!$A$2:$L$175,6,FALSE),"-")</f>
        <v>-</v>
      </c>
      <c r="Q39" s="89" t="str">
        <f>IFERROR(VLOOKUP(N39,Database!$A$2:$L$175,9,FALSE),"-")</f>
        <v>-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35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35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35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35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35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35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 t="e">
        <f>IF(AND(D45="Y",booking!L45&lt;&gt;booking!#REF!,booking!#REF!&gt;0),booking!#REF!,"-")</f>
        <v>#REF!</v>
      </c>
      <c r="O45" s="85" t="str">
        <f>IFERROR(VLOOKUP(N45,Database!$A$2:$L$175,8,FALSE),"-")</f>
        <v>-</v>
      </c>
      <c r="P45" s="85" t="str">
        <f>IFERROR(VLOOKUP(N45,Database!$A$2:$L$175,6,FALSE),"-")</f>
        <v>-</v>
      </c>
      <c r="Q45" s="89" t="str">
        <f>IFERROR(VLOOKUP(N45,Database!$A$2:$L$175,9,FALSE),"-")</f>
        <v>-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35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35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35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35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35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35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35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35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-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 t="str">
        <f>IF(AND(D53="Y",booking!T53&lt;&gt;booking!U53,booking!U53&gt;0),booking!U53,"-")</f>
        <v>-</v>
      </c>
      <c r="W53" s="86" t="str">
        <f>IFERROR(VLOOKUP(V53,Database!$A$2:$L$175,8,FALSE),"-")</f>
        <v>-</v>
      </c>
      <c r="X53" s="86" t="str">
        <f>IFERROR(VLOOKUP(V53,Database!$A$2:$L$175,6,FALSE),"-")</f>
        <v>-</v>
      </c>
      <c r="Y53" s="88" t="str">
        <f>IFERROR(VLOOKUP(V53,Database!$A$2:$L$175,9,FALSE),"-")</f>
        <v>-</v>
      </c>
    </row>
    <row r="54" spans="1:25" ht="15" customHeight="1" thickBot="1" x14ac:dyDescent="0.35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35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35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35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35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35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35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35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-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 t="str">
        <f>IF(AND(D61="Y",booking!L61&lt;&gt;booking!M61,booking!M61&gt;0),booking!M61,"-")</f>
        <v>-</v>
      </c>
      <c r="O61" s="85" t="str">
        <f>IFERROR(VLOOKUP(N61,Database!$A$2:$L$175,8,FALSE),"-")</f>
        <v>-</v>
      </c>
      <c r="P61" s="85" t="str">
        <f>IFERROR(VLOOKUP(N61,Database!$A$2:$L$175,6,FALSE),"-")</f>
        <v>-</v>
      </c>
      <c r="Q61" s="89" t="str">
        <f>IFERROR(VLOOKUP(N61,Database!$A$2:$L$175,9,FALSE),"-")</f>
        <v>-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35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35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35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35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35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35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35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>
        <f>IFERROR(VLOOKUP(E68,Database!$A$2:$L$175,6,FALSE),"-")</f>
        <v>0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35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>
        <f>IF(AND(D69="Y",booking!T69&lt;&gt;booking!U69,booking!U69&gt;0),booking!U69,"-")</f>
        <v>7</v>
      </c>
      <c r="W69" s="86">
        <f>IFERROR(VLOOKUP(V69,Database!$A$2:$L$175,8,FALSE),"-")</f>
        <v>0</v>
      </c>
      <c r="X69" s="86" t="str">
        <f>IFERROR(VLOOKUP(V69,Database!$A$2:$L$175,6,FALSE),"-")</f>
        <v>DK</v>
      </c>
      <c r="Y69" s="88">
        <f>IFERROR(VLOOKUP(V69,Database!$A$2:$L$175,9,FALSE),"-")</f>
        <v>0</v>
      </c>
    </row>
    <row r="70" spans="1:25" ht="15" customHeight="1" thickBot="1" x14ac:dyDescent="0.35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-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 t="str">
        <f>IF(AND(D70="Y",booking!T70&lt;&gt;booking!U70,booking!U70&gt;0),booking!U70,"-")</f>
        <v>-</v>
      </c>
      <c r="W70" s="86" t="str">
        <f>IFERROR(VLOOKUP(V70,Database!$A$2:$L$175,8,FALSE),"-")</f>
        <v>-</v>
      </c>
      <c r="X70" s="86" t="str">
        <f>IFERROR(VLOOKUP(V70,Database!$A$2:$L$175,6,FALSE),"-")</f>
        <v>-</v>
      </c>
      <c r="Y70" s="88" t="str">
        <f>IFERROR(VLOOKUP(V70,Database!$A$2:$L$175,9,FALSE),"-")</f>
        <v>-</v>
      </c>
    </row>
    <row r="71" spans="1:25" ht="15" customHeight="1" thickBot="1" x14ac:dyDescent="0.35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35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-</v>
      </c>
      <c r="E72" s="103" t="str">
        <f>IF(AND(D72="Y",booking!D72&lt;&gt;booking!E72,booking!E72&gt;0),booking!E72,"-")</f>
        <v>-</v>
      </c>
      <c r="F72" s="85" t="str">
        <f>IFERROR(VLOOKUP(E72,Database!$A$2:$L$175,8,FALSE),"-")</f>
        <v>-</v>
      </c>
      <c r="G72" s="85" t="str">
        <f>IFERROR(VLOOKUP(E72,Database!$A$2:$L$175,6,FALSE),"-")</f>
        <v>-</v>
      </c>
      <c r="H72" s="101" t="str">
        <f>IFERROR(VLOOKUP(E72,Database!$A$2:$L$175,9,FALSE),"-")</f>
        <v>-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 t="str">
        <f>IF(AND(D72="Y",booking!L72&lt;&gt;booking!M72,booking!M72&gt;0),booking!M72,"-")</f>
        <v>-</v>
      </c>
      <c r="O72" s="85" t="str">
        <f>IFERROR(VLOOKUP(N72,Database!$A$2:$L$175,8,FALSE),"-")</f>
        <v>-</v>
      </c>
      <c r="P72" s="85" t="str">
        <f>IFERROR(VLOOKUP(N72,Database!$A$2:$L$175,6,FALSE),"-")</f>
        <v>-</v>
      </c>
      <c r="Q72" s="89" t="str">
        <f>IFERROR(VLOOKUP(N72,Database!$A$2:$L$175,9,FALSE),"-")</f>
        <v>-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35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35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35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35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35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35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35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-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 t="str">
        <f>IF(AND(D79="Y",booking!L79&lt;&gt;booking!M79,booking!M79&gt;0),booking!M79,"-")</f>
        <v>-</v>
      </c>
      <c r="O79" s="85" t="str">
        <f>IFERROR(VLOOKUP(N79,Database!$A$2:$L$175,8,FALSE),"-")</f>
        <v>-</v>
      </c>
      <c r="P79" s="85" t="str">
        <f>IFERROR(VLOOKUP(N79,Database!$A$2:$L$175,6,FALSE),"-")</f>
        <v>-</v>
      </c>
      <c r="Q79" s="89" t="str">
        <f>IFERROR(VLOOKUP(N79,Database!$A$2:$L$175,9,FALSE),"-")</f>
        <v>-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35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35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35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35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35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-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 t="str">
        <f>IF(AND(D84="Y",booking!L84&lt;&gt;booking!M84,booking!M84&gt;0),booking!M84,"-")</f>
        <v>-</v>
      </c>
      <c r="O84" s="85" t="str">
        <f>IFERROR(VLOOKUP(N84,Database!$A$2:$L$175,8,FALSE),"-")</f>
        <v>-</v>
      </c>
      <c r="P84" s="85" t="str">
        <f>IFERROR(VLOOKUP(N84,Database!$A$2:$L$175,6,FALSE),"-")</f>
        <v>-</v>
      </c>
      <c r="Q84" s="89" t="str">
        <f>IFERROR(VLOOKUP(N84,Database!$A$2:$L$175,9,FALSE),"-")</f>
        <v>-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35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 t="str">
        <f>IF(AND(D85="Y",booking!H85&lt;&gt;booking!I85,booking!I85&gt;0),booking!I85,"-")</f>
        <v>-</v>
      </c>
      <c r="K85" s="85" t="str">
        <f>IFERROR(VLOOKUP(J85,Database!$A$2:$L$175,8,FALSE),"-")</f>
        <v>-</v>
      </c>
      <c r="L85" s="85" t="str">
        <f>IFERROR(VLOOKUP(J85,Database!$A$2:$L$175,6,FALSE),"-")</f>
        <v>-</v>
      </c>
      <c r="M85" s="101" t="str">
        <f>IFERROR(VLOOKUP(J85,Database!$A$2:$L$175,9,FALSE),"-")</f>
        <v>-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35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35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35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35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35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35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-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 t="str">
        <f>IF(AND(D91="Y",booking!T91&lt;&gt;booking!U91,booking!U91&gt;0),booking!U91,"-")</f>
        <v>-</v>
      </c>
      <c r="W91" s="86" t="str">
        <f>IFERROR(VLOOKUP(V91,Database!$A$2:$L$175,8,FALSE),"-")</f>
        <v>-</v>
      </c>
      <c r="X91" s="86" t="str">
        <f>IFERROR(VLOOKUP(V91,Database!$A$2:$L$175,6,FALSE),"-")</f>
        <v>-</v>
      </c>
      <c r="Y91" s="88" t="str">
        <f>IFERROR(VLOOKUP(V91,Database!$A$2:$L$175,9,FALSE),"-")</f>
        <v>-</v>
      </c>
    </row>
    <row r="92" spans="1:25" ht="15" customHeight="1" thickBot="1" x14ac:dyDescent="0.35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35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-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 t="str">
        <f>IF(AND(D93="Y",booking!L93&lt;&gt;booking!M93,booking!M93&gt;0),booking!M93,"-")</f>
        <v>-</v>
      </c>
      <c r="O93" s="85" t="str">
        <f>IFERROR(VLOOKUP(N93,Database!$A$2:$L$175,8,FALSE),"-")</f>
        <v>-</v>
      </c>
      <c r="P93" s="85" t="str">
        <f>IFERROR(VLOOKUP(N93,Database!$A$2:$L$175,6,FALSE),"-")</f>
        <v>-</v>
      </c>
      <c r="Q93" s="89" t="str">
        <f>IFERROR(VLOOKUP(N93,Database!$A$2:$L$175,9,FALSE),"-")</f>
        <v>-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35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35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35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35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35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35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35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 t="str">
        <f>IF(AND(D100="Y",booking!T100&lt;&gt;booking!U100,booking!U100&gt;0),booking!U100,"-")</f>
        <v>-</v>
      </c>
      <c r="W100" s="86" t="str">
        <f>IFERROR(VLOOKUP(V100,Database!$A$2:$L$175,8,FALSE),"-")</f>
        <v>-</v>
      </c>
      <c r="X100" s="86" t="str">
        <f>IFERROR(VLOOKUP(V100,Database!$A$2:$L$175,6,FALSE),"-")</f>
        <v>-</v>
      </c>
      <c r="Y100" s="88" t="str">
        <f>IFERROR(VLOOKUP(V100,Database!$A$2:$L$175,9,FALSE),"-")</f>
        <v>-</v>
      </c>
    </row>
    <row r="101" spans="1:25" ht="15" customHeight="1" thickBot="1" x14ac:dyDescent="0.35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35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35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-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 t="str">
        <f>IF(AND(D103="Y",booking!H103&lt;&gt;booking!I103,booking!I103&gt;0),booking!I103,"-")</f>
        <v>-</v>
      </c>
      <c r="K103" s="85" t="str">
        <f>IFERROR(VLOOKUP(J103,Database!$A$2:$L$175,8,FALSE),"-")</f>
        <v>-</v>
      </c>
      <c r="L103" s="85" t="str">
        <f>IFERROR(VLOOKUP(J103,Database!$A$2:$L$175,6,FALSE),"-")</f>
        <v>-</v>
      </c>
      <c r="M103" s="101" t="str">
        <f>IFERROR(VLOOKUP(J103,Database!$A$2:$L$175,9,FALSE),"-")</f>
        <v>-</v>
      </c>
      <c r="N103" s="104" t="str">
        <f>IF(AND(D103="Y",booking!L103&lt;&gt;booking!M103,booking!M103&gt;0),booking!M103,"-")</f>
        <v>-</v>
      </c>
      <c r="O103" s="85" t="str">
        <f>IFERROR(VLOOKUP(N103,Database!$A$2:$L$175,8,FALSE),"-")</f>
        <v>-</v>
      </c>
      <c r="P103" s="85" t="str">
        <f>IFERROR(VLOOKUP(N103,Database!$A$2:$L$175,6,FALSE),"-")</f>
        <v>-</v>
      </c>
      <c r="Q103" s="89" t="str">
        <f>IFERROR(VLOOKUP(N103,Database!$A$2:$L$175,9,FALSE),"-")</f>
        <v>-</v>
      </c>
      <c r="R103" s="105" t="str">
        <f>IF(AND(D103="Y",booking!P103&lt;&gt;booking!Q103,booking!Q103&gt;0),booking!Q103,"-")</f>
        <v>-</v>
      </c>
      <c r="S103" s="85" t="str">
        <f>IFERROR(VLOOKUP(R103,Database!$A$2:$L$175,8,FALSE),"-")</f>
        <v>-</v>
      </c>
      <c r="T103" s="85" t="str">
        <f>IFERROR(VLOOKUP(R103,Database!$A$2:$L$175,6,FALSE),"-")</f>
        <v>-</v>
      </c>
      <c r="U103" s="89" t="str">
        <f>IFERROR(VLOOKUP(R103,Database!$A$2:$L$175,9,FALSE),"-")</f>
        <v>-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35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35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35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35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35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35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35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 t="str">
        <f>IF(AND(D110="Y",booking!H110&lt;&gt;booking!I110,booking!I110&gt;0),booking!I110,"-")</f>
        <v>-</v>
      </c>
      <c r="K110" s="85" t="str">
        <f>IFERROR(VLOOKUP(J110,Database!$A$2:$L$175,8,FALSE),"-")</f>
        <v>-</v>
      </c>
      <c r="L110" s="85" t="str">
        <f>IFERROR(VLOOKUP(J110,Database!$A$2:$L$175,6,FALSE),"-")</f>
        <v>-</v>
      </c>
      <c r="M110" s="101" t="str">
        <f>IFERROR(VLOOKUP(J110,Database!$A$2:$L$175,9,FALSE),"-")</f>
        <v>-</v>
      </c>
      <c r="N110" s="104">
        <f>IF(AND(D110="Y",booking!L110&lt;&gt;booking!M110,booking!M110&gt;0),booking!M110,"-")</f>
        <v>23</v>
      </c>
      <c r="O110" s="85">
        <f>IFERROR(VLOOKUP(N110,Database!$A$2:$L$175,8,FALSE),"-")</f>
        <v>0</v>
      </c>
      <c r="P110" s="85">
        <f>IFERROR(VLOOKUP(N110,Database!$A$2:$L$175,6,FALSE),"-")</f>
        <v>0</v>
      </c>
      <c r="Q110" s="89">
        <f>IFERROR(VLOOKUP(N110,Database!$A$2:$L$175,9,FALSE),"-")</f>
        <v>0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35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35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35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-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 t="str">
        <f>IF(AND(D113="Y",booking!P113&lt;&gt;booking!Q113,booking!Q113&gt;0),booking!Q113,"-")</f>
        <v>-</v>
      </c>
      <c r="S113" s="85" t="str">
        <f>IFERROR(VLOOKUP(R113,Database!$A$2:$L$175,8,FALSE),"-")</f>
        <v>-</v>
      </c>
      <c r="T113" s="85" t="str">
        <f>IFERROR(VLOOKUP(R113,Database!$A$2:$L$175,6,FALSE),"-")</f>
        <v>-</v>
      </c>
      <c r="U113" s="89" t="str">
        <f>IFERROR(VLOOKUP(R113,Database!$A$2:$L$175,9,FALSE),"-")</f>
        <v>-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35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>
        <f>IFERROR(VLOOKUP(E114,Database!$A$2:$L$175,6,FALSE),"-")</f>
        <v>0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 t="str">
        <f>IF(AND(D114="Y",booking!L114&lt;&gt;booking!M114,booking!M114&gt;0),booking!M114,"-")</f>
        <v>-</v>
      </c>
      <c r="O114" s="85" t="str">
        <f>IFERROR(VLOOKUP(N114,Database!$A$2:$L$175,8,FALSE),"-")</f>
        <v>-</v>
      </c>
      <c r="P114" s="85" t="str">
        <f>IFERROR(VLOOKUP(N114,Database!$A$2:$L$175,6,FALSE),"-")</f>
        <v>-</v>
      </c>
      <c r="Q114" s="89" t="str">
        <f>IFERROR(VLOOKUP(N114,Database!$A$2:$L$175,9,FALSE),"-")</f>
        <v>-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>
        <f>IFERROR(VLOOKUP(V114,Database!$A$2:$L$175,6,FALSE),"-")</f>
        <v>0</v>
      </c>
      <c r="Y114" s="88">
        <f>IFERROR(VLOOKUP(V114,Database!$A$2:$L$175,9,FALSE),"-")</f>
        <v>0</v>
      </c>
    </row>
    <row r="115" spans="1:25" ht="15" customHeight="1" thickBot="1" x14ac:dyDescent="0.35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-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 t="str">
        <f>IF(AND(D115="Y",booking!H115&lt;&gt;booking!I115,booking!I115&gt;0),booking!I115,"-")</f>
        <v>-</v>
      </c>
      <c r="K115" s="85" t="str">
        <f>IFERROR(VLOOKUP(J115,Database!$A$2:$L$175,8,FALSE),"-")</f>
        <v>-</v>
      </c>
      <c r="L115" s="85" t="str">
        <f>IFERROR(VLOOKUP(J115,Database!$A$2:$L$175,6,FALSE),"-")</f>
        <v>-</v>
      </c>
      <c r="M115" s="101" t="str">
        <f>IFERROR(VLOOKUP(J115,Database!$A$2:$L$175,9,FALSE),"-")</f>
        <v>-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35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35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35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35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>
        <f>IFERROR(VLOOKUP(R119,Database!$A$2:$L$175,6,FALSE),"-")</f>
        <v>0</v>
      </c>
      <c r="U119" s="89">
        <f>IFERROR(VLOOKUP(R119,Database!$A$2:$L$175,9,FALSE),"-")</f>
        <v>0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35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35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35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35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>
        <f>IFERROR(VLOOKUP(R123,Database!$A$2:$L$175,6,FALSE),"-")</f>
        <v>0</v>
      </c>
      <c r="U123" s="89">
        <f>IFERROR(VLOOKUP(R123,Database!$A$2:$L$175,9,FALSE),"-")</f>
        <v>0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35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-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 t="str">
        <f>IF(AND(D124="Y",booking!T124&lt;&gt;booking!U124,booking!U124&gt;0),booking!U124,"-")</f>
        <v>-</v>
      </c>
      <c r="W124" s="86" t="str">
        <f>IFERROR(VLOOKUP(V124,Database!$A$2:$L$175,8,FALSE),"-")</f>
        <v>-</v>
      </c>
      <c r="X124" s="86" t="str">
        <f>IFERROR(VLOOKUP(V124,Database!$A$2:$L$175,6,FALSE),"-")</f>
        <v>-</v>
      </c>
      <c r="Y124" s="88" t="str">
        <f>IFERROR(VLOOKUP(V124,Database!$A$2:$L$175,9,FALSE),"-")</f>
        <v>-</v>
      </c>
    </row>
    <row r="125" spans="1:25" ht="15" customHeight="1" thickBot="1" x14ac:dyDescent="0.35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35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35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35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35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35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35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35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35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35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>
        <f>IFERROR(VLOOKUP(V134,Database!$A$2:$L$175,6,FALSE),"-")</f>
        <v>0</v>
      </c>
      <c r="Y134" s="88">
        <f>IFERROR(VLOOKUP(V134,Database!$A$2:$L$175,9,FALSE),"-")</f>
        <v>0</v>
      </c>
    </row>
    <row r="135" spans="1:25" ht="15" customHeight="1" thickBot="1" x14ac:dyDescent="0.35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35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35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35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35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35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35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35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35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35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-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 t="str">
        <f>IF(AND(D144="Y",booking!H144&lt;&gt;booking!I144,booking!I144&gt;0),booking!I144,"-")</f>
        <v>-</v>
      </c>
      <c r="K144" s="85" t="str">
        <f>IFERROR(VLOOKUP(J144,Database!$A$2:$L$175,8,FALSE),"-")</f>
        <v>-</v>
      </c>
      <c r="L144" s="85" t="str">
        <f>IFERROR(VLOOKUP(J144,Database!$A$2:$L$175,6,FALSE),"-")</f>
        <v>-</v>
      </c>
      <c r="M144" s="101" t="str">
        <f>IFERROR(VLOOKUP(J144,Database!$A$2:$L$175,9,FALSE),"-")</f>
        <v>-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35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-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 t="str">
        <f>IF(AND(D145="Y",booking!L145&lt;&gt;booking!M145,booking!M145&gt;0),booking!M145,"-")</f>
        <v>-</v>
      </c>
      <c r="O145" s="85" t="str">
        <f>IFERROR(VLOOKUP(N145,Database!$A$2:$L$175,8,FALSE),"-")</f>
        <v>-</v>
      </c>
      <c r="P145" s="85" t="str">
        <f>IFERROR(VLOOKUP(N145,Database!$A$2:$L$175,6,FALSE),"-")</f>
        <v>-</v>
      </c>
      <c r="Q145" s="89" t="str">
        <f>IFERROR(VLOOKUP(N145,Database!$A$2:$L$175,9,FALSE),"-")</f>
        <v>-</v>
      </c>
      <c r="R145" s="105" t="str">
        <f>IF(AND(D145="Y",booking!P145&lt;&gt;booking!Q145,booking!Q145&gt;0),booking!Q145,"-")</f>
        <v>-</v>
      </c>
      <c r="S145" s="85" t="str">
        <f>IFERROR(VLOOKUP(R145,Database!$A$2:$L$175,8,FALSE),"-")</f>
        <v>-</v>
      </c>
      <c r="T145" s="85" t="str">
        <f>IFERROR(VLOOKUP(R145,Database!$A$2:$L$175,6,FALSE),"-")</f>
        <v>-</v>
      </c>
      <c r="U145" s="89" t="str">
        <f>IFERROR(VLOOKUP(R145,Database!$A$2:$L$175,9,FALSE),"-")</f>
        <v>-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35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18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35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35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35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35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35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35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35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35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35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35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35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35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35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35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35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35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35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35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35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35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35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35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35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35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35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">
      <c r="A21">
        <f>Database!A21</f>
        <v>20</v>
      </c>
      <c r="B21" s="2">
        <f>Database!Q21</f>
        <v>0</v>
      </c>
      <c r="C21" s="2" t="str">
        <f t="shared" si="0"/>
        <v>-</v>
      </c>
      <c r="D21" s="2" t="str">
        <f>IF(B21="Y",Database!K21,"-")</f>
        <v>-</v>
      </c>
      <c r="E21" s="2">
        <f>IF(AND(D21&gt;1,B21="Y"),Database!L21/D21,Database!L21)</f>
        <v>0</v>
      </c>
    </row>
    <row r="22" spans="1:5" x14ac:dyDescent="0.3">
      <c r="A22">
        <f>Database!A22</f>
        <v>21</v>
      </c>
      <c r="B22" s="2">
        <f>Database!Q22</f>
        <v>0</v>
      </c>
      <c r="C22" s="2" t="str">
        <f t="shared" si="0"/>
        <v>-</v>
      </c>
      <c r="D22" s="2" t="str">
        <f>IF(B22="Y",Database!K22,"-")</f>
        <v>-</v>
      </c>
      <c r="E22" s="2">
        <f>IF(AND(D22&gt;1,B22="Y"),Database!L22/D22,Database!L22)</f>
        <v>0</v>
      </c>
    </row>
    <row r="23" spans="1:5" x14ac:dyDescent="0.3">
      <c r="A23">
        <f>Database!A23</f>
        <v>22</v>
      </c>
      <c r="B23" s="2">
        <f>Database!Q23</f>
        <v>0</v>
      </c>
      <c r="C23" s="2" t="str">
        <f t="shared" si="0"/>
        <v>-</v>
      </c>
      <c r="D23" s="2" t="str">
        <f>IF(B23="Y",Database!K23,"-")</f>
        <v>-</v>
      </c>
      <c r="E23" s="2">
        <f>IF(AND(D23&gt;1,B23="Y"),Database!L23/D23,Database!L23)</f>
        <v>0</v>
      </c>
    </row>
    <row r="24" spans="1:5" x14ac:dyDescent="0.3">
      <c r="A24">
        <f>Database!A24</f>
        <v>23</v>
      </c>
      <c r="B24" s="2">
        <f>Database!Q24</f>
        <v>0</v>
      </c>
      <c r="C24" s="2" t="str">
        <f t="shared" si="0"/>
        <v>-</v>
      </c>
      <c r="D24" s="2" t="str">
        <f>IF(B24="Y",Database!K24,"-")</f>
        <v>-</v>
      </c>
      <c r="E24" s="2">
        <f>IF(AND(D24&gt;1,B24="Y"),Database!L24/D24,Database!L24)</f>
        <v>0</v>
      </c>
    </row>
    <row r="25" spans="1:5" x14ac:dyDescent="0.3">
      <c r="A25">
        <f>Database!A25</f>
        <v>24</v>
      </c>
      <c r="B25" s="2">
        <f>Database!Q25</f>
        <v>0</v>
      </c>
      <c r="C25" s="2" t="str">
        <f t="shared" si="0"/>
        <v>-</v>
      </c>
      <c r="D25" s="2" t="str">
        <f>IF(B25="Y",Database!K25,"-")</f>
        <v>-</v>
      </c>
      <c r="E25" s="2">
        <f>IF(AND(D25&gt;1,B25="Y"),Database!L25/D25,Database!L25)</f>
        <v>0</v>
      </c>
    </row>
    <row r="26" spans="1:5" x14ac:dyDescent="0.3">
      <c r="A26">
        <f>Database!A26</f>
        <v>25</v>
      </c>
      <c r="B26" s="2">
        <f>Database!Q26</f>
        <v>0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0</v>
      </c>
    </row>
    <row r="27" spans="1:5" x14ac:dyDescent="0.3">
      <c r="A27">
        <f>Database!A27</f>
        <v>26</v>
      </c>
      <c r="B27" s="2">
        <f>Database!Q27</f>
        <v>0</v>
      </c>
      <c r="C27" s="2" t="str">
        <f t="shared" si="0"/>
        <v>-</v>
      </c>
      <c r="D27" s="2" t="str">
        <f>IF(B27="Y",Database!K27,"-")</f>
        <v>-</v>
      </c>
      <c r="E27" s="2">
        <f>IF(AND(D27&gt;1,B27="Y"),Database!L27/D27,Database!L27)</f>
        <v>0</v>
      </c>
    </row>
    <row r="28" spans="1:5" x14ac:dyDescent="0.3">
      <c r="A28">
        <f>Database!A28</f>
        <v>27</v>
      </c>
      <c r="B28" s="2">
        <f>Database!Q28</f>
        <v>0</v>
      </c>
      <c r="C28" s="2" t="str">
        <f t="shared" si="0"/>
        <v>-</v>
      </c>
      <c r="D28" s="2" t="str">
        <f>IF(B28="Y",Database!K28,"-")</f>
        <v>-</v>
      </c>
      <c r="E28" s="2">
        <f>IF(AND(D28&gt;1,B28="Y"),Database!L28/D28,Database!L28)</f>
        <v>0</v>
      </c>
    </row>
    <row r="29" spans="1:5" x14ac:dyDescent="0.3">
      <c r="A29">
        <f>Database!A29</f>
        <v>28</v>
      </c>
      <c r="B29" s="2">
        <f>Database!Q29</f>
        <v>0</v>
      </c>
      <c r="C29" s="2" t="str">
        <f t="shared" si="0"/>
        <v>-</v>
      </c>
      <c r="D29" s="2" t="str">
        <f>IF(B29="Y",Database!K29,"-")</f>
        <v>-</v>
      </c>
      <c r="E29" s="2">
        <f>IF(AND(D29&gt;1,B29="Y"),Database!L29/D29,Database!L29)</f>
        <v>0</v>
      </c>
    </row>
    <row r="30" spans="1:5" x14ac:dyDescent="0.3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">
      <c r="A31">
        <f>Database!A31</f>
        <v>30</v>
      </c>
      <c r="B31" s="2">
        <f>Database!Q31</f>
        <v>0</v>
      </c>
      <c r="C31" s="2" t="str">
        <f t="shared" si="0"/>
        <v>-</v>
      </c>
      <c r="D31" s="2" t="str">
        <f>IF(B31="Y",Database!K31,"-")</f>
        <v>-</v>
      </c>
      <c r="E31" s="2">
        <f>IF(AND(D31&gt;1,B31="Y"),Database!L31/D31,Database!L31)</f>
        <v>0</v>
      </c>
    </row>
    <row r="32" spans="1:5" x14ac:dyDescent="0.3">
      <c r="A32">
        <f>Database!A32</f>
        <v>31</v>
      </c>
      <c r="B32" s="2">
        <f>Database!Q32</f>
        <v>0</v>
      </c>
      <c r="C32" s="2" t="str">
        <f t="shared" si="0"/>
        <v>-</v>
      </c>
      <c r="D32" s="2" t="str">
        <f>IF(B32="Y",Database!K32,"-")</f>
        <v>-</v>
      </c>
      <c r="E32" s="2">
        <f>IF(AND(D32&gt;1,B32="Y"),Database!L32/D32,Database!L32)</f>
        <v>0</v>
      </c>
    </row>
    <row r="33" spans="1:5" x14ac:dyDescent="0.3">
      <c r="A33">
        <f>Database!A33</f>
        <v>32</v>
      </c>
      <c r="B33" s="2">
        <f>Database!Q33</f>
        <v>0</v>
      </c>
      <c r="C33" s="2" t="str">
        <f t="shared" si="0"/>
        <v>-</v>
      </c>
      <c r="D33" s="2" t="str">
        <f>IF(B33="Y",Database!K33,"-")</f>
        <v>-</v>
      </c>
      <c r="E33" s="2">
        <f>IF(AND(D33&gt;1,B33="Y"),Database!L33/D33,Database!L33)</f>
        <v>0</v>
      </c>
    </row>
    <row r="34" spans="1:5" x14ac:dyDescent="0.3">
      <c r="A34">
        <f>Database!A34</f>
        <v>33</v>
      </c>
      <c r="B34" s="2">
        <f>Database!Q34</f>
        <v>0</v>
      </c>
      <c r="C34" s="2" t="str">
        <f t="shared" ref="C34:C65" si="1">IF(B34="Y",E34,"-")</f>
        <v>-</v>
      </c>
      <c r="D34" s="2" t="str">
        <f>IF(B34="Y",Database!K34,"-")</f>
        <v>-</v>
      </c>
      <c r="E34" s="2">
        <f>IF(AND(D34&gt;1,B34="Y"),Database!L34/D34,Database!L34)</f>
        <v>0</v>
      </c>
    </row>
    <row r="35" spans="1:5" x14ac:dyDescent="0.3">
      <c r="A35">
        <f>Database!A35</f>
        <v>34</v>
      </c>
      <c r="B35" s="2">
        <f>Database!Q35</f>
        <v>0</v>
      </c>
      <c r="C35" s="2" t="str">
        <f t="shared" si="1"/>
        <v>-</v>
      </c>
      <c r="D35" s="2" t="str">
        <f>IF(B35="Y",Database!K35,"-")</f>
        <v>-</v>
      </c>
      <c r="E35" s="2">
        <f>IF(AND(D35&gt;1,B35="Y"),Database!L35/D35,Database!L35)</f>
        <v>0</v>
      </c>
    </row>
    <row r="36" spans="1:5" x14ac:dyDescent="0.3">
      <c r="A36">
        <f>Database!A36</f>
        <v>35</v>
      </c>
      <c r="B36" s="2">
        <f>Database!Q36</f>
        <v>0</v>
      </c>
      <c r="C36" s="2" t="str">
        <f t="shared" si="1"/>
        <v>-</v>
      </c>
      <c r="D36" s="2" t="str">
        <f>IF(B36="Y",Database!K36,"-")</f>
        <v>-</v>
      </c>
      <c r="E36" s="2">
        <f>IF(AND(D36&gt;1,B36="Y"),Database!L36/D36,Database!L36)</f>
        <v>0</v>
      </c>
    </row>
    <row r="37" spans="1:5" x14ac:dyDescent="0.3">
      <c r="A37">
        <f>Database!A37</f>
        <v>36</v>
      </c>
      <c r="B37" s="2">
        <f>Database!Q37</f>
        <v>0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0</v>
      </c>
    </row>
    <row r="38" spans="1:5" x14ac:dyDescent="0.3">
      <c r="A38">
        <f>Database!A38</f>
        <v>37</v>
      </c>
      <c r="B38" s="2">
        <f>Database!Q38</f>
        <v>0</v>
      </c>
      <c r="C38" s="2" t="str">
        <f t="shared" si="1"/>
        <v>-</v>
      </c>
      <c r="D38" s="2" t="str">
        <f>IF(B38="Y",Database!K38,"-")</f>
        <v>-</v>
      </c>
      <c r="E38" s="2">
        <f>IF(AND(D38&gt;1,B38="Y"),Database!L38/D38,Database!L38)</f>
        <v>0</v>
      </c>
    </row>
    <row r="39" spans="1:5" x14ac:dyDescent="0.3">
      <c r="A39">
        <f>Database!A39</f>
        <v>38</v>
      </c>
      <c r="B39" s="2">
        <f>Database!Q39</f>
        <v>0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0</v>
      </c>
    </row>
    <row r="40" spans="1:5" x14ac:dyDescent="0.3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">
      <c r="A42">
        <f>Database!A42</f>
        <v>41</v>
      </c>
      <c r="B42" s="2">
        <f>Database!Q42</f>
        <v>0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0</v>
      </c>
    </row>
    <row r="43" spans="1:5" x14ac:dyDescent="0.3">
      <c r="A43">
        <f>Database!A43</f>
        <v>42</v>
      </c>
      <c r="B43" s="2">
        <f>Database!Q43</f>
        <v>0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0</v>
      </c>
    </row>
    <row r="44" spans="1:5" x14ac:dyDescent="0.3">
      <c r="A44">
        <f>Database!A44</f>
        <v>43</v>
      </c>
      <c r="B44" s="2">
        <f>Database!Q44</f>
        <v>0</v>
      </c>
      <c r="C44" s="2" t="str">
        <f t="shared" si="1"/>
        <v>-</v>
      </c>
      <c r="D44" s="2" t="str">
        <f>IF(B44="Y",Database!K44,"-")</f>
        <v>-</v>
      </c>
      <c r="E44" s="2">
        <f>IF(AND(D44&gt;1,B44="Y"),Database!L44/D44,Database!L44)</f>
        <v>0</v>
      </c>
    </row>
    <row r="45" spans="1:5" x14ac:dyDescent="0.3">
      <c r="A45">
        <f>Database!A45</f>
        <v>44</v>
      </c>
      <c r="B45" s="2">
        <f>Database!Q45</f>
        <v>0</v>
      </c>
      <c r="C45" s="2" t="str">
        <f t="shared" si="1"/>
        <v>-</v>
      </c>
      <c r="D45" s="2" t="str">
        <f>IF(B45="Y",Database!K45,"-")</f>
        <v>-</v>
      </c>
      <c r="E45" s="2">
        <f>IF(AND(D45&gt;1,B45="Y"),Database!L45/D45,Database!L45)</f>
        <v>0</v>
      </c>
    </row>
    <row r="46" spans="1:5" x14ac:dyDescent="0.3">
      <c r="A46">
        <f>Database!A46</f>
        <v>45</v>
      </c>
      <c r="B46" s="2">
        <f>Database!Q46</f>
        <v>0</v>
      </c>
      <c r="C46" s="2" t="str">
        <f t="shared" si="1"/>
        <v>-</v>
      </c>
      <c r="D46" s="2" t="str">
        <f>IF(B46="Y",Database!K46,"-")</f>
        <v>-</v>
      </c>
      <c r="E46" s="2">
        <f>IF(AND(D46&gt;1,B46="Y"),Database!L46/D46,Database!L46)</f>
        <v>0</v>
      </c>
    </row>
    <row r="47" spans="1:5" x14ac:dyDescent="0.3">
      <c r="A47">
        <f>Database!A47</f>
        <v>46</v>
      </c>
      <c r="B47" s="2">
        <f>Database!Q47</f>
        <v>0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0</v>
      </c>
    </row>
    <row r="48" spans="1:5" x14ac:dyDescent="0.3">
      <c r="A48">
        <f>Database!A48</f>
        <v>47</v>
      </c>
      <c r="B48" s="2">
        <f>Database!Q48</f>
        <v>0</v>
      </c>
      <c r="C48" s="2" t="str">
        <f t="shared" si="1"/>
        <v>-</v>
      </c>
      <c r="D48" s="2" t="str">
        <f>IF(B48="Y",Database!K48,"-")</f>
        <v>-</v>
      </c>
      <c r="E48" s="2">
        <f>IF(AND(D48&gt;1,B48="Y"),Database!L48/D48,Database!L48)</f>
        <v>0</v>
      </c>
    </row>
    <row r="49" spans="1:5" x14ac:dyDescent="0.3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">
      <c r="A50">
        <f>Database!A50</f>
        <v>49</v>
      </c>
      <c r="B50" s="2">
        <f>Database!Q50</f>
        <v>0</v>
      </c>
      <c r="C50" s="2" t="str">
        <f t="shared" si="1"/>
        <v>-</v>
      </c>
      <c r="D50" s="2" t="str">
        <f>IF(B50="Y",Database!K50,"-")</f>
        <v>-</v>
      </c>
      <c r="E50" s="2">
        <f>IF(AND(D50&gt;1,B50="Y"),Database!L50/D50,Database!L50)</f>
        <v>0</v>
      </c>
    </row>
    <row r="51" spans="1:5" x14ac:dyDescent="0.3">
      <c r="A51">
        <f>Database!A51</f>
        <v>50</v>
      </c>
      <c r="B51" s="2">
        <f>Database!Q51</f>
        <v>0</v>
      </c>
      <c r="C51" s="2" t="str">
        <f t="shared" si="1"/>
        <v>-</v>
      </c>
      <c r="D51" s="2" t="str">
        <f>IF(B51="Y",Database!K51,"-")</f>
        <v>-</v>
      </c>
      <c r="E51" s="2">
        <f>IF(AND(D51&gt;1,B51="Y"),Database!L51/D51,Database!L51)</f>
        <v>0</v>
      </c>
    </row>
    <row r="52" spans="1:5" x14ac:dyDescent="0.3">
      <c r="A52">
        <f>Database!A52</f>
        <v>51</v>
      </c>
      <c r="B52" s="2">
        <f>Database!Q52</f>
        <v>0</v>
      </c>
      <c r="C52" s="2" t="str">
        <f t="shared" si="1"/>
        <v>-</v>
      </c>
      <c r="D52" s="2" t="str">
        <f>IF(B52="Y",Database!K52,"-")</f>
        <v>-</v>
      </c>
      <c r="E52" s="2">
        <f>IF(AND(D52&gt;1,B52="Y"),Database!L52/D52,Database!L52)</f>
        <v>0</v>
      </c>
    </row>
    <row r="53" spans="1:5" x14ac:dyDescent="0.3">
      <c r="A53">
        <f>Database!A53</f>
        <v>52</v>
      </c>
      <c r="B53" s="2">
        <f>Database!Q53</f>
        <v>0</v>
      </c>
      <c r="C53" s="2" t="str">
        <f t="shared" si="1"/>
        <v>-</v>
      </c>
      <c r="D53" s="2" t="str">
        <f>IF(B53="Y",Database!K53,"-")</f>
        <v>-</v>
      </c>
      <c r="E53" s="2">
        <f>IF(AND(D53&gt;1,B53="Y"),Database!L53/D53,Database!L53)</f>
        <v>0</v>
      </c>
    </row>
    <row r="54" spans="1:5" x14ac:dyDescent="0.3">
      <c r="A54">
        <f>Database!A54</f>
        <v>53</v>
      </c>
      <c r="B54" s="2">
        <f>Database!Q54</f>
        <v>0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0</v>
      </c>
    </row>
    <row r="55" spans="1:5" x14ac:dyDescent="0.3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4" x14ac:dyDescent="0.3"/>
  <cols>
    <col min="1" max="1" width="10.109375" bestFit="1" customWidth="1"/>
    <col min="2" max="2" width="3.5546875" style="18" customWidth="1"/>
    <col min="3" max="13" width="3.5546875" style="2" customWidth="1"/>
  </cols>
  <sheetData>
    <row r="1" spans="1:13" ht="15" customHeight="1" thickBot="1" x14ac:dyDescent="0.35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va</v>
      </c>
      <c r="J6" s="138" t="str">
        <f>IF(booking!T6&gt;0,"oc","va")</f>
        <v>va</v>
      </c>
      <c r="K6" s="139" t="str">
        <f>IF(booking!U6&gt;0,"oc","va")</f>
        <v>va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va</v>
      </c>
      <c r="I7" s="139" t="str">
        <f>IF(booking!Q7&gt;0,"oc","va")</f>
        <v>va</v>
      </c>
      <c r="J7" s="138" t="str">
        <f>IF(booking!T7&gt;0,"oc","va")</f>
        <v>va</v>
      </c>
      <c r="K7" s="139" t="str">
        <f>IF(booking!U7&gt;0,"oc","va")</f>
        <v>va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va</v>
      </c>
      <c r="I8" s="139" t="str">
        <f>IF(booking!Q8&gt;0,"oc","va")</f>
        <v>va</v>
      </c>
      <c r="J8" s="138" t="str">
        <f>IF(booking!T8&gt;0,"oc","va")</f>
        <v>va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va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va</v>
      </c>
      <c r="I19" s="139" t="str">
        <f>IF(booking!Q19&gt;0,"oc","va")</f>
        <v>va</v>
      </c>
      <c r="J19" s="138" t="str">
        <f>IF(booking!T19&gt;0,"oc","va")</f>
        <v>va</v>
      </c>
      <c r="K19" s="139" t="str">
        <f>IF(booking!U19&gt;0,"oc","va")</f>
        <v>va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va</v>
      </c>
      <c r="I20" s="139" t="str">
        <f>IF(booking!Q20&gt;0,"oc","va")</f>
        <v>va</v>
      </c>
      <c r="J20" s="138" t="str">
        <f>IF(booking!T20&gt;0,"oc","va")</f>
        <v>va</v>
      </c>
      <c r="K20" s="139" t="str">
        <f>IF(booking!U20&gt;0,"oc","va")</f>
        <v>va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va</v>
      </c>
      <c r="I21" s="139" t="str">
        <f>IF(booking!Q21&gt;0,"oc","va")</f>
        <v>va</v>
      </c>
      <c r="J21" s="138" t="str">
        <f>IF(booking!T21&gt;0,"oc","va")</f>
        <v>va</v>
      </c>
      <c r="K21" s="139" t="str">
        <f>IF(booking!U21&gt;0,"oc","va")</f>
        <v>va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va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va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">
      <c r="A28" s="5">
        <f>booking!C28</f>
        <v>46165</v>
      </c>
      <c r="B28" s="138" t="str">
        <f>IF(booking!D28&gt;0,"oc","va")</f>
        <v>va</v>
      </c>
      <c r="C28" s="139" t="str">
        <f>IF(booking!E28&gt;0,"oc","va")</f>
        <v>va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">
      <c r="A29" s="5">
        <f>booking!C29</f>
        <v>46166</v>
      </c>
      <c r="B29" s="138" t="str">
        <f>IF(booking!D29&gt;0,"oc","va")</f>
        <v>va</v>
      </c>
      <c r="C29" s="139" t="str">
        <f>IF(booking!E29&gt;0,"oc","va")</f>
        <v>va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">
      <c r="A30" s="5">
        <f>booking!C30</f>
        <v>46167</v>
      </c>
      <c r="B30" s="138" t="str">
        <f>IF(booking!D30&gt;0,"oc","va")</f>
        <v>va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va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va</v>
      </c>
      <c r="G40" s="139" t="str">
        <f>IF(booking!M40&gt;0,"oc","va")</f>
        <v>va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va</v>
      </c>
      <c r="G41" s="139" t="str">
        <f>IF(booking!M41&gt;0,"oc","va")</f>
        <v>va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va</v>
      </c>
      <c r="G42" s="139" t="str">
        <f>IF(booking!M42&gt;0,"oc","va")</f>
        <v>va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va</v>
      </c>
      <c r="G43" s="139" t="str">
        <f>IF(booking!M43&gt;0,"oc","va")</f>
        <v>va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va</v>
      </c>
      <c r="G44" s="139" t="str">
        <f>IF(booking!M44&gt;0,"oc","va")</f>
        <v>va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va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oc</v>
      </c>
      <c r="D51" s="138" t="str">
        <f>IF(booking!H51&gt;0,"oc","va")</f>
        <v>oc</v>
      </c>
      <c r="E51" s="139" t="str">
        <f>IF(booking!I51&gt;0,"oc","va")</f>
        <v>oc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">
      <c r="A52" s="5">
        <f>booking!C52</f>
        <v>46189</v>
      </c>
      <c r="B52" s="138" t="str">
        <f>IF(booking!D52&gt;0,"oc","va")</f>
        <v>oc</v>
      </c>
      <c r="C52" s="139" t="str">
        <f>IF(booking!E52&gt;0,"oc","va")</f>
        <v>va</v>
      </c>
      <c r="D52" s="138" t="str">
        <f>IF(booking!H52&gt;0,"oc","va")</f>
        <v>oc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va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va</v>
      </c>
      <c r="K54" s="139" t="str">
        <f>IF(booking!U54&gt;0,"oc","va")</f>
        <v>va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va</v>
      </c>
      <c r="K55" s="139" t="str">
        <f>IF(booking!U55&gt;0,"oc","va")</f>
        <v>va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va</v>
      </c>
      <c r="K56" s="139" t="str">
        <f>IF(booking!U56&gt;0,"oc","va")</f>
        <v>va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va</v>
      </c>
      <c r="K57" s="139" t="str">
        <f>IF(booking!U57&gt;0,"oc","va")</f>
        <v>va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va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va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va</v>
      </c>
      <c r="G62" s="139" t="str">
        <f>IF(booking!M62&gt;0,"oc","va")</f>
        <v>va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va</v>
      </c>
      <c r="G63" s="139" t="str">
        <f>IF(booking!M63&gt;0,"oc","va")</f>
        <v>va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va</v>
      </c>
      <c r="G64" s="139" t="str">
        <f>IF(booking!M64&gt;0,"oc","va")</f>
        <v>va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va</v>
      </c>
      <c r="G65" s="139" t="str">
        <f>IF(booking!M65&gt;0,"oc","va")</f>
        <v>va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va</v>
      </c>
      <c r="G66" s="139" t="str">
        <f>IF(booking!M66&gt;0,"oc","va")</f>
        <v>va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va</v>
      </c>
      <c r="G67" s="139" t="str">
        <f>IF(booking!M67&gt;0,"oc","va")</f>
        <v>va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va</v>
      </c>
      <c r="G68" s="139" t="str">
        <f>IF(booking!M68&gt;0,"oc","va")</f>
        <v>va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va</v>
      </c>
      <c r="G69" s="139" t="str">
        <f>IF(booking!M69&gt;0,"oc","va")</f>
        <v>va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oc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va</v>
      </c>
      <c r="G70" s="139" t="str">
        <f>IF(booking!M70&gt;0,"oc","va")</f>
        <v>va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oc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va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va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va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">
      <c r="A73" s="5">
        <f>booking!C73</f>
        <v>46210</v>
      </c>
      <c r="B73" s="138" t="str">
        <f>IF(booking!D73&gt;0,"oc","va")</f>
        <v>va</v>
      </c>
      <c r="C73" s="139" t="str">
        <f>IF(booking!E73&gt;0,"oc","va")</f>
        <v>va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va</v>
      </c>
      <c r="G73" s="139" t="str">
        <f>IF(booking!M73&gt;0,"oc","va")</f>
        <v>va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">
      <c r="A74" s="5">
        <f>booking!C74</f>
        <v>46211</v>
      </c>
      <c r="B74" s="138" t="str">
        <f>IF(booking!D74&gt;0,"oc","va")</f>
        <v>va</v>
      </c>
      <c r="C74" s="139" t="str">
        <f>IF(booking!E74&gt;0,"oc","va")</f>
        <v>va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va</v>
      </c>
      <c r="G74" s="139" t="str">
        <f>IF(booking!M74&gt;0,"oc","va")</f>
        <v>va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">
      <c r="A75" s="5">
        <f>booking!C75</f>
        <v>46212</v>
      </c>
      <c r="B75" s="138" t="str">
        <f>IF(booking!D75&gt;0,"oc","va")</f>
        <v>va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va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oc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oc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va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va</v>
      </c>
      <c r="G80" s="139" t="str">
        <f>IF(booking!M80&gt;0,"oc","va")</f>
        <v>va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va</v>
      </c>
      <c r="G81" s="139" t="str">
        <f>IF(booking!M81&gt;0,"oc","va")</f>
        <v>va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va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va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va</v>
      </c>
      <c r="F85" s="138" t="str">
        <f>IF(booking!L85&gt;0,"oc","va")</f>
        <v>va</v>
      </c>
      <c r="G85" s="139" t="str">
        <f>IF(booking!M85&gt;0,"oc","va")</f>
        <v>va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va</v>
      </c>
      <c r="E86" s="139" t="str">
        <f>IF(booking!I86&gt;0,"oc","va")</f>
        <v>va</v>
      </c>
      <c r="F86" s="138" t="str">
        <f>IF(booking!L86&gt;0,"oc","va")</f>
        <v>va</v>
      </c>
      <c r="G86" s="139" t="str">
        <f>IF(booking!M86&gt;0,"oc","va")</f>
        <v>va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va</v>
      </c>
      <c r="E87" s="139" t="str">
        <f>IF(booking!I87&gt;0,"oc","va")</f>
        <v>va</v>
      </c>
      <c r="F87" s="138" t="str">
        <f>IF(booking!L87&gt;0,"oc","va")</f>
        <v>va</v>
      </c>
      <c r="G87" s="139" t="str">
        <f>IF(booking!M87&gt;0,"oc","va")</f>
        <v>va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va</v>
      </c>
      <c r="E88" s="139" t="str">
        <f>IF(booking!I88&gt;0,"oc","va")</f>
        <v>va</v>
      </c>
      <c r="F88" s="138" t="str">
        <f>IF(booking!L88&gt;0,"oc","va")</f>
        <v>va</v>
      </c>
      <c r="G88" s="139" t="str">
        <f>IF(booking!M88&gt;0,"oc","va")</f>
        <v>va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va</v>
      </c>
      <c r="E89" s="139" t="str">
        <f>IF(booking!I89&gt;0,"oc","va")</f>
        <v>va</v>
      </c>
      <c r="F89" s="138" t="str">
        <f>IF(booking!L89&gt;0,"oc","va")</f>
        <v>va</v>
      </c>
      <c r="G89" s="139" t="str">
        <f>IF(booking!M89&gt;0,"oc","va")</f>
        <v>va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va</v>
      </c>
      <c r="E90" s="139" t="str">
        <f>IF(booking!I90&gt;0,"oc","va")</f>
        <v>va</v>
      </c>
      <c r="F90" s="138" t="str">
        <f>IF(booking!L90&gt;0,"oc","va")</f>
        <v>va</v>
      </c>
      <c r="G90" s="139" t="str">
        <f>IF(booking!M90&gt;0,"oc","va")</f>
        <v>va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va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va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va</v>
      </c>
      <c r="K92" s="139" t="str">
        <f>IF(booking!U92&gt;0,"oc","va")</f>
        <v>va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va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va</v>
      </c>
      <c r="K93" s="139" t="str">
        <f>IF(booking!U93&gt;0,"oc","va")</f>
        <v>va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va</v>
      </c>
      <c r="G94" s="139" t="str">
        <f>IF(booking!M94&gt;0,"oc","va")</f>
        <v>va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va</v>
      </c>
      <c r="K94" s="139" t="str">
        <f>IF(booking!U94&gt;0,"oc","va")</f>
        <v>va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va</v>
      </c>
      <c r="G95" s="139" t="str">
        <f>IF(booking!M95&gt;0,"oc","va")</f>
        <v>va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va</v>
      </c>
      <c r="K95" s="139" t="str">
        <f>IF(booking!U95&gt;0,"oc","va")</f>
        <v>va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va</v>
      </c>
      <c r="G96" s="139" t="str">
        <f>IF(booking!M96&gt;0,"oc","va")</f>
        <v>va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va</v>
      </c>
      <c r="K96" s="139" t="str">
        <f>IF(booking!U96&gt;0,"oc","va")</f>
        <v>va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va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va</v>
      </c>
      <c r="K97" s="139" t="str">
        <f>IF(booking!U97&gt;0,"oc","va")</f>
        <v>va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va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va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va</v>
      </c>
      <c r="K101" s="139" t="str">
        <f>IF(booking!U101&gt;0,"oc","va")</f>
        <v>va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va</v>
      </c>
      <c r="K102" s="139" t="str">
        <f>IF(booking!U102&gt;0,"oc","va")</f>
        <v>va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va</v>
      </c>
      <c r="F103" s="138" t="str">
        <f>IF(booking!L103&gt;0,"oc","va")</f>
        <v>va</v>
      </c>
      <c r="G103" s="139" t="str">
        <f>IF(booking!M103&gt;0,"oc","va")</f>
        <v>va</v>
      </c>
      <c r="H103" s="138" t="str">
        <f>IF(booking!P103&gt;0,"oc","va")</f>
        <v>va</v>
      </c>
      <c r="I103" s="139" t="str">
        <f>IF(booking!Q103&gt;0,"oc","va")</f>
        <v>va</v>
      </c>
      <c r="J103" s="138" t="str">
        <f>IF(booking!T103&gt;0,"oc","va")</f>
        <v>va</v>
      </c>
      <c r="K103" s="139" t="str">
        <f>IF(booking!U103&gt;0,"oc","va")</f>
        <v>va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va</v>
      </c>
      <c r="E104" s="139" t="str">
        <f>IF(booking!I104&gt;0,"oc","va")</f>
        <v>va</v>
      </c>
      <c r="F104" s="138" t="str">
        <f>IF(booking!L104&gt;0,"oc","va")</f>
        <v>va</v>
      </c>
      <c r="G104" s="139" t="str">
        <f>IF(booking!M104&gt;0,"oc","va")</f>
        <v>va</v>
      </c>
      <c r="H104" s="138" t="str">
        <f>IF(booking!P104&gt;0,"oc","va")</f>
        <v>va</v>
      </c>
      <c r="I104" s="139" t="str">
        <f>IF(booking!Q104&gt;0,"oc","va")</f>
        <v>va</v>
      </c>
      <c r="J104" s="138" t="str">
        <f>IF(booking!T104&gt;0,"oc","va")</f>
        <v>va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va</v>
      </c>
      <c r="E105" s="139" t="str">
        <f>IF(booking!I105&gt;0,"oc","va")</f>
        <v>va</v>
      </c>
      <c r="F105" s="138" t="str">
        <f>IF(booking!L105&gt;0,"oc","va")</f>
        <v>va</v>
      </c>
      <c r="G105" s="139" t="str">
        <f>IF(booking!M105&gt;0,"oc","va")</f>
        <v>va</v>
      </c>
      <c r="H105" s="138" t="str">
        <f>IF(booking!P105&gt;0,"oc","va")</f>
        <v>va</v>
      </c>
      <c r="I105" s="139" t="str">
        <f>IF(booking!Q105&gt;0,"oc","va")</f>
        <v>va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va</v>
      </c>
      <c r="E106" s="139" t="str">
        <f>IF(booking!I106&gt;0,"oc","va")</f>
        <v>va</v>
      </c>
      <c r="F106" s="138" t="str">
        <f>IF(booking!L106&gt;0,"oc","va")</f>
        <v>va</v>
      </c>
      <c r="G106" s="139" t="str">
        <f>IF(booking!M106&gt;0,"oc","va")</f>
        <v>va</v>
      </c>
      <c r="H106" s="138" t="str">
        <f>IF(booking!P106&gt;0,"oc","va")</f>
        <v>va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va</v>
      </c>
      <c r="E107" s="139" t="str">
        <f>IF(booking!I107&gt;0,"oc","va")</f>
        <v>va</v>
      </c>
      <c r="F107" s="138" t="str">
        <f>IF(booking!L107&gt;0,"oc","va")</f>
        <v>va</v>
      </c>
      <c r="G107" s="139" t="str">
        <f>IF(booking!M107&gt;0,"oc","va")</f>
        <v>va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va</v>
      </c>
      <c r="E108" s="139" t="str">
        <f>IF(booking!I108&gt;0,"oc","va")</f>
        <v>va</v>
      </c>
      <c r="F108" s="138" t="str">
        <f>IF(booking!L108&gt;0,"oc","va")</f>
        <v>va</v>
      </c>
      <c r="G108" s="139" t="str">
        <f>IF(booking!M108&gt;0,"oc","va")</f>
        <v>va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va</v>
      </c>
      <c r="E109" s="139" t="str">
        <f>IF(booking!I109&gt;0,"oc","va")</f>
        <v>va</v>
      </c>
      <c r="F109" s="138" t="str">
        <f>IF(booking!L109&gt;0,"oc","va")</f>
        <v>va</v>
      </c>
      <c r="G109" s="139" t="str">
        <f>IF(booking!M109&gt;0,"oc","va")</f>
        <v>va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va</v>
      </c>
      <c r="E110" s="139" t="str">
        <f>IF(booking!I110&gt;0,"oc","va")</f>
        <v>va</v>
      </c>
      <c r="F110" s="138" t="str">
        <f>IF(booking!L110&gt;0,"oc","va")</f>
        <v>va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va</v>
      </c>
      <c r="E111" s="139" t="str">
        <f>IF(booking!I111&gt;0,"oc","va")</f>
        <v>va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va</v>
      </c>
      <c r="E112" s="139" t="str">
        <f>IF(booking!I112&gt;0,"oc","va")</f>
        <v>va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va</v>
      </c>
      <c r="E113" s="139" t="str">
        <f>IF(booking!I113&gt;0,"oc","va")</f>
        <v>va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va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va</v>
      </c>
      <c r="E114" s="139" t="str">
        <f>IF(booking!I114&gt;0,"oc","va")</f>
        <v>va</v>
      </c>
      <c r="F114" s="138" t="str">
        <f>IF(booking!L114&gt;0,"oc","va")</f>
        <v>va</v>
      </c>
      <c r="G114" s="139" t="str">
        <f>IF(booking!M114&gt;0,"oc","va")</f>
        <v>va</v>
      </c>
      <c r="H114" s="138" t="str">
        <f>IF(booking!P114&gt;0,"oc","va")</f>
        <v>va</v>
      </c>
      <c r="I114" s="139" t="str">
        <f>IF(booking!Q114&gt;0,"oc","va")</f>
        <v>va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va</v>
      </c>
    </row>
    <row r="115" spans="1:13" x14ac:dyDescent="0.3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va</v>
      </c>
      <c r="E115" s="139" t="str">
        <f>IF(booking!I115&gt;0,"oc","va")</f>
        <v>va</v>
      </c>
      <c r="F115" s="138" t="str">
        <f>IF(booking!L115&gt;0,"oc","va")</f>
        <v>va</v>
      </c>
      <c r="G115" s="139" t="str">
        <f>IF(booking!M115&gt;0,"oc","va")</f>
        <v>va</v>
      </c>
      <c r="H115" s="138" t="str">
        <f>IF(booking!P115&gt;0,"oc","va")</f>
        <v>va</v>
      </c>
      <c r="I115" s="139" t="str">
        <f>IF(booking!Q115&gt;0,"oc","va")</f>
        <v>va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va</v>
      </c>
      <c r="M115" s="139" t="str">
        <f>IF(booking!Y115&gt;0,"oc","va")</f>
        <v>va</v>
      </c>
    </row>
    <row r="116" spans="1:13" x14ac:dyDescent="0.3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va</v>
      </c>
      <c r="E116" s="139" t="str">
        <f>IF(booking!I116&gt;0,"oc","va")</f>
        <v>va</v>
      </c>
      <c r="F116" s="138" t="str">
        <f>IF(booking!L116&gt;0,"oc","va")</f>
        <v>va</v>
      </c>
      <c r="G116" s="139" t="str">
        <f>IF(booking!M116&gt;0,"oc","va")</f>
        <v>va</v>
      </c>
      <c r="H116" s="138" t="str">
        <f>IF(booking!P116&gt;0,"oc","va")</f>
        <v>va</v>
      </c>
      <c r="I116" s="139" t="str">
        <f>IF(booking!Q116&gt;0,"oc","va")</f>
        <v>va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va</v>
      </c>
      <c r="D117" s="138" t="str">
        <f>IF(booking!H117&gt;0,"oc","va")</f>
        <v>va</v>
      </c>
      <c r="E117" s="139" t="str">
        <f>IF(booking!I117&gt;0,"oc","va")</f>
        <v>va</v>
      </c>
      <c r="F117" s="138" t="str">
        <f>IF(booking!L117&gt;0,"oc","va")</f>
        <v>va</v>
      </c>
      <c r="G117" s="139" t="str">
        <f>IF(booking!M117&gt;0,"oc","va")</f>
        <v>va</v>
      </c>
      <c r="H117" s="138" t="str">
        <f>IF(booking!P117&gt;0,"oc","va")</f>
        <v>va</v>
      </c>
      <c r="I117" s="139" t="str">
        <f>IF(booking!Q117&gt;0,"oc","va")</f>
        <v>va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">
      <c r="A118" s="5">
        <f>booking!C118</f>
        <v>46255</v>
      </c>
      <c r="B118" s="138" t="str">
        <f>IF(booking!D118&gt;0,"oc","va")</f>
        <v>va</v>
      </c>
      <c r="C118" s="139" t="str">
        <f>IF(booking!E118&gt;0,"oc","va")</f>
        <v>va</v>
      </c>
      <c r="D118" s="138" t="str">
        <f>IF(booking!H118&gt;0,"oc","va")</f>
        <v>va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va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va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va</v>
      </c>
      <c r="K125" s="139" t="str">
        <f>IF(booking!U125&gt;0,"oc","va")</f>
        <v>va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va</v>
      </c>
      <c r="K126" s="139" t="str">
        <f>IF(booking!U126&gt;0,"oc","va")</f>
        <v>va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va</v>
      </c>
      <c r="K127" s="139" t="str">
        <f>IF(booking!U127&gt;0,"oc","va")</f>
        <v>va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va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va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va</v>
      </c>
      <c r="E145" s="139" t="str">
        <f>IF(booking!I145&gt;0,"oc","va")</f>
        <v>va</v>
      </c>
      <c r="F145" s="138" t="str">
        <f>IF(booking!L145&gt;0,"oc","va")</f>
        <v>va</v>
      </c>
      <c r="G145" s="139" t="str">
        <f>IF(booking!M145&gt;0,"oc","va")</f>
        <v>va</v>
      </c>
      <c r="H145" s="138" t="str">
        <f>IF(booking!P145&gt;0,"oc","va")</f>
        <v>va</v>
      </c>
      <c r="I145" s="139" t="str">
        <f>IF(booking!Q145&gt;0,"oc","va")</f>
        <v>va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va</v>
      </c>
      <c r="E146" s="139" t="str">
        <f>IF(booking!I146&gt;0,"oc","va")</f>
        <v>va</v>
      </c>
      <c r="F146" s="138" t="str">
        <f>IF(booking!L146&gt;0,"oc","va")</f>
        <v>va</v>
      </c>
      <c r="G146" s="139" t="str">
        <f>IF(booking!M146&gt;0,"oc","va")</f>
        <v>va</v>
      </c>
      <c r="H146" s="138" t="str">
        <f>IF(booking!P146&gt;0,"oc","va")</f>
        <v>va</v>
      </c>
      <c r="I146" s="139" t="str">
        <f>IF(booking!Q146&gt;0,"oc","va")</f>
        <v>va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va</v>
      </c>
      <c r="E147" s="139" t="str">
        <f>IF(booking!I147&gt;0,"oc","va")</f>
        <v>va</v>
      </c>
      <c r="F147" s="138" t="str">
        <f>IF(booking!L147&gt;0,"oc","va")</f>
        <v>va</v>
      </c>
      <c r="G147" s="139" t="str">
        <f>IF(booking!M147&gt;0,"oc","va")</f>
        <v>va</v>
      </c>
      <c r="H147" s="138" t="str">
        <f>IF(booking!P147&gt;0,"oc","va")</f>
        <v>va</v>
      </c>
      <c r="I147" s="139" t="str">
        <f>IF(booking!Q147&gt;0,"oc","va")</f>
        <v>va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va</v>
      </c>
      <c r="E148" s="139" t="str">
        <f>IF(booking!I148&gt;0,"oc","va")</f>
        <v>va</v>
      </c>
      <c r="F148" s="138" t="str">
        <f>IF(booking!L148&gt;0,"oc","va")</f>
        <v>va</v>
      </c>
      <c r="G148" s="139" t="str">
        <f>IF(booking!M148&gt;0,"oc","va")</f>
        <v>va</v>
      </c>
      <c r="H148" s="138" t="str">
        <f>IF(booking!P148&gt;0,"oc","va")</f>
        <v>va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va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">
      <c r="A172" s="5"/>
      <c r="C172" s="18"/>
    </row>
    <row r="173" spans="1:13" x14ac:dyDescent="0.3">
      <c r="A173" s="5"/>
      <c r="C173" s="18"/>
    </row>
    <row r="174" spans="1:13" x14ac:dyDescent="0.3">
      <c r="A174" s="5"/>
      <c r="C174" s="18"/>
    </row>
    <row r="175" spans="1:13" x14ac:dyDescent="0.3">
      <c r="A175" s="5"/>
      <c r="C175" s="18"/>
    </row>
    <row r="176" spans="1:13" x14ac:dyDescent="0.3">
      <c r="A176" s="5"/>
      <c r="C176" s="18"/>
    </row>
    <row r="177" spans="1:3" x14ac:dyDescent="0.3">
      <c r="A177" s="5"/>
      <c r="C177" s="18"/>
    </row>
    <row r="178" spans="1:3" x14ac:dyDescent="0.3">
      <c r="A178" s="5"/>
      <c r="C178" s="18"/>
    </row>
    <row r="179" spans="1:3" x14ac:dyDescent="0.3">
      <c r="A179" s="5"/>
      <c r="C179" s="18"/>
    </row>
    <row r="180" spans="1:3" x14ac:dyDescent="0.3">
      <c r="A180" s="5"/>
      <c r="C180" s="18"/>
    </row>
    <row r="181" spans="1:3" x14ac:dyDescent="0.3">
      <c r="A181" s="5"/>
      <c r="C181" s="18"/>
    </row>
    <row r="182" spans="1:3" x14ac:dyDescent="0.3">
      <c r="A182" s="5"/>
      <c r="C182" s="18"/>
    </row>
    <row r="183" spans="1:3" x14ac:dyDescent="0.3">
      <c r="A183" s="5"/>
      <c r="C183" s="18"/>
    </row>
    <row r="184" spans="1:3" x14ac:dyDescent="0.3">
      <c r="A184" s="5"/>
      <c r="C184" s="18"/>
    </row>
    <row r="185" spans="1:3" x14ac:dyDescent="0.3">
      <c r="A185" s="5"/>
      <c r="C185" s="18"/>
    </row>
    <row r="186" spans="1:3" x14ac:dyDescent="0.3">
      <c r="A186" s="5"/>
      <c r="C186" s="18"/>
    </row>
    <row r="187" spans="1:3" x14ac:dyDescent="0.3">
      <c r="A187" s="5"/>
      <c r="C187" s="18"/>
    </row>
    <row r="188" spans="1:3" x14ac:dyDescent="0.3">
      <c r="A188" s="5"/>
      <c r="C188" s="18"/>
    </row>
    <row r="189" spans="1:3" x14ac:dyDescent="0.3">
      <c r="A189" s="5"/>
      <c r="C189" s="18"/>
    </row>
    <row r="190" spans="1:3" x14ac:dyDescent="0.3">
      <c r="A190" s="5"/>
      <c r="C190" s="18"/>
    </row>
    <row r="191" spans="1:3" x14ac:dyDescent="0.3">
      <c r="A191" s="5"/>
      <c r="C191" s="18"/>
    </row>
    <row r="192" spans="1:3" x14ac:dyDescent="0.3">
      <c r="A192" s="5"/>
      <c r="C192" s="18"/>
    </row>
    <row r="193" spans="1:3" x14ac:dyDescent="0.3">
      <c r="A193" s="5"/>
      <c r="C193" s="18"/>
    </row>
    <row r="194" spans="1:3" x14ac:dyDescent="0.3">
      <c r="A194" s="5"/>
      <c r="C194" s="18"/>
    </row>
    <row r="195" spans="1:3" x14ac:dyDescent="0.3">
      <c r="A195" s="5"/>
      <c r="C195" s="18"/>
    </row>
    <row r="196" spans="1:3" x14ac:dyDescent="0.3">
      <c r="A196" s="5"/>
      <c r="C196" s="18"/>
    </row>
    <row r="197" spans="1:3" x14ac:dyDescent="0.3">
      <c r="A197" s="5"/>
      <c r="C197" s="18"/>
    </row>
    <row r="198" spans="1:3" x14ac:dyDescent="0.3">
      <c r="A198" s="5"/>
      <c r="C198" s="18"/>
    </row>
    <row r="199" spans="1:3" x14ac:dyDescent="0.3">
      <c r="A199" s="5"/>
      <c r="C199" s="18"/>
    </row>
    <row r="200" spans="1:3" x14ac:dyDescent="0.3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2025-03-10T12:21:07Z</cp:lastPrinted>
  <dcterms:created xsi:type="dcterms:W3CDTF">2024-07-25T07:35:10Z</dcterms:created>
  <dcterms:modified xsi:type="dcterms:W3CDTF">2025-12-28T13:21:20Z</dcterms:modified>
  <cp:category/>
  <cp:contentStatus/>
</cp:coreProperties>
</file>