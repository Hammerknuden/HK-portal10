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finnj\-repoHK2\HK-portal10\"/>
    </mc:Choice>
  </mc:AlternateContent>
  <xr:revisionPtr revIDLastSave="0" documentId="13_ncr:1_{2A0F1949-0CB7-488C-8FCF-F4FBA5E4E2A5}" xr6:coauthVersionLast="47" xr6:coauthVersionMax="47" xr10:uidLastSave="{00000000-0000-0000-0000-000000000000}"/>
  <bookViews>
    <workbookView xWindow="-110" yWindow="-110" windowWidth="19420" windowHeight="11500" firstSheet="1" activeTab="6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7" l="1"/>
  <c r="AC14" i="5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05" i="3" l="1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5" i="3" l="1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X200" i="3" s="1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Y200" i="3" s="1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<sst xmlns="http://schemas.openxmlformats.org/spreadsheetml/2006/main" count="1189" uniqueCount="404">
  <si>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</si>
  <si>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</si>
  <si>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</si>
  <si>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</si>
  <si>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</si>
  <si>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</si>
  <si>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</si>
  <si>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</si>
  <si>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</si>
  <si>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</si>
  <si>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</si>
  <si>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</si>
  <si>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</si>
  <si>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</si>
  <si>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</si>
  <si>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</si>
  <si>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</si>
  <si>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</si>
  <si>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</si>
  <si>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</si>
  <si>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</si>
  <si>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</si>
  <si>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</si>
  <si>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</si>
  <si>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</si>
  <si>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</si>
  <si>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</si>
  <si>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</si>
  <si>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</si>
  <si>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</si>
  <si>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</si>
  <si>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</si>
  <si>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</si>
  <si>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</si>
  <si>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</si>
  <si>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</si>
  <si>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</si>
  <si>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</si>
  <si>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</si>
  <si>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</si>
  <si>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</si>
  <si>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</si>
  <si>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</si>
  <si>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</si>
  <si>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</si>
  <si>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</si>
  <si>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</si>
  <si>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</si>
  <si>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</si>
  <si>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</si>
  <si>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</si>
  <si>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</si>
  <si>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</si>
  <si>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</si>
  <si>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</si>
  <si>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</si>
  <si>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</si>
  <si>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</si>
  <si>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</si>
  <si>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</si>
  <si>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</si>
  <si>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</si>
  <si>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</si>
  <si>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</si>
  <si>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</si>
  <si>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</si>
  <si>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</si>
  <si>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</si>
  <si>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</si>
  <si>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</si>
  <si>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</si>
  <si>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</si>
  <si>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</si>
  <si>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</si>
  <si>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</si>
  <si>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</si>
  <si>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</si>
  <si>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</si>
  <si>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</si>
  <si>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</si>
  <si>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</si>
  <si>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</si>
  <si>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</si>
  <si>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</si>
  <si>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</si>
  <si>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</si>
  <si>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</si>
  <si>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</si>
  <si>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</si>
  <si>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</si>
  <si>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</si>
  <si>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</si>
  <si>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</si>
  <si>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</si>
  <si>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</si>
  <si>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</si>
  <si>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</si>
  <si>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</si>
  <si>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</si>
  <si>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</si>
  <si>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</si>
  <si>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</si>
  <si>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</si>
  <si>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</si>
  <si>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</si>
  <si>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</si>
  <si>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</si>
  <si>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</si>
  <si>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</si>
  <si>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</si>
  <si>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</si>
  <si>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</si>
  <si>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</si>
  <si>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</si>
  <si>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</si>
  <si>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</si>
  <si>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</si>
  <si>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</si>
  <si>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</si>
  <si>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</si>
  <si>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</si>
  <si>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</si>
  <si>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</si>
  <si>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</si>
  <si>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</si>
  <si>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</si>
  <si>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</si>
  <si>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</si>
  <si>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</si>
  <si>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</si>
  <si>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</si>
  <si>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</si>
  <si>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</si>
  <si>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</si>
  <si>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</si>
  <si>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</si>
  <si>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</si>
  <si>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</si>
  <si>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</si>
  <si>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</si>
  <si>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</si>
  <si>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</si>
  <si>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</si>
  <si>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</si>
  <si>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</si>
  <si>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</si>
  <si>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</si>
  <si>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</si>
  <si>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</si>
  <si>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</si>
  <si>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</si>
  <si>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</si>
  <si>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</si>
  <si>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</si>
  <si>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</si>
  <si>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</si>
  <si>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</si>
  <si>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</si>
  <si>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</si>
  <si>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</si>
  <si>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</si>
  <si>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</si>
  <si>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</si>
  <si>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</si>
  <si>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</si>
  <si>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</si>
  <si>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</si>
  <si>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</si>
  <si>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</si>
  <si>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</si>
  <si>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</si>
  <si>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</si>
  <si>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</si>
  <si>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</si>
  <si>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</si>
  <si>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</si>
  <si>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</si>
  <si>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</si>
  <si>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</si>
  <si>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</si>
  <si>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</si>
  <si>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</si>
  <si>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</si>
  <si>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</si>
  <si>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</si>
  <si>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</si>
  <si>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</si>
  <si>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</si>
  <si>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</si>
  <si>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</si>
  <si>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</si>
  <si>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</si>
  <si>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</si>
  <si>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</si>
  <si>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</si>
  <si>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</si>
  <si>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</si>
  <si>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</si>
  <si>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</si>
  <si>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</si>
  <si>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</si>
  <si>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</si>
  <si>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</si>
  <si>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</si>
  <si>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</si>
  <si>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</si>
  <si>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</si>
  <si>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</si>
  <si>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</si>
  <si>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</si>
  <si>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</si>
  <si>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</si>
  <si>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</si>
  <si>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</si>
  <si>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</si>
  <si>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</si>
  <si>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</si>
  <si>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</si>
  <si>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</si>
  <si>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</si>
  <si>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</si>
  <si>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</si>
  <si>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</si>
  <si>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</si>
  <si>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</si>
  <si>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</si>
  <si>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</si>
  <si>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</si>
  <si>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</si>
  <si>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</si>
  <si>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</si>
  <si>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</si>
  <si>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</si>
  <si>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</si>
  <si>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</si>
  <si>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</si>
  <si>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</si>
  <si>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</si>
  <si>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</si>
  <si>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</si>
  <si>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</si>
  <si>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</si>
  <si>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</si>
  <si>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</si>
  <si>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</si>
  <si>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</si>
  <si>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</si>
  <si>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</si>
  <si>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</si>
  <si>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</si>
  <si>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</si>
  <si>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</si>
  <si>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</si>
  <si>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</si>
  <si>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</si>
  <si>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</si>
  <si>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</si>
  <si>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</si>
  <si>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</si>
  <si>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</si>
  <si>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</si>
  <si>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</si>
  <si>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</si>
  <si>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</si>
  <si>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</si>
  <si>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</si>
  <si>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</si>
  <si>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</si>
  <si>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</si>
  <si>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</si>
  <si>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</si>
  <si>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</si>
  <si>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</si>
  <si>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</si>
  <si>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</si>
  <si>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</si>
  <si>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</si>
  <si>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</si>
  <si>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</si>
  <si>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</si>
  <si>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</si>
  <si>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</si>
  <si>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</si>
  <si>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</si>
  <si>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</si>
  <si>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</si>
  <si>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</si>
  <si>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</si>
  <si>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</si>
  <si>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</si>
  <si>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</si>
  <si>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</si>
  <si>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</si>
  <si>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</si>
  <si>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</si>
  <si>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</si>
  <si>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</si>
  <si>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</si>
  <si>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</si>
  <si>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</si>
  <si>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</si>
  <si>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</si>
  <si>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</si>
  <si>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</si>
  <si>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</si>
  <si>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</si>
  <si>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</si>
  <si>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</si>
  <si>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</si>
  <si>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</si>
  <si>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</si>
  <si>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</si>
  <si>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</si>
  <si>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</si>
  <si>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</si>
  <si>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</si>
  <si>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</si>
  <si>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</si>
  <si>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</si>
  <si>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</si>
  <si>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</si>
  <si>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</si>
  <si>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</si>
  <si>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</si>
  <si>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</si>
  <si>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</si>
  <si>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</si>
  <si>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</si>
  <si>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</si>
  <si>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</si>
  <si>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</si>
  <si>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</si>
  <si>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</si>
  <si>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</si>
  <si>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</si>
  <si>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</si>
  <si>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</si>
  <si>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</si>
  <si>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</si>
  <si>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</si>
  <si>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</si>
  <si>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</si>
  <si>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</si>
  <si>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</si>
  <si>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</si>
  <si>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</si>
  <si>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</si>
  <si>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</si>
  <si>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</si>
  <si>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</si>
  <si>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</si>
  <si>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</si>
  <si>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</si>
  <si>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</si>
  <si>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</si>
  <si>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</si>
  <si>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</si>
  <si>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</si>
  <si>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</si>
  <si>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</si>
  <si>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</si>
  <si>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</si>
  <si>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</si>
  <si>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</si>
  <si>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</si>
  <si>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</si>
  <si>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</si>
  <si>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</si>
  <si>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</si>
  <si>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</si>
  <si>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</si>
  <si>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</si>
  <si>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</si>
  <si>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</si>
  <si>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</si>
  <si>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</si>
  <si>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</si>
  <si>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</si>
  <si>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</si>
  <si>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</si>
  <si>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</si>
  <si>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</si>
  <si>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</si>
  <si>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</si>
  <si>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</si>
  <si>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</si>
  <si>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</si>
  <si>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</si>
  <si>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</si>
  <si>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</si>
  <si>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</si>
  <si>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</si>
  <si>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</si>
  <si>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</si>
  <si>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</si>
  <si>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</si>
  <si>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</si>
  <si>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</si>
  <si>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</si>
  <si>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</si>
  <si>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</si>
  <si>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</si>
  <si>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indchecks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</si>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</sst>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0" fillId="3" borderId="0" xfId="0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164" fontId="0" fillId="3" borderId="0" xfId="0" applyNumberFormat="1" applyFill="1" applyAlignment="1">
      <alignment horizontal="left" vertical="center"/>
    </xf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5"/>
  <sheetViews>
    <sheetView topLeftCell="F1" workbookViewId="0">
      <pane ySplit="1" topLeftCell="A95" activePane="bottomLeft" state="frozen"/>
      <selection pane="bottomLeft" activeCell="N111" sqref="N1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168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105">
        <v>5</v>
      </c>
      <c r="K2" s="105">
        <v>1</v>
      </c>
      <c r="L2" s="105">
        <v>2</v>
      </c>
      <c r="M2" s="149" t="s">
        <v>169</v>
      </c>
      <c r="N2" s="177"/>
      <c r="O2" s="127" t="s">
        <v>170</v>
      </c>
      <c r="P2" s="127"/>
      <c r="Q2" s="127" t="s">
        <v>21</v>
      </c>
      <c r="R2" s="159">
        <v>7267.5</v>
      </c>
      <c r="S2" s="153" t="s">
        <v>20</v>
      </c>
      <c r="T2" t="s">
        <v>171</v>
      </c>
    </row>
    <row r="3" spans="1:21" x14ac:dyDescent="0.35">
      <c r="A3" s="141">
        <v>2</v>
      </c>
      <c r="B3" s="107" t="s">
        <v>172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272</v>
      </c>
      <c r="H3" s="107"/>
      <c r="I3" s="128"/>
      <c r="J3" s="107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172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105">
        <v>10</v>
      </c>
      <c r="K4" s="105">
        <v>1</v>
      </c>
      <c r="L4" s="105">
        <v>2</v>
      </c>
      <c r="M4" s="149" t="s">
        <v>173</v>
      </c>
      <c r="N4" s="177"/>
      <c r="O4" s="127" t="s">
        <v>174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175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107">
        <v>10</v>
      </c>
      <c r="K5" s="107">
        <v>2</v>
      </c>
      <c r="L5" s="107">
        <v>4</v>
      </c>
      <c r="M5" s="150" t="s">
        <v>177</v>
      </c>
      <c r="N5" s="179">
        <v>4530267986</v>
      </c>
      <c r="O5" s="128" t="s">
        <v>178</v>
      </c>
      <c r="P5" s="128"/>
      <c r="Q5" s="128" t="s">
        <v>21</v>
      </c>
      <c r="R5" s="159">
        <v>9180</v>
      </c>
      <c r="S5" s="154" t="s">
        <v>21</v>
      </c>
      <c r="T5" t="s">
        <v>176</v>
      </c>
    </row>
    <row r="6" spans="1:21" x14ac:dyDescent="0.35">
      <c r="A6" s="140">
        <v>5</v>
      </c>
      <c r="B6" s="105" t="s">
        <v>179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7"/>
      <c r="J6" s="105">
        <v>10</v>
      </c>
      <c r="K6" s="105">
        <v>1</v>
      </c>
      <c r="L6" s="105">
        <v>2</v>
      </c>
      <c r="M6" s="149" t="s">
        <v>180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181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122">
        <v>10</v>
      </c>
      <c r="K7" s="122">
        <v>2</v>
      </c>
      <c r="L7" s="122">
        <v>4</v>
      </c>
      <c r="M7" s="124" t="s">
        <v>182</v>
      </c>
      <c r="Q7" s="2" t="s">
        <v>21</v>
      </c>
      <c r="R7" s="126">
        <v>4140</v>
      </c>
      <c r="S7" s="2" t="s">
        <v>38</v>
      </c>
      <c r="T7" t="s">
        <v>183</v>
      </c>
    </row>
    <row r="8" spans="1:21" x14ac:dyDescent="0.35">
      <c r="A8" s="141">
        <v>7</v>
      </c>
      <c r="B8" s="120" t="s">
        <v>184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122">
        <v>10</v>
      </c>
      <c r="K8" s="122">
        <v>1</v>
      </c>
      <c r="L8" s="122">
        <v>2</v>
      </c>
      <c r="M8" s="124" t="s">
        <v>185</v>
      </c>
      <c r="N8" s="179">
        <v>4522701312</v>
      </c>
      <c r="O8" s="2" t="s">
        <v>186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187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122">
        <v>10</v>
      </c>
      <c r="K9" s="122">
        <v>1</v>
      </c>
      <c r="L9" s="122">
        <v>2</v>
      </c>
      <c r="M9" s="124" t="s">
        <v>188</v>
      </c>
      <c r="N9" s="179">
        <v>4917643882286</v>
      </c>
      <c r="O9" s="2" t="s">
        <v>189</v>
      </c>
      <c r="Q9" s="2" t="s">
        <v>21</v>
      </c>
      <c r="R9" s="126">
        <v>4275</v>
      </c>
      <c r="S9" s="2" t="s">
        <v>21</v>
      </c>
      <c r="T9" s="120" t="s">
        <v>190</v>
      </c>
    </row>
    <row r="10" spans="1:21" x14ac:dyDescent="0.35">
      <c r="A10" s="140">
        <v>9</v>
      </c>
      <c r="B10" s="120" t="s">
        <v>191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/>
      <c r="J10" s="122">
        <v>10</v>
      </c>
      <c r="K10" s="122">
        <v>1</v>
      </c>
      <c r="L10" s="122">
        <v>2</v>
      </c>
      <c r="M10" s="124" t="s">
        <v>192</v>
      </c>
      <c r="O10" s="2" t="s">
        <v>193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194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122">
        <v>10</v>
      </c>
      <c r="K11" s="122">
        <v>1</v>
      </c>
      <c r="L11" s="122">
        <v>2</v>
      </c>
      <c r="M11" s="121" t="s">
        <v>195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196</v>
      </c>
    </row>
    <row r="12" spans="1:21" x14ac:dyDescent="0.35">
      <c r="A12" s="140">
        <v>11</v>
      </c>
      <c r="B12" s="120" t="s">
        <v>197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122">
        <v>10</v>
      </c>
      <c r="K12" s="122">
        <v>1</v>
      </c>
      <c r="L12" s="122">
        <v>2</v>
      </c>
      <c r="M12" s="124" t="s">
        <v>199</v>
      </c>
      <c r="Q12" s="2" t="s">
        <v>21</v>
      </c>
      <c r="R12" s="126">
        <v>5737.5</v>
      </c>
      <c r="S12" s="2" t="s">
        <v>20</v>
      </c>
      <c r="T12" t="s">
        <v>198</v>
      </c>
    </row>
    <row r="13" spans="1:21" x14ac:dyDescent="0.35">
      <c r="A13" s="140">
        <v>12</v>
      </c>
      <c r="B13" s="120" t="s">
        <v>200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165</v>
      </c>
      <c r="J13" s="122">
        <v>10</v>
      </c>
      <c r="K13" s="122">
        <v>1</v>
      </c>
      <c r="L13" s="122">
        <v>2</v>
      </c>
      <c r="M13" s="124" t="s">
        <v>201</v>
      </c>
      <c r="N13" s="180">
        <v>4540552384</v>
      </c>
      <c r="O13" s="2" t="s">
        <v>202</v>
      </c>
      <c r="Q13" s="2" t="s">
        <v>21</v>
      </c>
      <c r="R13" s="126">
        <v>4140</v>
      </c>
      <c r="S13" s="2" t="s">
        <v>21</v>
      </c>
      <c r="T13" t="s">
        <v>203</v>
      </c>
    </row>
    <row r="14" spans="1:21" x14ac:dyDescent="0.35">
      <c r="A14" s="141">
        <v>13</v>
      </c>
      <c r="B14" s="120" t="s">
        <v>204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122">
        <v>10</v>
      </c>
      <c r="K14" s="122">
        <v>1</v>
      </c>
      <c r="L14" s="122">
        <v>2</v>
      </c>
      <c r="M14" s="117" t="s">
        <v>205</v>
      </c>
      <c r="N14" s="180">
        <v>4525582842</v>
      </c>
      <c r="O14" s="2" t="s">
        <v>207</v>
      </c>
      <c r="Q14" s="2" t="s">
        <v>21</v>
      </c>
      <c r="R14" s="126">
        <v>8032.5</v>
      </c>
      <c r="S14" s="2" t="s">
        <v>38</v>
      </c>
      <c r="T14" t="s">
        <v>206</v>
      </c>
    </row>
    <row r="15" spans="1:21" x14ac:dyDescent="0.35">
      <c r="A15" s="140">
        <v>14</v>
      </c>
      <c r="B15" s="120" t="s">
        <v>208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122">
        <v>10</v>
      </c>
      <c r="K15" s="122">
        <v>1</v>
      </c>
      <c r="L15" s="122">
        <v>2</v>
      </c>
      <c r="M15" s="151" t="s">
        <v>211</v>
      </c>
      <c r="N15" s="180">
        <v>4591191885</v>
      </c>
      <c r="O15" s="2" t="s">
        <v>209</v>
      </c>
      <c r="Q15" s="2" t="s">
        <v>21</v>
      </c>
      <c r="R15" s="126">
        <v>9180</v>
      </c>
      <c r="S15" s="2" t="s">
        <v>38</v>
      </c>
      <c r="T15" s="120" t="s">
        <v>210</v>
      </c>
    </row>
    <row r="16" spans="1:21" x14ac:dyDescent="0.35">
      <c r="A16" s="140">
        <v>15</v>
      </c>
      <c r="B16" s="120" t="s">
        <v>212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213</v>
      </c>
      <c r="N16" s="152">
        <v>4531534745</v>
      </c>
      <c r="O16" s="2" t="s">
        <v>214</v>
      </c>
      <c r="Q16" s="2" t="s">
        <v>21</v>
      </c>
      <c r="R16" s="126">
        <v>8925</v>
      </c>
      <c r="S16" s="2" t="s">
        <v>38</v>
      </c>
      <c r="T16" t="s">
        <v>215</v>
      </c>
      <c r="U16" s="185">
        <f>R16*0.5</f>
        <v>4462.5</v>
      </c>
    </row>
    <row r="17" spans="1:21" x14ac:dyDescent="0.35">
      <c r="A17" s="141">
        <v>16</v>
      </c>
      <c r="B17" s="120" t="s">
        <v>226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K17" s="122">
        <v>2</v>
      </c>
      <c r="L17" s="122">
        <v>4</v>
      </c>
      <c r="M17" s="117" t="s">
        <v>227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228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220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223</v>
      </c>
      <c r="N18" s="180">
        <v>4524669843</v>
      </c>
      <c r="O18" s="2" t="s">
        <v>224</v>
      </c>
      <c r="Q18" s="2" t="s">
        <v>21</v>
      </c>
      <c r="R18" s="126">
        <v>8925</v>
      </c>
      <c r="S18" s="2" t="s">
        <v>38</v>
      </c>
      <c r="T18" t="s">
        <v>225</v>
      </c>
      <c r="U18" s="186">
        <f t="shared" si="0"/>
        <v>4462.5</v>
      </c>
    </row>
    <row r="19" spans="1:21" x14ac:dyDescent="0.35">
      <c r="A19" s="140">
        <v>18</v>
      </c>
      <c r="B19" s="120" t="s">
        <v>218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219</v>
      </c>
      <c r="N19" s="180">
        <v>4531909358</v>
      </c>
      <c r="O19" s="2" t="s">
        <v>222</v>
      </c>
      <c r="Q19" s="2" t="s">
        <v>21</v>
      </c>
      <c r="R19" s="126">
        <v>6375</v>
      </c>
      <c r="S19" s="2" t="s">
        <v>38</v>
      </c>
      <c r="T19" t="s">
        <v>221</v>
      </c>
      <c r="U19" s="186">
        <f t="shared" si="0"/>
        <v>3187.5</v>
      </c>
    </row>
    <row r="20" spans="1:21" x14ac:dyDescent="0.35">
      <c r="A20" s="141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17" t="s">
        <v>217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206</v>
      </c>
    </row>
    <row r="21" spans="1:21" x14ac:dyDescent="0.35">
      <c r="A21" s="140">
        <v>20</v>
      </c>
      <c r="B21" s="120" t="s">
        <v>246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247</v>
      </c>
      <c r="Q21" s="2" t="s">
        <v>21</v>
      </c>
      <c r="R21" s="159">
        <v>12420</v>
      </c>
      <c r="S21" s="2" t="s">
        <v>38</v>
      </c>
      <c r="T21" t="s">
        <v>248</v>
      </c>
    </row>
    <row r="22" spans="1:21" x14ac:dyDescent="0.35">
      <c r="A22" s="140">
        <v>21</v>
      </c>
      <c r="B22" s="120" t="s">
        <v>269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>
        <v>10</v>
      </c>
      <c r="K22" s="122">
        <v>1</v>
      </c>
      <c r="L22" s="122">
        <v>2</v>
      </c>
      <c r="M22" s="117" t="s">
        <v>244</v>
      </c>
      <c r="N22" s="180">
        <v>46705125490</v>
      </c>
      <c r="O22" s="2" t="s">
        <v>243</v>
      </c>
      <c r="Q22" s="2" t="s">
        <v>21</v>
      </c>
      <c r="R22" s="159">
        <v>5175</v>
      </c>
      <c r="S22" s="2" t="s">
        <v>38</v>
      </c>
      <c r="T22" t="s">
        <v>245</v>
      </c>
    </row>
    <row r="23" spans="1:21" x14ac:dyDescent="0.35">
      <c r="A23" s="141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242</v>
      </c>
    </row>
    <row r="24" spans="1:21" x14ac:dyDescent="0.35">
      <c r="A24" s="140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326</v>
      </c>
    </row>
    <row r="28" spans="1:21" x14ac:dyDescent="0.35">
      <c r="A28" s="140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2">
        <v>1</v>
      </c>
      <c r="L28" s="122">
        <v>2</v>
      </c>
      <c r="M28" s="117" t="s">
        <v>236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268</v>
      </c>
    </row>
    <row r="29" spans="1:21" x14ac:dyDescent="0.35">
      <c r="A29" s="141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2"/>
      <c r="L30" s="122"/>
      <c r="M30" s="117"/>
    </row>
    <row r="31" spans="1:21" x14ac:dyDescent="0.35">
      <c r="A31" s="140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250</v>
      </c>
    </row>
    <row r="32" spans="1:21" x14ac:dyDescent="0.35">
      <c r="A32" s="141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2">
        <v>1</v>
      </c>
      <c r="L32" s="122">
        <v>1</v>
      </c>
      <c r="M32" s="117" t="s">
        <v>253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254</v>
      </c>
    </row>
    <row r="33" spans="1:20" x14ac:dyDescent="0.35">
      <c r="A33" s="140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0" t="s">
        <v>262</v>
      </c>
      <c r="N36" s="180">
        <v>46733448215</v>
      </c>
      <c r="O36" s="2" t="s">
        <v>263</v>
      </c>
      <c r="Q36" s="2" t="s">
        <v>21</v>
      </c>
      <c r="R36" s="126">
        <v>4140</v>
      </c>
      <c r="S36" s="2" t="s">
        <v>38</v>
      </c>
      <c r="T36" t="s">
        <v>264</v>
      </c>
    </row>
    <row r="37" spans="1:20" x14ac:dyDescent="0.35">
      <c r="A37" s="140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5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7"/>
      <c r="Q41" s="2" t="s">
        <v>21</v>
      </c>
      <c r="R41" s="126">
        <v>3450</v>
      </c>
      <c r="S41" s="2" t="s">
        <v>20</v>
      </c>
    </row>
    <row r="42" spans="1:20" x14ac:dyDescent="0.35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17" t="s">
        <v>290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289</v>
      </c>
    </row>
    <row r="45" spans="1:20" x14ac:dyDescent="0.35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285</v>
      </c>
      <c r="T47" t="s">
        <v>284</v>
      </c>
    </row>
    <row r="48" spans="1:20" x14ac:dyDescent="0.35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219</v>
      </c>
      <c r="N48" s="180">
        <v>4531909358</v>
      </c>
      <c r="O48" s="182" t="s">
        <v>281</v>
      </c>
      <c r="Q48" s="2" t="s">
        <v>21</v>
      </c>
      <c r="S48" s="2" t="s">
        <v>21</v>
      </c>
      <c r="T48" t="s">
        <v>282</v>
      </c>
    </row>
    <row r="49" spans="1:20" x14ac:dyDescent="0.35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17"/>
    </row>
    <row r="50" spans="1:20" x14ac:dyDescent="0.35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0" t="s">
        <v>277</v>
      </c>
      <c r="N52" s="180">
        <v>4540474386</v>
      </c>
      <c r="O52" s="182" t="s">
        <v>276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306</v>
      </c>
    </row>
    <row r="58" spans="1:20" x14ac:dyDescent="0.35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302</v>
      </c>
      <c r="Q58" s="2" t="s">
        <v>20</v>
      </c>
      <c r="R58" s="159">
        <v>6450</v>
      </c>
      <c r="S58" s="2" t="s">
        <v>38</v>
      </c>
      <c r="T58" t="s">
        <v>303</v>
      </c>
    </row>
    <row r="59" spans="1:20" x14ac:dyDescent="0.35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300</v>
      </c>
    </row>
    <row r="60" spans="1:20" x14ac:dyDescent="0.35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325</v>
      </c>
    </row>
    <row r="64" spans="1:20" x14ac:dyDescent="0.35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17" t="s">
        <v>312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17" t="s">
        <v>321</v>
      </c>
      <c r="N67" s="151">
        <v>4521261488</v>
      </c>
      <c r="O67" s="2" t="s">
        <v>186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332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333</v>
      </c>
    </row>
    <row r="72" spans="1:20" x14ac:dyDescent="0.35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26">
        <v>3400</v>
      </c>
      <c r="S72" s="2" t="s">
        <v>20</v>
      </c>
    </row>
    <row r="73" spans="1:20" x14ac:dyDescent="0.35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0" t="s">
        <v>329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330</v>
      </c>
    </row>
    <row r="74" spans="1:20" x14ac:dyDescent="0.35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5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17" t="s">
        <v>338</v>
      </c>
      <c r="Q75" s="2" t="s">
        <v>21</v>
      </c>
      <c r="R75" s="159">
        <v>8460</v>
      </c>
      <c r="S75" s="2" t="s">
        <v>21</v>
      </c>
      <c r="T75" t="s">
        <v>339</v>
      </c>
    </row>
    <row r="76" spans="1:20" x14ac:dyDescent="0.35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59"/>
    </row>
    <row r="77" spans="1:20" x14ac:dyDescent="0.35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341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342</v>
      </c>
    </row>
    <row r="79" spans="1:20" x14ac:dyDescent="0.35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17" t="s">
        <v>348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349</v>
      </c>
    </row>
    <row r="81" spans="1:20" x14ac:dyDescent="0.35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17" t="s">
        <v>346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347</v>
      </c>
    </row>
    <row r="82" spans="1:20" x14ac:dyDescent="0.35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9">
        <v>2300</v>
      </c>
      <c r="S83" s="2" t="s">
        <v>20</v>
      </c>
    </row>
    <row r="84" spans="1:20" x14ac:dyDescent="0.35">
      <c r="A84" s="2">
        <v>83</v>
      </c>
      <c r="B84" s="187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0" t="s">
        <v>366</v>
      </c>
      <c r="N85" s="151">
        <v>4526251564</v>
      </c>
      <c r="O85" s="2" t="s">
        <v>367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17" t="s">
        <v>362</v>
      </c>
      <c r="O87" s="2" t="s">
        <v>363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5">
      <c r="A90" s="2">
        <v>89</v>
      </c>
      <c r="B90" t="s">
        <v>371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165</v>
      </c>
      <c r="J90">
        <v>5</v>
      </c>
      <c r="K90">
        <v>2</v>
      </c>
      <c r="L90">
        <v>3</v>
      </c>
      <c r="M90" s="117" t="s">
        <v>372</v>
      </c>
      <c r="N90">
        <v>4540528447</v>
      </c>
      <c r="O90"/>
      <c r="P90" s="2" t="s">
        <v>374</v>
      </c>
      <c r="Q90" s="2" t="s">
        <v>21</v>
      </c>
      <c r="R90" s="126">
        <f>2185+1805</f>
        <v>3990</v>
      </c>
      <c r="S90" s="2" t="s">
        <v>20</v>
      </c>
      <c r="T90" t="s">
        <v>373</v>
      </c>
    </row>
    <row r="91" spans="1:20" x14ac:dyDescent="0.35">
      <c r="A91" s="2">
        <v>90</v>
      </c>
      <c r="B91" t="s">
        <v>369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370</v>
      </c>
      <c r="I91" t="s">
        <v>162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376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9">
        <v>2185</v>
      </c>
      <c r="S92" s="2" t="s">
        <v>20</v>
      </c>
    </row>
    <row r="93" spans="1:20" x14ac:dyDescent="0.35">
      <c r="A93" s="2">
        <v>92</v>
      </c>
      <c r="B93" t="s">
        <v>377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378</v>
      </c>
      <c r="I93" t="s">
        <v>165</v>
      </c>
      <c r="J93">
        <v>10</v>
      </c>
      <c r="K93">
        <v>1</v>
      </c>
      <c r="L93">
        <v>2</v>
      </c>
      <c r="M93" s="117" t="s">
        <v>379</v>
      </c>
      <c r="N93"/>
      <c r="O93" t="s">
        <v>380</v>
      </c>
      <c r="P93" s="2" t="s">
        <v>20</v>
      </c>
      <c r="Q93" s="2" t="s">
        <v>20</v>
      </c>
      <c r="R93" s="199">
        <v>4837.5</v>
      </c>
      <c r="S93" s="2" t="s">
        <v>38</v>
      </c>
      <c r="T93" t="s">
        <v>381</v>
      </c>
    </row>
    <row r="94" spans="1:20" x14ac:dyDescent="0.35">
      <c r="A94" s="2">
        <v>93</v>
      </c>
      <c r="B94" t="s">
        <v>382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383</v>
      </c>
      <c r="I94" t="s">
        <v>165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9">
        <v>2850</v>
      </c>
      <c r="S94" s="2" t="s">
        <v>20</v>
      </c>
    </row>
    <row r="95" spans="1:20" x14ac:dyDescent="0.35">
      <c r="A95" s="2">
        <v>94</v>
      </c>
      <c r="B95" t="s">
        <v>384</v>
      </c>
      <c r="C95" s="200">
        <v>46234</v>
      </c>
      <c r="D95" s="200">
        <v>46237</v>
      </c>
      <c r="E95" s="200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t="s">
        <v>20</v>
      </c>
    </row>
    <row r="96" spans="1:20" x14ac:dyDescent="0.35">
      <c r="A96" s="2">
        <v>95</v>
      </c>
      <c r="B96" t="s">
        <v>385</v>
      </c>
      <c r="C96" s="200">
        <v>46156</v>
      </c>
      <c r="D96" s="200">
        <v>46159</v>
      </c>
      <c r="E96" s="200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t="s">
        <v>20</v>
      </c>
    </row>
    <row r="97" spans="1:20" x14ac:dyDescent="0.35">
      <c r="A97" s="2">
        <v>96</v>
      </c>
      <c r="B97" t="s">
        <v>386</v>
      </c>
      <c r="C97" s="200">
        <v>46159</v>
      </c>
      <c r="D97" s="200">
        <v>46163</v>
      </c>
      <c r="E97" s="200">
        <v>46099</v>
      </c>
      <c r="F97" t="s">
        <v>31</v>
      </c>
      <c r="G97" t="s">
        <v>35</v>
      </c>
      <c r="H97" t="s">
        <v>387</v>
      </c>
      <c r="I97" t="s">
        <v>162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5">
      <c r="A98" s="2">
        <v>97</v>
      </c>
      <c r="B98" t="s">
        <v>388</v>
      </c>
      <c r="C98" s="114">
        <v>46156</v>
      </c>
      <c r="D98" s="114">
        <v>46159</v>
      </c>
      <c r="E98" s="114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t="s">
        <v>20</v>
      </c>
    </row>
    <row r="99" spans="1:20" x14ac:dyDescent="0.35">
      <c r="A99" s="2">
        <v>98</v>
      </c>
      <c r="B99" t="s">
        <v>389</v>
      </c>
      <c r="C99" s="200">
        <v>46207</v>
      </c>
      <c r="D99" s="200">
        <v>46210</v>
      </c>
      <c r="E99" s="200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26">
        <v>3225</v>
      </c>
      <c r="S99" t="s">
        <v>20</v>
      </c>
    </row>
    <row r="100" spans="1:20" x14ac:dyDescent="0.35">
      <c r="A100" s="2">
        <v>99</v>
      </c>
      <c r="B100" t="s">
        <v>390</v>
      </c>
      <c r="C100" s="200">
        <v>46171</v>
      </c>
      <c r="D100" s="200">
        <v>46173</v>
      </c>
      <c r="E100" s="200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17" t="s">
        <v>391</v>
      </c>
      <c r="N100" t="s">
        <v>392</v>
      </c>
      <c r="O100" t="s">
        <v>393</v>
      </c>
      <c r="P100" s="2" t="s">
        <v>20</v>
      </c>
      <c r="Q100" s="2" t="s">
        <v>21</v>
      </c>
      <c r="R100" s="126">
        <v>2070</v>
      </c>
      <c r="S100" t="s">
        <v>21</v>
      </c>
      <c r="T100" t="s">
        <v>394</v>
      </c>
    </row>
    <row r="101" spans="1:20" x14ac:dyDescent="0.35">
      <c r="A101" s="2">
        <v>100</v>
      </c>
      <c r="B101" t="s">
        <v>395</v>
      </c>
      <c r="C101" s="200">
        <v>46279</v>
      </c>
      <c r="D101" s="200">
        <v>46281</v>
      </c>
      <c r="E101" s="200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t="s">
        <v>20</v>
      </c>
    </row>
    <row r="102" spans="1:20" x14ac:dyDescent="0.35">
      <c r="A102" s="2">
        <v>101</v>
      </c>
      <c r="B102" t="s">
        <v>396</v>
      </c>
      <c r="C102" s="200">
        <v>46279</v>
      </c>
      <c r="D102" s="200">
        <v>46281</v>
      </c>
      <c r="E102" s="200">
        <v>46104</v>
      </c>
      <c r="F102" t="s">
        <v>53</v>
      </c>
      <c r="G102" t="s">
        <v>35</v>
      </c>
      <c r="H102"/>
      <c r="I102" t="s">
        <v>397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t="s">
        <v>20</v>
      </c>
    </row>
    <row r="103" spans="1:20" x14ac:dyDescent="0.35">
      <c r="A103" s="2">
        <v>102</v>
      </c>
      <c r="B103" t="s">
        <v>398</v>
      </c>
      <c r="C103" s="200">
        <v>46172</v>
      </c>
      <c r="D103" s="200">
        <v>46174</v>
      </c>
      <c r="E103" s="200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6">
        <v>1900</v>
      </c>
      <c r="S103" t="s">
        <v>20</v>
      </c>
    </row>
    <row r="104" spans="1:20" x14ac:dyDescent="0.35">
      <c r="A104" s="2">
        <v>103</v>
      </c>
      <c r="B104" t="s">
        <v>399</v>
      </c>
      <c r="C104" s="200">
        <v>46278</v>
      </c>
      <c r="D104" s="200">
        <v>46284</v>
      </c>
      <c r="E104" s="200">
        <v>46107</v>
      </c>
      <c r="F104" t="s">
        <v>53</v>
      </c>
      <c r="G104" t="s">
        <v>6</v>
      </c>
      <c r="H104"/>
      <c r="I104" t="s">
        <v>397</v>
      </c>
      <c r="J104">
        <v>10</v>
      </c>
      <c r="K104">
        <v>1</v>
      </c>
      <c r="L104">
        <v>2</v>
      </c>
      <c r="M104" s="117" t="s">
        <v>400</v>
      </c>
      <c r="N104"/>
      <c r="O104"/>
      <c r="P104" s="2" t="s">
        <v>20</v>
      </c>
      <c r="Q104" s="2" t="s">
        <v>21</v>
      </c>
      <c r="R104" s="126">
        <v>6210</v>
      </c>
      <c r="S104" t="s">
        <v>20</v>
      </c>
    </row>
    <row r="105" spans="1:20" x14ac:dyDescent="0.35">
      <c r="A105" s="2">
        <v>104</v>
      </c>
      <c r="B105" t="s">
        <v>401</v>
      </c>
      <c r="C105" s="200">
        <v>46204</v>
      </c>
      <c r="D105" s="200">
        <v>46207</v>
      </c>
      <c r="E105" s="200">
        <v>46107</v>
      </c>
      <c r="F105" t="s">
        <v>53</v>
      </c>
      <c r="G105" t="s">
        <v>35</v>
      </c>
      <c r="H105"/>
      <c r="I105"/>
      <c r="J1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75" t="s">
        <v>297</v>
      </c>
      <c r="BW1" s="175" t="s">
        <v>297</v>
      </c>
      <c r="BX1" s="135" t="s">
        <v>298</v>
      </c>
      <c r="BY1" s="135" t="s">
        <v>298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151</v>
      </c>
      <c r="BC196" s="34">
        <f t="shared" si="167"/>
        <v>635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473</v>
      </c>
      <c r="Y198">
        <f t="shared" si="168"/>
        <v>473</v>
      </c>
      <c r="Z198">
        <f t="shared" si="168"/>
        <v>473</v>
      </c>
      <c r="AA198">
        <f t="shared" si="168"/>
        <v>473</v>
      </c>
      <c r="AB198">
        <f t="shared" si="168"/>
        <v>473</v>
      </c>
      <c r="AC198">
        <f t="shared" si="168"/>
        <v>473</v>
      </c>
      <c r="AD198">
        <f t="shared" si="168"/>
        <v>473</v>
      </c>
      <c r="AE198">
        <f t="shared" si="168"/>
        <v>473</v>
      </c>
      <c r="AF198">
        <f t="shared" si="168"/>
        <v>473</v>
      </c>
      <c r="AG198">
        <f t="shared" si="168"/>
        <v>473</v>
      </c>
      <c r="AH198">
        <f t="shared" si="168"/>
        <v>473</v>
      </c>
      <c r="AI198">
        <f t="shared" si="168"/>
        <v>473</v>
      </c>
      <c r="AJ198">
        <f t="shared" si="168"/>
        <v>473</v>
      </c>
      <c r="AK198">
        <f t="shared" si="168"/>
        <v>473</v>
      </c>
      <c r="AL198">
        <f t="shared" si="168"/>
        <v>473</v>
      </c>
      <c r="AM198">
        <f t="shared" si="168"/>
        <v>473</v>
      </c>
      <c r="AN198">
        <f t="shared" si="168"/>
        <v>473</v>
      </c>
      <c r="AO198">
        <f t="shared" si="168"/>
        <v>473</v>
      </c>
      <c r="AP198">
        <f t="shared" si="168"/>
        <v>473</v>
      </c>
      <c r="AQ198">
        <f t="shared" si="168"/>
        <v>473</v>
      </c>
      <c r="AR198">
        <f t="shared" si="168"/>
        <v>473</v>
      </c>
      <c r="AS198">
        <f t="shared" si="168"/>
        <v>473</v>
      </c>
      <c r="AT198">
        <f t="shared" si="168"/>
        <v>473</v>
      </c>
      <c r="AU198">
        <f t="shared" si="168"/>
        <v>473</v>
      </c>
      <c r="AV198">
        <f t="shared" si="168"/>
        <v>473</v>
      </c>
      <c r="AW198">
        <f t="shared" si="168"/>
        <v>473</v>
      </c>
      <c r="AX198">
        <f t="shared" si="168"/>
        <v>473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473</v>
      </c>
      <c r="Y200">
        <f t="shared" si="169"/>
        <v>473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635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635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41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5">
        <v>1</v>
      </c>
      <c r="E1" s="206"/>
      <c r="F1" s="66" t="s">
        <v>117</v>
      </c>
      <c r="G1" s="67" t="s">
        <v>8</v>
      </c>
      <c r="H1" s="207">
        <v>2</v>
      </c>
      <c r="I1" s="206"/>
      <c r="J1" s="66" t="s">
        <v>117</v>
      </c>
      <c r="K1" s="68" t="s">
        <v>8</v>
      </c>
      <c r="L1" s="207">
        <v>3</v>
      </c>
      <c r="M1" s="206"/>
      <c r="N1" s="66" t="s">
        <v>117</v>
      </c>
      <c r="O1" s="69" t="s">
        <v>8</v>
      </c>
      <c r="P1" s="205">
        <v>4</v>
      </c>
      <c r="Q1" s="206"/>
      <c r="R1" s="66" t="s">
        <v>117</v>
      </c>
      <c r="S1" s="68" t="s">
        <v>8</v>
      </c>
      <c r="T1" s="208">
        <v>5</v>
      </c>
      <c r="U1" s="209"/>
      <c r="V1" s="66" t="s">
        <v>117</v>
      </c>
      <c r="W1" s="68" t="s">
        <v>8</v>
      </c>
      <c r="X1" s="205">
        <v>6</v>
      </c>
      <c r="Y1" s="206"/>
      <c r="Z1" s="70" t="s">
        <v>118</v>
      </c>
      <c r="AA1" s="133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162</v>
      </c>
      <c r="L12" s="14"/>
      <c r="M12" s="143">
        <v>80</v>
      </c>
      <c r="N12" s="20"/>
      <c r="O12" s="20" t="s">
        <v>162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7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295</v>
      </c>
      <c r="X17" s="22"/>
      <c r="Y17" s="22"/>
      <c r="Z17" s="139">
        <f t="shared" si="2"/>
        <v>0</v>
      </c>
      <c r="AA17" s="134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229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6">
        <v>97</v>
      </c>
      <c r="R19" s="118"/>
      <c r="S19" s="118"/>
      <c r="T19" s="8"/>
      <c r="U19" s="8">
        <v>90</v>
      </c>
      <c r="V19" s="20"/>
      <c r="W19" s="20" t="s">
        <v>162</v>
      </c>
      <c r="X19" s="22"/>
      <c r="Y19" s="22"/>
      <c r="Z19" s="139">
        <f t="shared" si="2"/>
        <v>0</v>
      </c>
      <c r="AA19" s="134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165</v>
      </c>
      <c r="L20" s="14">
        <v>95</v>
      </c>
      <c r="M20" s="8">
        <v>95</v>
      </c>
      <c r="N20" s="20">
        <v>2</v>
      </c>
      <c r="O20" s="20" t="s">
        <v>295</v>
      </c>
      <c r="P20" s="196">
        <v>97</v>
      </c>
      <c r="Q20" s="196">
        <v>97</v>
      </c>
      <c r="R20" s="118"/>
      <c r="S20" s="118"/>
      <c r="T20" s="8">
        <v>90</v>
      </c>
      <c r="U20" s="8">
        <v>90</v>
      </c>
      <c r="V20" s="20"/>
      <c r="W20" s="20" t="s">
        <v>295</v>
      </c>
      <c r="X20" s="22"/>
      <c r="Y20" s="22"/>
      <c r="Z20" s="139">
        <f t="shared" si="2"/>
        <v>2</v>
      </c>
      <c r="AA20" s="134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295</v>
      </c>
      <c r="L21" s="14">
        <v>95</v>
      </c>
      <c r="M21" s="8">
        <v>95</v>
      </c>
      <c r="N21" s="20">
        <v>2</v>
      </c>
      <c r="O21" s="20"/>
      <c r="P21" s="196">
        <v>97</v>
      </c>
      <c r="Q21" s="196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163</v>
      </c>
      <c r="H22" s="8">
        <v>91</v>
      </c>
      <c r="I22" s="8"/>
      <c r="J22" s="118">
        <v>2</v>
      </c>
      <c r="K22" s="19"/>
      <c r="L22" s="14">
        <v>95</v>
      </c>
      <c r="M22" s="8"/>
      <c r="N22" s="20">
        <v>2</v>
      </c>
      <c r="O22" s="20"/>
      <c r="P22" s="196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4"/>
      <c r="I23" s="8"/>
      <c r="J23" s="118"/>
      <c r="K23" s="19"/>
      <c r="L23" s="14"/>
      <c r="M23" s="8"/>
      <c r="N23" s="20"/>
      <c r="O23" s="20"/>
      <c r="P23" s="8">
        <v>96</v>
      </c>
      <c r="Q23" s="8">
        <v>96</v>
      </c>
      <c r="R23" s="118">
        <v>2</v>
      </c>
      <c r="S23" s="118" t="s">
        <v>163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6</v>
      </c>
      <c r="AA23" s="134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6</v>
      </c>
      <c r="AA24" s="134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6</v>
      </c>
      <c r="AA25" s="134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8"/>
      <c r="F26" s="20">
        <v>2</v>
      </c>
      <c r="G26" s="19"/>
      <c r="H26" s="14"/>
      <c r="I26" s="142">
        <v>20</v>
      </c>
      <c r="J26" s="20"/>
      <c r="K26" s="19"/>
      <c r="L26" s="14"/>
      <c r="M26" s="142">
        <v>20</v>
      </c>
      <c r="N26" s="20"/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6</v>
      </c>
      <c r="AA26" s="134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55">
        <v>20</v>
      </c>
      <c r="I27" s="142">
        <v>20</v>
      </c>
      <c r="J27" s="20">
        <v>2</v>
      </c>
      <c r="K27" s="19"/>
      <c r="L27" s="155">
        <v>20</v>
      </c>
      <c r="M27" s="142">
        <v>20</v>
      </c>
      <c r="N27" s="20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22"/>
      <c r="Y27" s="22"/>
      <c r="Z27" s="139">
        <f t="shared" si="2"/>
        <v>8</v>
      </c>
      <c r="AA27" s="134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55">
        <v>20</v>
      </c>
      <c r="I28" s="142">
        <v>20</v>
      </c>
      <c r="J28" s="20">
        <v>2</v>
      </c>
      <c r="K28" s="19"/>
      <c r="L28" s="155">
        <v>20</v>
      </c>
      <c r="M28" s="142">
        <v>20</v>
      </c>
      <c r="N28" s="20">
        <v>2</v>
      </c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22"/>
      <c r="Y28" s="22"/>
      <c r="Z28" s="139">
        <f t="shared" si="2"/>
        <v>10</v>
      </c>
      <c r="AA28" s="134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55">
        <v>20</v>
      </c>
      <c r="I29" s="142">
        <v>20</v>
      </c>
      <c r="J29" s="20">
        <v>2</v>
      </c>
      <c r="K29" s="19"/>
      <c r="L29" s="155">
        <v>20</v>
      </c>
      <c r="M29" s="142">
        <v>20</v>
      </c>
      <c r="N29" s="20">
        <v>2</v>
      </c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22"/>
      <c r="Y29" s="22"/>
      <c r="Z29" s="139">
        <f t="shared" si="2"/>
        <v>10</v>
      </c>
      <c r="AA29" s="134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231</v>
      </c>
      <c r="B30" s="6" t="s">
        <v>122</v>
      </c>
      <c r="C30" s="7">
        <v>46167</v>
      </c>
      <c r="D30" s="10">
        <v>40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55">
        <v>20</v>
      </c>
      <c r="M30" s="8"/>
      <c r="N30" s="20">
        <v>2</v>
      </c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22"/>
      <c r="Y30" s="22"/>
      <c r="Z30" s="139">
        <f t="shared" si="2"/>
        <v>8</v>
      </c>
      <c r="AA30" s="134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162</v>
      </c>
      <c r="X34" s="22"/>
      <c r="Y34" s="22"/>
      <c r="Z34" s="139">
        <f t="shared" si="2"/>
        <v>2</v>
      </c>
      <c r="AA34" s="134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>
        <v>102</v>
      </c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165</v>
      </c>
      <c r="L36" s="143">
        <v>5</v>
      </c>
      <c r="M36" s="143">
        <v>5</v>
      </c>
      <c r="N36" s="118">
        <v>2</v>
      </c>
      <c r="O36" s="118"/>
      <c r="P36" s="115">
        <v>102</v>
      </c>
      <c r="Q36" s="115">
        <v>102</v>
      </c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>
        <v>102</v>
      </c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165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162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162</v>
      </c>
      <c r="X44" s="22"/>
      <c r="Y44" s="22"/>
      <c r="Z44" s="139">
        <f t="shared" si="2"/>
        <v>2</v>
      </c>
      <c r="AA44" s="134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165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163</v>
      </c>
      <c r="X52" s="22"/>
      <c r="Y52" s="22"/>
      <c r="Z52" s="139">
        <f t="shared" si="2"/>
        <v>8</v>
      </c>
      <c r="AA52" s="134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274</v>
      </c>
      <c r="X53" s="22"/>
      <c r="Y53" s="22"/>
      <c r="Z53" s="139">
        <f t="shared" si="2"/>
        <v>8</v>
      </c>
      <c r="AA53" s="134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165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165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8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6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233</v>
      </c>
      <c r="H69" s="198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193">
        <v>76</v>
      </c>
      <c r="Q69" s="146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46">
        <v>14</v>
      </c>
      <c r="Q70" s="146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46">
        <v>14</v>
      </c>
      <c r="Q71" s="146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46">
        <v>14</v>
      </c>
      <c r="Q72" s="146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6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164</v>
      </c>
      <c r="X77" s="22"/>
      <c r="Y77" s="22"/>
      <c r="Z77" s="139">
        <f t="shared" si="6"/>
        <v>2</v>
      </c>
      <c r="AA77" s="134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164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3">
        <v>58</v>
      </c>
      <c r="Q93" s="143">
        <v>58</v>
      </c>
      <c r="R93" s="118">
        <v>1</v>
      </c>
      <c r="S93" s="118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163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5">
        <v>94</v>
      </c>
      <c r="E100" s="142">
        <v>11</v>
      </c>
      <c r="F100" s="20"/>
      <c r="G100" s="19" t="s">
        <v>164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163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162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163</v>
      </c>
      <c r="L104" s="158">
        <v>33</v>
      </c>
      <c r="M104" s="158">
        <v>33</v>
      </c>
      <c r="N104" s="115">
        <v>1</v>
      </c>
      <c r="O104" s="115" t="s">
        <v>163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274</v>
      </c>
      <c r="X105" s="22"/>
      <c r="Y105" s="22"/>
      <c r="Z105" s="139">
        <f t="shared" si="6"/>
        <v>5</v>
      </c>
      <c r="AA105" s="134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273</v>
      </c>
      <c r="T114" s="8"/>
      <c r="U114" s="143">
        <v>21</v>
      </c>
      <c r="V114" s="20"/>
      <c r="W114" s="20" t="s">
        <v>165</v>
      </c>
      <c r="X114" s="22"/>
      <c r="Y114" s="22"/>
      <c r="Z114" s="139">
        <f t="shared" si="6"/>
        <v>2</v>
      </c>
      <c r="AA114" s="134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274</v>
      </c>
      <c r="X115" s="22"/>
      <c r="Y115" s="22"/>
      <c r="Z115" s="139">
        <f t="shared" si="6"/>
        <v>8</v>
      </c>
      <c r="AA115" s="134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232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18"/>
      <c r="K123" s="118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163</v>
      </c>
      <c r="H124" s="8"/>
      <c r="I124" s="8"/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163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/>
      <c r="I125" s="8"/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233</v>
      </c>
      <c r="X125" s="22"/>
      <c r="Y125" s="22"/>
      <c r="Z125" s="139">
        <f t="shared" si="6"/>
        <v>7</v>
      </c>
      <c r="AA125" s="134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/>
      <c r="I126" s="8"/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/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2">F131+J131+N131+R131+V131</f>
        <v>2</v>
      </c>
      <c r="AA131" s="134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2"/>
        <v>0</v>
      </c>
      <c r="AA132" s="134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2"/>
        <v>0</v>
      </c>
      <c r="AA133" s="134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2"/>
        <v>0</v>
      </c>
      <c r="AA134" s="134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39">
        <f t="shared" si="12"/>
        <v>2</v>
      </c>
      <c r="AA135" s="134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2"/>
        <v>2</v>
      </c>
      <c r="AA136" s="134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2"/>
        <v>2</v>
      </c>
      <c r="AA137" s="134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2"/>
        <v>2</v>
      </c>
      <c r="AA138" s="134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2"/>
        <v>2</v>
      </c>
      <c r="AA139" s="134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4">
        <v>89</v>
      </c>
      <c r="E140" s="142">
        <v>89</v>
      </c>
      <c r="F140" s="20">
        <v>1</v>
      </c>
      <c r="G140" s="19"/>
      <c r="H140" s="194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165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2"/>
        <v>5</v>
      </c>
      <c r="AA140" s="134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4">
        <v>89</v>
      </c>
      <c r="E141" s="8"/>
      <c r="F141" s="20">
        <v>1</v>
      </c>
      <c r="G141" s="19"/>
      <c r="H141" s="194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2"/>
        <v>7</v>
      </c>
      <c r="AA141" s="134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2"/>
        <v>4</v>
      </c>
      <c r="AA142" s="134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2"/>
        <v>4</v>
      </c>
      <c r="AA143" s="134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165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2"/>
        <v>4</v>
      </c>
      <c r="AA144" s="134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2"/>
        <v>4</v>
      </c>
      <c r="AA145" s="134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2"/>
        <v>4</v>
      </c>
      <c r="AA146" s="134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2"/>
        <v>6</v>
      </c>
      <c r="AA147" s="134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2"/>
        <v>4</v>
      </c>
      <c r="AA148" s="134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2"/>
        <v>2</v>
      </c>
      <c r="AA149" s="134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2"/>
        <v>0</v>
      </c>
      <c r="AA150" s="134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2"/>
        <v>0</v>
      </c>
      <c r="AA151" s="134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2"/>
        <v>0</v>
      </c>
      <c r="AA152" s="134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2"/>
        <v>0</v>
      </c>
      <c r="AA153" s="134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2"/>
        <v>0</v>
      </c>
      <c r="AA154" s="134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2"/>
        <v>0</v>
      </c>
      <c r="AA155" s="134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2"/>
        <v>0</v>
      </c>
      <c r="AA156" s="134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2"/>
        <v>0</v>
      </c>
      <c r="AA157" s="134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2"/>
        <v>0</v>
      </c>
      <c r="AA158" s="134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2"/>
        <v>0</v>
      </c>
      <c r="AA159" s="134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2"/>
        <v>0</v>
      </c>
      <c r="AA160" s="134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2"/>
        <v>0</v>
      </c>
      <c r="AA161" s="134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2"/>
        <v>0</v>
      </c>
      <c r="AA162" s="134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2"/>
        <v>0</v>
      </c>
      <c r="AA163" s="134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2"/>
        <v>0</v>
      </c>
      <c r="AA164" s="134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2"/>
        <v>0</v>
      </c>
      <c r="AA165" s="134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2"/>
        <v>0</v>
      </c>
      <c r="AA166" s="134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2"/>
        <v>0</v>
      </c>
      <c r="AA167" s="134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2"/>
        <v>0</v>
      </c>
      <c r="AA168" s="134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2"/>
        <v>0</v>
      </c>
      <c r="AA169" s="134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2"/>
        <v>0</v>
      </c>
      <c r="AA170" s="134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2"/>
        <v>0</v>
      </c>
      <c r="AA171" s="134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tabSelected="1" zoomScaleNormal="100" workbookViewId="0">
      <pane ySplit="1" topLeftCell="A2" activePane="bottomLeft" state="frozen"/>
      <selection pane="bottomLeft" activeCell="B1" sqref="B1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201" t="str">
        <f>rengøring!A1</f>
        <v>dag</v>
      </c>
      <c r="B1" s="210" t="s">
        <v>116</v>
      </c>
      <c r="C1" s="201" t="s">
        <v>403</v>
      </c>
      <c r="D1" s="202" t="s">
        <v>402</v>
      </c>
      <c r="E1" s="201" t="str">
        <f>rengøring!E1</f>
        <v>V1</v>
      </c>
      <c r="F1" s="203" t="s">
        <v>138</v>
      </c>
      <c r="G1" s="203" t="s">
        <v>139</v>
      </c>
      <c r="H1" s="203" t="s">
        <v>140</v>
      </c>
      <c r="I1" s="201" t="s">
        <v>141</v>
      </c>
      <c r="J1" s="201" t="str">
        <f>rengøring!H1</f>
        <v>V2</v>
      </c>
      <c r="K1" s="203" t="s">
        <v>138</v>
      </c>
      <c r="L1" s="203" t="s">
        <v>139</v>
      </c>
      <c r="M1" s="203" t="s">
        <v>140</v>
      </c>
      <c r="N1" s="201" t="str">
        <f>rengøring!K1</f>
        <v>V3</v>
      </c>
      <c r="O1" s="203" t="s">
        <v>142</v>
      </c>
      <c r="P1" s="203" t="s">
        <v>139</v>
      </c>
      <c r="Q1" s="203" t="s">
        <v>140</v>
      </c>
      <c r="R1" s="204" t="str">
        <f>rengøring!N1</f>
        <v>V4</v>
      </c>
      <c r="S1" s="203" t="s">
        <v>142</v>
      </c>
      <c r="T1" s="203" t="s">
        <v>139</v>
      </c>
      <c r="U1" s="203" t="s">
        <v>140</v>
      </c>
      <c r="V1" s="201" t="str">
        <f>rengøring!Q1</f>
        <v>V5</v>
      </c>
      <c r="W1" s="203" t="s">
        <v>142</v>
      </c>
      <c r="X1" s="203" t="s">
        <v>139</v>
      </c>
      <c r="Y1" s="203" t="s">
        <v>140</v>
      </c>
    </row>
    <row r="2" spans="1:26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80" t="str">
        <f>IFERROR(VLOOKUP(E2,Database!$A$2:$L$175,8,FALSE),"-")</f>
        <v>-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97" t="str">
        <f>IF(AND(D2="Y",booking!L2&lt;&gt;booking!M2,booking!M2&gt;0),booking!M2,"-")</f>
        <v>-</v>
      </c>
      <c r="O2" s="80" t="str">
        <f>IFERROR(VLOOKUP(N2,Database!$A$2:$L$175,8,FALSE),"-")</f>
        <v>-</v>
      </c>
      <c r="P2" s="80" t="str">
        <f>IFERROR(VLOOKUP(N2,Database!$A$2:$L$175,6,FALSE),"-")</f>
        <v>-</v>
      </c>
      <c r="Q2" s="82" t="str">
        <f>IFERROR(VLOOKUP(N2,Database!$A$2:$L$175,9,FALSE),"-")</f>
        <v>-</v>
      </c>
      <c r="R2" s="98" t="str">
        <f>IF(AND(D2="Y",booking!P2&lt;&gt;booking!Q2,booking!Q2&gt;0),booking!Q2,"-")</f>
        <v>-</v>
      </c>
      <c r="S2" s="80" t="str">
        <f>IFERROR(VLOOKUP(R2,Database!$A$2:$L$175,8,FALSE),"-")</f>
        <v>-</v>
      </c>
      <c r="T2" s="80" t="str">
        <f>IFERROR(VLOOKUP(R2,Database!$A$2:$L$175,6,FALSE),"-")</f>
        <v>-</v>
      </c>
      <c r="U2" s="82" t="str">
        <f>IFERROR(VLOOKUP(R2,Database!$A$2:$L$175,9,FALSE),"-")</f>
        <v>-</v>
      </c>
      <c r="V2" s="97" t="str">
        <f>IF(AND(D2="Y",booking!T2&lt;&gt;booking!U2,booking!U2&gt;0),booking!U2,"-")</f>
        <v>-</v>
      </c>
      <c r="W2" s="80" t="str">
        <f>IFERROR(VLOOKUP(V2,Database!$A$2:$L$175,8,FALSE),"-")</f>
        <v>-</v>
      </c>
      <c r="X2" s="80" t="str">
        <f>IFERROR(VLOOKUP(V2,Database!$A$2:$L$175,6,FALSE),"-")</f>
        <v>-</v>
      </c>
      <c r="Y2" s="82" t="str">
        <f>IFERROR(VLOOKUP(V2,Database!$A$2:$L$175,9,FALSE),"-")</f>
        <v>-</v>
      </c>
      <c r="Z2" s="76"/>
    </row>
    <row r="3" spans="1:26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79" t="str">
        <f>IFERROR(VLOOKUP(E3,Database!$A$2:$L$175,8,FALSE),"-")</f>
        <v>-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97" t="str">
        <f>IF(AND(D3="Y",booking!L3&lt;&gt;booking!M3,booking!M3&gt;0),booking!M3,"-")</f>
        <v>-</v>
      </c>
      <c r="O3" s="79" t="str">
        <f>IFERROR(VLOOKUP(N3,Database!$A$2:$L$175,8,FALSE),"-")</f>
        <v>-</v>
      </c>
      <c r="P3" s="79" t="str">
        <f>IFERROR(VLOOKUP(N3,Database!$A$2:$L$175,6,FALSE),"-")</f>
        <v>-</v>
      </c>
      <c r="Q3" s="83" t="str">
        <f>IFERROR(VLOOKUP(N3,Database!$A$2:$L$175,9,FALSE),"-")</f>
        <v>-</v>
      </c>
      <c r="R3" s="98" t="str">
        <f>IF(AND(D3="Y",booking!P3&lt;&gt;booking!Q3,booking!Q3&gt;0),booking!Q3,"-")</f>
        <v>-</v>
      </c>
      <c r="S3" s="79" t="str">
        <f>IFERROR(VLOOKUP(R3,Database!$A$2:$L$175,8,FALSE),"-")</f>
        <v>-</v>
      </c>
      <c r="T3" s="79" t="str">
        <f>IFERROR(VLOOKUP(R3,Database!$A$2:$L$175,6,FALSE),"-")</f>
        <v>-</v>
      </c>
      <c r="U3" s="83" t="str">
        <f>IFERROR(VLOOKUP(R3,Database!$A$2:$L$175,9,FALSE),"-")</f>
        <v>-</v>
      </c>
      <c r="V3" s="97" t="str">
        <f>IF(AND(D3="Y",booking!T3&lt;&gt;booking!U3,booking!U3&gt;0),booking!U3,"-")</f>
        <v>-</v>
      </c>
      <c r="W3" s="80" t="str">
        <f>IFERROR(VLOOKUP(V3,Database!$A$2:$L$175,8,FALSE),"-")</f>
        <v>-</v>
      </c>
      <c r="X3" s="80" t="str">
        <f>IFERROR(VLOOKUP(V3,Database!$A$2:$L$175,6,FALSE),"-")</f>
        <v>-</v>
      </c>
      <c r="Y3" s="82" t="str">
        <f>IFERROR(VLOOKUP(V3,Database!$A$2:$L$175,9,FALSE),"-")</f>
        <v>-</v>
      </c>
    </row>
    <row r="4" spans="1:26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79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97" t="str">
        <f>IF(AND(D4="Y",booking!L4&lt;&gt;booking!M4,booking!M4&gt;0),booking!M4,"-")</f>
        <v>-</v>
      </c>
      <c r="O4" s="79" t="str">
        <f>IFERROR(VLOOKUP(N4,Database!$A$2:$L$175,8,FALSE),"-")</f>
        <v>-</v>
      </c>
      <c r="P4" s="79" t="str">
        <f>IFERROR(VLOOKUP(N4,Database!$A$2:$L$175,6,FALSE),"-")</f>
        <v>-</v>
      </c>
      <c r="Q4" s="83" t="str">
        <f>IFERROR(VLOOKUP(N4,Database!$A$2:$L$175,9,FALSE),"-")</f>
        <v>-</v>
      </c>
      <c r="R4" s="98" t="str">
        <f>IF(AND(D4="Y",booking!P4&lt;&gt;booking!Q4,booking!Q4&gt;0),booking!Q4,"-")</f>
        <v>-</v>
      </c>
      <c r="S4" s="79" t="str">
        <f>IFERROR(VLOOKUP(R4,Database!$A$2:$L$175,8,FALSE),"-")</f>
        <v>-</v>
      </c>
      <c r="T4" s="79" t="str">
        <f>IFERROR(VLOOKUP(R4,Database!$A$2:$L$175,6,FALSE),"-")</f>
        <v>-</v>
      </c>
      <c r="U4" s="83" t="str">
        <f>IFERROR(VLOOKUP(R4,Database!$A$2:$L$175,9,FALSE),"-")</f>
        <v>-</v>
      </c>
      <c r="V4" s="97" t="str">
        <f>IF(AND(D4="Y",booking!T4&lt;&gt;booking!U4,booking!U4&gt;0),booking!U4,"-")</f>
        <v>-</v>
      </c>
      <c r="W4" s="80" t="str">
        <f>IFERROR(VLOOKUP(V4,Database!$A$2:$L$175,8,FALSE),"-")</f>
        <v>-</v>
      </c>
      <c r="X4" s="80" t="str">
        <f>IFERROR(VLOOKUP(V4,Database!$A$2:$L$175,6,FALSE),"-")</f>
        <v>-</v>
      </c>
      <c r="Y4" s="82" t="str">
        <f>IFERROR(VLOOKUP(V4,Database!$A$2:$L$175,9,FALSE),"-")</f>
        <v>-</v>
      </c>
    </row>
    <row r="5" spans="1:26" ht="15" customHeight="1" thickBot="1" x14ac:dyDescent="0.4">
      <c r="A5" s="89" t="str">
        <f>rengøring!A5</f>
        <v>torsdag</v>
      </c>
      <c r="B5" s="87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79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97" t="str">
        <f>IF(AND(D5="Y",booking!L5&lt;&gt;booking!M5,booking!M5&gt;0),booking!M5,"-")</f>
        <v>-</v>
      </c>
      <c r="O5" s="79" t="str">
        <f>IFERROR(VLOOKUP(N5,Database!$A$2:$L$175,8,FALSE),"-")</f>
        <v>-</v>
      </c>
      <c r="P5" s="79" t="str">
        <f>IFERROR(VLOOKUP(N5,Database!$A$2:$L$175,6,FALSE),"-")</f>
        <v>-</v>
      </c>
      <c r="Q5" s="83" t="str">
        <f>IFERROR(VLOOKUP(N5,Database!$A$2:$L$175,9,FALSE),"-")</f>
        <v>-</v>
      </c>
      <c r="R5" s="98" t="str">
        <f>IF(AND(D5="Y",booking!P5&lt;&gt;booking!Q5,booking!Q5&gt;0),booking!Q5,"-")</f>
        <v>-</v>
      </c>
      <c r="S5" s="79" t="str">
        <f>IFERROR(VLOOKUP(R5,Database!$A$2:$L$175,8,FALSE),"-")</f>
        <v>-</v>
      </c>
      <c r="T5" s="79" t="str">
        <f>IFERROR(VLOOKUP(R5,Database!$A$2:$L$175,6,FALSE),"-")</f>
        <v>-</v>
      </c>
      <c r="U5" s="83" t="str">
        <f>IFERROR(VLOOKUP(R5,Database!$A$2:$L$175,9,FALSE),"-")</f>
        <v>-</v>
      </c>
      <c r="V5" s="97" t="str">
        <f>IF(AND(D5="Y",booking!T5&lt;&gt;booking!U5,booking!U5&gt;0),booking!U5,"-")</f>
        <v>-</v>
      </c>
      <c r="W5" s="80" t="str">
        <f>IFERROR(VLOOKUP(V5,Database!$A$2:$L$175,8,FALSE),"-")</f>
        <v>-</v>
      </c>
      <c r="X5" s="80" t="str">
        <f>IFERROR(VLOOKUP(V5,Database!$A$2:$L$175,6,FALSE),"-")</f>
        <v>-</v>
      </c>
      <c r="Y5" s="82" t="str">
        <f>IFERROR(VLOOKUP(V5,Database!$A$2:$L$175,9,FALSE),"-")</f>
        <v>-</v>
      </c>
    </row>
    <row r="6" spans="1:26" ht="15" customHeight="1" thickBot="1" x14ac:dyDescent="0.4">
      <c r="A6" s="89" t="str">
        <f>rengøring!A6</f>
        <v>fredag</v>
      </c>
      <c r="B6" s="85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79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97">
        <f>IF(AND(D6="Y",booking!L6&lt;&gt;booking!M6,booking!M6&gt;0),booking!M6,"-")</f>
        <v>68</v>
      </c>
      <c r="O6" s="79">
        <f>IFERROR(VLOOKUP(N6,Database!$A$2:$L$175,8,FALSE),"-")</f>
        <v>0</v>
      </c>
      <c r="P6" s="79" t="str">
        <f>IFERROR(VLOOKUP(N6,Database!$A$2:$L$175,6,FALSE),"-")</f>
        <v>DK</v>
      </c>
      <c r="Q6" s="83" t="str">
        <f>IFERROR(VLOOKUP(N6,Database!$A$2:$L$175,9,FALSE),"-")</f>
        <v>sing</v>
      </c>
      <c r="R6" s="98">
        <f>IF(AND(D6="Y",booking!P6&lt;&gt;booking!Q6,booking!Q6&gt;0),booking!Q6,"-")</f>
        <v>28</v>
      </c>
      <c r="S6" s="79">
        <f>IFERROR(VLOOKUP(R6,Database!$A$2:$L$175,8,FALSE),"-")</f>
        <v>0</v>
      </c>
      <c r="T6" s="79" t="str">
        <f>IFERROR(VLOOKUP(R6,Database!$A$2:$L$175,6,FALSE),"-")</f>
        <v>DK</v>
      </c>
      <c r="U6" s="83">
        <f>IFERROR(VLOOKUP(R6,Database!$A$2:$L$175,9,FALSE),"-")</f>
        <v>0</v>
      </c>
      <c r="V6" s="97">
        <f>IF(AND(D6="Y",booking!T6&lt;&gt;booking!U6,booking!U6&gt;0),booking!U6,"-")</f>
        <v>28</v>
      </c>
      <c r="W6" s="80">
        <f>IFERROR(VLOOKUP(V6,Database!$A$2:$L$175,8,FALSE),"-")</f>
        <v>0</v>
      </c>
      <c r="X6" s="80" t="str">
        <f>IFERROR(VLOOKUP(V6,Database!$A$2:$L$175,6,FALSE),"-")</f>
        <v>DK</v>
      </c>
      <c r="Y6" s="82">
        <f>IFERROR(VLOOKUP(V6,Database!$A$2:$L$175,9,FALSE),"-")</f>
        <v>0</v>
      </c>
    </row>
    <row r="7" spans="1:26" ht="15" customHeight="1" thickBot="1" x14ac:dyDescent="0.4">
      <c r="A7" s="89" t="str">
        <f>rengøring!A7</f>
        <v>lørdag</v>
      </c>
      <c r="B7" s="87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79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97" t="str">
        <f>IF(AND(D7="Y",booking!L7&lt;&gt;booking!M7,booking!M7&gt;0),booking!M7,"-")</f>
        <v>-</v>
      </c>
      <c r="O7" s="79" t="str">
        <f>IFERROR(VLOOKUP(N7,Database!$A$2:$L$175,8,FALSE),"-")</f>
        <v>-</v>
      </c>
      <c r="P7" s="79" t="str">
        <f>IFERROR(VLOOKUP(N7,Database!$A$2:$L$175,6,FALSE),"-")</f>
        <v>-</v>
      </c>
      <c r="Q7" s="83" t="str">
        <f>IFERROR(VLOOKUP(N7,Database!$A$2:$L$175,9,FALSE),"-")</f>
        <v>-</v>
      </c>
      <c r="R7" s="98" t="str">
        <f>IF(AND(D7="Y",booking!P7&lt;&gt;booking!Q7,booking!Q7&gt;0),booking!Q7,"-")</f>
        <v>-</v>
      </c>
      <c r="S7" s="79" t="str">
        <f>IFERROR(VLOOKUP(R7,Database!$A$2:$L$175,8,FALSE),"-")</f>
        <v>-</v>
      </c>
      <c r="T7" s="79" t="str">
        <f>IFERROR(VLOOKUP(R7,Database!$A$2:$L$175,6,FALSE),"-")</f>
        <v>-</v>
      </c>
      <c r="U7" s="83" t="str">
        <f>IFERROR(VLOOKUP(R7,Database!$A$2:$L$175,9,FALSE),"-")</f>
        <v>-</v>
      </c>
      <c r="V7" s="97" t="str">
        <f>IF(AND(D7="Y",booking!T7&lt;&gt;booking!U7,booking!U7&gt;0),booking!U7,"-")</f>
        <v>-</v>
      </c>
      <c r="W7" s="80" t="str">
        <f>IFERROR(VLOOKUP(V7,Database!$A$2:$L$175,8,FALSE),"-")</f>
        <v>-</v>
      </c>
      <c r="X7" s="80" t="str">
        <f>IFERROR(VLOOKUP(V7,Database!$A$2:$L$175,6,FALSE),"-")</f>
        <v>-</v>
      </c>
      <c r="Y7" s="82" t="str">
        <f>IFERROR(VLOOKUP(V7,Database!$A$2:$L$175,9,FALSE),"-")</f>
        <v>-</v>
      </c>
    </row>
    <row r="8" spans="1:26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79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97" t="str">
        <f>IF(AND(D8="Y",booking!L8&lt;&gt;booking!M8,booking!M8&gt;0),booking!M8,"-")</f>
        <v>-</v>
      </c>
      <c r="O8" s="79" t="str">
        <f>IFERROR(VLOOKUP(N8,Database!$A$2:$L$175,8,FALSE),"-")</f>
        <v>-</v>
      </c>
      <c r="P8" s="79" t="str">
        <f>IFERROR(VLOOKUP(N8,Database!$A$2:$L$175,6,FALSE),"-")</f>
        <v>-</v>
      </c>
      <c r="Q8" s="83" t="str">
        <f>IFERROR(VLOOKUP(N8,Database!$A$2:$L$175,9,FALSE),"-")</f>
        <v>-</v>
      </c>
      <c r="R8" s="98">
        <f>IF(AND(D8="Y",booking!P8&lt;&gt;booking!Q8,booking!Q8&gt;0),booking!Q8,"-")</f>
        <v>72</v>
      </c>
      <c r="S8" s="79" t="str">
        <f>IFERROR(VLOOKUP(R8,Database!$A$2:$L$175,8,FALSE),"-")</f>
        <v>1430</v>
      </c>
      <c r="T8" s="79" t="str">
        <f>IFERROR(VLOOKUP(R8,Database!$A$2:$L$175,6,FALSE),"-")</f>
        <v>DK</v>
      </c>
      <c r="U8" s="83">
        <f>IFERROR(VLOOKUP(R8,Database!$A$2:$L$175,9,FALSE),"-")</f>
        <v>0</v>
      </c>
      <c r="V8" s="97" t="str">
        <f>IF(AND(D8="Y",booking!T8&lt;&gt;booking!U8,booking!U8&gt;0),booking!U8,"-")</f>
        <v>-</v>
      </c>
      <c r="W8" s="80" t="str">
        <f>IFERROR(VLOOKUP(V8,Database!$A$2:$L$175,8,FALSE),"-")</f>
        <v>-</v>
      </c>
      <c r="X8" s="80" t="str">
        <f>IFERROR(VLOOKUP(V8,Database!$A$2:$L$175,6,FALSE),"-")</f>
        <v>-</v>
      </c>
      <c r="Y8" s="82" t="str">
        <f>IFERROR(VLOOKUP(V8,Database!$A$2:$L$175,9,FALSE),"-")</f>
        <v>-</v>
      </c>
    </row>
    <row r="9" spans="1:26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79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97" t="str">
        <f>IF(AND(D9="Y",booking!L9&lt;&gt;booking!M9,booking!M9&gt;0),booking!M9,"-")</f>
        <v>-</v>
      </c>
      <c r="O9" s="79" t="str">
        <f>IFERROR(VLOOKUP(N9,Database!$A$2:$L$175,8,FALSE),"-")</f>
        <v>-</v>
      </c>
      <c r="P9" s="79" t="str">
        <f>IFERROR(VLOOKUP(N9,Database!$A$2:$L$175,6,FALSE),"-")</f>
        <v>-</v>
      </c>
      <c r="Q9" s="83" t="str">
        <f>IFERROR(VLOOKUP(N9,Database!$A$2:$L$175,9,FALSE),"-")</f>
        <v>-</v>
      </c>
      <c r="R9" s="98" t="str">
        <f>IF(AND(D9="Y",booking!P9&lt;&gt;booking!Q9,booking!Q9&gt;0),booking!Q9,"-")</f>
        <v>-</v>
      </c>
      <c r="S9" s="79" t="str">
        <f>IFERROR(VLOOKUP(R9,Database!$A$2:$L$175,8,FALSE),"-")</f>
        <v>-</v>
      </c>
      <c r="T9" s="79" t="str">
        <f>IFERROR(VLOOKUP(R9,Database!$A$2:$L$175,6,FALSE),"-")</f>
        <v>-</v>
      </c>
      <c r="U9" s="83" t="str">
        <f>IFERROR(VLOOKUP(R9,Database!$A$2:$L$175,9,FALSE),"-")</f>
        <v>-</v>
      </c>
      <c r="V9" s="97" t="str">
        <f>IF(AND(D9="Y",booking!T9&lt;&gt;booking!U9,booking!U9&gt;0),booking!U9,"-")</f>
        <v>-</v>
      </c>
      <c r="W9" s="80" t="str">
        <f>IFERROR(VLOOKUP(V9,Database!$A$2:$L$175,8,FALSE),"-")</f>
        <v>-</v>
      </c>
      <c r="X9" s="80" t="str">
        <f>IFERROR(VLOOKUP(V9,Database!$A$2:$L$175,6,FALSE),"-")</f>
        <v>-</v>
      </c>
      <c r="Y9" s="82" t="str">
        <f>IFERROR(VLOOKUP(V9,Database!$A$2:$L$175,9,FALSE),"-")</f>
        <v>-</v>
      </c>
    </row>
    <row r="10" spans="1:26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79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97" t="str">
        <f>IF(AND(D10="Y",booking!L10&lt;&gt;booking!M10,booking!M10&gt;0),booking!M10,"-")</f>
        <v>-</v>
      </c>
      <c r="O10" s="79" t="str">
        <f>IFERROR(VLOOKUP(N10,Database!$A$2:$L$175,8,FALSE),"-")</f>
        <v>-</v>
      </c>
      <c r="P10" s="79" t="str">
        <f>IFERROR(VLOOKUP(N10,Database!$A$2:$L$175,6,FALSE),"-")</f>
        <v>-</v>
      </c>
      <c r="Q10" s="83" t="str">
        <f>IFERROR(VLOOKUP(N10,Database!$A$2:$L$175,9,FALSE),"-")</f>
        <v>-</v>
      </c>
      <c r="R10" s="98" t="str">
        <f>IF(AND(D10="Y",booking!P10&lt;&gt;booking!Q10,booking!Q10&gt;0),booking!Q10,"-")</f>
        <v>-</v>
      </c>
      <c r="S10" s="79" t="str">
        <f>IFERROR(VLOOKUP(R10,Database!$A$2:$L$175,8,FALSE),"-")</f>
        <v>-</v>
      </c>
      <c r="T10" s="79" t="str">
        <f>IFERROR(VLOOKUP(R10,Database!$A$2:$L$175,6,FALSE),"-")</f>
        <v>-</v>
      </c>
      <c r="U10" s="83" t="str">
        <f>IFERROR(VLOOKUP(R10,Database!$A$2:$L$175,9,FALSE),"-")</f>
        <v>-</v>
      </c>
      <c r="V10" s="97" t="str">
        <f>IF(AND(D10="Y",booking!T10&lt;&gt;booking!U10,booking!U10&gt;0),booking!U10,"-")</f>
        <v>-</v>
      </c>
      <c r="W10" s="80" t="str">
        <f>IFERROR(VLOOKUP(V10,Database!$A$2:$L$175,8,FALSE),"-")</f>
        <v>-</v>
      </c>
      <c r="X10" s="80" t="str">
        <f>IFERROR(VLOOKUP(V10,Database!$A$2:$L$175,6,FALSE),"-")</f>
        <v>-</v>
      </c>
      <c r="Y10" s="82" t="str">
        <f>IFERROR(VLOOKUP(V10,Database!$A$2:$L$175,9,FALSE),"-")</f>
        <v>-</v>
      </c>
    </row>
    <row r="11" spans="1:26" ht="15" customHeight="1" thickBot="1" x14ac:dyDescent="0.4">
      <c r="A11" s="89" t="str">
        <f>rengøring!A11</f>
        <v>onsdag</v>
      </c>
      <c r="B11" s="87">
        <v>46148</v>
      </c>
      <c r="C11" s="9"/>
      <c r="D11" s="90" t="str">
        <f>IF(booking!AB11&gt;0,"Y","-")</f>
        <v>Y</v>
      </c>
      <c r="E11" s="96" t="str">
        <f>IF(AND(D11="Y",booking!D11&lt;&gt;booking!E11,booking!E11&gt;0),booking!E11,"-")</f>
        <v>-</v>
      </c>
      <c r="F11" s="79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>
        <f>IF(AND(D11="Y",booking!H11&lt;&gt;booking!I12,booking!I12&gt;0),booking!I12,"-")</f>
        <v>80</v>
      </c>
      <c r="K11" s="79">
        <f>IFERROR(VLOOKUP(J11,Database!$A$2:$L$175,8,FALSE),"-")</f>
        <v>0</v>
      </c>
      <c r="L11" s="79" t="str">
        <f>IFERROR(VLOOKUP(J11,Database!$A$2:$L$175,6,FALSE),"-")</f>
        <v>DK</v>
      </c>
      <c r="M11" s="94" t="str">
        <f>IFERROR(VLOOKUP(J11,Database!$A$2:$L$175,9,FALSE),"-")</f>
        <v>db</v>
      </c>
      <c r="N11" s="97" t="str">
        <f>IF(AND(D11="Y",booking!L11&lt;&gt;booking!M11,booking!M11&gt;0),booking!M11,"-")</f>
        <v>-</v>
      </c>
      <c r="O11" s="79" t="str">
        <f>IFERROR(VLOOKUP(N11,Database!$A$2:$L$175,8,FALSE),"-")</f>
        <v>-</v>
      </c>
      <c r="P11" s="79" t="str">
        <f>IFERROR(VLOOKUP(N11,Database!$A$2:$L$175,6,FALSE),"-")</f>
        <v>-</v>
      </c>
      <c r="Q11" s="83" t="str">
        <f>IFERROR(VLOOKUP(N11,Database!$A$2:$L$175,9,FALSE),"-")</f>
        <v>-</v>
      </c>
      <c r="R11" s="98" t="str">
        <f>IF(AND(D11="Y",booking!P11&lt;&gt;booking!Q11,booking!Q11&gt;0),booking!Q11,"-")</f>
        <v>-</v>
      </c>
      <c r="S11" s="79" t="str">
        <f>IFERROR(VLOOKUP(R11,Database!$A$2:$L$175,8,FALSE),"-")</f>
        <v>-</v>
      </c>
      <c r="T11" s="79" t="str">
        <f>IFERROR(VLOOKUP(R11,Database!$A$2:$L$175,6,FALSE),"-")</f>
        <v>-</v>
      </c>
      <c r="U11" s="83" t="str">
        <f>IFERROR(VLOOKUP(R11,Database!$A$2:$L$175,9,FALSE),"-")</f>
        <v>-</v>
      </c>
      <c r="V11" s="97" t="str">
        <f>IF(AND(D11="Y",booking!T11&lt;&gt;booking!U11,booking!U11&gt;0),booking!U11,"-")</f>
        <v>-</v>
      </c>
      <c r="W11" s="80" t="str">
        <f>IFERROR(VLOOKUP(V11,Database!$A$2:$L$175,8,FALSE),"-")</f>
        <v>-</v>
      </c>
      <c r="X11" s="80" t="str">
        <f>IFERROR(VLOOKUP(V11,Database!$A$2:$L$175,6,FALSE),"-")</f>
        <v>-</v>
      </c>
      <c r="Y11" s="82" t="str">
        <f>IFERROR(VLOOKUP(V11,Database!$A$2:$L$175,9,FALSE),"-")</f>
        <v>-</v>
      </c>
    </row>
    <row r="12" spans="1:26" ht="15" customHeight="1" thickBot="1" x14ac:dyDescent="0.4">
      <c r="A12" s="89" t="str">
        <f>rengøring!A12</f>
        <v>torsdag</v>
      </c>
      <c r="B12" s="85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79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97">
        <f>IF(AND(D12="Y",booking!L12&lt;&gt;booking!M12,booking!M12&gt;0),booking!M12,"-")</f>
        <v>80</v>
      </c>
      <c r="O12" s="79">
        <f>IFERROR(VLOOKUP(N12,Database!$A$2:$L$175,8,FALSE),"-")</f>
        <v>0</v>
      </c>
      <c r="P12" s="79" t="str">
        <f>IFERROR(VLOOKUP(N12,Database!$A$2:$L$175,6,FALSE),"-")</f>
        <v>DK</v>
      </c>
      <c r="Q12" s="83" t="str">
        <f>IFERROR(VLOOKUP(N12,Database!$A$2:$L$175,9,FALSE),"-")</f>
        <v>db</v>
      </c>
      <c r="R12" s="98" t="str">
        <f>IF(AND(D12="Y",booking!P12&lt;&gt;booking!Q12,booking!Q12&gt;0),booking!Q12,"-")</f>
        <v>-</v>
      </c>
      <c r="S12" s="79" t="str">
        <f>IFERROR(VLOOKUP(R12,Database!$A$2:$L$175,8,FALSE),"-")</f>
        <v>-</v>
      </c>
      <c r="T12" s="79" t="str">
        <f>IFERROR(VLOOKUP(R12,Database!$A$2:$L$175,6,FALSE),"-")</f>
        <v>-</v>
      </c>
      <c r="U12" s="83" t="str">
        <f>IFERROR(VLOOKUP(R12,Database!$A$2:$L$175,9,FALSE),"-")</f>
        <v>-</v>
      </c>
      <c r="V12" s="97" t="str">
        <f>IF(AND(D12="Y",booking!T12&lt;&gt;booking!U12,booking!U12&gt;0),booking!U12,"-")</f>
        <v>-</v>
      </c>
      <c r="W12" s="80" t="str">
        <f>IFERROR(VLOOKUP(V12,Database!$A$2:$L$175,8,FALSE),"-")</f>
        <v>-</v>
      </c>
      <c r="X12" s="80" t="str">
        <f>IFERROR(VLOOKUP(V12,Database!$A$2:$L$175,6,FALSE),"-")</f>
        <v>-</v>
      </c>
      <c r="Y12" s="82" t="str">
        <f>IFERROR(VLOOKUP(V12,Database!$A$2:$L$175,9,FALSE),"-")</f>
        <v>-</v>
      </c>
    </row>
    <row r="13" spans="1:26" ht="15" customHeight="1" thickBot="1" x14ac:dyDescent="0.4">
      <c r="A13" s="89" t="str">
        <f>rengøring!A13</f>
        <v>fredag</v>
      </c>
      <c r="B13" s="87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79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97" t="str">
        <f>IF(AND(D13="Y",booking!L13&lt;&gt;booking!M13,booking!M13&gt;0),booking!M13,"-")</f>
        <v>-</v>
      </c>
      <c r="O13" s="79" t="str">
        <f>IFERROR(VLOOKUP(N13,Database!$A$2:$L$175,8,FALSE),"-")</f>
        <v>-</v>
      </c>
      <c r="P13" s="79" t="str">
        <f>IFERROR(VLOOKUP(N13,Database!$A$2:$L$175,6,FALSE),"-")</f>
        <v>-</v>
      </c>
      <c r="Q13" s="83" t="str">
        <f>IFERROR(VLOOKUP(N13,Database!$A$2:$L$175,9,FALSE),"-")</f>
        <v>-</v>
      </c>
      <c r="R13" s="98" t="str">
        <f>IF(AND(D13="Y",booking!P13&lt;&gt;booking!Q13,booking!Q13&gt;0),booking!Q13,"-")</f>
        <v>-</v>
      </c>
      <c r="S13" s="79" t="str">
        <f>IFERROR(VLOOKUP(R13,Database!$A$2:$L$175,8,FALSE),"-")</f>
        <v>-</v>
      </c>
      <c r="T13" s="79" t="str">
        <f>IFERROR(VLOOKUP(R13,Database!$A$2:$L$175,6,FALSE),"-")</f>
        <v>-</v>
      </c>
      <c r="U13" s="83" t="str">
        <f>IFERROR(VLOOKUP(R13,Database!$A$2:$L$175,9,FALSE),"-")</f>
        <v>-</v>
      </c>
      <c r="V13" s="97" t="str">
        <f>IF(AND(D13="Y",booking!T13&lt;&gt;booking!U13,booking!U13&gt;0),booking!U13,"-")</f>
        <v>-</v>
      </c>
      <c r="W13" s="80" t="str">
        <f>IFERROR(VLOOKUP(V13,Database!$A$2:$L$175,8,FALSE),"-")</f>
        <v>-</v>
      </c>
      <c r="X13" s="80" t="str">
        <f>IFERROR(VLOOKUP(V13,Database!$A$2:$L$175,6,FALSE),"-")</f>
        <v>-</v>
      </c>
      <c r="Y13" s="82" t="str">
        <f>IFERROR(VLOOKUP(V13,Database!$A$2:$L$175,9,FALSE),"-")</f>
        <v>-</v>
      </c>
    </row>
    <row r="14" spans="1:26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79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97" t="str">
        <f>IF(AND(D14="Y",booking!L14&lt;&gt;booking!M14,booking!M14&gt;0),booking!M14,"-")</f>
        <v>-</v>
      </c>
      <c r="O14" s="79" t="str">
        <f>IFERROR(VLOOKUP(N14,Database!$A$2:$L$175,8,FALSE),"-")</f>
        <v>-</v>
      </c>
      <c r="P14" s="79" t="str">
        <f>IFERROR(VLOOKUP(N14,Database!$A$2:$L$175,6,FALSE),"-")</f>
        <v>-</v>
      </c>
      <c r="Q14" s="83" t="str">
        <f>IFERROR(VLOOKUP(N14,Database!$A$2:$L$175,9,FALSE),"-")</f>
        <v>-</v>
      </c>
      <c r="R14" s="98" t="str">
        <f>IF(AND(D14="Y",booking!P14&lt;&gt;booking!Q14,booking!Q14&gt;0),booking!Q14,"-")</f>
        <v>-</v>
      </c>
      <c r="S14" s="79" t="str">
        <f>IFERROR(VLOOKUP(R14,Database!$A$2:$L$175,8,FALSE),"-")</f>
        <v>-</v>
      </c>
      <c r="T14" s="79" t="str">
        <f>IFERROR(VLOOKUP(R14,Database!$A$2:$L$175,6,FALSE),"-")</f>
        <v>-</v>
      </c>
      <c r="U14" s="83" t="str">
        <f>IFERROR(VLOOKUP(R14,Database!$A$2:$L$175,9,FALSE),"-")</f>
        <v>-</v>
      </c>
      <c r="V14" s="97" t="str">
        <f>IF(AND(D14="Y",booking!T14&lt;&gt;booking!U14,booking!U14&gt;0),booking!U14,"-")</f>
        <v>-</v>
      </c>
      <c r="W14" s="80" t="str">
        <f>IFERROR(VLOOKUP(V14,Database!$A$2:$L$175,8,FALSE),"-")</f>
        <v>-</v>
      </c>
      <c r="X14" s="80" t="str">
        <f>IFERROR(VLOOKUP(V14,Database!$A$2:$L$175,6,FALSE),"-")</f>
        <v>-</v>
      </c>
      <c r="Y14" s="82" t="str">
        <f>IFERROR(VLOOKUP(V14,Database!$A$2:$L$175,9,FALSE),"-")</f>
        <v>-</v>
      </c>
    </row>
    <row r="15" spans="1:26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79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97" t="str">
        <f>IF(AND(D15="Y",booking!L15&lt;&gt;booking!M15,booking!M15&gt;0),booking!M15,"-")</f>
        <v>-</v>
      </c>
      <c r="O15" s="79" t="str">
        <f>IFERROR(VLOOKUP(N15,Database!$A$2:$L$175,8,FALSE),"-")</f>
        <v>-</v>
      </c>
      <c r="P15" s="79" t="str">
        <f>IFERROR(VLOOKUP(N15,Database!$A$2:$L$175,6,FALSE),"-")</f>
        <v>-</v>
      </c>
      <c r="Q15" s="83" t="str">
        <f>IFERROR(VLOOKUP(N15,Database!$A$2:$L$175,9,FALSE),"-")</f>
        <v>-</v>
      </c>
      <c r="R15" s="98" t="str">
        <f>IF(AND(D15="Y",booking!P15&lt;&gt;booking!Q15,booking!Q15&gt;0),booking!Q15,"-")</f>
        <v>-</v>
      </c>
      <c r="S15" s="79" t="str">
        <f>IFERROR(VLOOKUP(R15,Database!$A$2:$L$175,8,FALSE),"-")</f>
        <v>-</v>
      </c>
      <c r="T15" s="79" t="str">
        <f>IFERROR(VLOOKUP(R15,Database!$A$2:$L$175,6,FALSE),"-")</f>
        <v>-</v>
      </c>
      <c r="U15" s="83" t="str">
        <f>IFERROR(VLOOKUP(R15,Database!$A$2:$L$175,9,FALSE),"-")</f>
        <v>-</v>
      </c>
      <c r="V15" s="97" t="str">
        <f>IF(AND(D15="Y",booking!T15&lt;&gt;booking!U15,booking!U15&gt;0),booking!U15,"-")</f>
        <v>-</v>
      </c>
      <c r="W15" s="80" t="str">
        <f>IFERROR(VLOOKUP(V15,Database!$A$2:$L$175,8,FALSE),"-")</f>
        <v>-</v>
      </c>
      <c r="X15" s="80" t="str">
        <f>IFERROR(VLOOKUP(V15,Database!$A$2:$L$175,6,FALSE),"-")</f>
        <v>-</v>
      </c>
      <c r="Y15" s="82" t="str">
        <f>IFERROR(VLOOKUP(V15,Database!$A$2:$L$175,9,FALSE),"-")</f>
        <v>-</v>
      </c>
    </row>
    <row r="16" spans="1:26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79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97" t="str">
        <f>IF(AND(D16="Y",booking!L16&lt;&gt;booking!M16,booking!M16&gt;0),booking!M16,"-")</f>
        <v>-</v>
      </c>
      <c r="O16" s="79" t="str">
        <f>IFERROR(VLOOKUP(N16,Database!$A$2:$L$175,8,FALSE),"-")</f>
        <v>-</v>
      </c>
      <c r="P16" s="79" t="str">
        <f>IFERROR(VLOOKUP(N16,Database!$A$2:$L$175,6,FALSE),"-")</f>
        <v>-</v>
      </c>
      <c r="Q16" s="83" t="str">
        <f>IFERROR(VLOOKUP(N16,Database!$A$2:$L$175,9,FALSE),"-")</f>
        <v>-</v>
      </c>
      <c r="R16" s="98" t="str">
        <f>IF(AND(D16="Y",booking!P16&lt;&gt;booking!Q16,booking!Q16&gt;0),booking!Q16,"-")</f>
        <v>-</v>
      </c>
      <c r="S16" s="79" t="str">
        <f>IFERROR(VLOOKUP(R16,Database!$A$2:$L$175,8,FALSE),"-")</f>
        <v>-</v>
      </c>
      <c r="T16" s="79" t="str">
        <f>IFERROR(VLOOKUP(R16,Database!$A$2:$L$175,6,FALSE),"-")</f>
        <v>-</v>
      </c>
      <c r="U16" s="83" t="str">
        <f>IFERROR(VLOOKUP(R16,Database!$A$2:$L$175,9,FALSE),"-")</f>
        <v>-</v>
      </c>
      <c r="V16" s="97">
        <f>IF(AND(D16="Y",booking!T16&lt;&gt;booking!U16,booking!U16&gt;0),booking!U16,"-")</f>
        <v>63</v>
      </c>
      <c r="W16" s="80">
        <f>IFERROR(VLOOKUP(V16,Database!$A$2:$L$175,8,FALSE),"-")</f>
        <v>0</v>
      </c>
      <c r="X16" s="80" t="str">
        <f>IFERROR(VLOOKUP(V16,Database!$A$2:$L$175,6,FALSE),"-")</f>
        <v>S</v>
      </c>
      <c r="Y16" s="82">
        <f>IFERROR(VLOOKUP(V16,Database!$A$2:$L$175,9,FALSE),"-")</f>
        <v>0</v>
      </c>
    </row>
    <row r="17" spans="1:25" ht="15" customHeight="1" thickBot="1" x14ac:dyDescent="0.4">
      <c r="A17" s="89" t="str">
        <f>rengøring!A17</f>
        <v>tirsdag</v>
      </c>
      <c r="B17" s="87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79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97" t="str">
        <f>IF(AND(D17="Y",booking!L17&lt;&gt;booking!M17,booking!M17&gt;0),booking!M17,"-")</f>
        <v>-</v>
      </c>
      <c r="O17" s="79" t="str">
        <f>IFERROR(VLOOKUP(N17,Database!$A$2:$L$175,8,FALSE),"-")</f>
        <v>-</v>
      </c>
      <c r="P17" s="79" t="str">
        <f>IFERROR(VLOOKUP(N17,Database!$A$2:$L$175,6,FALSE),"-")</f>
        <v>-</v>
      </c>
      <c r="Q17" s="83" t="str">
        <f>IFERROR(VLOOKUP(N17,Database!$A$2:$L$175,9,FALSE),"-")</f>
        <v>-</v>
      </c>
      <c r="R17" s="98" t="str">
        <f>IF(AND(D17="Y",booking!P17&lt;&gt;booking!Q17,booking!Q17&gt;0),booking!Q17,"-")</f>
        <v>-</v>
      </c>
      <c r="S17" s="79" t="str">
        <f>IFERROR(VLOOKUP(R17,Database!$A$2:$L$175,8,FALSE),"-")</f>
        <v>-</v>
      </c>
      <c r="T17" s="79" t="str">
        <f>IFERROR(VLOOKUP(R17,Database!$A$2:$L$175,6,FALSE),"-")</f>
        <v>-</v>
      </c>
      <c r="U17" s="83" t="str">
        <f>IFERROR(VLOOKUP(R17,Database!$A$2:$L$175,9,FALSE),"-")</f>
        <v>-</v>
      </c>
      <c r="V17" s="97" t="str">
        <f>IF(AND(D17="Y",booking!T17&lt;&gt;booking!U17,booking!U17&gt;0),booking!U17,"-")</f>
        <v>-</v>
      </c>
      <c r="W17" s="80" t="str">
        <f>IFERROR(VLOOKUP(V17,Database!$A$2:$L$175,8,FALSE),"-")</f>
        <v>-</v>
      </c>
      <c r="X17" s="80" t="str">
        <f>IFERROR(VLOOKUP(V17,Database!$A$2:$L$175,6,FALSE),"-")</f>
        <v>-</v>
      </c>
      <c r="Y17" s="82" t="str">
        <f>IFERROR(VLOOKUP(V17,Database!$A$2:$L$175,9,FALSE),"-")</f>
        <v>-</v>
      </c>
    </row>
    <row r="18" spans="1:25" ht="15" customHeight="1" thickBot="1" x14ac:dyDescent="0.4">
      <c r="A18" s="89" t="str">
        <f>rengøring!A18</f>
        <v>onsdag</v>
      </c>
      <c r="B18" s="85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79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97" t="str">
        <f>IF(AND(D18="Y",booking!L18&lt;&gt;booking!M18,booking!M18&gt;0),booking!M18,"-")</f>
        <v>-</v>
      </c>
      <c r="O18" s="79" t="str">
        <f>IFERROR(VLOOKUP(N18,Database!$A$2:$L$175,8,FALSE),"-")</f>
        <v>-</v>
      </c>
      <c r="P18" s="79" t="str">
        <f>IFERROR(VLOOKUP(N18,Database!$A$2:$L$175,6,FALSE),"-")</f>
        <v>-</v>
      </c>
      <c r="Q18" s="83" t="str">
        <f>IFERROR(VLOOKUP(N18,Database!$A$2:$L$175,9,FALSE),"-")</f>
        <v>-</v>
      </c>
      <c r="R18" s="98" t="str">
        <f>IF(AND(D18="Y",booking!P18&lt;&gt;booking!Q18,booking!Q18&gt;0),booking!Q18,"-")</f>
        <v>-</v>
      </c>
      <c r="S18" s="79" t="str">
        <f>IFERROR(VLOOKUP(R18,Database!$A$2:$L$175,8,FALSE),"-")</f>
        <v>-</v>
      </c>
      <c r="T18" s="79" t="str">
        <f>IFERROR(VLOOKUP(R18,Database!$A$2:$L$175,6,FALSE),"-")</f>
        <v>-</v>
      </c>
      <c r="U18" s="83" t="str">
        <f>IFERROR(VLOOKUP(R18,Database!$A$2:$L$175,9,FALSE),"-")</f>
        <v>-</v>
      </c>
      <c r="V18" s="97" t="str">
        <f>IF(AND(D18="Y",booking!T18&lt;&gt;booking!U18,booking!U18&gt;0),booking!U18,"-")</f>
        <v>-</v>
      </c>
      <c r="W18" s="80" t="str">
        <f>IFERROR(VLOOKUP(V18,Database!$A$2:$L$175,8,FALSE),"-")</f>
        <v>-</v>
      </c>
      <c r="X18" s="80" t="str">
        <f>IFERROR(VLOOKUP(V18,Database!$A$2:$L$175,6,FALSE),"-")</f>
        <v>-</v>
      </c>
      <c r="Y18" s="82" t="str">
        <f>IFERROR(VLOOKUP(V18,Database!$A$2:$L$175,9,FALSE),"-")</f>
        <v>-</v>
      </c>
    </row>
    <row r="19" spans="1:25" ht="15" customHeight="1" thickBot="1" x14ac:dyDescent="0.4">
      <c r="A19" s="89" t="str">
        <f>rengøring!A19</f>
        <v>torsdag</v>
      </c>
      <c r="B19" s="87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79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97">
        <f>IF(AND(D19="Y",booking!L19&lt;&gt;booking!M19,booking!M19&gt;0),booking!M19,"-")</f>
        <v>95</v>
      </c>
      <c r="O19" s="79">
        <f>IFERROR(VLOOKUP(N19,Database!$A$2:$L$175,8,FALSE),"-")</f>
        <v>0</v>
      </c>
      <c r="P19" s="79" t="str">
        <f>IFERROR(VLOOKUP(N19,Database!$A$2:$L$175,6,FALSE),"-")</f>
        <v>S</v>
      </c>
      <c r="Q19" s="83">
        <f>IFERROR(VLOOKUP(N19,Database!$A$2:$L$175,9,FALSE),"-")</f>
        <v>0</v>
      </c>
      <c r="R19" s="98">
        <f>IF(AND(D19="Y",booking!P19&lt;&gt;booking!Q19,booking!Q19&gt;0),booking!Q19,"-")</f>
        <v>97</v>
      </c>
      <c r="S19" s="79">
        <f>IFERROR(VLOOKUP(R19,Database!$A$2:$L$175,8,FALSE),"-")</f>
        <v>0</v>
      </c>
      <c r="T19" s="79" t="str">
        <f>IFERROR(VLOOKUP(R19,Database!$A$2:$L$175,6,FALSE),"-")</f>
        <v>DK</v>
      </c>
      <c r="U19" s="83">
        <f>IFERROR(VLOOKUP(R19,Database!$A$2:$L$175,9,FALSE),"-")</f>
        <v>0</v>
      </c>
      <c r="V19" s="97">
        <f>IF(AND(D19="Y",booking!T19&lt;&gt;booking!U19,booking!U19&gt;0),booking!U19,"-")</f>
        <v>90</v>
      </c>
      <c r="W19" s="80" t="str">
        <f>IFERROR(VLOOKUP(V19,Database!$A$2:$L$175,8,FALSE),"-")</f>
        <v>1630</v>
      </c>
      <c r="X19" s="80" t="str">
        <f>IFERROR(VLOOKUP(V19,Database!$A$2:$L$175,6,FALSE),"-")</f>
        <v>S</v>
      </c>
      <c r="Y19" s="82" t="str">
        <f>IFERROR(VLOOKUP(V19,Database!$A$2:$L$175,9,FALSE),"-")</f>
        <v>dobb</v>
      </c>
    </row>
    <row r="20" spans="1:25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79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97" t="str">
        <f>IF(AND(D20="Y",booking!L20&lt;&gt;booking!M20,booking!M20&gt;0),booking!M20,"-")</f>
        <v>-</v>
      </c>
      <c r="O20" s="79" t="str">
        <f>IFERROR(VLOOKUP(N20,Database!$A$2:$L$175,8,FALSE),"-")</f>
        <v>-</v>
      </c>
      <c r="P20" s="79" t="str">
        <f>IFERROR(VLOOKUP(N20,Database!$A$2:$L$175,6,FALSE),"-")</f>
        <v>-</v>
      </c>
      <c r="Q20" s="83" t="str">
        <f>IFERROR(VLOOKUP(N20,Database!$A$2:$L$175,9,FALSE),"-")</f>
        <v>-</v>
      </c>
      <c r="R20" s="98" t="str">
        <f>IF(AND(D20="Y",booking!P20&lt;&gt;booking!Q20,booking!Q20&gt;0),booking!Q20,"-")</f>
        <v>-</v>
      </c>
      <c r="S20" s="79" t="str">
        <f>IFERROR(VLOOKUP(R20,Database!$A$2:$L$175,8,FALSE),"-")</f>
        <v>-</v>
      </c>
      <c r="T20" s="79" t="str">
        <f>IFERROR(VLOOKUP(R20,Database!$A$2:$L$175,6,FALSE),"-")</f>
        <v>-</v>
      </c>
      <c r="U20" s="83" t="str">
        <f>IFERROR(VLOOKUP(R20,Database!$A$2:$L$175,9,FALSE),"-")</f>
        <v>-</v>
      </c>
      <c r="V20" s="97" t="str">
        <f>IF(AND(D20="Y",booking!T20&lt;&gt;booking!U20,booking!U20&gt;0),booking!U20,"-")</f>
        <v>-</v>
      </c>
      <c r="W20" s="80" t="str">
        <f>IFERROR(VLOOKUP(V20,Database!$A$2:$L$175,8,FALSE),"-")</f>
        <v>-</v>
      </c>
      <c r="X20" s="80" t="str">
        <f>IFERROR(VLOOKUP(V20,Database!$A$2:$L$175,6,FALSE),"-")</f>
        <v>-</v>
      </c>
      <c r="Y20" s="82" t="str">
        <f>IFERROR(VLOOKUP(V20,Database!$A$2:$L$175,9,FALSE),"-")</f>
        <v>-</v>
      </c>
    </row>
    <row r="21" spans="1:25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79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97" t="str">
        <f>IF(AND(D21="Y",booking!L21&lt;&gt;booking!M21,booking!M21&gt;0),booking!M21,"-")</f>
        <v>-</v>
      </c>
      <c r="O21" s="79" t="str">
        <f>IFERROR(VLOOKUP(N21,Database!$A$2:$L$175,8,FALSE),"-")</f>
        <v>-</v>
      </c>
      <c r="P21" s="79" t="str">
        <f>IFERROR(VLOOKUP(N21,Database!$A$2:$L$175,6,FALSE),"-")</f>
        <v>-</v>
      </c>
      <c r="Q21" s="83" t="str">
        <f>IFERROR(VLOOKUP(N21,Database!$A$2:$L$175,9,FALSE),"-")</f>
        <v>-</v>
      </c>
      <c r="R21" s="98" t="str">
        <f>IF(AND(D21="Y",booking!P21&lt;&gt;booking!Q21,booking!Q21&gt;0),booking!Q21,"-")</f>
        <v>-</v>
      </c>
      <c r="S21" s="79" t="str">
        <f>IFERROR(VLOOKUP(R21,Database!$A$2:$L$175,8,FALSE),"-")</f>
        <v>-</v>
      </c>
      <c r="T21" s="79" t="str">
        <f>IFERROR(VLOOKUP(R21,Database!$A$2:$L$175,6,FALSE),"-")</f>
        <v>-</v>
      </c>
      <c r="U21" s="83" t="str">
        <f>IFERROR(VLOOKUP(R21,Database!$A$2:$L$175,9,FALSE),"-")</f>
        <v>-</v>
      </c>
      <c r="V21" s="97" t="str">
        <f>IF(AND(D21="Y",booking!T21&lt;&gt;booking!U21,booking!U21&gt;0),booking!U21,"-")</f>
        <v>-</v>
      </c>
      <c r="W21" s="80" t="str">
        <f>IFERROR(VLOOKUP(V21,Database!$A$2:$L$175,8,FALSE),"-")</f>
        <v>-</v>
      </c>
      <c r="X21" s="80" t="str">
        <f>IFERROR(VLOOKUP(V21,Database!$A$2:$L$175,6,FALSE),"-")</f>
        <v>-</v>
      </c>
      <c r="Y21" s="82" t="str">
        <f>IFERROR(VLOOKUP(V21,Database!$A$2:$L$175,9,FALSE),"-")</f>
        <v>-</v>
      </c>
    </row>
    <row r="22" spans="1:25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79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97" t="str">
        <f>IF(AND(D22="Y",booking!L22&lt;&gt;booking!M22,booking!M22&gt;0),booking!M22,"-")</f>
        <v>-</v>
      </c>
      <c r="O22" s="79" t="str">
        <f>IFERROR(VLOOKUP(N22,Database!$A$2:$L$175,8,FALSE),"-")</f>
        <v>-</v>
      </c>
      <c r="P22" s="79" t="str">
        <f>IFERROR(VLOOKUP(N22,Database!$A$2:$L$175,6,FALSE),"-")</f>
        <v>-</v>
      </c>
      <c r="Q22" s="83" t="str">
        <f>IFERROR(VLOOKUP(N22,Database!$A$2:$L$175,9,FALSE),"-")</f>
        <v>-</v>
      </c>
      <c r="R22" s="98">
        <f>IF(AND(D22="Y",booking!P22&lt;&gt;booking!Q22,booking!Q22&gt;0),booking!Q22,"-")</f>
        <v>96</v>
      </c>
      <c r="S22" s="79" t="str">
        <f>IFERROR(VLOOKUP(R22,Database!$A$2:$L$175,8,FALSE),"-")</f>
        <v>1700</v>
      </c>
      <c r="T22" s="79" t="str">
        <f>IFERROR(VLOOKUP(R22,Database!$A$2:$L$175,6,FALSE),"-")</f>
        <v>D</v>
      </c>
      <c r="U22" s="83" t="str">
        <f>IFERROR(VLOOKUP(R22,Database!$A$2:$L$175,9,FALSE),"-")</f>
        <v>dobb</v>
      </c>
      <c r="V22" s="97">
        <f>IF(AND(D22="Y",booking!T22&lt;&gt;booking!U22,booking!U22&gt;0),booking!U22,"-")</f>
        <v>9</v>
      </c>
      <c r="W22" s="80">
        <f>IFERROR(VLOOKUP(V22,Database!$A$2:$L$175,8,FALSE),"-")</f>
        <v>0</v>
      </c>
      <c r="X22" s="80" t="str">
        <f>IFERROR(VLOOKUP(V22,Database!$A$2:$L$175,6,FALSE),"-")</f>
        <v>DK</v>
      </c>
      <c r="Y22" s="82">
        <f>IFERROR(VLOOKUP(V22,Database!$A$2:$L$175,9,FALSE),"-")</f>
        <v>0</v>
      </c>
    </row>
    <row r="23" spans="1:25" ht="15" customHeight="1" thickBot="1" x14ac:dyDescent="0.4">
      <c r="A23" s="89" t="str">
        <f>rengøring!A23</f>
        <v>mandag</v>
      </c>
      <c r="B23" s="87">
        <v>46160</v>
      </c>
      <c r="C23" s="9"/>
      <c r="D23" s="90" t="str">
        <f>IF(booking!AB23&gt;0,"Y","-")</f>
        <v>-</v>
      </c>
      <c r="E23" s="96" t="str">
        <f>IF(AND(D23="Y",booking!D23&lt;&gt;booking!E23,booking!E23&gt;0),booking!E23,"-")</f>
        <v>-</v>
      </c>
      <c r="F23" s="79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97" t="str">
        <f>IF(AND(D23="Y",booking!L23&lt;&gt;booking!M23,booking!M23&gt;0),booking!M23,"-")</f>
        <v>-</v>
      </c>
      <c r="O23" s="79" t="str">
        <f>IFERROR(VLOOKUP(N23,Database!$A$2:$L$175,8,FALSE),"-")</f>
        <v>-</v>
      </c>
      <c r="P23" s="79" t="str">
        <f>IFERROR(VLOOKUP(N23,Database!$A$2:$L$175,6,FALSE),"-")</f>
        <v>-</v>
      </c>
      <c r="Q23" s="83" t="str">
        <f>IFERROR(VLOOKUP(N23,Database!$A$2:$L$175,9,FALSE),"-")</f>
        <v>-</v>
      </c>
      <c r="R23" s="98" t="str">
        <f>IF(AND(D23="Y",booking!P23&lt;&gt;booking!Q23,booking!Q23&gt;0),booking!Q23,"-")</f>
        <v>-</v>
      </c>
      <c r="S23" s="79" t="str">
        <f>IFERROR(VLOOKUP(R23,Database!$A$2:$L$175,8,FALSE),"-")</f>
        <v>-</v>
      </c>
      <c r="T23" s="79" t="str">
        <f>IFERROR(VLOOKUP(R23,Database!$A$2:$L$175,6,FALSE),"-")</f>
        <v>-</v>
      </c>
      <c r="U23" s="83" t="str">
        <f>IFERROR(VLOOKUP(R23,Database!$A$2:$L$175,9,FALSE),"-")</f>
        <v>-</v>
      </c>
      <c r="V23" s="97" t="str">
        <f>IF(AND(D23="Y",booking!T23&lt;&gt;booking!U23,booking!U23&gt;0),booking!U23,"-")</f>
        <v>-</v>
      </c>
      <c r="W23" s="80" t="str">
        <f>IFERROR(VLOOKUP(V23,Database!$A$2:$L$175,8,FALSE),"-")</f>
        <v>-</v>
      </c>
      <c r="X23" s="80" t="str">
        <f>IFERROR(VLOOKUP(V23,Database!$A$2:$L$175,6,FALSE),"-")</f>
        <v>-</v>
      </c>
      <c r="Y23" s="82" t="str">
        <f>IFERROR(VLOOKUP(V23,Database!$A$2:$L$175,9,FALSE),"-")</f>
        <v>-</v>
      </c>
    </row>
    <row r="24" spans="1:25" ht="15" customHeight="1" thickBot="1" x14ac:dyDescent="0.4">
      <c r="A24" s="89" t="str">
        <f>rengøring!A24</f>
        <v>tirsdag</v>
      </c>
      <c r="B24" s="85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79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97" t="str">
        <f>IF(AND(D24="Y",booking!L24&lt;&gt;booking!M24,booking!M24&gt;0),booking!M24,"-")</f>
        <v>-</v>
      </c>
      <c r="O24" s="79" t="str">
        <f>IFERROR(VLOOKUP(N24,Database!$A$2:$L$175,8,FALSE),"-")</f>
        <v>-</v>
      </c>
      <c r="P24" s="79" t="str">
        <f>IFERROR(VLOOKUP(N24,Database!$A$2:$L$175,6,FALSE),"-")</f>
        <v>-</v>
      </c>
      <c r="Q24" s="83" t="str">
        <f>IFERROR(VLOOKUP(N24,Database!$A$2:$L$175,9,FALSE),"-")</f>
        <v>-</v>
      </c>
      <c r="R24" s="98" t="str">
        <f>IF(AND(D24="Y",booking!P24&lt;&gt;booking!Q24,booking!Q24&gt;0),booking!Q24,"-")</f>
        <v>-</v>
      </c>
      <c r="S24" s="79" t="str">
        <f>IFERROR(VLOOKUP(R24,Database!$A$2:$L$175,8,FALSE),"-")</f>
        <v>-</v>
      </c>
      <c r="T24" s="79" t="str">
        <f>IFERROR(VLOOKUP(R24,Database!$A$2:$L$175,6,FALSE),"-")</f>
        <v>-</v>
      </c>
      <c r="U24" s="83" t="str">
        <f>IFERROR(VLOOKUP(R24,Database!$A$2:$L$175,9,FALSE),"-")</f>
        <v>-</v>
      </c>
      <c r="V24" s="97" t="str">
        <f>IF(AND(D24="Y",booking!T24&lt;&gt;booking!U24,booking!U24&gt;0),booking!U24,"-")</f>
        <v>-</v>
      </c>
      <c r="W24" s="80" t="str">
        <f>IFERROR(VLOOKUP(V24,Database!$A$2:$L$175,8,FALSE),"-")</f>
        <v>-</v>
      </c>
      <c r="X24" s="80" t="str">
        <f>IFERROR(VLOOKUP(V24,Database!$A$2:$L$175,6,FALSE),"-")</f>
        <v>-</v>
      </c>
      <c r="Y24" s="82" t="str">
        <f>IFERROR(VLOOKUP(V24,Database!$A$2:$L$175,9,FALSE),"-")</f>
        <v>-</v>
      </c>
    </row>
    <row r="25" spans="1:25" ht="15" customHeight="1" thickBot="1" x14ac:dyDescent="0.4">
      <c r="A25" s="89" t="str">
        <f>rengøring!A25</f>
        <v>onsdag</v>
      </c>
      <c r="B25" s="87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79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97" t="str">
        <f>IF(AND(D25="Y",booking!L25&lt;&gt;booking!M25,booking!M25&gt;0),booking!M25,"-")</f>
        <v>-</v>
      </c>
      <c r="O25" s="79" t="str">
        <f>IFERROR(VLOOKUP(N25,Database!$A$2:$L$175,8,FALSE),"-")</f>
        <v>-</v>
      </c>
      <c r="P25" s="79" t="str">
        <f>IFERROR(VLOOKUP(N25,Database!$A$2:$L$175,6,FALSE),"-")</f>
        <v>-</v>
      </c>
      <c r="Q25" s="83" t="str">
        <f>IFERROR(VLOOKUP(N25,Database!$A$2:$L$175,9,FALSE),"-")</f>
        <v>-</v>
      </c>
      <c r="R25" s="98" t="str">
        <f>IF(AND(D25="Y",booking!P25&lt;&gt;booking!Q25,booking!Q25&gt;0),booking!Q25,"-")</f>
        <v>-</v>
      </c>
      <c r="S25" s="79" t="str">
        <f>IFERROR(VLOOKUP(R25,Database!$A$2:$L$175,8,FALSE),"-")</f>
        <v>-</v>
      </c>
      <c r="T25" s="79" t="str">
        <f>IFERROR(VLOOKUP(R25,Database!$A$2:$L$175,6,FALSE),"-")</f>
        <v>-</v>
      </c>
      <c r="U25" s="83" t="str">
        <f>IFERROR(VLOOKUP(R25,Database!$A$2:$L$175,9,FALSE),"-")</f>
        <v>-</v>
      </c>
      <c r="V25" s="97" t="str">
        <f>IF(AND(D25="Y",booking!T25&lt;&gt;booking!U25,booking!U25&gt;0),booking!U25,"-")</f>
        <v>-</v>
      </c>
      <c r="W25" s="80" t="str">
        <f>IFERROR(VLOOKUP(V25,Database!$A$2:$L$175,8,FALSE),"-")</f>
        <v>-</v>
      </c>
      <c r="X25" s="80" t="str">
        <f>IFERROR(VLOOKUP(V25,Database!$A$2:$L$175,6,FALSE),"-")</f>
        <v>-</v>
      </c>
      <c r="Y25" s="82" t="str">
        <f>IFERROR(VLOOKUP(V25,Database!$A$2:$L$175,9,FALSE),"-")</f>
        <v>-</v>
      </c>
    </row>
    <row r="26" spans="1:25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 t="str">
        <f>IF(AND(D26="Y",booking!D26&lt;&gt;booking!E26,booking!E26&gt;0),booking!E26,"-")</f>
        <v>-</v>
      </c>
      <c r="F26" s="79" t="str">
        <f>IFERROR(VLOOKUP(E26,Database!$A$2:$L$175,8,FALSE),"-")</f>
        <v>-</v>
      </c>
      <c r="G26" s="79" t="str">
        <f>IFERROR(VLOOKUP(E26,Database!$A$2:$L$175,6,FALSE),"-")</f>
        <v>-</v>
      </c>
      <c r="H26" s="94" t="str">
        <f>IFERROR(VLOOKUP(E26,Database!$A$2:$L$175,9,FALSE),"-")</f>
        <v>-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97">
        <f>IF(AND(D26="Y",booking!L26&lt;&gt;booking!M26,booking!M26&gt;0),booking!M26,"-")</f>
        <v>20</v>
      </c>
      <c r="O26" s="79">
        <f>IFERROR(VLOOKUP(N26,Database!$A$2:$L$175,8,FALSE),"-")</f>
        <v>0</v>
      </c>
      <c r="P26" s="79" t="str">
        <f>IFERROR(VLOOKUP(N26,Database!$A$2:$L$175,6,FALSE),"-")</f>
        <v>DK</v>
      </c>
      <c r="Q26" s="83">
        <f>IFERROR(VLOOKUP(N26,Database!$A$2:$L$175,9,FALSE),"-")</f>
        <v>0</v>
      </c>
      <c r="R26" s="98">
        <f>IF(AND(D26="Y",booking!P26&lt;&gt;booking!Q26,booking!Q26&gt;0),booking!Q26,"-")</f>
        <v>20</v>
      </c>
      <c r="S26" s="79">
        <f>IFERROR(VLOOKUP(R26,Database!$A$2:$L$175,8,FALSE),"-")</f>
        <v>0</v>
      </c>
      <c r="T26" s="79" t="str">
        <f>IFERROR(VLOOKUP(R26,Database!$A$2:$L$175,6,FALSE),"-")</f>
        <v>DK</v>
      </c>
      <c r="U26" s="83">
        <f>IFERROR(VLOOKUP(R26,Database!$A$2:$L$175,9,FALSE),"-")</f>
        <v>0</v>
      </c>
      <c r="V26" s="97" t="str">
        <f>IF(AND(D26="Y",booking!T26&lt;&gt;booking!U26,booking!U26&gt;0),booking!U26,"-")</f>
        <v>-</v>
      </c>
      <c r="W26" s="80" t="str">
        <f>IFERROR(VLOOKUP(V26,Database!$A$2:$L$175,8,FALSE),"-")</f>
        <v>-</v>
      </c>
      <c r="X26" s="80" t="str">
        <f>IFERROR(VLOOKUP(V26,Database!$A$2:$L$175,6,FALSE),"-")</f>
        <v>-</v>
      </c>
      <c r="Y26" s="82" t="str">
        <f>IFERROR(VLOOKUP(V26,Database!$A$2:$L$175,9,FALSE),"-")</f>
        <v>-</v>
      </c>
    </row>
    <row r="27" spans="1:25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>
        <f>IF(AND(D27="Y",booking!D27&lt;&gt;booking!E27,booking!E27&gt;0),booking!E27,"-")</f>
        <v>40</v>
      </c>
      <c r="F27" s="79">
        <f>IFERROR(VLOOKUP(E27,Database!$A$2:$L$175,8,FALSE),"-")</f>
        <v>0</v>
      </c>
      <c r="G27" s="79" t="str">
        <f>IFERROR(VLOOKUP(E27,Database!$A$2:$L$175,6,FALSE),"-")</f>
        <v>DK</v>
      </c>
      <c r="H27" s="94">
        <f>IFERROR(VLOOKUP(E27,Database!$A$2:$L$175,9,FALSE),"-")</f>
        <v>0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97" t="str">
        <f>IF(AND(D27="Y",booking!L27&lt;&gt;booking!M27,booking!M27&gt;0),booking!M27,"-")</f>
        <v>-</v>
      </c>
      <c r="O27" s="79" t="str">
        <f>IFERROR(VLOOKUP(N27,Database!$A$2:$L$175,8,FALSE),"-")</f>
        <v>-</v>
      </c>
      <c r="P27" s="79" t="str">
        <f>IFERROR(VLOOKUP(N27,Database!$A$2:$L$175,6,FALSE),"-")</f>
        <v>-</v>
      </c>
      <c r="Q27" s="83" t="str">
        <f>IFERROR(VLOOKUP(N27,Database!$A$2:$L$175,9,FALSE),"-")</f>
        <v>-</v>
      </c>
      <c r="R27" s="98" t="str">
        <f>IF(AND(D27="Y",booking!P27&lt;&gt;booking!Q27,booking!Q27&gt;0),booking!Q27,"-")</f>
        <v>-</v>
      </c>
      <c r="S27" s="79" t="str">
        <f>IFERROR(VLOOKUP(R27,Database!$A$2:$L$175,8,FALSE),"-")</f>
        <v>-</v>
      </c>
      <c r="T27" s="79" t="str">
        <f>IFERROR(VLOOKUP(R27,Database!$A$2:$L$175,6,FALSE),"-")</f>
        <v>-</v>
      </c>
      <c r="U27" s="83" t="str">
        <f>IFERROR(VLOOKUP(R27,Database!$A$2:$L$175,9,FALSE),"-")</f>
        <v>-</v>
      </c>
      <c r="V27" s="97" t="str">
        <f>IF(AND(D27="Y",booking!T27&lt;&gt;booking!U27,booking!U27&gt;0),booking!U27,"-")</f>
        <v>-</v>
      </c>
      <c r="W27" s="80" t="str">
        <f>IFERROR(VLOOKUP(V27,Database!$A$2:$L$175,8,FALSE),"-")</f>
        <v>-</v>
      </c>
      <c r="X27" s="80" t="str">
        <f>IFERROR(VLOOKUP(V27,Database!$A$2:$L$175,6,FALSE),"-")</f>
        <v>-</v>
      </c>
      <c r="Y27" s="82" t="str">
        <f>IFERROR(VLOOKUP(V27,Database!$A$2:$L$175,9,FALSE),"-")</f>
        <v>-</v>
      </c>
    </row>
    <row r="28" spans="1:25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79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97" t="str">
        <f>IF(AND(D28="Y",booking!L28&lt;&gt;booking!M28,booking!M28&gt;0),booking!M28,"-")</f>
        <v>-</v>
      </c>
      <c r="O28" s="79" t="str">
        <f>IFERROR(VLOOKUP(N28,Database!$A$2:$L$175,8,FALSE),"-")</f>
        <v>-</v>
      </c>
      <c r="P28" s="79" t="str">
        <f>IFERROR(VLOOKUP(N28,Database!$A$2:$L$175,6,FALSE),"-")</f>
        <v>-</v>
      </c>
      <c r="Q28" s="83" t="str">
        <f>IFERROR(VLOOKUP(N28,Database!$A$2:$L$175,9,FALSE),"-")</f>
        <v>-</v>
      </c>
      <c r="R28" s="98" t="str">
        <f>IF(AND(D28="Y",booking!P28&lt;&gt;booking!Q28,booking!Q28&gt;0),booking!Q28,"-")</f>
        <v>-</v>
      </c>
      <c r="S28" s="79" t="str">
        <f>IFERROR(VLOOKUP(R28,Database!$A$2:$L$175,8,FALSE),"-")</f>
        <v>-</v>
      </c>
      <c r="T28" s="79" t="str">
        <f>IFERROR(VLOOKUP(R28,Database!$A$2:$L$175,6,FALSE),"-")</f>
        <v>-</v>
      </c>
      <c r="U28" s="83" t="str">
        <f>IFERROR(VLOOKUP(R28,Database!$A$2:$L$175,9,FALSE),"-")</f>
        <v>-</v>
      </c>
      <c r="V28" s="97" t="str">
        <f>IF(AND(D28="Y",booking!T28&lt;&gt;booking!U28,booking!U28&gt;0),booking!U28,"-")</f>
        <v>-</v>
      </c>
      <c r="W28" s="80" t="str">
        <f>IFERROR(VLOOKUP(V28,Database!$A$2:$L$175,8,FALSE),"-")</f>
        <v>-</v>
      </c>
      <c r="X28" s="80" t="str">
        <f>IFERROR(VLOOKUP(V28,Database!$A$2:$L$175,6,FALSE),"-")</f>
        <v>-</v>
      </c>
      <c r="Y28" s="82" t="str">
        <f>IFERROR(VLOOKUP(V28,Database!$A$2:$L$175,9,FALSE),"-")</f>
        <v>-</v>
      </c>
    </row>
    <row r="29" spans="1:25" ht="15" customHeight="1" thickBot="1" x14ac:dyDescent="0.4">
      <c r="A29" s="89" t="str">
        <f>rengøring!A29</f>
        <v>søndag</v>
      </c>
      <c r="B29" s="87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79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97" t="str">
        <f>IF(AND(D29="Y",booking!L29&lt;&gt;booking!M29,booking!M29&gt;0),booking!M29,"-")</f>
        <v>-</v>
      </c>
      <c r="O29" s="79" t="str">
        <f>IFERROR(VLOOKUP(N29,Database!$A$2:$L$175,8,FALSE),"-")</f>
        <v>-</v>
      </c>
      <c r="P29" s="79" t="str">
        <f>IFERROR(VLOOKUP(N29,Database!$A$2:$L$175,6,FALSE),"-")</f>
        <v>-</v>
      </c>
      <c r="Q29" s="83" t="str">
        <f>IFERROR(VLOOKUP(N29,Database!$A$2:$L$175,9,FALSE),"-")</f>
        <v>-</v>
      </c>
      <c r="R29" s="98" t="str">
        <f>IF(AND(D29="Y",booking!P29&lt;&gt;booking!Q29,booking!Q29&gt;0),booking!Q29,"-")</f>
        <v>-</v>
      </c>
      <c r="S29" s="79" t="str">
        <f>IFERROR(VLOOKUP(R29,Database!$A$2:$L$175,8,FALSE),"-")</f>
        <v>-</v>
      </c>
      <c r="T29" s="79" t="str">
        <f>IFERROR(VLOOKUP(R29,Database!$A$2:$L$175,6,FALSE),"-")</f>
        <v>-</v>
      </c>
      <c r="U29" s="83" t="str">
        <f>IFERROR(VLOOKUP(R29,Database!$A$2:$L$175,9,FALSE),"-")</f>
        <v>-</v>
      </c>
      <c r="V29" s="97" t="str">
        <f>IF(AND(D29="Y",booking!T29&lt;&gt;booking!U29,booking!U29&gt;0),booking!U29,"-")</f>
        <v>-</v>
      </c>
      <c r="W29" s="80" t="str">
        <f>IFERROR(VLOOKUP(V29,Database!$A$2:$L$175,8,FALSE),"-")</f>
        <v>-</v>
      </c>
      <c r="X29" s="80" t="str">
        <f>IFERROR(VLOOKUP(V29,Database!$A$2:$L$175,6,FALSE),"-")</f>
        <v>-</v>
      </c>
      <c r="Y29" s="82" t="str">
        <f>IFERROR(VLOOKUP(V29,Database!$A$2:$L$175,9,FALSE),"-")</f>
        <v>-</v>
      </c>
    </row>
    <row r="30" spans="1:25" ht="15" customHeight="1" thickBot="1" x14ac:dyDescent="0.4">
      <c r="A30" s="89" t="str">
        <f>rengøring!A30</f>
        <v>mandag</v>
      </c>
      <c r="B30" s="85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79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97" t="str">
        <f>IF(AND(D30="Y",booking!L30&lt;&gt;booking!M30,booking!M30&gt;0),booking!M30,"-")</f>
        <v>-</v>
      </c>
      <c r="O30" s="79" t="str">
        <f>IFERROR(VLOOKUP(N30,Database!$A$2:$L$175,8,FALSE),"-")</f>
        <v>-</v>
      </c>
      <c r="P30" s="79" t="str">
        <f>IFERROR(VLOOKUP(N30,Database!$A$2:$L$175,6,FALSE),"-")</f>
        <v>-</v>
      </c>
      <c r="Q30" s="83" t="str">
        <f>IFERROR(VLOOKUP(N30,Database!$A$2:$L$175,9,FALSE),"-")</f>
        <v>-</v>
      </c>
      <c r="R30" s="98" t="str">
        <f>IF(AND(D30="Y",booking!P30&lt;&gt;booking!Q30,booking!Q30&gt;0),booking!Q30,"-")</f>
        <v>-</v>
      </c>
      <c r="S30" s="79" t="str">
        <f>IFERROR(VLOOKUP(R30,Database!$A$2:$L$175,8,FALSE),"-")</f>
        <v>-</v>
      </c>
      <c r="T30" s="79" t="str">
        <f>IFERROR(VLOOKUP(R30,Database!$A$2:$L$175,6,FALSE),"-")</f>
        <v>-</v>
      </c>
      <c r="U30" s="83" t="str">
        <f>IFERROR(VLOOKUP(R30,Database!$A$2:$L$175,9,FALSE),"-")</f>
        <v>-</v>
      </c>
      <c r="V30" s="97" t="str">
        <f>IF(AND(D30="Y",booking!T30&lt;&gt;booking!U30,booking!U30&gt;0),booking!U30,"-")</f>
        <v>-</v>
      </c>
      <c r="W30" s="80" t="str">
        <f>IFERROR(VLOOKUP(V30,Database!$A$2:$L$175,8,FALSE),"-")</f>
        <v>-</v>
      </c>
      <c r="X30" s="80" t="str">
        <f>IFERROR(VLOOKUP(V30,Database!$A$2:$L$175,6,FALSE),"-")</f>
        <v>-</v>
      </c>
      <c r="Y30" s="82" t="str">
        <f>IFERROR(VLOOKUP(V30,Database!$A$2:$L$175,9,FALSE),"-")</f>
        <v>-</v>
      </c>
    </row>
    <row r="31" spans="1:25" ht="15" customHeight="1" thickBot="1" x14ac:dyDescent="0.4">
      <c r="A31" s="89" t="str">
        <f>rengøring!A31</f>
        <v>tirsdag</v>
      </c>
      <c r="B31" s="87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79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97" t="str">
        <f>IF(AND(D31="Y",booking!L31&lt;&gt;booking!M31,booking!M31&gt;0),booking!M31,"-")</f>
        <v>-</v>
      </c>
      <c r="O31" s="79" t="str">
        <f>IFERROR(VLOOKUP(N31,Database!$A$2:$L$175,8,FALSE),"-")</f>
        <v>-</v>
      </c>
      <c r="P31" s="79" t="str">
        <f>IFERROR(VLOOKUP(N31,Database!$A$2:$L$175,6,FALSE),"-")</f>
        <v>-</v>
      </c>
      <c r="Q31" s="83" t="str">
        <f>IFERROR(VLOOKUP(N31,Database!$A$2:$L$175,9,FALSE),"-")</f>
        <v>-</v>
      </c>
      <c r="R31" s="98" t="str">
        <f>IF(AND(D31="Y",booking!P31&lt;&gt;booking!Q31,booking!Q31&gt;0),booking!Q31,"-")</f>
        <v>-</v>
      </c>
      <c r="S31" s="79" t="str">
        <f>IFERROR(VLOOKUP(R31,Database!$A$2:$L$175,8,FALSE),"-")</f>
        <v>-</v>
      </c>
      <c r="T31" s="79" t="str">
        <f>IFERROR(VLOOKUP(R31,Database!$A$2:$L$175,6,FALSE),"-")</f>
        <v>-</v>
      </c>
      <c r="U31" s="83" t="str">
        <f>IFERROR(VLOOKUP(R31,Database!$A$2:$L$175,9,FALSE),"-")</f>
        <v>-</v>
      </c>
      <c r="V31" s="97" t="str">
        <f>IF(AND(D31="Y",booking!T31&lt;&gt;booking!U31,booking!U31&gt;0),booking!U31,"-")</f>
        <v>-</v>
      </c>
      <c r="W31" s="80" t="str">
        <f>IFERROR(VLOOKUP(V31,Database!$A$2:$L$175,8,FALSE),"-")</f>
        <v>-</v>
      </c>
      <c r="X31" s="80" t="str">
        <f>IFERROR(VLOOKUP(V31,Database!$A$2:$L$175,6,FALSE),"-")</f>
        <v>-</v>
      </c>
      <c r="Y31" s="82" t="str">
        <f>IFERROR(VLOOKUP(V31,Database!$A$2:$L$175,9,FALSE),"-")</f>
        <v>-</v>
      </c>
    </row>
    <row r="32" spans="1:25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79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97">
        <f>IF(AND(D32="Y",booking!L32&lt;&gt;booking!M32,booking!M32&gt;0),booking!M32,"-")</f>
        <v>5</v>
      </c>
      <c r="O32" s="79">
        <f>IFERROR(VLOOKUP(N32,Database!$A$2:$L$175,8,FALSE),"-")</f>
        <v>0</v>
      </c>
      <c r="P32" s="79" t="str">
        <f>IFERROR(VLOOKUP(N32,Database!$A$2:$L$175,6,FALSE),"-")</f>
        <v>DK</v>
      </c>
      <c r="Q32" s="83">
        <f>IFERROR(VLOOKUP(N32,Database!$A$2:$L$175,9,FALSE),"-")</f>
        <v>0</v>
      </c>
      <c r="R32" s="98" t="str">
        <f>IF(AND(D32="Y",booking!P32&lt;&gt;booking!Q32,booking!Q32&gt;0),booking!Q32,"-")</f>
        <v>-</v>
      </c>
      <c r="S32" s="79" t="str">
        <f>IFERROR(VLOOKUP(R32,Database!$A$2:$L$175,8,FALSE),"-")</f>
        <v>-</v>
      </c>
      <c r="T32" s="79" t="str">
        <f>IFERROR(VLOOKUP(R32,Database!$A$2:$L$175,6,FALSE),"-")</f>
        <v>-</v>
      </c>
      <c r="U32" s="83" t="str">
        <f>IFERROR(VLOOKUP(R32,Database!$A$2:$L$175,9,FALSE),"-")</f>
        <v>-</v>
      </c>
      <c r="V32" s="97" t="str">
        <f>IF(AND(D32="Y",booking!T32&lt;&gt;booking!U32,booking!U32&gt;0),booking!U32,"-")</f>
        <v>-</v>
      </c>
      <c r="W32" s="80" t="str">
        <f>IFERROR(VLOOKUP(V32,Database!$A$2:$L$175,8,FALSE),"-")</f>
        <v>-</v>
      </c>
      <c r="X32" s="80" t="str">
        <f>IFERROR(VLOOKUP(V32,Database!$A$2:$L$175,6,FALSE),"-")</f>
        <v>-</v>
      </c>
      <c r="Y32" s="82" t="str">
        <f>IFERROR(VLOOKUP(V32,Database!$A$2:$L$175,9,FALSE),"-")</f>
        <v>-</v>
      </c>
    </row>
    <row r="33" spans="1:25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79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97" t="str">
        <f>IF(AND(D33="Y",booking!L33&lt;&gt;booking!M33,booking!M33&gt;0),booking!M33,"-")</f>
        <v>-</v>
      </c>
      <c r="O33" s="79" t="str">
        <f>IFERROR(VLOOKUP(N33,Database!$A$2:$L$175,8,FALSE),"-")</f>
        <v>-</v>
      </c>
      <c r="P33" s="79" t="str">
        <f>IFERROR(VLOOKUP(N33,Database!$A$2:$L$175,6,FALSE),"-")</f>
        <v>-</v>
      </c>
      <c r="Q33" s="83" t="str">
        <f>IFERROR(VLOOKUP(N33,Database!$A$2:$L$175,9,FALSE),"-")</f>
        <v>-</v>
      </c>
      <c r="R33" s="98" t="str">
        <f>IF(AND(D33="Y",booking!P33&lt;&gt;booking!Q33,booking!Q33&gt;0),booking!Q33,"-")</f>
        <v>-</v>
      </c>
      <c r="S33" s="79" t="str">
        <f>IFERROR(VLOOKUP(R33,Database!$A$2:$L$175,8,FALSE),"-")</f>
        <v>-</v>
      </c>
      <c r="T33" s="79" t="str">
        <f>IFERROR(VLOOKUP(R33,Database!$A$2:$L$175,6,FALSE),"-")</f>
        <v>-</v>
      </c>
      <c r="U33" s="83" t="str">
        <f>IFERROR(VLOOKUP(R33,Database!$A$2:$L$175,9,FALSE),"-")</f>
        <v>-</v>
      </c>
      <c r="V33" s="97" t="str">
        <f>IF(AND(D33="Y",booking!T33&lt;&gt;booking!U33,booking!U33&gt;0),booking!U33,"-")</f>
        <v>-</v>
      </c>
      <c r="W33" s="80" t="str">
        <f>IFERROR(VLOOKUP(V33,Database!$A$2:$L$175,8,FALSE),"-")</f>
        <v>-</v>
      </c>
      <c r="X33" s="80" t="str">
        <f>IFERROR(VLOOKUP(V33,Database!$A$2:$L$175,6,FALSE),"-")</f>
        <v>-</v>
      </c>
      <c r="Y33" s="82" t="str">
        <f>IFERROR(VLOOKUP(V33,Database!$A$2:$L$175,9,FALSE),"-")</f>
        <v>-</v>
      </c>
    </row>
    <row r="34" spans="1:25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79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97" t="str">
        <f>IF(AND(D34="Y",booking!L34&lt;&gt;booking!M34,booking!M34&gt;0),booking!M34,"-")</f>
        <v>-</v>
      </c>
      <c r="O34" s="79" t="str">
        <f>IFERROR(VLOOKUP(N34,Database!$A$2:$L$175,8,FALSE),"-")</f>
        <v>-</v>
      </c>
      <c r="P34" s="79" t="str">
        <f>IFERROR(VLOOKUP(N34,Database!$A$2:$L$175,6,FALSE),"-")</f>
        <v>-</v>
      </c>
      <c r="Q34" s="83" t="str">
        <f>IFERROR(VLOOKUP(N34,Database!$A$2:$L$175,9,FALSE),"-")</f>
        <v>-</v>
      </c>
      <c r="R34" s="98" t="str">
        <f>IF(AND(D34="Y",booking!P34&lt;&gt;booking!Q34,booking!Q34&gt;0),booking!Q34,"-")</f>
        <v>-</v>
      </c>
      <c r="S34" s="79" t="str">
        <f>IFERROR(VLOOKUP(R34,Database!$A$2:$L$175,8,FALSE),"-")</f>
        <v>-</v>
      </c>
      <c r="T34" s="79" t="str">
        <f>IFERROR(VLOOKUP(R34,Database!$A$2:$L$175,6,FALSE),"-")</f>
        <v>-</v>
      </c>
      <c r="U34" s="83" t="str">
        <f>IFERROR(VLOOKUP(R34,Database!$A$2:$L$175,9,FALSE),"-")</f>
        <v>-</v>
      </c>
      <c r="V34" s="97">
        <f>IF(AND(D34="Y",booking!T34&lt;&gt;booking!U34,booking!U34&gt;0),booking!U34,"-")</f>
        <v>99</v>
      </c>
      <c r="W34" s="80">
        <f>IFERROR(VLOOKUP(V34,Database!$A$2:$L$175,8,FALSE),"-")</f>
        <v>0</v>
      </c>
      <c r="X34" s="80" t="str">
        <f>IFERROR(VLOOKUP(V34,Database!$A$2:$L$175,6,FALSE),"-")</f>
        <v>DK</v>
      </c>
      <c r="Y34" s="82">
        <f>IFERROR(VLOOKUP(V34,Database!$A$2:$L$175,9,FALSE),"-")</f>
        <v>0</v>
      </c>
    </row>
    <row r="35" spans="1:25" ht="15" customHeight="1" thickBot="1" x14ac:dyDescent="0.4">
      <c r="A35" s="89" t="str">
        <f>rengøring!A35</f>
        <v>lørdag</v>
      </c>
      <c r="B35" s="87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79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97" t="str">
        <f>IF(AND(D35="Y",booking!L35&lt;&gt;booking!M35,booking!M35&gt;0),booking!M35,"-")</f>
        <v>-</v>
      </c>
      <c r="O35" s="79" t="str">
        <f>IFERROR(VLOOKUP(N35,Database!$A$2:$L$175,8,FALSE),"-")</f>
        <v>-</v>
      </c>
      <c r="P35" s="79" t="str">
        <f>IFERROR(VLOOKUP(N35,Database!$A$2:$L$175,6,FALSE),"-")</f>
        <v>-</v>
      </c>
      <c r="Q35" s="83" t="str">
        <f>IFERROR(VLOOKUP(N35,Database!$A$2:$L$175,9,FALSE),"-")</f>
        <v>-</v>
      </c>
      <c r="R35" s="98">
        <f>IF(AND(D35="Y",booking!P35&lt;&gt;booking!Q35,booking!Q35&gt;0),booking!Q35,"-")</f>
        <v>102</v>
      </c>
      <c r="S35" s="79">
        <f>IFERROR(VLOOKUP(R35,Database!$A$2:$L$175,8,FALSE),"-")</f>
        <v>0</v>
      </c>
      <c r="T35" s="79" t="str">
        <f>IFERROR(VLOOKUP(R35,Database!$A$2:$L$175,6,FALSE),"-")</f>
        <v>DK</v>
      </c>
      <c r="U35" s="83">
        <f>IFERROR(VLOOKUP(R35,Database!$A$2:$L$175,9,FALSE),"-")</f>
        <v>0</v>
      </c>
      <c r="V35" s="97" t="str">
        <f>IF(AND(D35="Y",booking!T35&lt;&gt;booking!U35,booking!U35&gt;0),booking!U35,"-")</f>
        <v>-</v>
      </c>
      <c r="W35" s="80" t="str">
        <f>IFERROR(VLOOKUP(V35,Database!$A$2:$L$175,8,FALSE),"-")</f>
        <v>-</v>
      </c>
      <c r="X35" s="80" t="str">
        <f>IFERROR(VLOOKUP(V35,Database!$A$2:$L$175,6,FALSE),"-")</f>
        <v>-</v>
      </c>
      <c r="Y35" s="82" t="str">
        <f>IFERROR(VLOOKUP(V35,Database!$A$2:$L$175,9,FALSE),"-")</f>
        <v>-</v>
      </c>
    </row>
    <row r="36" spans="1:25" ht="15" customHeight="1" thickBot="1" x14ac:dyDescent="0.4">
      <c r="A36" s="89" t="str">
        <f>rengøring!A36</f>
        <v>søndag</v>
      </c>
      <c r="B36" s="85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79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97" t="str">
        <f>IF(AND(D36="Y",booking!L36&lt;&gt;booking!M36,booking!M36&gt;0),booking!M36,"-")</f>
        <v>-</v>
      </c>
      <c r="O36" s="79" t="str">
        <f>IFERROR(VLOOKUP(N36,Database!$A$2:$L$175,8,FALSE),"-")</f>
        <v>-</v>
      </c>
      <c r="P36" s="79" t="str">
        <f>IFERROR(VLOOKUP(N36,Database!$A$2:$L$175,6,FALSE),"-")</f>
        <v>-</v>
      </c>
      <c r="Q36" s="83" t="str">
        <f>IFERROR(VLOOKUP(N36,Database!$A$2:$L$175,9,FALSE),"-")</f>
        <v>-</v>
      </c>
      <c r="R36" s="98" t="str">
        <f>IF(AND(D36="Y",booking!P36&lt;&gt;booking!Q36,booking!Q36&gt;0),booking!Q36,"-")</f>
        <v>-</v>
      </c>
      <c r="S36" s="79" t="str">
        <f>IFERROR(VLOOKUP(R36,Database!$A$2:$L$175,8,FALSE),"-")</f>
        <v>-</v>
      </c>
      <c r="T36" s="79" t="str">
        <f>IFERROR(VLOOKUP(R36,Database!$A$2:$L$175,6,FALSE),"-")</f>
        <v>-</v>
      </c>
      <c r="U36" s="83" t="str">
        <f>IFERROR(VLOOKUP(R36,Database!$A$2:$L$175,9,FALSE),"-")</f>
        <v>-</v>
      </c>
      <c r="V36" s="97" t="str">
        <f>IF(AND(D36="Y",booking!T36&lt;&gt;booking!U36,booking!U36&gt;0),booking!U36,"-")</f>
        <v>-</v>
      </c>
      <c r="W36" s="80" t="str">
        <f>IFERROR(VLOOKUP(V36,Database!$A$2:$L$175,8,FALSE),"-")</f>
        <v>-</v>
      </c>
      <c r="X36" s="80" t="str">
        <f>IFERROR(VLOOKUP(V36,Database!$A$2:$L$175,6,FALSE),"-")</f>
        <v>-</v>
      </c>
      <c r="Y36" s="82" t="str">
        <f>IFERROR(VLOOKUP(V36,Database!$A$2:$L$175,9,FALSE),"-")</f>
        <v>-</v>
      </c>
    </row>
    <row r="37" spans="1:25" ht="15" customHeight="1" thickBot="1" x14ac:dyDescent="0.4">
      <c r="A37" s="89" t="str">
        <f>rengøring!A37</f>
        <v>mandag</v>
      </c>
      <c r="B37" s="87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79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97" t="str">
        <f>IF(AND(D37="Y",booking!L37&lt;&gt;booking!M37,booking!M37&gt;0),booking!M37,"-")</f>
        <v>-</v>
      </c>
      <c r="O37" s="79" t="str">
        <f>IFERROR(VLOOKUP(N37,Database!$A$2:$L$175,8,FALSE),"-")</f>
        <v>-</v>
      </c>
      <c r="P37" s="79" t="str">
        <f>IFERROR(VLOOKUP(N37,Database!$A$2:$L$175,6,FALSE),"-")</f>
        <v>-</v>
      </c>
      <c r="Q37" s="83" t="str">
        <f>IFERROR(VLOOKUP(N37,Database!$A$2:$L$175,9,FALSE),"-")</f>
        <v>-</v>
      </c>
      <c r="R37" s="98" t="str">
        <f>IF(AND(D37="Y",booking!P37&lt;&gt;booking!Q37,booking!Q37&gt;0),booking!Q37,"-")</f>
        <v>-</v>
      </c>
      <c r="S37" s="79" t="str">
        <f>IFERROR(VLOOKUP(R37,Database!$A$2:$L$175,8,FALSE),"-")</f>
        <v>-</v>
      </c>
      <c r="T37" s="79" t="str">
        <f>IFERROR(VLOOKUP(R37,Database!$A$2:$L$175,6,FALSE),"-")</f>
        <v>-</v>
      </c>
      <c r="U37" s="83" t="str">
        <f>IFERROR(VLOOKUP(R37,Database!$A$2:$L$175,9,FALSE),"-")</f>
        <v>-</v>
      </c>
      <c r="V37" s="97" t="str">
        <f>IF(AND(D37="Y",booking!T37&lt;&gt;booking!U37,booking!U37&gt;0),booking!U37,"-")</f>
        <v>-</v>
      </c>
      <c r="W37" s="80" t="str">
        <f>IFERROR(VLOOKUP(V37,Database!$A$2:$L$175,8,FALSE),"-")</f>
        <v>-</v>
      </c>
      <c r="X37" s="80" t="str">
        <f>IFERROR(VLOOKUP(V37,Database!$A$2:$L$175,6,FALSE),"-")</f>
        <v>-</v>
      </c>
      <c r="Y37" s="82" t="str">
        <f>IFERROR(VLOOKUP(V37,Database!$A$2:$L$175,9,FALSE),"-")</f>
        <v>-</v>
      </c>
    </row>
    <row r="38" spans="1:25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79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97" t="str">
        <f>IF(AND(D38="Y",booking!L38&lt;&gt;booking!M38,booking!M38&gt;0),booking!M38,"-")</f>
        <v>-</v>
      </c>
      <c r="O38" s="79" t="str">
        <f>IFERROR(VLOOKUP(N38,Database!$A$2:$L$175,8,FALSE),"-")</f>
        <v>-</v>
      </c>
      <c r="P38" s="79" t="str">
        <f>IFERROR(VLOOKUP(N38,Database!$A$2:$L$175,6,FALSE),"-")</f>
        <v>-</v>
      </c>
      <c r="Q38" s="83" t="str">
        <f>IFERROR(VLOOKUP(N38,Database!$A$2:$L$175,9,FALSE),"-")</f>
        <v>-</v>
      </c>
      <c r="R38" s="98" t="str">
        <f>IF(AND(D38="Y",booking!P38&lt;&gt;booking!Q38,booking!Q38&gt;0),booking!Q38,"-")</f>
        <v>-</v>
      </c>
      <c r="S38" s="79" t="str">
        <f>IFERROR(VLOOKUP(R38,Database!$A$2:$L$175,8,FALSE),"-")</f>
        <v>-</v>
      </c>
      <c r="T38" s="79" t="str">
        <f>IFERROR(VLOOKUP(R38,Database!$A$2:$L$175,6,FALSE),"-")</f>
        <v>-</v>
      </c>
      <c r="U38" s="83" t="str">
        <f>IFERROR(VLOOKUP(R38,Database!$A$2:$L$175,9,FALSE),"-")</f>
        <v>-</v>
      </c>
      <c r="V38" s="97">
        <f>IF(AND(D38="Y",booking!T38&lt;&gt;booking!U38,booking!U38&gt;0),booking!U38,"-")</f>
        <v>12</v>
      </c>
      <c r="W38" s="80">
        <f>IFERROR(VLOOKUP(V38,Database!$A$2:$L$175,8,FALSE),"-")</f>
        <v>0</v>
      </c>
      <c r="X38" s="80" t="str">
        <f>IFERROR(VLOOKUP(V38,Database!$A$2:$L$175,6,FALSE),"-")</f>
        <v>DK</v>
      </c>
      <c r="Y38" s="82" t="str">
        <f>IFERROR(VLOOKUP(V38,Database!$A$2:$L$175,9,FALSE),"-")</f>
        <v>sing</v>
      </c>
    </row>
    <row r="39" spans="1:25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79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97">
        <f>IF(AND(D39="Y",booking!L39&lt;&gt;booking!M39,booking!M39&gt;0),booking!M39,"-")</f>
        <v>27</v>
      </c>
      <c r="O39" s="79">
        <f>IFERROR(VLOOKUP(N39,Database!$A$2:$L$175,8,FALSE),"-")</f>
        <v>0</v>
      </c>
      <c r="P39" s="79" t="str">
        <f>IFERROR(VLOOKUP(N39,Database!$A$2:$L$175,6,FALSE),"-")</f>
        <v>DK</v>
      </c>
      <c r="Q39" s="83">
        <f>IFERROR(VLOOKUP(N39,Database!$A$2:$L$175,9,FALSE),"-")</f>
        <v>0</v>
      </c>
      <c r="R39" s="98" t="str">
        <f>IF(AND(D39="Y",booking!P39&lt;&gt;booking!Q39,booking!Q39&gt;0),booking!Q39,"-")</f>
        <v>-</v>
      </c>
      <c r="S39" s="79" t="str">
        <f>IFERROR(VLOOKUP(R39,Database!$A$2:$L$175,8,FALSE),"-")</f>
        <v>-</v>
      </c>
      <c r="T39" s="79" t="str">
        <f>IFERROR(VLOOKUP(R39,Database!$A$2:$L$175,6,FALSE),"-")</f>
        <v>-</v>
      </c>
      <c r="U39" s="83" t="str">
        <f>IFERROR(VLOOKUP(R39,Database!$A$2:$L$175,9,FALSE),"-")</f>
        <v>-</v>
      </c>
      <c r="V39" s="97" t="str">
        <f>IF(AND(D39="Y",booking!T39&lt;&gt;booking!U39,booking!U39&gt;0),booking!U39,"-")</f>
        <v>-</v>
      </c>
      <c r="W39" s="80" t="str">
        <f>IFERROR(VLOOKUP(V39,Database!$A$2:$L$175,8,FALSE),"-")</f>
        <v>-</v>
      </c>
      <c r="X39" s="80" t="str">
        <f>IFERROR(VLOOKUP(V39,Database!$A$2:$L$175,6,FALSE),"-")</f>
        <v>-</v>
      </c>
      <c r="Y39" s="82" t="str">
        <f>IFERROR(VLOOKUP(V39,Database!$A$2:$L$175,9,FALSE),"-")</f>
        <v>-</v>
      </c>
    </row>
    <row r="40" spans="1:25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79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97" t="str">
        <f>IF(AND(D40="Y",booking!L40&lt;&gt;booking!M40,booking!M40&gt;0),booking!M40,"-")</f>
        <v>-</v>
      </c>
      <c r="O40" s="79" t="str">
        <f>IFERROR(VLOOKUP(N40,Database!$A$2:$L$175,8,FALSE),"-")</f>
        <v>-</v>
      </c>
      <c r="P40" s="79" t="str">
        <f>IFERROR(VLOOKUP(N40,Database!$A$2:$L$175,6,FALSE),"-")</f>
        <v>-</v>
      </c>
      <c r="Q40" s="83" t="str">
        <f>IFERROR(VLOOKUP(N40,Database!$A$2:$L$175,9,FALSE),"-")</f>
        <v>-</v>
      </c>
      <c r="R40" s="98" t="str">
        <f>IF(AND(D40="Y",booking!P40&lt;&gt;booking!Q40,booking!Q40&gt;0),booking!Q40,"-")</f>
        <v>-</v>
      </c>
      <c r="S40" s="79" t="str">
        <f>IFERROR(VLOOKUP(R40,Database!$A$2:$L$175,8,FALSE),"-")</f>
        <v>-</v>
      </c>
      <c r="T40" s="79" t="str">
        <f>IFERROR(VLOOKUP(R40,Database!$A$2:$L$175,6,FALSE),"-")</f>
        <v>-</v>
      </c>
      <c r="U40" s="83" t="str">
        <f>IFERROR(VLOOKUP(R40,Database!$A$2:$L$175,9,FALSE),"-")</f>
        <v>-</v>
      </c>
      <c r="V40" s="97" t="str">
        <f>IF(AND(D40="Y",booking!T40&lt;&gt;booking!U40,booking!U40&gt;0),booking!U40,"-")</f>
        <v>-</v>
      </c>
      <c r="W40" s="80" t="str">
        <f>IFERROR(VLOOKUP(V40,Database!$A$2:$L$175,8,FALSE),"-")</f>
        <v>-</v>
      </c>
      <c r="X40" s="80" t="str">
        <f>IFERROR(VLOOKUP(V40,Database!$A$2:$L$175,6,FALSE),"-")</f>
        <v>-</v>
      </c>
      <c r="Y40" s="82" t="str">
        <f>IFERROR(VLOOKUP(V40,Database!$A$2:$L$175,9,FALSE),"-")</f>
        <v>-</v>
      </c>
    </row>
    <row r="41" spans="1:25" ht="15" customHeight="1" thickBot="1" x14ac:dyDescent="0.4">
      <c r="A41" s="89" t="str">
        <f>rengøring!A41</f>
        <v>fredag</v>
      </c>
      <c r="B41" s="87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79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97" t="str">
        <f>IF(AND(D41="Y",booking!L41&lt;&gt;booking!M41,booking!M41&gt;0),booking!M41,"-")</f>
        <v>-</v>
      </c>
      <c r="O41" s="79" t="str">
        <f>IFERROR(VLOOKUP(N41,Database!$A$2:$L$175,8,FALSE),"-")</f>
        <v>-</v>
      </c>
      <c r="P41" s="79" t="str">
        <f>IFERROR(VLOOKUP(N41,Database!$A$2:$L$175,6,FALSE),"-")</f>
        <v>-</v>
      </c>
      <c r="Q41" s="83" t="str">
        <f>IFERROR(VLOOKUP(N41,Database!$A$2:$L$175,9,FALSE),"-")</f>
        <v>-</v>
      </c>
      <c r="R41" s="98" t="str">
        <f>IF(AND(D41="Y",booking!P41&lt;&gt;booking!Q41,booking!Q41&gt;0),booking!Q41,"-")</f>
        <v>-</v>
      </c>
      <c r="S41" s="79" t="str">
        <f>IFERROR(VLOOKUP(R41,Database!$A$2:$L$175,8,FALSE),"-")</f>
        <v>-</v>
      </c>
      <c r="T41" s="79" t="str">
        <f>IFERROR(VLOOKUP(R41,Database!$A$2:$L$175,6,FALSE),"-")</f>
        <v>-</v>
      </c>
      <c r="U41" s="83" t="str">
        <f>IFERROR(VLOOKUP(R41,Database!$A$2:$L$175,9,FALSE),"-")</f>
        <v>-</v>
      </c>
      <c r="V41" s="97" t="str">
        <f>IF(AND(D41="Y",booking!T41&lt;&gt;booking!U41,booking!U41&gt;0),booking!U41,"-")</f>
        <v>-</v>
      </c>
      <c r="W41" s="80" t="str">
        <f>IFERROR(VLOOKUP(V41,Database!$A$2:$L$175,8,FALSE),"-")</f>
        <v>-</v>
      </c>
      <c r="X41" s="80" t="str">
        <f>IFERROR(VLOOKUP(V41,Database!$A$2:$L$175,6,FALSE),"-")</f>
        <v>-</v>
      </c>
      <c r="Y41" s="82" t="str">
        <f>IFERROR(VLOOKUP(V41,Database!$A$2:$L$175,9,FALSE),"-")</f>
        <v>-</v>
      </c>
    </row>
    <row r="42" spans="1:25" ht="15" customHeight="1" thickBot="1" x14ac:dyDescent="0.4">
      <c r="A42" s="89" t="str">
        <f>rengøring!A42</f>
        <v>lørdag</v>
      </c>
      <c r="B42" s="85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79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97" t="str">
        <f>IF(AND(D42="Y",booking!L42&lt;&gt;booking!M42,booking!M42&gt;0),booking!M42,"-")</f>
        <v>-</v>
      </c>
      <c r="O42" s="79" t="str">
        <f>IFERROR(VLOOKUP(N42,Database!$A$2:$L$175,8,FALSE),"-")</f>
        <v>-</v>
      </c>
      <c r="P42" s="79" t="str">
        <f>IFERROR(VLOOKUP(N42,Database!$A$2:$L$175,6,FALSE),"-")</f>
        <v>-</v>
      </c>
      <c r="Q42" s="83" t="str">
        <f>IFERROR(VLOOKUP(N42,Database!$A$2:$L$175,9,FALSE),"-")</f>
        <v>-</v>
      </c>
      <c r="R42" s="98" t="str">
        <f>IF(AND(D42="Y",booking!P42&lt;&gt;booking!Q42,booking!Q42&gt;0),booking!Q42,"-")</f>
        <v>-</v>
      </c>
      <c r="S42" s="79" t="str">
        <f>IFERROR(VLOOKUP(R42,Database!$A$2:$L$175,8,FALSE),"-")</f>
        <v>-</v>
      </c>
      <c r="T42" s="79" t="str">
        <f>IFERROR(VLOOKUP(R42,Database!$A$2:$L$175,6,FALSE),"-")</f>
        <v>-</v>
      </c>
      <c r="U42" s="83" t="str">
        <f>IFERROR(VLOOKUP(R42,Database!$A$2:$L$175,9,FALSE),"-")</f>
        <v>-</v>
      </c>
      <c r="V42" s="97" t="str">
        <f>IF(AND(D42="Y",booking!T42&lt;&gt;booking!U42,booking!U42&gt;0),booking!U42,"-")</f>
        <v>-</v>
      </c>
      <c r="W42" s="80" t="str">
        <f>IFERROR(VLOOKUP(V42,Database!$A$2:$L$175,8,FALSE),"-")</f>
        <v>-</v>
      </c>
      <c r="X42" s="80" t="str">
        <f>IFERROR(VLOOKUP(V42,Database!$A$2:$L$175,6,FALSE),"-")</f>
        <v>-</v>
      </c>
      <c r="Y42" s="82" t="str">
        <f>IFERROR(VLOOKUP(V42,Database!$A$2:$L$175,9,FALSE),"-")</f>
        <v>-</v>
      </c>
    </row>
    <row r="43" spans="1:25" ht="15" customHeight="1" thickBot="1" x14ac:dyDescent="0.4">
      <c r="A43" s="89" t="str">
        <f>rengøring!A43</f>
        <v>søndag</v>
      </c>
      <c r="B43" s="87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79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97" t="str">
        <f>IF(AND(D43="Y",booking!L43&lt;&gt;booking!M43,booking!M43&gt;0),booking!M43,"-")</f>
        <v>-</v>
      </c>
      <c r="O43" s="79" t="str">
        <f>IFERROR(VLOOKUP(N43,Database!$A$2:$L$175,8,FALSE),"-")</f>
        <v>-</v>
      </c>
      <c r="P43" s="79" t="str">
        <f>IFERROR(VLOOKUP(N43,Database!$A$2:$L$175,6,FALSE),"-")</f>
        <v>-</v>
      </c>
      <c r="Q43" s="83" t="str">
        <f>IFERROR(VLOOKUP(N43,Database!$A$2:$L$175,9,FALSE),"-")</f>
        <v>-</v>
      </c>
      <c r="R43" s="98" t="str">
        <f>IF(AND(D43="Y",booking!P43&lt;&gt;booking!Q43,booking!Q43&gt;0),booking!Q43,"-")</f>
        <v>-</v>
      </c>
      <c r="S43" s="79" t="str">
        <f>IFERROR(VLOOKUP(R43,Database!$A$2:$L$175,8,FALSE),"-")</f>
        <v>-</v>
      </c>
      <c r="T43" s="79" t="str">
        <f>IFERROR(VLOOKUP(R43,Database!$A$2:$L$175,6,FALSE),"-")</f>
        <v>-</v>
      </c>
      <c r="U43" s="83" t="str">
        <f>IFERROR(VLOOKUP(R43,Database!$A$2:$L$175,9,FALSE),"-")</f>
        <v>-</v>
      </c>
      <c r="V43" s="97" t="str">
        <f>IF(AND(D43="Y",booking!T43&lt;&gt;booking!U43,booking!U43&gt;0),booking!U43,"-")</f>
        <v>-</v>
      </c>
      <c r="W43" s="80" t="str">
        <f>IFERROR(VLOOKUP(V43,Database!$A$2:$L$175,8,FALSE),"-")</f>
        <v>-</v>
      </c>
      <c r="X43" s="80" t="str">
        <f>IFERROR(VLOOKUP(V43,Database!$A$2:$L$175,6,FALSE),"-")</f>
        <v>-</v>
      </c>
      <c r="Y43" s="82" t="str">
        <f>IFERROR(VLOOKUP(V43,Database!$A$2:$L$175,9,FALSE),"-")</f>
        <v>-</v>
      </c>
    </row>
    <row r="44" spans="1:25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79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97" t="str">
        <f>IF(AND(D44="Y",booking!L44&lt;&gt;booking!M44,booking!M44&gt;0),booking!M44,"-")</f>
        <v>-</v>
      </c>
      <c r="O44" s="79" t="str">
        <f>IFERROR(VLOOKUP(N44,Database!$A$2:$L$175,8,FALSE),"-")</f>
        <v>-</v>
      </c>
      <c r="P44" s="79" t="str">
        <f>IFERROR(VLOOKUP(N44,Database!$A$2:$L$175,6,FALSE),"-")</f>
        <v>-</v>
      </c>
      <c r="Q44" s="83" t="str">
        <f>IFERROR(VLOOKUP(N44,Database!$A$2:$L$175,9,FALSE),"-")</f>
        <v>-</v>
      </c>
      <c r="R44" s="98">
        <f>IF(AND(D44="Y",booking!P44&lt;&gt;booking!Q44,booking!Q44&gt;0),booking!Q44,"-")</f>
        <v>15</v>
      </c>
      <c r="S44" s="79">
        <f>IFERROR(VLOOKUP(R44,Database!$A$2:$L$175,8,FALSE),"-")</f>
        <v>0</v>
      </c>
      <c r="T44" s="79" t="str">
        <f>IFERROR(VLOOKUP(R44,Database!$A$2:$L$175,6,FALSE),"-")</f>
        <v>DK</v>
      </c>
      <c r="U44" s="83">
        <f>IFERROR(VLOOKUP(R44,Database!$A$2:$L$175,9,FALSE),"-")</f>
        <v>0</v>
      </c>
      <c r="V44" s="97">
        <f>IF(AND(D44="Y",booking!T44&lt;&gt;booking!U44,booking!U44&gt;0),booking!U44,"-")</f>
        <v>17</v>
      </c>
      <c r="W44" s="80">
        <f>IFERROR(VLOOKUP(V44,Database!$A$2:$L$175,8,FALSE),"-")</f>
        <v>0</v>
      </c>
      <c r="X44" s="80" t="str">
        <f>IFERROR(VLOOKUP(V44,Database!$A$2:$L$175,6,FALSE),"-")</f>
        <v>DK</v>
      </c>
      <c r="Y44" s="82">
        <f>IFERROR(VLOOKUP(V44,Database!$A$2:$L$175,9,FALSE),"-")</f>
        <v>0</v>
      </c>
    </row>
    <row r="45" spans="1:25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79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97">
        <f>IF(AND(D45="Y",booking!L45&lt;&gt;booking!M45,booking!M45&gt;0),booking!M45,"-")</f>
        <v>18</v>
      </c>
      <c r="O45" s="79">
        <f>IFERROR(VLOOKUP(N45,Database!$A$2:$L$175,8,FALSE),"-")</f>
        <v>0</v>
      </c>
      <c r="P45" s="79" t="str">
        <f>IFERROR(VLOOKUP(N45,Database!$A$2:$L$175,6,FALSE),"-")</f>
        <v>DK</v>
      </c>
      <c r="Q45" s="83">
        <f>IFERROR(VLOOKUP(N45,Database!$A$2:$L$175,9,FALSE),"-")</f>
        <v>0</v>
      </c>
      <c r="R45" s="98" t="str">
        <f>IF(AND(D45="Y",booking!P45&lt;&gt;booking!Q45,booking!Q45&gt;0),booking!Q45,"-")</f>
        <v>-</v>
      </c>
      <c r="S45" s="79" t="str">
        <f>IFERROR(VLOOKUP(R45,Database!$A$2:$L$175,8,FALSE),"-")</f>
        <v>-</v>
      </c>
      <c r="T45" s="79" t="str">
        <f>IFERROR(VLOOKUP(R45,Database!$A$2:$L$175,6,FALSE),"-")</f>
        <v>-</v>
      </c>
      <c r="U45" s="83" t="str">
        <f>IFERROR(VLOOKUP(R45,Database!$A$2:$L$175,9,FALSE),"-")</f>
        <v>-</v>
      </c>
      <c r="V45" s="97" t="str">
        <f>IF(AND(D45="Y",booking!T45&lt;&gt;booking!U45,booking!U45&gt;0),booking!U45,"-")</f>
        <v>-</v>
      </c>
      <c r="W45" s="80" t="str">
        <f>IFERROR(VLOOKUP(V45,Database!$A$2:$L$175,8,FALSE),"-")</f>
        <v>-</v>
      </c>
      <c r="X45" s="80" t="str">
        <f>IFERROR(VLOOKUP(V45,Database!$A$2:$L$175,6,FALSE),"-")</f>
        <v>-</v>
      </c>
      <c r="Y45" s="82" t="str">
        <f>IFERROR(VLOOKUP(V45,Database!$A$2:$L$175,9,FALSE),"-")</f>
        <v>-</v>
      </c>
    </row>
    <row r="46" spans="1:25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79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97" t="str">
        <f>IF(AND(D46="Y",booking!L46&lt;&gt;booking!M45,booking!M45&gt;0),booking!M45,"-")</f>
        <v>-</v>
      </c>
      <c r="O46" s="79" t="str">
        <f>IFERROR(VLOOKUP(N46,Database!$A$2:$L$175,8,FALSE),"-")</f>
        <v>-</v>
      </c>
      <c r="P46" s="79" t="str">
        <f>IFERROR(VLOOKUP(N46,Database!$A$2:$L$175,6,FALSE),"-")</f>
        <v>-</v>
      </c>
      <c r="Q46" s="83" t="str">
        <f>IFERROR(VLOOKUP(N46,Database!$A$2:$L$175,9,FALSE),"-")</f>
        <v>-</v>
      </c>
      <c r="R46" s="98" t="str">
        <f>IF(AND(D46="Y",booking!P46&lt;&gt;booking!Q46,booking!Q46&gt;0),booking!Q46,"-")</f>
        <v>-</v>
      </c>
      <c r="S46" s="79" t="str">
        <f>IFERROR(VLOOKUP(R46,Database!$A$2:$L$175,8,FALSE),"-")</f>
        <v>-</v>
      </c>
      <c r="T46" s="79" t="str">
        <f>IFERROR(VLOOKUP(R46,Database!$A$2:$L$175,6,FALSE),"-")</f>
        <v>-</v>
      </c>
      <c r="U46" s="83" t="str">
        <f>IFERROR(VLOOKUP(R46,Database!$A$2:$L$175,9,FALSE),"-")</f>
        <v>-</v>
      </c>
      <c r="V46" s="97" t="str">
        <f>IF(AND(D46="Y",booking!T46&lt;&gt;booking!U46,booking!U46&gt;0),booking!U46,"-")</f>
        <v>-</v>
      </c>
      <c r="W46" s="80" t="str">
        <f>IFERROR(VLOOKUP(V46,Database!$A$2:$L$175,8,FALSE),"-")</f>
        <v>-</v>
      </c>
      <c r="X46" s="80" t="str">
        <f>IFERROR(VLOOKUP(V46,Database!$A$2:$L$175,6,FALSE),"-")</f>
        <v>-</v>
      </c>
      <c r="Y46" s="82" t="str">
        <f>IFERROR(VLOOKUP(V46,Database!$A$2:$L$175,9,FALSE),"-")</f>
        <v>-</v>
      </c>
    </row>
    <row r="47" spans="1:25" ht="15" customHeight="1" thickBot="1" x14ac:dyDescent="0.4">
      <c r="A47" s="89" t="str">
        <f>rengøring!A47</f>
        <v>torsdag</v>
      </c>
      <c r="B47" s="87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79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97" t="str">
        <f>IF(AND(D47="Y",booking!L47&lt;&gt;booking!M47,booking!M47&gt;0),booking!M47,"-")</f>
        <v>-</v>
      </c>
      <c r="O47" s="79" t="str">
        <f>IFERROR(VLOOKUP(N47,Database!$A$2:$L$175,8,FALSE),"-")</f>
        <v>-</v>
      </c>
      <c r="P47" s="79" t="str">
        <f>IFERROR(VLOOKUP(N47,Database!$A$2:$L$175,6,FALSE),"-")</f>
        <v>-</v>
      </c>
      <c r="Q47" s="83" t="str">
        <f>IFERROR(VLOOKUP(N47,Database!$A$2:$L$175,9,FALSE),"-")</f>
        <v>-</v>
      </c>
      <c r="R47" s="98" t="str">
        <f>IF(AND(D47="Y",booking!P47&lt;&gt;booking!Q47,booking!Q47&gt;0),booking!Q47,"-")</f>
        <v>-</v>
      </c>
      <c r="S47" s="79" t="str">
        <f>IFERROR(VLOOKUP(R47,Database!$A$2:$L$175,8,FALSE),"-")</f>
        <v>-</v>
      </c>
      <c r="T47" s="79" t="str">
        <f>IFERROR(VLOOKUP(R47,Database!$A$2:$L$175,6,FALSE),"-")</f>
        <v>-</v>
      </c>
      <c r="U47" s="83" t="str">
        <f>IFERROR(VLOOKUP(R47,Database!$A$2:$L$175,9,FALSE),"-")</f>
        <v>-</v>
      </c>
      <c r="V47" s="97" t="str">
        <f>IF(AND(D47="Y",booking!T47&lt;&gt;booking!U47,booking!U47&gt;0),booking!U47,"-")</f>
        <v>-</v>
      </c>
      <c r="W47" s="80" t="str">
        <f>IFERROR(VLOOKUP(V47,Database!$A$2:$L$175,8,FALSE),"-")</f>
        <v>-</v>
      </c>
      <c r="X47" s="80" t="str">
        <f>IFERROR(VLOOKUP(V47,Database!$A$2:$L$175,6,FALSE),"-")</f>
        <v>-</v>
      </c>
      <c r="Y47" s="82" t="str">
        <f>IFERROR(VLOOKUP(V47,Database!$A$2:$L$175,9,FALSE),"-")</f>
        <v>-</v>
      </c>
    </row>
    <row r="48" spans="1:25" ht="15" customHeight="1" thickBot="1" x14ac:dyDescent="0.4">
      <c r="A48" s="89" t="str">
        <f>rengøring!A48</f>
        <v>fredag</v>
      </c>
      <c r="B48" s="85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79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97" t="str">
        <f>IF(AND(D48="Y",booking!L48&lt;&gt;booking!M48,booking!M48&gt;0),booking!M48,"-")</f>
        <v>-</v>
      </c>
      <c r="O48" s="79" t="str">
        <f>IFERROR(VLOOKUP(N48,Database!$A$2:$L$175,8,FALSE),"-")</f>
        <v>-</v>
      </c>
      <c r="P48" s="79" t="str">
        <f>IFERROR(VLOOKUP(N48,Database!$A$2:$L$175,6,FALSE),"-")</f>
        <v>-</v>
      </c>
      <c r="Q48" s="83" t="str">
        <f>IFERROR(VLOOKUP(N48,Database!$A$2:$L$175,9,FALSE),"-")</f>
        <v>-</v>
      </c>
      <c r="R48" s="98" t="str">
        <f>IF(AND(D48="Y",booking!P48&lt;&gt;booking!Q48,booking!Q48&gt;0),booking!Q48,"-")</f>
        <v>-</v>
      </c>
      <c r="S48" s="79" t="str">
        <f>IFERROR(VLOOKUP(R48,Database!$A$2:$L$175,8,FALSE),"-")</f>
        <v>-</v>
      </c>
      <c r="T48" s="79" t="str">
        <f>IFERROR(VLOOKUP(R48,Database!$A$2:$L$175,6,FALSE),"-")</f>
        <v>-</v>
      </c>
      <c r="U48" s="83" t="str">
        <f>IFERROR(VLOOKUP(R48,Database!$A$2:$L$175,9,FALSE),"-")</f>
        <v>-</v>
      </c>
      <c r="V48" s="97" t="str">
        <f>IF(AND(D48="Y",booking!T48&lt;&gt;booking!U48,booking!U48&gt;0),booking!U48,"-")</f>
        <v>-</v>
      </c>
      <c r="W48" s="80" t="str">
        <f>IFERROR(VLOOKUP(V48,Database!$A$2:$L$175,8,FALSE),"-")</f>
        <v>-</v>
      </c>
      <c r="X48" s="80" t="str">
        <f>IFERROR(VLOOKUP(V48,Database!$A$2:$L$175,6,FALSE),"-")</f>
        <v>-</v>
      </c>
      <c r="Y48" s="82" t="str">
        <f>IFERROR(VLOOKUP(V48,Database!$A$2:$L$175,9,FALSE),"-")</f>
        <v>-</v>
      </c>
    </row>
    <row r="49" spans="1:25" ht="15" customHeight="1" thickBot="1" x14ac:dyDescent="0.4">
      <c r="A49" s="89" t="str">
        <f>rengøring!A49</f>
        <v>lørdag</v>
      </c>
      <c r="B49" s="87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79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97" t="str">
        <f>IF(AND(D49="Y",booking!L49&lt;&gt;booking!M49,booking!M49&gt;0),booking!M49,"-")</f>
        <v>-</v>
      </c>
      <c r="O49" s="79" t="str">
        <f>IFERROR(VLOOKUP(N49,Database!$A$2:$L$175,8,FALSE),"-")</f>
        <v>-</v>
      </c>
      <c r="P49" s="79" t="str">
        <f>IFERROR(VLOOKUP(N49,Database!$A$2:$L$175,6,FALSE),"-")</f>
        <v>-</v>
      </c>
      <c r="Q49" s="83" t="str">
        <f>IFERROR(VLOOKUP(N49,Database!$A$2:$L$175,9,FALSE),"-")</f>
        <v>-</v>
      </c>
      <c r="R49" s="98" t="str">
        <f>IF(AND(D49="Y",booking!P49&lt;&gt;booking!Q49,booking!Q49&gt;0),booking!Q49,"-")</f>
        <v>-</v>
      </c>
      <c r="S49" s="79" t="str">
        <f>IFERROR(VLOOKUP(R49,Database!$A$2:$L$175,8,FALSE),"-")</f>
        <v>-</v>
      </c>
      <c r="T49" s="79" t="str">
        <f>IFERROR(VLOOKUP(R49,Database!$A$2:$L$175,6,FALSE),"-")</f>
        <v>-</v>
      </c>
      <c r="U49" s="83" t="str">
        <f>IFERROR(VLOOKUP(R49,Database!$A$2:$L$175,9,FALSE),"-")</f>
        <v>-</v>
      </c>
      <c r="V49" s="97" t="str">
        <f>IF(AND(D49="Y",booking!T49&lt;&gt;booking!U49,booking!U49&gt;0),booking!U49,"-")</f>
        <v>-</v>
      </c>
      <c r="W49" s="80" t="str">
        <f>IFERROR(VLOOKUP(V49,Database!$A$2:$L$175,8,FALSE),"-")</f>
        <v>-</v>
      </c>
      <c r="X49" s="80" t="str">
        <f>IFERROR(VLOOKUP(V49,Database!$A$2:$L$175,6,FALSE),"-")</f>
        <v>-</v>
      </c>
      <c r="Y49" s="82" t="str">
        <f>IFERROR(VLOOKUP(V49,Database!$A$2:$L$175,9,FALSE),"-")</f>
        <v>-</v>
      </c>
    </row>
    <row r="50" spans="1:25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79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97">
        <f>IF(AND(D50="Y",booking!L50&lt;&gt;booking!M50,booking!M50&gt;0),booking!M50,"-")</f>
        <v>83</v>
      </c>
      <c r="O50" s="79">
        <f>IFERROR(VLOOKUP(N50,Database!$A$2:$L$175,8,FALSE),"-")</f>
        <v>0</v>
      </c>
      <c r="P50" s="79" t="str">
        <f>IFERROR(VLOOKUP(N50,Database!$A$2:$L$175,6,FALSE),"-")</f>
        <v>DK</v>
      </c>
      <c r="Q50" s="83">
        <f>IFERROR(VLOOKUP(N50,Database!$A$2:$L$175,9,FALSE),"-")</f>
        <v>0</v>
      </c>
      <c r="R50" s="98" t="str">
        <f>IF(AND(D50="Y",booking!P50&lt;&gt;booking!Q50,booking!Q50&gt;0),booking!Q50,"-")</f>
        <v>-</v>
      </c>
      <c r="S50" s="79" t="str">
        <f>IFERROR(VLOOKUP(R50,Database!$A$2:$L$175,8,FALSE),"-")</f>
        <v>-</v>
      </c>
      <c r="T50" s="79" t="str">
        <f>IFERROR(VLOOKUP(R50,Database!$A$2:$L$175,6,FALSE),"-")</f>
        <v>-</v>
      </c>
      <c r="U50" s="83" t="str">
        <f>IFERROR(VLOOKUP(R50,Database!$A$2:$L$175,9,FALSE),"-")</f>
        <v>-</v>
      </c>
      <c r="V50" s="97" t="str">
        <f>IF(AND(D50="Y",booking!T50&lt;&gt;booking!U50,booking!U50&gt;0),booking!U50,"-")</f>
        <v>-</v>
      </c>
      <c r="W50" s="80" t="str">
        <f>IFERROR(VLOOKUP(V50,Database!$A$2:$L$175,8,FALSE),"-")</f>
        <v>-</v>
      </c>
      <c r="X50" s="80" t="str">
        <f>IFERROR(VLOOKUP(V50,Database!$A$2:$L$175,6,FALSE),"-")</f>
        <v>-</v>
      </c>
      <c r="Y50" s="82" t="str">
        <f>IFERROR(VLOOKUP(V50,Database!$A$2:$L$175,9,FALSE),"-")</f>
        <v>-</v>
      </c>
    </row>
    <row r="51" spans="1:25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79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97" t="str">
        <f>IF(AND(D51="Y",booking!L51&lt;&gt;booking!M51,booking!M51&gt;0),booking!M51,"-")</f>
        <v>-</v>
      </c>
      <c r="O51" s="79" t="str">
        <f>IFERROR(VLOOKUP(N51,Database!$A$2:$L$175,8,FALSE),"-")</f>
        <v>-</v>
      </c>
      <c r="P51" s="79" t="str">
        <f>IFERROR(VLOOKUP(N51,Database!$A$2:$L$175,6,FALSE),"-")</f>
        <v>-</v>
      </c>
      <c r="Q51" s="83" t="str">
        <f>IFERROR(VLOOKUP(N51,Database!$A$2:$L$175,9,FALSE),"-")</f>
        <v>-</v>
      </c>
      <c r="R51" s="98">
        <f>IF(AND(D51="Y",booking!P51&lt;&gt;booking!Q51,booking!Q51&gt;0),booking!Q51,"-")</f>
        <v>70</v>
      </c>
      <c r="S51" s="79">
        <f>IFERROR(VLOOKUP(R51,Database!$A$2:$L$175,8,FALSE),"-")</f>
        <v>0</v>
      </c>
      <c r="T51" s="79" t="str">
        <f>IFERROR(VLOOKUP(R51,Database!$A$2:$L$175,6,FALSE),"-")</f>
        <v>DK</v>
      </c>
      <c r="U51" s="83">
        <f>IFERROR(VLOOKUP(R51,Database!$A$2:$L$175,9,FALSE),"-")</f>
        <v>0</v>
      </c>
      <c r="V51" s="97">
        <f>IF(AND(D51="Y",booking!T51&lt;&gt;booking!U51,booking!U51&gt;0),booking!U51,"-")</f>
        <v>86</v>
      </c>
      <c r="W51" s="80">
        <f>IFERROR(VLOOKUP(V51,Database!$A$2:$L$175,8,FALSE),"-")</f>
        <v>0</v>
      </c>
      <c r="X51" s="80" t="str">
        <f>IFERROR(VLOOKUP(V51,Database!$A$2:$L$175,6,FALSE),"-")</f>
        <v>D</v>
      </c>
      <c r="Y51" s="82">
        <f>IFERROR(VLOOKUP(V51,Database!$A$2:$L$175,9,FALSE),"-")</f>
        <v>0</v>
      </c>
    </row>
    <row r="52" spans="1:25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79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97" t="str">
        <f>IF(AND(D52="Y",booking!L52&lt;&gt;booking!M52,booking!M52&gt;0),booking!M52,"-")</f>
        <v>-</v>
      </c>
      <c r="O52" s="79" t="str">
        <f>IFERROR(VLOOKUP(N52,Database!$A$2:$L$175,8,FALSE),"-")</f>
        <v>-</v>
      </c>
      <c r="P52" s="79" t="str">
        <f>IFERROR(VLOOKUP(N52,Database!$A$2:$L$175,6,FALSE),"-")</f>
        <v>-</v>
      </c>
      <c r="Q52" s="83" t="str">
        <f>IFERROR(VLOOKUP(N52,Database!$A$2:$L$175,9,FALSE),"-")</f>
        <v>-</v>
      </c>
      <c r="R52" s="98" t="str">
        <f>IF(AND(D52="Y",booking!P52&lt;&gt;booking!Q52,booking!Q52&gt;0),booking!Q52,"-")</f>
        <v>-</v>
      </c>
      <c r="S52" s="79" t="str">
        <f>IFERROR(VLOOKUP(R52,Database!$A$2:$L$175,8,FALSE),"-")</f>
        <v>-</v>
      </c>
      <c r="T52" s="79" t="str">
        <f>IFERROR(VLOOKUP(R52,Database!$A$2:$L$175,6,FALSE),"-")</f>
        <v>-</v>
      </c>
      <c r="U52" s="83" t="str">
        <f>IFERROR(VLOOKUP(R52,Database!$A$2:$L$175,9,FALSE),"-")</f>
        <v>-</v>
      </c>
      <c r="V52" s="97" t="str">
        <f>IF(AND(D52="Y",booking!T52&lt;&gt;booking!U52,booking!U52&gt;0),booking!U52,"-")</f>
        <v>-</v>
      </c>
      <c r="W52" s="80" t="str">
        <f>IFERROR(VLOOKUP(V52,Database!$A$2:$L$175,8,FALSE),"-")</f>
        <v>-</v>
      </c>
      <c r="X52" s="80" t="str">
        <f>IFERROR(VLOOKUP(V52,Database!$A$2:$L$175,6,FALSE),"-")</f>
        <v>-</v>
      </c>
      <c r="Y52" s="82" t="str">
        <f>IFERROR(VLOOKUP(V52,Database!$A$2:$L$175,9,FALSE),"-")</f>
        <v>-</v>
      </c>
    </row>
    <row r="53" spans="1:25" ht="15" customHeight="1" thickBot="1" x14ac:dyDescent="0.4">
      <c r="A53" s="89" t="str">
        <f>rengøring!A53</f>
        <v>onsdag</v>
      </c>
      <c r="B53" s="87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79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97" t="str">
        <f>IF(AND(D53="Y",booking!L53&lt;&gt;booking!M53,booking!M53&gt;0),booking!M53,"-")</f>
        <v>-</v>
      </c>
      <c r="O53" s="79" t="str">
        <f>IFERROR(VLOOKUP(N53,Database!$A$2:$L$175,8,FALSE),"-")</f>
        <v>-</v>
      </c>
      <c r="P53" s="79" t="str">
        <f>IFERROR(VLOOKUP(N53,Database!$A$2:$L$175,6,FALSE),"-")</f>
        <v>-</v>
      </c>
      <c r="Q53" s="83" t="str">
        <f>IFERROR(VLOOKUP(N53,Database!$A$2:$L$175,9,FALSE),"-")</f>
        <v>-</v>
      </c>
      <c r="R53" s="98" t="str">
        <f>IF(AND(D53="Y",booking!P53&lt;&gt;booking!Q53,booking!Q53&gt;0),booking!Q53,"-")</f>
        <v>-</v>
      </c>
      <c r="S53" s="79" t="str">
        <f>IFERROR(VLOOKUP(R53,Database!$A$2:$L$175,8,FALSE),"-")</f>
        <v>-</v>
      </c>
      <c r="T53" s="79" t="str">
        <f>IFERROR(VLOOKUP(R53,Database!$A$2:$L$175,6,FALSE),"-")</f>
        <v>-</v>
      </c>
      <c r="U53" s="83" t="str">
        <f>IFERROR(VLOOKUP(R53,Database!$A$2:$L$175,9,FALSE),"-")</f>
        <v>-</v>
      </c>
      <c r="V53" s="97" t="str">
        <f>IF(AND(D53="Y",booking!T53&lt;&gt;booking!U53,booking!U53&gt;0),booking!U53,"-")</f>
        <v>-</v>
      </c>
      <c r="W53" s="80" t="str">
        <f>IFERROR(VLOOKUP(V53,Database!$A$2:$L$175,8,FALSE),"-")</f>
        <v>-</v>
      </c>
      <c r="X53" s="80" t="str">
        <f>IFERROR(VLOOKUP(V53,Database!$A$2:$L$175,6,FALSE),"-")</f>
        <v>-</v>
      </c>
      <c r="Y53" s="82" t="str">
        <f>IFERROR(VLOOKUP(V53,Database!$A$2:$L$175,9,FALSE),"-")</f>
        <v>-</v>
      </c>
    </row>
    <row r="54" spans="1:25" ht="15" customHeight="1" thickBot="1" x14ac:dyDescent="0.4">
      <c r="A54" s="89" t="str">
        <f>rengøring!A54</f>
        <v>torsdag</v>
      </c>
      <c r="B54" s="85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79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97" t="str">
        <f>IF(AND(D54="Y",booking!L54&lt;&gt;booking!M54,booking!M54&gt;0),booking!M54,"-")</f>
        <v>-</v>
      </c>
      <c r="O54" s="79" t="str">
        <f>IFERROR(VLOOKUP(N54,Database!$A$2:$L$175,8,FALSE),"-")</f>
        <v>-</v>
      </c>
      <c r="P54" s="79" t="str">
        <f>IFERROR(VLOOKUP(N54,Database!$A$2:$L$175,6,FALSE),"-")</f>
        <v>-</v>
      </c>
      <c r="Q54" s="83" t="str">
        <f>IFERROR(VLOOKUP(N54,Database!$A$2:$L$175,9,FALSE),"-")</f>
        <v>-</v>
      </c>
      <c r="R54" s="98" t="str">
        <f>IF(AND(D54="Y",booking!P54&lt;&gt;booking!Q54,booking!Q54&gt;0),booking!Q54,"-")</f>
        <v>-</v>
      </c>
      <c r="S54" s="79" t="str">
        <f>IFERROR(VLOOKUP(R54,Database!$A$2:$L$175,8,FALSE),"-")</f>
        <v>-</v>
      </c>
      <c r="T54" s="79" t="str">
        <f>IFERROR(VLOOKUP(R54,Database!$A$2:$L$175,6,FALSE),"-")</f>
        <v>-</v>
      </c>
      <c r="U54" s="83" t="str">
        <f>IFERROR(VLOOKUP(R54,Database!$A$2:$L$175,9,FALSE),"-")</f>
        <v>-</v>
      </c>
      <c r="V54" s="97" t="str">
        <f>IF(AND(D54="Y",booking!T54&lt;&gt;booking!U54,booking!U54&gt;0),booking!U54,"-")</f>
        <v>-</v>
      </c>
      <c r="W54" s="80" t="str">
        <f>IFERROR(VLOOKUP(V54,Database!$A$2:$L$175,8,FALSE),"-")</f>
        <v>-</v>
      </c>
      <c r="X54" s="80" t="str">
        <f>IFERROR(VLOOKUP(V54,Database!$A$2:$L$175,6,FALSE),"-")</f>
        <v>-</v>
      </c>
      <c r="Y54" s="82" t="str">
        <f>IFERROR(VLOOKUP(V54,Database!$A$2:$L$175,9,FALSE),"-")</f>
        <v>-</v>
      </c>
    </row>
    <row r="55" spans="1:25" ht="15" customHeight="1" thickBot="1" x14ac:dyDescent="0.4">
      <c r="A55" s="89" t="str">
        <f>rengøring!A55</f>
        <v>fredag</v>
      </c>
      <c r="B55" s="87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79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97">
        <f>IF(AND(D55="Y",booking!L55&lt;&gt;booking!M55,booking!M55&gt;0),booking!M55,"-")</f>
        <v>56</v>
      </c>
      <c r="O55" s="79" t="str">
        <f>IFERROR(VLOOKUP(N55,Database!$A$2:$L$175,8,FALSE),"-")</f>
        <v>2000</v>
      </c>
      <c r="P55" s="79" t="str">
        <f>IFERROR(VLOOKUP(N55,Database!$A$2:$L$175,6,FALSE),"-")</f>
        <v>DK</v>
      </c>
      <c r="Q55" s="83" t="str">
        <f>IFERROR(VLOOKUP(N55,Database!$A$2:$L$175,9,FALSE),"-")</f>
        <v>Dobb</v>
      </c>
      <c r="R55" s="98" t="str">
        <f>IF(AND(D55="Y",booking!P55&lt;&gt;booking!Q55,booking!Q55&gt;0),booking!Q55,"-")</f>
        <v>-</v>
      </c>
      <c r="S55" s="79" t="str">
        <f>IFERROR(VLOOKUP(R55,Database!$A$2:$L$175,8,FALSE),"-")</f>
        <v>-</v>
      </c>
      <c r="T55" s="79" t="str">
        <f>IFERROR(VLOOKUP(R55,Database!$A$2:$L$175,6,FALSE),"-")</f>
        <v>-</v>
      </c>
      <c r="U55" s="83" t="str">
        <f>IFERROR(VLOOKUP(R55,Database!$A$2:$L$175,9,FALSE),"-")</f>
        <v>-</v>
      </c>
      <c r="V55" s="97" t="str">
        <f>IF(AND(D55="Y",booking!T55&lt;&gt;booking!U55,booking!U55&gt;0),booking!U55,"-")</f>
        <v>-</v>
      </c>
      <c r="W55" s="80" t="str">
        <f>IFERROR(VLOOKUP(V55,Database!$A$2:$L$175,8,FALSE),"-")</f>
        <v>-</v>
      </c>
      <c r="X55" s="80" t="str">
        <f>IFERROR(VLOOKUP(V55,Database!$A$2:$L$175,6,FALSE),"-")</f>
        <v>-</v>
      </c>
      <c r="Y55" s="82" t="str">
        <f>IFERROR(VLOOKUP(V55,Database!$A$2:$L$175,9,FALSE),"-")</f>
        <v>-</v>
      </c>
    </row>
    <row r="56" spans="1:25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79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97" t="str">
        <f>IF(AND(D56="Y",booking!L56&lt;&gt;booking!M56,booking!M56&gt;0),booking!M56,"-")</f>
        <v>-</v>
      </c>
      <c r="O56" s="79" t="str">
        <f>IFERROR(VLOOKUP(N56,Database!$A$2:$L$175,8,FALSE),"-")</f>
        <v>-</v>
      </c>
      <c r="P56" s="79" t="str">
        <f>IFERROR(VLOOKUP(N56,Database!$A$2:$L$175,6,FALSE),"-")</f>
        <v>-</v>
      </c>
      <c r="Q56" s="83" t="str">
        <f>IFERROR(VLOOKUP(N56,Database!$A$2:$L$175,9,FALSE),"-")</f>
        <v>-</v>
      </c>
      <c r="R56" s="98" t="str">
        <f>IF(AND(D56="Y",booking!P56&lt;&gt;booking!Q56,booking!Q56&gt;0),booking!Q56,"-")</f>
        <v>-</v>
      </c>
      <c r="S56" s="79" t="str">
        <f>IFERROR(VLOOKUP(R56,Database!$A$2:$L$175,8,FALSE),"-")</f>
        <v>-</v>
      </c>
      <c r="T56" s="79" t="str">
        <f>IFERROR(VLOOKUP(R56,Database!$A$2:$L$175,6,FALSE),"-")</f>
        <v>-</v>
      </c>
      <c r="U56" s="83" t="str">
        <f>IFERROR(VLOOKUP(R56,Database!$A$2:$L$175,9,FALSE),"-")</f>
        <v>-</v>
      </c>
      <c r="V56" s="97" t="str">
        <f>IF(AND(D56="Y",booking!T56&lt;&gt;booking!U56,booking!U56&gt;0),booking!U56,"-")</f>
        <v>-</v>
      </c>
      <c r="W56" s="80" t="str">
        <f>IFERROR(VLOOKUP(V56,Database!$A$2:$L$175,8,FALSE),"-")</f>
        <v>-</v>
      </c>
      <c r="X56" s="80" t="str">
        <f>IFERROR(VLOOKUP(V56,Database!$A$2:$L$175,6,FALSE),"-")</f>
        <v>-</v>
      </c>
      <c r="Y56" s="82" t="str">
        <f>IFERROR(VLOOKUP(V56,Database!$A$2:$L$175,9,FALSE),"-")</f>
        <v>-</v>
      </c>
    </row>
    <row r="57" spans="1:25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79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97" t="str">
        <f>IF(AND(D57="Y",booking!L57&lt;&gt;booking!M57,booking!M57&gt;0),booking!M57,"-")</f>
        <v>-</v>
      </c>
      <c r="O57" s="79" t="str">
        <f>IFERROR(VLOOKUP(N57,Database!$A$2:$L$175,8,FALSE),"-")</f>
        <v>-</v>
      </c>
      <c r="P57" s="79" t="str">
        <f>IFERROR(VLOOKUP(N57,Database!$A$2:$L$175,6,FALSE),"-")</f>
        <v>-</v>
      </c>
      <c r="Q57" s="83" t="str">
        <f>IFERROR(VLOOKUP(N57,Database!$A$2:$L$175,9,FALSE),"-")</f>
        <v>-</v>
      </c>
      <c r="R57" s="98" t="str">
        <f>IF(AND(D57="Y",booking!P57&lt;&gt;booking!Q57,booking!Q57&gt;0),booking!Q57,"-")</f>
        <v>-</v>
      </c>
      <c r="S57" s="79" t="str">
        <f>IFERROR(VLOOKUP(R57,Database!$A$2:$L$175,8,FALSE),"-")</f>
        <v>-</v>
      </c>
      <c r="T57" s="79" t="str">
        <f>IFERROR(VLOOKUP(R57,Database!$A$2:$L$175,6,FALSE),"-")</f>
        <v>-</v>
      </c>
      <c r="U57" s="83" t="str">
        <f>IFERROR(VLOOKUP(R57,Database!$A$2:$L$175,9,FALSE),"-")</f>
        <v>-</v>
      </c>
      <c r="V57" s="97" t="str">
        <f>IF(AND(D57="Y",booking!T57&lt;&gt;booking!U57,booking!U57&gt;0),booking!U57,"-")</f>
        <v>-</v>
      </c>
      <c r="W57" s="80" t="str">
        <f>IFERROR(VLOOKUP(V57,Database!$A$2:$L$175,8,FALSE),"-")</f>
        <v>-</v>
      </c>
      <c r="X57" s="80" t="str">
        <f>IFERROR(VLOOKUP(V57,Database!$A$2:$L$175,6,FALSE),"-")</f>
        <v>-</v>
      </c>
      <c r="Y57" s="82" t="str">
        <f>IFERROR(VLOOKUP(V57,Database!$A$2:$L$175,9,FALSE),"-")</f>
        <v>-</v>
      </c>
    </row>
    <row r="58" spans="1:25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79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97" t="str">
        <f>IF(AND(D58="Y",booking!L58&lt;&gt;booking!M58,booking!M58&gt;0),booking!M58,"-")</f>
        <v>-</v>
      </c>
      <c r="O58" s="79" t="str">
        <f>IFERROR(VLOOKUP(N58,Database!$A$2:$L$175,8,FALSE),"-")</f>
        <v>-</v>
      </c>
      <c r="P58" s="79" t="str">
        <f>IFERROR(VLOOKUP(N58,Database!$A$2:$L$175,6,FALSE),"-")</f>
        <v>-</v>
      </c>
      <c r="Q58" s="83" t="str">
        <f>IFERROR(VLOOKUP(N58,Database!$A$2:$L$175,9,FALSE),"-")</f>
        <v>-</v>
      </c>
      <c r="R58" s="98">
        <f>IF(AND(D58="Y",booking!P58&lt;&gt;booking!Q58,booking!Q58&gt;0),booking!Q58,"-")</f>
        <v>37</v>
      </c>
      <c r="S58" s="79" t="str">
        <f>IFERROR(VLOOKUP(R58,Database!$A$2:$L$175,8,FALSE),"-")</f>
        <v>1430</v>
      </c>
      <c r="T58" s="79" t="str">
        <f>IFERROR(VLOOKUP(R58,Database!$A$2:$L$175,6,FALSE),"-")</f>
        <v>DK</v>
      </c>
      <c r="U58" s="83">
        <f>IFERROR(VLOOKUP(R58,Database!$A$2:$L$175,9,FALSE),"-")</f>
        <v>0</v>
      </c>
      <c r="V58" s="97" t="str">
        <f>IF(AND(D58="Y",booking!T58&lt;&gt;booking!U58,booking!U58&gt;0),booking!U58,"-")</f>
        <v>-</v>
      </c>
      <c r="W58" s="80" t="str">
        <f>IFERROR(VLOOKUP(V58,Database!$A$2:$L$175,8,FALSE),"-")</f>
        <v>-</v>
      </c>
      <c r="X58" s="80" t="str">
        <f>IFERROR(VLOOKUP(V58,Database!$A$2:$L$175,6,FALSE),"-")</f>
        <v>-</v>
      </c>
      <c r="Y58" s="82" t="str">
        <f>IFERROR(VLOOKUP(V58,Database!$A$2:$L$175,9,FALSE),"-")</f>
        <v>-</v>
      </c>
    </row>
    <row r="59" spans="1:25" ht="15" customHeight="1" thickBot="1" x14ac:dyDescent="0.4">
      <c r="A59" s="89" t="str">
        <f>rengøring!A59</f>
        <v>tirsdag</v>
      </c>
      <c r="B59" s="87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79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97" t="str">
        <f>IF(AND(D59="Y",booking!L59&lt;&gt;booking!M59,booking!M59&gt;0),booking!M59,"-")</f>
        <v>-</v>
      </c>
      <c r="O59" s="79" t="str">
        <f>IFERROR(VLOOKUP(N59,Database!$A$2:$L$175,8,FALSE),"-")</f>
        <v>-</v>
      </c>
      <c r="P59" s="79" t="str">
        <f>IFERROR(VLOOKUP(N59,Database!$A$2:$L$175,6,FALSE),"-")</f>
        <v>-</v>
      </c>
      <c r="Q59" s="83" t="str">
        <f>IFERROR(VLOOKUP(N59,Database!$A$2:$L$175,9,FALSE),"-")</f>
        <v>-</v>
      </c>
      <c r="R59" s="98" t="str">
        <f>IF(AND(D59="Y",booking!P59&lt;&gt;booking!Q59,booking!Q59&gt;0),booking!Q59,"-")</f>
        <v>-</v>
      </c>
      <c r="S59" s="79" t="str">
        <f>IFERROR(VLOOKUP(R59,Database!$A$2:$L$175,8,FALSE),"-")</f>
        <v>-</v>
      </c>
      <c r="T59" s="79" t="str">
        <f>IFERROR(VLOOKUP(R59,Database!$A$2:$L$175,6,FALSE),"-")</f>
        <v>-</v>
      </c>
      <c r="U59" s="83" t="str">
        <f>IFERROR(VLOOKUP(R59,Database!$A$2:$L$175,9,FALSE),"-")</f>
        <v>-</v>
      </c>
      <c r="V59" s="97" t="str">
        <f>IF(AND(D59="Y",booking!T59&lt;&gt;booking!U59,booking!U59&gt;0),booking!U59,"-")</f>
        <v>-</v>
      </c>
      <c r="W59" s="80" t="str">
        <f>IFERROR(VLOOKUP(V59,Database!$A$2:$L$175,8,FALSE),"-")</f>
        <v>-</v>
      </c>
      <c r="X59" s="80" t="str">
        <f>IFERROR(VLOOKUP(V59,Database!$A$2:$L$175,6,FALSE),"-")</f>
        <v>-</v>
      </c>
      <c r="Y59" s="82" t="str">
        <f>IFERROR(VLOOKUP(V59,Database!$A$2:$L$175,9,FALSE),"-")</f>
        <v>-</v>
      </c>
    </row>
    <row r="60" spans="1:25" ht="15" customHeight="1" thickBot="1" x14ac:dyDescent="0.4">
      <c r="A60" s="89" t="str">
        <f>rengøring!A60</f>
        <v>onsdag</v>
      </c>
      <c r="B60" s="85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79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97" t="str">
        <f>IF(AND(D60="Y",booking!L60&lt;&gt;booking!M60,booking!M60&gt;0),booking!M60,"-")</f>
        <v>-</v>
      </c>
      <c r="O60" s="79" t="str">
        <f>IFERROR(VLOOKUP(N60,Database!$A$2:$L$175,8,FALSE),"-")</f>
        <v>-</v>
      </c>
      <c r="P60" s="79" t="str">
        <f>IFERROR(VLOOKUP(N60,Database!$A$2:$L$175,6,FALSE),"-")</f>
        <v>-</v>
      </c>
      <c r="Q60" s="83" t="str">
        <f>IFERROR(VLOOKUP(N60,Database!$A$2:$L$175,9,FALSE),"-")</f>
        <v>-</v>
      </c>
      <c r="R60" s="98" t="str">
        <f>IF(AND(D60="Y",booking!P60&lt;&gt;booking!Q60,booking!Q60&gt;0),booking!Q60,"-")</f>
        <v>-</v>
      </c>
      <c r="S60" s="79" t="str">
        <f>IFERROR(VLOOKUP(R60,Database!$A$2:$L$175,8,FALSE),"-")</f>
        <v>-</v>
      </c>
      <c r="T60" s="79" t="str">
        <f>IFERROR(VLOOKUP(R60,Database!$A$2:$L$175,6,FALSE),"-")</f>
        <v>-</v>
      </c>
      <c r="U60" s="83" t="str">
        <f>IFERROR(VLOOKUP(R60,Database!$A$2:$L$175,9,FALSE),"-")</f>
        <v>-</v>
      </c>
      <c r="V60" s="97" t="str">
        <f>IF(AND(D60="Y",booking!T60&lt;&gt;booking!U60,booking!U60&gt;0),booking!U60,"-")</f>
        <v>-</v>
      </c>
      <c r="W60" s="80" t="str">
        <f>IFERROR(VLOOKUP(V60,Database!$A$2:$L$175,8,FALSE),"-")</f>
        <v>-</v>
      </c>
      <c r="X60" s="80" t="str">
        <f>IFERROR(VLOOKUP(V60,Database!$A$2:$L$175,6,FALSE),"-")</f>
        <v>-</v>
      </c>
      <c r="Y60" s="82" t="str">
        <f>IFERROR(VLOOKUP(V60,Database!$A$2:$L$175,9,FALSE),"-")</f>
        <v>-</v>
      </c>
    </row>
    <row r="61" spans="1:25" ht="15" customHeight="1" thickBot="1" x14ac:dyDescent="0.4">
      <c r="A61" s="89" t="str">
        <f>rengøring!A61</f>
        <v>torsdag</v>
      </c>
      <c r="B61" s="87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79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97">
        <f>IF(AND(D61="Y",booking!L61&lt;&gt;booking!M61,booking!M61&gt;0),booking!M61,"-")</f>
        <v>34</v>
      </c>
      <c r="O61" s="79">
        <f>IFERROR(VLOOKUP(N61,Database!$A$2:$L$175,8,FALSE),"-")</f>
        <v>0</v>
      </c>
      <c r="P61" s="79" t="str">
        <f>IFERROR(VLOOKUP(N61,Database!$A$2:$L$175,6,FALSE),"-")</f>
        <v>D</v>
      </c>
      <c r="Q61" s="83">
        <f>IFERROR(VLOOKUP(N61,Database!$A$2:$L$175,9,FALSE),"-")</f>
        <v>0</v>
      </c>
      <c r="R61" s="98">
        <f>IF(AND(D61="Y",booking!P61&lt;&gt;booking!Q61,booking!Q61&gt;0),booking!Q61,"-")</f>
        <v>64</v>
      </c>
      <c r="S61" s="79">
        <f>IFERROR(VLOOKUP(R61,Database!$A$2:$L$175,8,FALSE),"-")</f>
        <v>0</v>
      </c>
      <c r="T61" s="79" t="str">
        <f>IFERROR(VLOOKUP(R61,Database!$A$2:$L$175,6,FALSE),"-")</f>
        <v>S</v>
      </c>
      <c r="U61" s="83" t="str">
        <f>IFERROR(VLOOKUP(R61,Database!$A$2:$L$175,9,FALSE),"-")</f>
        <v>sing</v>
      </c>
      <c r="V61" s="97" t="str">
        <f>IF(AND(D61="Y",booking!T61&lt;&gt;booking!U61,booking!U61&gt;0),booking!U61,"-")</f>
        <v>-</v>
      </c>
      <c r="W61" s="80" t="str">
        <f>IFERROR(VLOOKUP(V61,Database!$A$2:$L$175,8,FALSE),"-")</f>
        <v>-</v>
      </c>
      <c r="X61" s="80" t="str">
        <f>IFERROR(VLOOKUP(V61,Database!$A$2:$L$175,6,FALSE),"-")</f>
        <v>-</v>
      </c>
      <c r="Y61" s="82" t="str">
        <f>IFERROR(VLOOKUP(V61,Database!$A$2:$L$175,9,FALSE),"-")</f>
        <v>-</v>
      </c>
    </row>
    <row r="62" spans="1:25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79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97" t="str">
        <f>IF(AND(D62="Y",booking!L62&lt;&gt;booking!M62,booking!M62&gt;0),booking!M62,"-")</f>
        <v>-</v>
      </c>
      <c r="O62" s="79" t="str">
        <f>IFERROR(VLOOKUP(N62,Database!$A$2:$L$175,8,FALSE),"-")</f>
        <v>-</v>
      </c>
      <c r="P62" s="79" t="str">
        <f>IFERROR(VLOOKUP(N62,Database!$A$2:$L$175,6,FALSE),"-")</f>
        <v>-</v>
      </c>
      <c r="Q62" s="83" t="str">
        <f>IFERROR(VLOOKUP(N62,Database!$A$2:$L$175,9,FALSE),"-")</f>
        <v>-</v>
      </c>
      <c r="R62" s="98" t="str">
        <f>IF(AND(D62="Y",booking!P62&lt;&gt;booking!Q62,booking!Q62&gt;0),booking!Q62,"-")</f>
        <v>-</v>
      </c>
      <c r="S62" s="79" t="str">
        <f>IFERROR(VLOOKUP(R62,Database!$A$2:$L$175,8,FALSE),"-")</f>
        <v>-</v>
      </c>
      <c r="T62" s="79" t="str">
        <f>IFERROR(VLOOKUP(R62,Database!$A$2:$L$175,6,FALSE),"-")</f>
        <v>-</v>
      </c>
      <c r="U62" s="83" t="str">
        <f>IFERROR(VLOOKUP(R62,Database!$A$2:$L$175,9,FALSE),"-")</f>
        <v>-</v>
      </c>
      <c r="V62" s="97" t="str">
        <f>IF(AND(D62="Y",booking!T62&lt;&gt;booking!U62,booking!U62&gt;0),booking!U62,"-")</f>
        <v>-</v>
      </c>
      <c r="W62" s="80" t="str">
        <f>IFERROR(VLOOKUP(V62,Database!$A$2:$L$175,8,FALSE),"-")</f>
        <v>-</v>
      </c>
      <c r="X62" s="80" t="str">
        <f>IFERROR(VLOOKUP(V62,Database!$A$2:$L$175,6,FALSE),"-")</f>
        <v>-</v>
      </c>
      <c r="Y62" s="82" t="str">
        <f>IFERROR(VLOOKUP(V62,Database!$A$2:$L$175,9,FALSE),"-")</f>
        <v>-</v>
      </c>
    </row>
    <row r="63" spans="1:25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79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97" t="str">
        <f>IF(AND(D63="Y",booking!L63&lt;&gt;booking!M63,booking!M63&gt;0),booking!M63,"-")</f>
        <v>-</v>
      </c>
      <c r="O63" s="79" t="str">
        <f>IFERROR(VLOOKUP(N63,Database!$A$2:$L$175,8,FALSE),"-")</f>
        <v>-</v>
      </c>
      <c r="P63" s="79" t="str">
        <f>IFERROR(VLOOKUP(N63,Database!$A$2:$L$175,6,FALSE),"-")</f>
        <v>-</v>
      </c>
      <c r="Q63" s="83" t="str">
        <f>IFERROR(VLOOKUP(N63,Database!$A$2:$L$175,9,FALSE),"-")</f>
        <v>-</v>
      </c>
      <c r="R63" s="98" t="str">
        <f>IF(AND(D63="Y",booking!P63&lt;&gt;booking!Q63,booking!Q63&gt;0),booking!Q63,"-")</f>
        <v>-</v>
      </c>
      <c r="S63" s="79" t="str">
        <f>IFERROR(VLOOKUP(R63,Database!$A$2:$L$175,8,FALSE),"-")</f>
        <v>-</v>
      </c>
      <c r="T63" s="79" t="str">
        <f>IFERROR(VLOOKUP(R63,Database!$A$2:$L$175,6,FALSE),"-")</f>
        <v>-</v>
      </c>
      <c r="U63" s="83" t="str">
        <f>IFERROR(VLOOKUP(R63,Database!$A$2:$L$175,9,FALSE),"-")</f>
        <v>-</v>
      </c>
      <c r="V63" s="97">
        <f>IF(AND(D63="Y",booking!T63&lt;&gt;booking!U63,booking!U63&gt;0),booking!U63,"-")</f>
        <v>77</v>
      </c>
      <c r="W63" s="80">
        <f>IFERROR(VLOOKUP(V63,Database!$A$2:$L$175,8,FALSE),"-")</f>
        <v>0</v>
      </c>
      <c r="X63" s="80" t="str">
        <f>IFERROR(VLOOKUP(V63,Database!$A$2:$L$175,6,FALSE),"-")</f>
        <v>DK</v>
      </c>
      <c r="Y63" s="82">
        <f>IFERROR(VLOOKUP(V63,Database!$A$2:$L$175,9,FALSE),"-")</f>
        <v>0</v>
      </c>
    </row>
    <row r="64" spans="1:25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79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97" t="str">
        <f>IF(AND(D64="Y",booking!L64&lt;&gt;booking!M64,booking!M64&gt;0),booking!M64,"-")</f>
        <v>-</v>
      </c>
      <c r="O64" s="79" t="str">
        <f>IFERROR(VLOOKUP(N64,Database!$A$2:$L$175,8,FALSE),"-")</f>
        <v>-</v>
      </c>
      <c r="P64" s="79" t="str">
        <f>IFERROR(VLOOKUP(N64,Database!$A$2:$L$175,6,FALSE),"-")</f>
        <v>-</v>
      </c>
      <c r="Q64" s="83" t="str">
        <f>IFERROR(VLOOKUP(N64,Database!$A$2:$L$175,9,FALSE),"-")</f>
        <v>-</v>
      </c>
      <c r="R64" s="98" t="str">
        <f>IF(AND(D64="Y",booking!P64&lt;&gt;booking!Q64,booking!Q64&gt;0),booking!Q64,"-")</f>
        <v>-</v>
      </c>
      <c r="S64" s="79" t="str">
        <f>IFERROR(VLOOKUP(R64,Database!$A$2:$L$175,8,FALSE),"-")</f>
        <v>-</v>
      </c>
      <c r="T64" s="79" t="str">
        <f>IFERROR(VLOOKUP(R64,Database!$A$2:$L$175,6,FALSE),"-")</f>
        <v>-</v>
      </c>
      <c r="U64" s="83" t="str">
        <f>IFERROR(VLOOKUP(R64,Database!$A$2:$L$175,9,FALSE),"-")</f>
        <v>-</v>
      </c>
      <c r="V64" s="97" t="str">
        <f>IF(AND(D64="Y",booking!T64&lt;&gt;booking!U64,booking!U64&gt;0),booking!U64,"-")</f>
        <v>-</v>
      </c>
      <c r="W64" s="80" t="str">
        <f>IFERROR(VLOOKUP(V64,Database!$A$2:$L$175,8,FALSE),"-")</f>
        <v>-</v>
      </c>
      <c r="X64" s="80" t="str">
        <f>IFERROR(VLOOKUP(V64,Database!$A$2:$L$175,6,FALSE),"-")</f>
        <v>-</v>
      </c>
      <c r="Y64" s="82" t="str">
        <f>IFERROR(VLOOKUP(V64,Database!$A$2:$L$175,9,FALSE),"-")</f>
        <v>-</v>
      </c>
    </row>
    <row r="65" spans="1:25" ht="15" customHeight="1" thickBot="1" x14ac:dyDescent="0.4">
      <c r="A65" s="89" t="str">
        <f>rengøring!A65</f>
        <v>mandag</v>
      </c>
      <c r="B65" s="87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79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97" t="str">
        <f>IF(AND(D65="Y",booking!L65&lt;&gt;booking!M65,booking!M65&gt;0),booking!M65,"-")</f>
        <v>-</v>
      </c>
      <c r="O65" s="79" t="str">
        <f>IFERROR(VLOOKUP(N65,Database!$A$2:$L$175,8,FALSE),"-")</f>
        <v>-</v>
      </c>
      <c r="P65" s="79" t="str">
        <f>IFERROR(VLOOKUP(N65,Database!$A$2:$L$175,6,FALSE),"-")</f>
        <v>-</v>
      </c>
      <c r="Q65" s="83" t="str">
        <f>IFERROR(VLOOKUP(N65,Database!$A$2:$L$175,9,FALSE),"-")</f>
        <v>-</v>
      </c>
      <c r="R65" s="98">
        <f>IF(AND(D65="Y",booking!P65&lt;&gt;booking!Q65,booking!Q65&gt;0),booking!Q65,"-")</f>
        <v>76</v>
      </c>
      <c r="S65" s="79">
        <f>IFERROR(VLOOKUP(R65,Database!$A$2:$L$175,8,FALSE),"-")</f>
        <v>0</v>
      </c>
      <c r="T65" s="79" t="str">
        <f>IFERROR(VLOOKUP(R65,Database!$A$2:$L$175,6,FALSE),"-")</f>
        <v>DK</v>
      </c>
      <c r="U65" s="83" t="str">
        <f>IFERROR(VLOOKUP(R65,Database!$A$2:$L$175,9,FALSE),"-")</f>
        <v>sing</v>
      </c>
      <c r="V65" s="97" t="str">
        <f>IF(AND(D65="Y",booking!T65&lt;&gt;booking!U65,booking!U65&gt;0),booking!U65,"-")</f>
        <v>-</v>
      </c>
      <c r="W65" s="80" t="str">
        <f>IFERROR(VLOOKUP(V65,Database!$A$2:$L$175,8,FALSE),"-")</f>
        <v>-</v>
      </c>
      <c r="X65" s="80" t="str">
        <f>IFERROR(VLOOKUP(V65,Database!$A$2:$L$175,6,FALSE),"-")</f>
        <v>-</v>
      </c>
      <c r="Y65" s="82" t="str">
        <f>IFERROR(VLOOKUP(V65,Database!$A$2:$L$175,9,FALSE),"-")</f>
        <v>-</v>
      </c>
    </row>
    <row r="66" spans="1:25" ht="15" customHeight="1" thickBot="1" x14ac:dyDescent="0.4">
      <c r="A66" s="89" t="str">
        <f>rengøring!A66</f>
        <v>tirsdag</v>
      </c>
      <c r="B66" s="85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79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97" t="str">
        <f>IF(AND(D66="Y",booking!L66&lt;&gt;booking!M66,booking!M66&gt;0),booking!M66,"-")</f>
        <v>-</v>
      </c>
      <c r="O66" s="79" t="str">
        <f>IFERROR(VLOOKUP(N66,Database!$A$2:$L$175,8,FALSE),"-")</f>
        <v>-</v>
      </c>
      <c r="P66" s="79" t="str">
        <f>IFERROR(VLOOKUP(N66,Database!$A$2:$L$175,6,FALSE),"-")</f>
        <v>-</v>
      </c>
      <c r="Q66" s="83" t="str">
        <f>IFERROR(VLOOKUP(N66,Database!$A$2:$L$175,9,FALSE),"-")</f>
        <v>-</v>
      </c>
      <c r="R66" s="98" t="str">
        <f>IF(AND(D66="Y",booking!P66&lt;&gt;booking!Q66,booking!Q66&gt;0),booking!Q66,"-")</f>
        <v>-</v>
      </c>
      <c r="S66" s="79" t="str">
        <f>IFERROR(VLOOKUP(R66,Database!$A$2:$L$175,8,FALSE),"-")</f>
        <v>-</v>
      </c>
      <c r="T66" s="79" t="str">
        <f>IFERROR(VLOOKUP(R66,Database!$A$2:$L$175,6,FALSE),"-")</f>
        <v>-</v>
      </c>
      <c r="U66" s="83" t="str">
        <f>IFERROR(VLOOKUP(R66,Database!$A$2:$L$175,9,FALSE),"-")</f>
        <v>-</v>
      </c>
      <c r="V66" s="97" t="str">
        <f>IF(AND(D66="Y",booking!T66&lt;&gt;booking!U66,booking!U66&gt;0),booking!U66,"-")</f>
        <v>-</v>
      </c>
      <c r="W66" s="80" t="str">
        <f>IFERROR(VLOOKUP(V66,Database!$A$2:$L$175,8,FALSE),"-")</f>
        <v>-</v>
      </c>
      <c r="X66" s="80" t="str">
        <f>IFERROR(VLOOKUP(V66,Database!$A$2:$L$175,6,FALSE),"-")</f>
        <v>-</v>
      </c>
      <c r="Y66" s="82" t="str">
        <f>IFERROR(VLOOKUP(V66,Database!$A$2:$L$175,9,FALSE),"-")</f>
        <v>-</v>
      </c>
    </row>
    <row r="67" spans="1:25" ht="15" customHeight="1" thickBot="1" x14ac:dyDescent="0.4">
      <c r="A67" s="89" t="str">
        <f>rengøring!A67</f>
        <v>onsdag</v>
      </c>
      <c r="B67" s="87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79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97" t="str">
        <f>IF(AND(D67="Y",booking!L67&lt;&gt;booking!M67,booking!M67&gt;0),booking!M67,"-")</f>
        <v>-</v>
      </c>
      <c r="O67" s="79" t="str">
        <f>IFERROR(VLOOKUP(N67,Database!$A$2:$L$175,8,FALSE),"-")</f>
        <v>-</v>
      </c>
      <c r="P67" s="79" t="str">
        <f>IFERROR(VLOOKUP(N67,Database!$A$2:$L$175,6,FALSE),"-")</f>
        <v>-</v>
      </c>
      <c r="Q67" s="83" t="str">
        <f>IFERROR(VLOOKUP(N67,Database!$A$2:$L$175,9,FALSE),"-")</f>
        <v>-</v>
      </c>
      <c r="R67" s="98" t="str">
        <f>IF(AND(D67="Y",booking!P67&lt;&gt;booking!Q67,booking!Q67&gt;0),booking!Q67,"-")</f>
        <v>-</v>
      </c>
      <c r="S67" s="79" t="str">
        <f>IFERROR(VLOOKUP(R67,Database!$A$2:$L$175,8,FALSE),"-")</f>
        <v>-</v>
      </c>
      <c r="T67" s="79" t="str">
        <f>IFERROR(VLOOKUP(R67,Database!$A$2:$L$175,6,FALSE),"-")</f>
        <v>-</v>
      </c>
      <c r="U67" s="83" t="str">
        <f>IFERROR(VLOOKUP(R67,Database!$A$2:$L$175,9,FALSE),"-")</f>
        <v>-</v>
      </c>
      <c r="V67" s="97" t="str">
        <f>IF(AND(D67="Y",booking!T67&lt;&gt;booking!U67,booking!U67&gt;0),booking!U67,"-")</f>
        <v>-</v>
      </c>
      <c r="W67" s="80" t="str">
        <f>IFERROR(VLOOKUP(V67,Database!$A$2:$L$175,8,FALSE),"-")</f>
        <v>-</v>
      </c>
      <c r="X67" s="80" t="str">
        <f>IFERROR(VLOOKUP(V67,Database!$A$2:$L$175,6,FALSE),"-")</f>
        <v>-</v>
      </c>
      <c r="Y67" s="82" t="str">
        <f>IFERROR(VLOOKUP(V67,Database!$A$2:$L$175,9,FALSE),"-")</f>
        <v>-</v>
      </c>
    </row>
    <row r="68" spans="1:25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79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97" t="str">
        <f>IF(AND(D68="Y",booking!L68&lt;&gt;booking!M68,booking!M68&gt;0),booking!M68,"-")</f>
        <v>-</v>
      </c>
      <c r="O68" s="79" t="str">
        <f>IFERROR(VLOOKUP(N68,Database!$A$2:$L$175,8,FALSE),"-")</f>
        <v>-</v>
      </c>
      <c r="P68" s="79" t="str">
        <f>IFERROR(VLOOKUP(N68,Database!$A$2:$L$175,6,FALSE),"-")</f>
        <v>-</v>
      </c>
      <c r="Q68" s="83" t="str">
        <f>IFERROR(VLOOKUP(N68,Database!$A$2:$L$175,9,FALSE),"-")</f>
        <v>-</v>
      </c>
      <c r="R68" s="98" t="str">
        <f>IF(AND(D68="Y",booking!P68&lt;&gt;booking!Q68,booking!Q68&gt;0),booking!Q68,"-")</f>
        <v>-</v>
      </c>
      <c r="S68" s="79" t="str">
        <f>IFERROR(VLOOKUP(R68,Database!$A$2:$L$175,8,FALSE),"-")</f>
        <v>-</v>
      </c>
      <c r="T68" s="79" t="str">
        <f>IFERROR(VLOOKUP(R68,Database!$A$2:$L$175,6,FALSE),"-")</f>
        <v>-</v>
      </c>
      <c r="U68" s="83" t="str">
        <f>IFERROR(VLOOKUP(R68,Database!$A$2:$L$175,9,FALSE),"-")</f>
        <v>-</v>
      </c>
      <c r="V68" s="97" t="str">
        <f>IF(AND(D68="Y",booking!T68&lt;&gt;booking!U68,booking!U68&gt;0),booking!U68,"-")</f>
        <v>-</v>
      </c>
      <c r="W68" s="80" t="str">
        <f>IFERROR(VLOOKUP(V68,Database!$A$2:$L$175,8,FALSE),"-")</f>
        <v>-</v>
      </c>
      <c r="X68" s="80" t="str">
        <f>IFERROR(VLOOKUP(V68,Database!$A$2:$L$175,6,FALSE),"-")</f>
        <v>-</v>
      </c>
      <c r="Y68" s="82" t="str">
        <f>IFERROR(VLOOKUP(V68,Database!$A$2:$L$175,9,FALSE),"-")</f>
        <v>-</v>
      </c>
    </row>
    <row r="69" spans="1:25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79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97" t="str">
        <f>IF(AND(D69="Y",booking!L69&lt;&gt;booking!M69,booking!M69&gt;0),booking!M69,"-")</f>
        <v>-</v>
      </c>
      <c r="O69" s="79" t="str">
        <f>IFERROR(VLOOKUP(N69,Database!$A$2:$L$175,8,FALSE),"-")</f>
        <v>-</v>
      </c>
      <c r="P69" s="79" t="str">
        <f>IFERROR(VLOOKUP(N69,Database!$A$2:$L$175,6,FALSE),"-")</f>
        <v>-</v>
      </c>
      <c r="Q69" s="83" t="str">
        <f>IFERROR(VLOOKUP(N69,Database!$A$2:$L$175,9,FALSE),"-")</f>
        <v>-</v>
      </c>
      <c r="R69" s="98">
        <f>IF(AND(D69="Y",booking!P69&lt;&gt;booking!Q69,booking!Q69&gt;0),booking!Q69,"-")</f>
        <v>14</v>
      </c>
      <c r="S69" s="79">
        <f>IFERROR(VLOOKUP(R69,Database!$A$2:$L$175,8,FALSE),"-")</f>
        <v>0</v>
      </c>
      <c r="T69" s="79" t="str">
        <f>IFERROR(VLOOKUP(R69,Database!$A$2:$L$175,6,FALSE),"-")</f>
        <v>DK</v>
      </c>
      <c r="U69" s="83">
        <f>IFERROR(VLOOKUP(R69,Database!$A$2:$L$175,9,FALSE),"-")</f>
        <v>0</v>
      </c>
      <c r="V69" s="97" t="str">
        <f>IF(AND(D69="Y",booking!T69&lt;&gt;booking!U69,booking!U69&gt;0),booking!U69,"-")</f>
        <v>-</v>
      </c>
      <c r="W69" s="80" t="str">
        <f>IFERROR(VLOOKUP(V69,Database!$A$2:$L$175,8,FALSE),"-")</f>
        <v>-</v>
      </c>
      <c r="X69" s="80" t="str">
        <f>IFERROR(VLOOKUP(V69,Database!$A$2:$L$175,6,FALSE),"-")</f>
        <v>-</v>
      </c>
      <c r="Y69" s="82" t="str">
        <f>IFERROR(VLOOKUP(V69,Database!$A$2:$L$175,9,FALSE),"-")</f>
        <v>-</v>
      </c>
    </row>
    <row r="70" spans="1:25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79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98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97" t="str">
        <f>IF(AND(D70="Y",booking!L70&lt;&gt;booking!M70,booking!M70&gt;0),booking!M70,"-")</f>
        <v>-</v>
      </c>
      <c r="O70" s="79" t="str">
        <f>IFERROR(VLOOKUP(N70,Database!$A$2:$L$175,8,FALSE),"-")</f>
        <v>-</v>
      </c>
      <c r="P70" s="79" t="str">
        <f>IFERROR(VLOOKUP(N70,Database!$A$2:$L$175,6,FALSE),"-")</f>
        <v>-</v>
      </c>
      <c r="Q70" s="83" t="str">
        <f>IFERROR(VLOOKUP(N70,Database!$A$2:$L$175,9,FALSE),"-")</f>
        <v>-</v>
      </c>
      <c r="R70" s="98" t="str">
        <f>IF(AND(D70="Y",booking!P70&lt;&gt;booking!Q70,booking!Q70&gt;0),booking!Q70,"-")</f>
        <v>-</v>
      </c>
      <c r="S70" s="79" t="str">
        <f>IFERROR(VLOOKUP(R70,Database!$A$2:$L$175,8,FALSE),"-")</f>
        <v>-</v>
      </c>
      <c r="T70" s="79" t="str">
        <f>IFERROR(VLOOKUP(R70,Database!$A$2:$L$175,6,FALSE),"-")</f>
        <v>-</v>
      </c>
      <c r="U70" s="83" t="str">
        <f>IFERROR(VLOOKUP(R70,Database!$A$2:$L$175,9,FALSE),"-")</f>
        <v>-</v>
      </c>
      <c r="V70" s="97">
        <f>IF(AND(D70="Y",booking!T70&lt;&gt;booking!U70,booking!U70&gt;0),booking!U70,"-")</f>
        <v>7</v>
      </c>
      <c r="W70" s="80">
        <f>IFERROR(VLOOKUP(V70,Database!$A$2:$L$175,8,FALSE),"-")</f>
        <v>0</v>
      </c>
      <c r="X70" s="80" t="str">
        <f>IFERROR(VLOOKUP(V70,Database!$A$2:$L$175,6,FALSE),"-")</f>
        <v>DK</v>
      </c>
      <c r="Y70" s="82">
        <f>IFERROR(VLOOKUP(V70,Database!$A$2:$L$175,9,FALSE),"-")</f>
        <v>0</v>
      </c>
    </row>
    <row r="71" spans="1:25" ht="15" customHeight="1" thickBot="1" x14ac:dyDescent="0.4">
      <c r="A71" s="89" t="str">
        <f>rengøring!A71</f>
        <v>søndag</v>
      </c>
      <c r="B71" s="87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79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97" t="str">
        <f>IF(AND(D71="Y",booking!L71&lt;&gt;booking!M71,booking!M71&gt;0),booking!M71,"-")</f>
        <v>-</v>
      </c>
      <c r="O71" s="79" t="str">
        <f>IFERROR(VLOOKUP(N71,Database!$A$2:$L$175,8,FALSE),"-")</f>
        <v>-</v>
      </c>
      <c r="P71" s="79" t="str">
        <f>IFERROR(VLOOKUP(N71,Database!$A$2:$L$175,6,FALSE),"-")</f>
        <v>-</v>
      </c>
      <c r="Q71" s="83" t="str">
        <f>IFERROR(VLOOKUP(N71,Database!$A$2:$L$175,9,FALSE),"-")</f>
        <v>-</v>
      </c>
      <c r="R71" s="98" t="str">
        <f>IF(AND(D71="Y",booking!P71&lt;&gt;booking!Q71,booking!Q71&gt;0),booking!Q71,"-")</f>
        <v>-</v>
      </c>
      <c r="S71" s="79" t="str">
        <f>IFERROR(VLOOKUP(R71,Database!$A$2:$L$175,8,FALSE),"-")</f>
        <v>-</v>
      </c>
      <c r="T71" s="79" t="str">
        <f>IFERROR(VLOOKUP(R71,Database!$A$2:$L$175,6,FALSE),"-")</f>
        <v>-</v>
      </c>
      <c r="U71" s="83" t="str">
        <f>IFERROR(VLOOKUP(R71,Database!$A$2:$L$175,9,FALSE),"-")</f>
        <v>-</v>
      </c>
      <c r="V71" s="97" t="str">
        <f>IF(AND(D71="Y",booking!T71&lt;&gt;booking!U71,booking!U71&gt;0),booking!U71,"-")</f>
        <v>-</v>
      </c>
      <c r="W71" s="80" t="str">
        <f>IFERROR(VLOOKUP(V71,Database!$A$2:$L$175,8,FALSE),"-")</f>
        <v>-</v>
      </c>
      <c r="X71" s="80" t="str">
        <f>IFERROR(VLOOKUP(V71,Database!$A$2:$L$175,6,FALSE),"-")</f>
        <v>-</v>
      </c>
      <c r="Y71" s="82" t="str">
        <f>IFERROR(VLOOKUP(V71,Database!$A$2:$L$175,9,FALSE),"-")</f>
        <v>-</v>
      </c>
    </row>
    <row r="72" spans="1:25" ht="15" customHeight="1" thickBot="1" x14ac:dyDescent="0.4">
      <c r="A72" s="89" t="str">
        <f>rengøring!A72</f>
        <v>mandag</v>
      </c>
      <c r="B72" s="85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79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97">
        <f>IF(AND(D72="Y",booking!L72&lt;&gt;booking!M72,booking!M72&gt;0),booking!M72,"-")</f>
        <v>36</v>
      </c>
      <c r="O72" s="79">
        <f>IFERROR(VLOOKUP(N72,Database!$A$2:$L$175,8,FALSE),"-")</f>
        <v>0</v>
      </c>
      <c r="P72" s="79" t="str">
        <f>IFERROR(VLOOKUP(N72,Database!$A$2:$L$175,6,FALSE),"-")</f>
        <v>DK</v>
      </c>
      <c r="Q72" s="83">
        <f>IFERROR(VLOOKUP(N72,Database!$A$2:$L$175,9,FALSE),"-")</f>
        <v>0</v>
      </c>
      <c r="R72" s="98" t="str">
        <f>IF(AND(D72="Y",booking!P72&lt;&gt;booking!Q72,booking!Q72&gt;0),booking!Q72,"-")</f>
        <v>-</v>
      </c>
      <c r="S72" s="79" t="str">
        <f>IFERROR(VLOOKUP(R72,Database!$A$2:$L$175,8,FALSE),"-")</f>
        <v>-</v>
      </c>
      <c r="T72" s="79" t="str">
        <f>IFERROR(VLOOKUP(R72,Database!$A$2:$L$175,6,FALSE),"-")</f>
        <v>-</v>
      </c>
      <c r="U72" s="83" t="str">
        <f>IFERROR(VLOOKUP(R72,Database!$A$2:$L$175,9,FALSE),"-")</f>
        <v>-</v>
      </c>
      <c r="V72" s="97" t="str">
        <f>IF(AND(D72="Y",booking!T72&lt;&gt;booking!U72,booking!U72&gt;0),booking!U72,"-")</f>
        <v>-</v>
      </c>
      <c r="W72" s="80" t="str">
        <f>IFERROR(VLOOKUP(V72,Database!$A$2:$L$175,8,FALSE),"-")</f>
        <v>-</v>
      </c>
      <c r="X72" s="80" t="str">
        <f>IFERROR(VLOOKUP(V72,Database!$A$2:$L$175,6,FALSE),"-")</f>
        <v>-</v>
      </c>
      <c r="Y72" s="82" t="str">
        <f>IFERROR(VLOOKUP(V72,Database!$A$2:$L$175,9,FALSE),"-")</f>
        <v>-</v>
      </c>
    </row>
    <row r="73" spans="1:25" ht="15" customHeight="1" thickBot="1" x14ac:dyDescent="0.4">
      <c r="A73" s="89" t="str">
        <f>rengøring!A73</f>
        <v>tirsdag</v>
      </c>
      <c r="B73" s="87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79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97" t="str">
        <f>IF(AND(D73="Y",booking!L73&lt;&gt;booking!M73,booking!M73&gt;0),booking!M73,"-")</f>
        <v>-</v>
      </c>
      <c r="O73" s="79" t="str">
        <f>IFERROR(VLOOKUP(N73,Database!$A$2:$L$175,8,FALSE),"-")</f>
        <v>-</v>
      </c>
      <c r="P73" s="79" t="str">
        <f>IFERROR(VLOOKUP(N73,Database!$A$2:$L$175,6,FALSE),"-")</f>
        <v>-</v>
      </c>
      <c r="Q73" s="83" t="str">
        <f>IFERROR(VLOOKUP(N73,Database!$A$2:$L$175,9,FALSE),"-")</f>
        <v>-</v>
      </c>
      <c r="R73" s="98" t="str">
        <f>IF(AND(D73="Y",booking!P73&lt;&gt;booking!Q73,booking!Q73&gt;0),booking!Q73,"-")</f>
        <v>-</v>
      </c>
      <c r="S73" s="79" t="str">
        <f>IFERROR(VLOOKUP(R73,Database!$A$2:$L$175,8,FALSE),"-")</f>
        <v>-</v>
      </c>
      <c r="T73" s="79" t="str">
        <f>IFERROR(VLOOKUP(R73,Database!$A$2:$L$175,6,FALSE),"-")</f>
        <v>-</v>
      </c>
      <c r="U73" s="83" t="str">
        <f>IFERROR(VLOOKUP(R73,Database!$A$2:$L$175,9,FALSE),"-")</f>
        <v>-</v>
      </c>
      <c r="V73" s="97" t="str">
        <f>IF(AND(D73="Y",booking!T73&lt;&gt;booking!U73,booking!U73&gt;0),booking!U73,"-")</f>
        <v>-</v>
      </c>
      <c r="W73" s="80" t="str">
        <f>IFERROR(VLOOKUP(V73,Database!$A$2:$L$175,8,FALSE),"-")</f>
        <v>-</v>
      </c>
      <c r="X73" s="80" t="str">
        <f>IFERROR(VLOOKUP(V73,Database!$A$2:$L$175,6,FALSE),"-")</f>
        <v>-</v>
      </c>
      <c r="Y73" s="82" t="str">
        <f>IFERROR(VLOOKUP(V73,Database!$A$2:$L$175,9,FALSE),"-")</f>
        <v>-</v>
      </c>
    </row>
    <row r="74" spans="1:25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79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97" t="str">
        <f>IF(AND(D74="Y",booking!L74&lt;&gt;booking!M74,booking!M74&gt;0),booking!M74,"-")</f>
        <v>-</v>
      </c>
      <c r="O74" s="79" t="str">
        <f>IFERROR(VLOOKUP(N74,Database!$A$2:$L$175,8,FALSE),"-")</f>
        <v>-</v>
      </c>
      <c r="P74" s="79" t="str">
        <f>IFERROR(VLOOKUP(N74,Database!$A$2:$L$175,6,FALSE),"-")</f>
        <v>-</v>
      </c>
      <c r="Q74" s="83" t="str">
        <f>IFERROR(VLOOKUP(N74,Database!$A$2:$L$175,9,FALSE),"-")</f>
        <v>-</v>
      </c>
      <c r="R74" s="98" t="str">
        <f>IF(AND(D74="Y",booking!P74&lt;&gt;booking!Q74,booking!Q74&gt;0),booking!Q74,"-")</f>
        <v>-</v>
      </c>
      <c r="S74" s="79" t="str">
        <f>IFERROR(VLOOKUP(R74,Database!$A$2:$L$175,8,FALSE),"-")</f>
        <v>-</v>
      </c>
      <c r="T74" s="79" t="str">
        <f>IFERROR(VLOOKUP(R74,Database!$A$2:$L$175,6,FALSE),"-")</f>
        <v>-</v>
      </c>
      <c r="U74" s="83" t="str">
        <f>IFERROR(VLOOKUP(R74,Database!$A$2:$L$175,9,FALSE),"-")</f>
        <v>-</v>
      </c>
      <c r="V74" s="97" t="str">
        <f>IF(AND(D74="Y",booking!T74&lt;&gt;booking!U74,booking!U74&gt;0),booking!U74,"-")</f>
        <v>-</v>
      </c>
      <c r="W74" s="80" t="str">
        <f>IFERROR(VLOOKUP(V74,Database!$A$2:$L$175,8,FALSE),"-")</f>
        <v>-</v>
      </c>
      <c r="X74" s="80" t="str">
        <f>IFERROR(VLOOKUP(V74,Database!$A$2:$L$175,6,FALSE),"-")</f>
        <v>-</v>
      </c>
      <c r="Y74" s="82" t="str">
        <f>IFERROR(VLOOKUP(V74,Database!$A$2:$L$175,9,FALSE),"-")</f>
        <v>-</v>
      </c>
    </row>
    <row r="75" spans="1:25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79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97">
        <f>IF(AND(D75="Y",booking!L75&lt;&gt;booking!M75,booking!M75&gt;0),booking!M75,"-")</f>
        <v>84</v>
      </c>
      <c r="O75" s="79">
        <f>IFERROR(VLOOKUP(N75,Database!$A$2:$L$175,8,FALSE),"-")</f>
        <v>0</v>
      </c>
      <c r="P75" s="79" t="str">
        <f>IFERROR(VLOOKUP(N75,Database!$A$2:$L$175,6,FALSE),"-")</f>
        <v>DK</v>
      </c>
      <c r="Q75" s="83">
        <f>IFERROR(VLOOKUP(N75,Database!$A$2:$L$175,9,FALSE),"-")</f>
        <v>0</v>
      </c>
      <c r="R75" s="98" t="str">
        <f>IF(AND(D75="Y",booking!P75&lt;&gt;booking!Q75,booking!Q75&gt;0),booking!Q75,"-")</f>
        <v>-</v>
      </c>
      <c r="S75" s="79" t="str">
        <f>IFERROR(VLOOKUP(R75,Database!$A$2:$L$175,8,FALSE),"-")</f>
        <v>-</v>
      </c>
      <c r="T75" s="79" t="str">
        <f>IFERROR(VLOOKUP(R75,Database!$A$2:$L$175,6,FALSE),"-")</f>
        <v>-</v>
      </c>
      <c r="U75" s="83" t="str">
        <f>IFERROR(VLOOKUP(R75,Database!$A$2:$L$175,9,FALSE),"-")</f>
        <v>-</v>
      </c>
      <c r="V75" s="97" t="str">
        <f>IF(AND(D75="Y",booking!T75&lt;&gt;booking!U75,booking!U75&gt;0),booking!U75,"-")</f>
        <v>-</v>
      </c>
      <c r="W75" s="80" t="str">
        <f>IFERROR(VLOOKUP(V75,Database!$A$2:$L$175,8,FALSE),"-")</f>
        <v>-</v>
      </c>
      <c r="X75" s="80" t="str">
        <f>IFERROR(VLOOKUP(V75,Database!$A$2:$L$175,6,FALSE),"-")</f>
        <v>-</v>
      </c>
      <c r="Y75" s="82" t="str">
        <f>IFERROR(VLOOKUP(V75,Database!$A$2:$L$175,9,FALSE),"-")</f>
        <v>-</v>
      </c>
    </row>
    <row r="76" spans="1:25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79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97" t="str">
        <f>IF(AND(D76="Y",booking!L76&lt;&gt;booking!M76,booking!M76&gt;0),booking!M76,"-")</f>
        <v>-</v>
      </c>
      <c r="O76" s="79" t="str">
        <f>IFERROR(VLOOKUP(N76,Database!$A$2:$L$175,8,FALSE),"-")</f>
        <v>-</v>
      </c>
      <c r="P76" s="79" t="str">
        <f>IFERROR(VLOOKUP(N76,Database!$A$2:$L$175,6,FALSE),"-")</f>
        <v>-</v>
      </c>
      <c r="Q76" s="83" t="str">
        <f>IFERROR(VLOOKUP(N76,Database!$A$2:$L$175,9,FALSE),"-")</f>
        <v>-</v>
      </c>
      <c r="R76" s="98" t="str">
        <f>IF(AND(D76="Y",booking!P76&lt;&gt;booking!Q76,booking!Q76&gt;0),booking!Q76,"-")</f>
        <v>-</v>
      </c>
      <c r="S76" s="79" t="str">
        <f>IFERROR(VLOOKUP(R76,Database!$A$2:$L$175,8,FALSE),"-")</f>
        <v>-</v>
      </c>
      <c r="T76" s="79" t="str">
        <f>IFERROR(VLOOKUP(R76,Database!$A$2:$L$175,6,FALSE),"-")</f>
        <v>-</v>
      </c>
      <c r="U76" s="83" t="str">
        <f>IFERROR(VLOOKUP(R76,Database!$A$2:$L$175,9,FALSE),"-")</f>
        <v>-</v>
      </c>
      <c r="V76" s="97" t="str">
        <f>IF(AND(D76="Y",booking!T76&lt;&gt;booking!U76,booking!U76&gt;0),booking!U76,"-")</f>
        <v>-</v>
      </c>
      <c r="W76" s="80" t="str">
        <f>IFERROR(VLOOKUP(V76,Database!$A$2:$L$175,8,FALSE),"-")</f>
        <v>-</v>
      </c>
      <c r="X76" s="80" t="str">
        <f>IFERROR(VLOOKUP(V76,Database!$A$2:$L$175,6,FALSE),"-")</f>
        <v>-</v>
      </c>
      <c r="Y76" s="82" t="str">
        <f>IFERROR(VLOOKUP(V76,Database!$A$2:$L$175,9,FALSE),"-")</f>
        <v>-</v>
      </c>
    </row>
    <row r="77" spans="1:25" ht="15" customHeight="1" thickBot="1" x14ac:dyDescent="0.4">
      <c r="A77" s="89" t="str">
        <f>rengøring!A77</f>
        <v>lørdag</v>
      </c>
      <c r="B77" s="87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79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97" t="str">
        <f>IF(AND(D77="Y",booking!L77&lt;&gt;booking!M77,booking!M77&gt;0),booking!M77,"-")</f>
        <v>-</v>
      </c>
      <c r="O77" s="79" t="str">
        <f>IFERROR(VLOOKUP(N77,Database!$A$2:$L$175,8,FALSE),"-")</f>
        <v>-</v>
      </c>
      <c r="P77" s="79" t="str">
        <f>IFERROR(VLOOKUP(N77,Database!$A$2:$L$175,6,FALSE),"-")</f>
        <v>-</v>
      </c>
      <c r="Q77" s="83" t="str">
        <f>IFERROR(VLOOKUP(N77,Database!$A$2:$L$175,9,FALSE),"-")</f>
        <v>-</v>
      </c>
      <c r="R77" s="98">
        <f>IF(AND(D77="Y",booking!P77&lt;&gt;booking!Q77,booking!Q77&gt;0),booking!Q77,"-")</f>
        <v>66</v>
      </c>
      <c r="S77" s="79">
        <f>IFERROR(VLOOKUP(R77,Database!$A$2:$L$175,8,FALSE),"-")</f>
        <v>0</v>
      </c>
      <c r="T77" s="79" t="str">
        <f>IFERROR(VLOOKUP(R77,Database!$A$2:$L$175,6,FALSE),"-")</f>
        <v>DK</v>
      </c>
      <c r="U77" s="83">
        <f>IFERROR(VLOOKUP(R77,Database!$A$2:$L$175,9,FALSE),"-")</f>
        <v>0</v>
      </c>
      <c r="V77" s="97">
        <f>IF(AND(D77="Y",booking!T77&lt;&gt;booking!U77,booking!U77&gt;0),booking!U77,"-")</f>
        <v>62</v>
      </c>
      <c r="W77" s="80">
        <f>IFERROR(VLOOKUP(V77,Database!$A$2:$L$175,8,FALSE),"-")</f>
        <v>0</v>
      </c>
      <c r="X77" s="80" t="str">
        <f>IFERROR(VLOOKUP(V77,Database!$A$2:$L$175,6,FALSE),"-")</f>
        <v>DK</v>
      </c>
      <c r="Y77" s="82" t="str">
        <f>IFERROR(VLOOKUP(V77,Database!$A$2:$L$175,9,FALSE),"-")</f>
        <v>Dobb</v>
      </c>
    </row>
    <row r="78" spans="1:25" ht="15" customHeight="1" thickBot="1" x14ac:dyDescent="0.4">
      <c r="A78" s="89" t="str">
        <f>rengøring!A78</f>
        <v>søndag</v>
      </c>
      <c r="B78" s="85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79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97" t="str">
        <f>IF(AND(D78="Y",booking!L78&lt;&gt;booking!M78,booking!M78&gt;0),booking!M78,"-")</f>
        <v>-</v>
      </c>
      <c r="O78" s="79" t="str">
        <f>IFERROR(VLOOKUP(N78,Database!$A$2:$L$175,8,FALSE),"-")</f>
        <v>-</v>
      </c>
      <c r="P78" s="79" t="str">
        <f>IFERROR(VLOOKUP(N78,Database!$A$2:$L$175,6,FALSE),"-")</f>
        <v>-</v>
      </c>
      <c r="Q78" s="83" t="str">
        <f>IFERROR(VLOOKUP(N78,Database!$A$2:$L$175,9,FALSE),"-")</f>
        <v>-</v>
      </c>
      <c r="R78" s="98" t="str">
        <f>IF(AND(D78="Y",booking!P78&lt;&gt;booking!Q78,booking!Q78&gt;0),booking!Q78,"-")</f>
        <v>-</v>
      </c>
      <c r="S78" s="79" t="str">
        <f>IFERROR(VLOOKUP(R78,Database!$A$2:$L$175,8,FALSE),"-")</f>
        <v>-</v>
      </c>
      <c r="T78" s="79" t="str">
        <f>IFERROR(VLOOKUP(R78,Database!$A$2:$L$175,6,FALSE),"-")</f>
        <v>-</v>
      </c>
      <c r="U78" s="83" t="str">
        <f>IFERROR(VLOOKUP(R78,Database!$A$2:$L$175,9,FALSE),"-")</f>
        <v>-</v>
      </c>
      <c r="V78" s="97" t="str">
        <f>IF(AND(D78="Y",booking!T78&lt;&gt;booking!U78,booking!U78&gt;0),booking!U78,"-")</f>
        <v>-</v>
      </c>
      <c r="W78" s="80" t="str">
        <f>IFERROR(VLOOKUP(V78,Database!$A$2:$L$175,8,FALSE),"-")</f>
        <v>-</v>
      </c>
      <c r="X78" s="80" t="str">
        <f>IFERROR(VLOOKUP(V78,Database!$A$2:$L$175,6,FALSE),"-")</f>
        <v>-</v>
      </c>
      <c r="Y78" s="82" t="str">
        <f>IFERROR(VLOOKUP(V78,Database!$A$2:$L$175,9,FALSE),"-")</f>
        <v>-</v>
      </c>
    </row>
    <row r="79" spans="1:25" ht="15" customHeight="1" thickBot="1" x14ac:dyDescent="0.4">
      <c r="A79" s="89" t="str">
        <f>rengøring!A79</f>
        <v>mandag</v>
      </c>
      <c r="B79" s="87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79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97">
        <f>IF(AND(D79="Y",booking!L79&lt;&gt;booking!M79,booking!M79&gt;0),booking!M79,"-")</f>
        <v>43</v>
      </c>
      <c r="O79" s="79" t="str">
        <f>IFERROR(VLOOKUP(N79,Database!$A$2:$L$175,8,FALSE),"-")</f>
        <v>1430</v>
      </c>
      <c r="P79" s="79" t="str">
        <f>IFERROR(VLOOKUP(N79,Database!$A$2:$L$175,6,FALSE),"-")</f>
        <v>DK</v>
      </c>
      <c r="Q79" s="83" t="str">
        <f>IFERROR(VLOOKUP(N79,Database!$A$2:$L$175,9,FALSE),"-")</f>
        <v>db + opr</v>
      </c>
      <c r="R79" s="98" t="str">
        <f>IF(AND(D79="Y",booking!P79&lt;&gt;booking!Q79,booking!Q79&gt;0),booking!Q79,"-")</f>
        <v>-</v>
      </c>
      <c r="S79" s="79" t="str">
        <f>IFERROR(VLOOKUP(R79,Database!$A$2:$L$175,8,FALSE),"-")</f>
        <v>-</v>
      </c>
      <c r="T79" s="79" t="str">
        <f>IFERROR(VLOOKUP(R79,Database!$A$2:$L$175,6,FALSE),"-")</f>
        <v>-</v>
      </c>
      <c r="U79" s="83" t="str">
        <f>IFERROR(VLOOKUP(R79,Database!$A$2:$L$175,9,FALSE),"-")</f>
        <v>-</v>
      </c>
      <c r="V79" s="97" t="str">
        <f>IF(AND(D79="Y",booking!T79&lt;&gt;booking!U79,booking!U79&gt;0),booking!U79,"-")</f>
        <v>-</v>
      </c>
      <c r="W79" s="80" t="str">
        <f>IFERROR(VLOOKUP(V79,Database!$A$2:$L$175,8,FALSE),"-")</f>
        <v>-</v>
      </c>
      <c r="X79" s="80" t="str">
        <f>IFERROR(VLOOKUP(V79,Database!$A$2:$L$175,6,FALSE),"-")</f>
        <v>-</v>
      </c>
      <c r="Y79" s="82" t="str">
        <f>IFERROR(VLOOKUP(V79,Database!$A$2:$L$175,9,FALSE),"-")</f>
        <v>-</v>
      </c>
    </row>
    <row r="80" spans="1:25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79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97" t="str">
        <f>IF(AND(D80="Y",booking!L80&lt;&gt;booking!M80,booking!M80&gt;0),booking!M80,"-")</f>
        <v>-</v>
      </c>
      <c r="O80" s="79" t="str">
        <f>IFERROR(VLOOKUP(N80,Database!$A$2:$L$175,8,FALSE),"-")</f>
        <v>-</v>
      </c>
      <c r="P80" s="79" t="str">
        <f>IFERROR(VLOOKUP(N80,Database!$A$2:$L$175,6,FALSE),"-")</f>
        <v>-</v>
      </c>
      <c r="Q80" s="83" t="str">
        <f>IFERROR(VLOOKUP(N80,Database!$A$2:$L$175,9,FALSE),"-")</f>
        <v>-</v>
      </c>
      <c r="R80" s="98" t="str">
        <f>IF(AND(D80="Y",booking!P80&lt;&gt;booking!Q80,booking!Q80&gt;0),booking!Q80,"-")</f>
        <v>-</v>
      </c>
      <c r="S80" s="79" t="str">
        <f>IFERROR(VLOOKUP(R80,Database!$A$2:$L$175,8,FALSE),"-")</f>
        <v>-</v>
      </c>
      <c r="T80" s="79" t="str">
        <f>IFERROR(VLOOKUP(R80,Database!$A$2:$L$175,6,FALSE),"-")</f>
        <v>-</v>
      </c>
      <c r="U80" s="83" t="str">
        <f>IFERROR(VLOOKUP(R80,Database!$A$2:$L$175,9,FALSE),"-")</f>
        <v>-</v>
      </c>
      <c r="V80" s="97" t="str">
        <f>IF(AND(D80="Y",booking!T80&lt;&gt;booking!U80,booking!U80&gt;0),booking!U80,"-")</f>
        <v>-</v>
      </c>
      <c r="W80" s="80" t="str">
        <f>IFERROR(VLOOKUP(V80,Database!$A$2:$L$175,8,FALSE),"-")</f>
        <v>-</v>
      </c>
      <c r="X80" s="80" t="str">
        <f>IFERROR(VLOOKUP(V80,Database!$A$2:$L$175,6,FALSE),"-")</f>
        <v>-</v>
      </c>
      <c r="Y80" s="82" t="str">
        <f>IFERROR(VLOOKUP(V80,Database!$A$2:$L$175,9,FALSE),"-")</f>
        <v>-</v>
      </c>
    </row>
    <row r="81" spans="1:25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79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97" t="str">
        <f>IF(AND(D81="Y",booking!L81&lt;&gt;booking!M81,booking!M81&gt;0),booking!M81,"-")</f>
        <v>-</v>
      </c>
      <c r="O81" s="79" t="str">
        <f>IFERROR(VLOOKUP(N81,Database!$A$2:$L$175,8,FALSE),"-")</f>
        <v>-</v>
      </c>
      <c r="P81" s="79" t="str">
        <f>IFERROR(VLOOKUP(N81,Database!$A$2:$L$175,6,FALSE),"-")</f>
        <v>-</v>
      </c>
      <c r="Q81" s="83" t="str">
        <f>IFERROR(VLOOKUP(N81,Database!$A$2:$L$175,9,FALSE),"-")</f>
        <v>-</v>
      </c>
      <c r="R81" s="98" t="str">
        <f>IF(AND(D81="Y",booking!P81&lt;&gt;booking!Q81,booking!Q81&gt;0),booking!Q81,"-")</f>
        <v>-</v>
      </c>
      <c r="S81" s="79" t="str">
        <f>IFERROR(VLOOKUP(R81,Database!$A$2:$L$175,8,FALSE),"-")</f>
        <v>-</v>
      </c>
      <c r="T81" s="79" t="str">
        <f>IFERROR(VLOOKUP(R81,Database!$A$2:$L$175,6,FALSE),"-")</f>
        <v>-</v>
      </c>
      <c r="U81" s="83" t="str">
        <f>IFERROR(VLOOKUP(R81,Database!$A$2:$L$175,9,FALSE),"-")</f>
        <v>-</v>
      </c>
      <c r="V81" s="97" t="str">
        <f>IF(AND(D81="Y",booking!T81&lt;&gt;booking!U81,booking!U81&gt;0),booking!U81,"-")</f>
        <v>-</v>
      </c>
      <c r="W81" s="80" t="str">
        <f>IFERROR(VLOOKUP(V81,Database!$A$2:$L$175,8,FALSE),"-")</f>
        <v>-</v>
      </c>
      <c r="X81" s="80" t="str">
        <f>IFERROR(VLOOKUP(V81,Database!$A$2:$L$175,6,FALSE),"-")</f>
        <v>-</v>
      </c>
      <c r="Y81" s="82" t="str">
        <f>IFERROR(VLOOKUP(V81,Database!$A$2:$L$175,9,FALSE),"-")</f>
        <v>-</v>
      </c>
    </row>
    <row r="82" spans="1:25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79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97" t="str">
        <f>IF(AND(D82="Y",booking!L82&lt;&gt;booking!M82,booking!M82&gt;0),booking!M82,"-")</f>
        <v>-</v>
      </c>
      <c r="O82" s="79" t="str">
        <f>IFERROR(VLOOKUP(N82,Database!$A$2:$L$175,8,FALSE),"-")</f>
        <v>-</v>
      </c>
      <c r="P82" s="79" t="str">
        <f>IFERROR(VLOOKUP(N82,Database!$A$2:$L$175,6,FALSE),"-")</f>
        <v>-</v>
      </c>
      <c r="Q82" s="83" t="str">
        <f>IFERROR(VLOOKUP(N82,Database!$A$2:$L$175,9,FALSE),"-")</f>
        <v>-</v>
      </c>
      <c r="R82" s="98" t="str">
        <f>IF(AND(D82="Y",booking!P82&lt;&gt;booking!Q82,booking!Q82&gt;0),booking!Q82,"-")</f>
        <v>-</v>
      </c>
      <c r="S82" s="79" t="str">
        <f>IFERROR(VLOOKUP(R82,Database!$A$2:$L$175,8,FALSE),"-")</f>
        <v>-</v>
      </c>
      <c r="T82" s="79" t="str">
        <f>IFERROR(VLOOKUP(R82,Database!$A$2:$L$175,6,FALSE),"-")</f>
        <v>-</v>
      </c>
      <c r="U82" s="83" t="str">
        <f>IFERROR(VLOOKUP(R82,Database!$A$2:$L$175,9,FALSE),"-")</f>
        <v>-</v>
      </c>
      <c r="V82" s="97" t="str">
        <f>IF(AND(D82="Y",booking!T82&lt;&gt;booking!U82,booking!U82&gt;0),booking!U82,"-")</f>
        <v>-</v>
      </c>
      <c r="W82" s="80" t="str">
        <f>IFERROR(VLOOKUP(V82,Database!$A$2:$L$175,8,FALSE),"-")</f>
        <v>-</v>
      </c>
      <c r="X82" s="80" t="str">
        <f>IFERROR(VLOOKUP(V82,Database!$A$2:$L$175,6,FALSE),"-")</f>
        <v>-</v>
      </c>
      <c r="Y82" s="82" t="str">
        <f>IFERROR(VLOOKUP(V82,Database!$A$2:$L$175,9,FALSE),"-")</f>
        <v>-</v>
      </c>
    </row>
    <row r="83" spans="1:25" ht="15" customHeight="1" thickBot="1" x14ac:dyDescent="0.4">
      <c r="A83" s="89" t="str">
        <f>rengøring!A83</f>
        <v>fredag</v>
      </c>
      <c r="B83" s="87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79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97" t="str">
        <f>IF(AND(D83="Y",booking!L83&lt;&gt;booking!M83,booking!M83&gt;0),booking!M83,"-")</f>
        <v>-</v>
      </c>
      <c r="O83" s="79" t="str">
        <f>IFERROR(VLOOKUP(N83,Database!$A$2:$L$175,8,FALSE),"-")</f>
        <v>-</v>
      </c>
      <c r="P83" s="79" t="str">
        <f>IFERROR(VLOOKUP(N83,Database!$A$2:$L$175,6,FALSE),"-")</f>
        <v>-</v>
      </c>
      <c r="Q83" s="83" t="str">
        <f>IFERROR(VLOOKUP(N83,Database!$A$2:$L$175,9,FALSE),"-")</f>
        <v>-</v>
      </c>
      <c r="R83" s="98" t="str">
        <f>IF(AND(D83="Y",booking!P83&lt;&gt;booking!Q83,booking!Q83&gt;0),booking!Q83,"-")</f>
        <v>-</v>
      </c>
      <c r="S83" s="79" t="str">
        <f>IFERROR(VLOOKUP(R83,Database!$A$2:$L$175,8,FALSE),"-")</f>
        <v>-</v>
      </c>
      <c r="T83" s="79" t="str">
        <f>IFERROR(VLOOKUP(R83,Database!$A$2:$L$175,6,FALSE),"-")</f>
        <v>-</v>
      </c>
      <c r="U83" s="83" t="str">
        <f>IFERROR(VLOOKUP(R83,Database!$A$2:$L$175,9,FALSE),"-")</f>
        <v>-</v>
      </c>
      <c r="V83" s="97" t="str">
        <f>IF(AND(D83="Y",booking!T83&lt;&gt;booking!U83,booking!U83&gt;0),booking!U83,"-")</f>
        <v>-</v>
      </c>
      <c r="W83" s="80" t="str">
        <f>IFERROR(VLOOKUP(V83,Database!$A$2:$L$175,8,FALSE),"-")</f>
        <v>-</v>
      </c>
      <c r="X83" s="80" t="str">
        <f>IFERROR(VLOOKUP(V83,Database!$A$2:$L$175,6,FALSE),"-")</f>
        <v>-</v>
      </c>
      <c r="Y83" s="82" t="str">
        <f>IFERROR(VLOOKUP(V83,Database!$A$2:$L$175,9,FALSE),"-")</f>
        <v>-</v>
      </c>
    </row>
    <row r="84" spans="1:25" ht="15" customHeight="1" thickBot="1" x14ac:dyDescent="0.4">
      <c r="A84" s="89" t="str">
        <f>rengøring!A84</f>
        <v>lørdag</v>
      </c>
      <c r="B84" s="85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79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97">
        <f>IF(AND(D84="Y",booking!L84&lt;&gt;booking!M84,booking!M84&gt;0),booking!M84,"-")</f>
        <v>38</v>
      </c>
      <c r="O84" s="79">
        <f>IFERROR(VLOOKUP(N84,Database!$A$2:$L$175,8,FALSE),"-")</f>
        <v>0</v>
      </c>
      <c r="P84" s="79" t="str">
        <f>IFERROR(VLOOKUP(N84,Database!$A$2:$L$175,6,FALSE),"-")</f>
        <v>CH</v>
      </c>
      <c r="Q84" s="83">
        <f>IFERROR(VLOOKUP(N84,Database!$A$2:$L$175,9,FALSE),"-")</f>
        <v>0</v>
      </c>
      <c r="R84" s="98" t="str">
        <f>IF(AND(D84="Y",booking!P84&lt;&gt;booking!Q84,booking!Q84&gt;0),booking!Q84,"-")</f>
        <v>-</v>
      </c>
      <c r="S84" s="79" t="str">
        <f>IFERROR(VLOOKUP(R84,Database!$A$2:$L$175,8,FALSE),"-")</f>
        <v>-</v>
      </c>
      <c r="T84" s="79" t="str">
        <f>IFERROR(VLOOKUP(R84,Database!$A$2:$L$175,6,FALSE),"-")</f>
        <v>-</v>
      </c>
      <c r="U84" s="83" t="str">
        <f>IFERROR(VLOOKUP(R84,Database!$A$2:$L$175,9,FALSE),"-")</f>
        <v>-</v>
      </c>
      <c r="V84" s="97" t="str">
        <f>IF(AND(D84="Y",booking!T84&lt;&gt;booking!U84,booking!U84&gt;0),booking!U84,"-")</f>
        <v>-</v>
      </c>
      <c r="W84" s="80" t="str">
        <f>IFERROR(VLOOKUP(V84,Database!$A$2:$L$175,8,FALSE),"-")</f>
        <v>-</v>
      </c>
      <c r="X84" s="80" t="str">
        <f>IFERROR(VLOOKUP(V84,Database!$A$2:$L$175,6,FALSE),"-")</f>
        <v>-</v>
      </c>
      <c r="Y84" s="82" t="str">
        <f>IFERROR(VLOOKUP(V84,Database!$A$2:$L$175,9,FALSE),"-")</f>
        <v>-</v>
      </c>
    </row>
    <row r="85" spans="1:25" ht="15" customHeight="1" thickBot="1" x14ac:dyDescent="0.4">
      <c r="A85" s="89" t="str">
        <f>rengøring!A85</f>
        <v>søndag</v>
      </c>
      <c r="B85" s="87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79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97" t="str">
        <f>IF(AND(D85="Y",booking!L85&lt;&gt;booking!M85,booking!M85&gt;0),booking!M85,"-")</f>
        <v>-</v>
      </c>
      <c r="O85" s="79" t="str">
        <f>IFERROR(VLOOKUP(N85,Database!$A$2:$L$175,8,FALSE),"-")</f>
        <v>-</v>
      </c>
      <c r="P85" s="79" t="str">
        <f>IFERROR(VLOOKUP(N85,Database!$A$2:$L$175,6,FALSE),"-")</f>
        <v>-</v>
      </c>
      <c r="Q85" s="83" t="str">
        <f>IFERROR(VLOOKUP(N85,Database!$A$2:$L$175,9,FALSE),"-")</f>
        <v>-</v>
      </c>
      <c r="R85" s="98">
        <f>IF(AND(D85="Y",booking!P85&lt;&gt;booking!Q85,booking!Q85&gt;0),booking!Q85,"-")</f>
        <v>1</v>
      </c>
      <c r="S85" s="79">
        <f>IFERROR(VLOOKUP(R85,Database!$A$2:$L$175,8,FALSE),"-")</f>
        <v>0</v>
      </c>
      <c r="T85" s="79" t="str">
        <f>IFERROR(VLOOKUP(R85,Database!$A$2:$L$175,6,FALSE),"-")</f>
        <v>DK</v>
      </c>
      <c r="U85" s="83">
        <f>IFERROR(VLOOKUP(R85,Database!$A$2:$L$175,9,FALSE),"-")</f>
        <v>0</v>
      </c>
      <c r="V85" s="97" t="str">
        <f>IF(AND(D85="Y",booking!T85&lt;&gt;booking!U85,booking!U85&gt;0),booking!U85,"-")</f>
        <v>-</v>
      </c>
      <c r="W85" s="80" t="str">
        <f>IFERROR(VLOOKUP(V85,Database!$A$2:$L$175,8,FALSE),"-")</f>
        <v>-</v>
      </c>
      <c r="X85" s="80" t="str">
        <f>IFERROR(VLOOKUP(V85,Database!$A$2:$L$175,6,FALSE),"-")</f>
        <v>-</v>
      </c>
      <c r="Y85" s="82" t="str">
        <f>IFERROR(VLOOKUP(V85,Database!$A$2:$L$175,9,FALSE),"-")</f>
        <v>-</v>
      </c>
    </row>
    <row r="86" spans="1:25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79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97" t="str">
        <f>IF(AND(D86="Y",booking!L86&lt;&gt;booking!M86,booking!M86&gt;0),booking!M86,"-")</f>
        <v>-</v>
      </c>
      <c r="O86" s="79" t="str">
        <f>IFERROR(VLOOKUP(N86,Database!$A$2:$L$175,8,FALSE),"-")</f>
        <v>-</v>
      </c>
      <c r="P86" s="79" t="str">
        <f>IFERROR(VLOOKUP(N86,Database!$A$2:$L$175,6,FALSE),"-")</f>
        <v>-</v>
      </c>
      <c r="Q86" s="83" t="str">
        <f>IFERROR(VLOOKUP(N86,Database!$A$2:$L$175,9,FALSE),"-")</f>
        <v>-</v>
      </c>
      <c r="R86" s="98" t="str">
        <f>IF(AND(D86="Y",booking!P86&lt;&gt;booking!Q86,booking!Q86&gt;0),booking!Q86,"-")</f>
        <v>-</v>
      </c>
      <c r="S86" s="79" t="str">
        <f>IFERROR(VLOOKUP(R86,Database!$A$2:$L$175,8,FALSE),"-")</f>
        <v>-</v>
      </c>
      <c r="T86" s="79" t="str">
        <f>IFERROR(VLOOKUP(R86,Database!$A$2:$L$175,6,FALSE),"-")</f>
        <v>-</v>
      </c>
      <c r="U86" s="83" t="str">
        <f>IFERROR(VLOOKUP(R86,Database!$A$2:$L$175,9,FALSE),"-")</f>
        <v>-</v>
      </c>
      <c r="V86" s="97" t="str">
        <f>IF(AND(D86="Y",booking!T86&lt;&gt;booking!U86,booking!U86&gt;0),booking!U86,"-")</f>
        <v>-</v>
      </c>
      <c r="W86" s="80" t="str">
        <f>IFERROR(VLOOKUP(V86,Database!$A$2:$L$175,8,FALSE),"-")</f>
        <v>-</v>
      </c>
      <c r="X86" s="80" t="str">
        <f>IFERROR(VLOOKUP(V86,Database!$A$2:$L$175,6,FALSE),"-")</f>
        <v>-</v>
      </c>
      <c r="Y86" s="82" t="str">
        <f>IFERROR(VLOOKUP(V86,Database!$A$2:$L$175,9,FALSE),"-")</f>
        <v>-</v>
      </c>
    </row>
    <row r="87" spans="1:25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79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97" t="str">
        <f>IF(AND(D87="Y",booking!L87&lt;&gt;booking!M87,booking!M87&gt;0),booking!M87,"-")</f>
        <v>-</v>
      </c>
      <c r="O87" s="79" t="str">
        <f>IFERROR(VLOOKUP(N87,Database!$A$2:$L$175,8,FALSE),"-")</f>
        <v>-</v>
      </c>
      <c r="P87" s="79" t="str">
        <f>IFERROR(VLOOKUP(N87,Database!$A$2:$L$175,6,FALSE),"-")</f>
        <v>-</v>
      </c>
      <c r="Q87" s="83" t="str">
        <f>IFERROR(VLOOKUP(N87,Database!$A$2:$L$175,9,FALSE),"-")</f>
        <v>-</v>
      </c>
      <c r="R87" s="98" t="str">
        <f>IF(AND(D87="Y",booking!P87&lt;&gt;booking!Q87,booking!Q87&gt;0),booking!Q87,"-")</f>
        <v>-</v>
      </c>
      <c r="S87" s="79" t="str">
        <f>IFERROR(VLOOKUP(R87,Database!$A$2:$L$175,8,FALSE),"-")</f>
        <v>-</v>
      </c>
      <c r="T87" s="79" t="str">
        <f>IFERROR(VLOOKUP(R87,Database!$A$2:$L$175,6,FALSE),"-")</f>
        <v>-</v>
      </c>
      <c r="U87" s="83" t="str">
        <f>IFERROR(VLOOKUP(R87,Database!$A$2:$L$175,9,FALSE),"-")</f>
        <v>-</v>
      </c>
      <c r="V87" s="97" t="str">
        <f>IF(AND(D87="Y",booking!T87&lt;&gt;booking!U87,booking!U87&gt;0),booking!U87,"-")</f>
        <v>-</v>
      </c>
      <c r="W87" s="80" t="str">
        <f>IFERROR(VLOOKUP(V87,Database!$A$2:$L$175,8,FALSE),"-")</f>
        <v>-</v>
      </c>
      <c r="X87" s="80" t="str">
        <f>IFERROR(VLOOKUP(V87,Database!$A$2:$L$175,6,FALSE),"-")</f>
        <v>-</v>
      </c>
      <c r="Y87" s="82" t="str">
        <f>IFERROR(VLOOKUP(V87,Database!$A$2:$L$175,9,FALSE),"-")</f>
        <v>-</v>
      </c>
    </row>
    <row r="88" spans="1:25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79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97" t="str">
        <f>IF(AND(D88="Y",booking!L88&lt;&gt;booking!M88,booking!M88&gt;0),booking!M88,"-")</f>
        <v>-</v>
      </c>
      <c r="O88" s="79" t="str">
        <f>IFERROR(VLOOKUP(N88,Database!$A$2:$L$175,8,FALSE),"-")</f>
        <v>-</v>
      </c>
      <c r="P88" s="79" t="str">
        <f>IFERROR(VLOOKUP(N88,Database!$A$2:$L$175,6,FALSE),"-")</f>
        <v>-</v>
      </c>
      <c r="Q88" s="83" t="str">
        <f>IFERROR(VLOOKUP(N88,Database!$A$2:$L$175,9,FALSE),"-")</f>
        <v>-</v>
      </c>
      <c r="R88" s="98" t="str">
        <f>IF(AND(D88="Y",booking!P88&lt;&gt;booking!Q88,booking!Q88&gt;0),booking!Q88,"-")</f>
        <v>-</v>
      </c>
      <c r="S88" s="79" t="str">
        <f>IFERROR(VLOOKUP(R88,Database!$A$2:$L$175,8,FALSE),"-")</f>
        <v>-</v>
      </c>
      <c r="T88" s="79" t="str">
        <f>IFERROR(VLOOKUP(R88,Database!$A$2:$L$175,6,FALSE),"-")</f>
        <v>-</v>
      </c>
      <c r="U88" s="83" t="str">
        <f>IFERROR(VLOOKUP(R88,Database!$A$2:$L$175,9,FALSE),"-")</f>
        <v>-</v>
      </c>
      <c r="V88" s="97">
        <f>IF(AND(D88="Y",booking!T88&lt;&gt;booking!U88,booking!U88&gt;0),booking!U88,"-")</f>
        <v>10</v>
      </c>
      <c r="W88" s="80">
        <f>IFERROR(VLOOKUP(V88,Database!$A$2:$L$175,8,FALSE),"-")</f>
        <v>0</v>
      </c>
      <c r="X88" s="80" t="str">
        <f>IFERROR(VLOOKUP(V88,Database!$A$2:$L$175,6,FALSE),"-")</f>
        <v>DK</v>
      </c>
      <c r="Y88" s="82">
        <f>IFERROR(VLOOKUP(V88,Database!$A$2:$L$175,9,FALSE),"-")</f>
        <v>0</v>
      </c>
    </row>
    <row r="89" spans="1:25" ht="15" customHeight="1" thickBot="1" x14ac:dyDescent="0.4">
      <c r="A89" s="89" t="str">
        <f>rengøring!A89</f>
        <v>torsdag</v>
      </c>
      <c r="B89" s="87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79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97" t="str">
        <f>IF(AND(D89="Y",booking!L89&lt;&gt;booking!M89,booking!M89&gt;0),booking!M89,"-")</f>
        <v>-</v>
      </c>
      <c r="O89" s="79" t="str">
        <f>IFERROR(VLOOKUP(N89,Database!$A$2:$L$175,8,FALSE),"-")</f>
        <v>-</v>
      </c>
      <c r="P89" s="79" t="str">
        <f>IFERROR(VLOOKUP(N89,Database!$A$2:$L$175,6,FALSE),"-")</f>
        <v>-</v>
      </c>
      <c r="Q89" s="83" t="str">
        <f>IFERROR(VLOOKUP(N89,Database!$A$2:$L$175,9,FALSE),"-")</f>
        <v>-</v>
      </c>
      <c r="R89" s="98" t="str">
        <f>IF(AND(D89="Y",booking!P89&lt;&gt;booking!Q89,booking!Q89&gt;0),booking!Q89,"-")</f>
        <v>-</v>
      </c>
      <c r="S89" s="79" t="str">
        <f>IFERROR(VLOOKUP(R89,Database!$A$2:$L$175,8,FALSE),"-")</f>
        <v>-</v>
      </c>
      <c r="T89" s="79" t="str">
        <f>IFERROR(VLOOKUP(R89,Database!$A$2:$L$175,6,FALSE),"-")</f>
        <v>-</v>
      </c>
      <c r="U89" s="83" t="str">
        <f>IFERROR(VLOOKUP(R89,Database!$A$2:$L$175,9,FALSE),"-")</f>
        <v>-</v>
      </c>
      <c r="V89" s="97" t="str">
        <f>IF(AND(D89="Y",booking!T89&lt;&gt;booking!U89,booking!U89&gt;0),booking!U89,"-")</f>
        <v>-</v>
      </c>
      <c r="W89" s="80" t="str">
        <f>IFERROR(VLOOKUP(V89,Database!$A$2:$L$175,8,FALSE),"-")</f>
        <v>-</v>
      </c>
      <c r="X89" s="80" t="str">
        <f>IFERROR(VLOOKUP(V89,Database!$A$2:$L$175,6,FALSE),"-")</f>
        <v>-</v>
      </c>
      <c r="Y89" s="82" t="str">
        <f>IFERROR(VLOOKUP(V89,Database!$A$2:$L$175,9,FALSE),"-")</f>
        <v>-</v>
      </c>
    </row>
    <row r="90" spans="1:25" ht="15" customHeight="1" thickBot="1" x14ac:dyDescent="0.4">
      <c r="A90" s="89" t="str">
        <f>rengøring!A90</f>
        <v>fredag</v>
      </c>
      <c r="B90" s="85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79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97" t="str">
        <f>IF(AND(D90="Y",booking!L90&lt;&gt;booking!M90,booking!M90&gt;0),booking!M90,"-")</f>
        <v>-</v>
      </c>
      <c r="O90" s="79" t="str">
        <f>IFERROR(VLOOKUP(N90,Database!$A$2:$L$175,8,FALSE),"-")</f>
        <v>-</v>
      </c>
      <c r="P90" s="79" t="str">
        <f>IFERROR(VLOOKUP(N90,Database!$A$2:$L$175,6,FALSE),"-")</f>
        <v>-</v>
      </c>
      <c r="Q90" s="83" t="str">
        <f>IFERROR(VLOOKUP(N90,Database!$A$2:$L$175,9,FALSE),"-")</f>
        <v>-</v>
      </c>
      <c r="R90" s="98" t="str">
        <f>IF(AND(D90="Y",booking!P90&lt;&gt;booking!Q90,booking!Q90&gt;0),booking!Q90,"-")</f>
        <v>-</v>
      </c>
      <c r="S90" s="79" t="str">
        <f>IFERROR(VLOOKUP(R90,Database!$A$2:$L$175,8,FALSE),"-")</f>
        <v>-</v>
      </c>
      <c r="T90" s="79" t="str">
        <f>IFERROR(VLOOKUP(R90,Database!$A$2:$L$175,6,FALSE),"-")</f>
        <v>-</v>
      </c>
      <c r="U90" s="83" t="str">
        <f>IFERROR(VLOOKUP(R90,Database!$A$2:$L$175,9,FALSE),"-")</f>
        <v>-</v>
      </c>
      <c r="V90" s="97" t="str">
        <f>IF(AND(D90="Y",booking!T90&lt;&gt;booking!U90,booking!U90&gt;0),booking!U90,"-")</f>
        <v>-</v>
      </c>
      <c r="W90" s="80" t="str">
        <f>IFERROR(VLOOKUP(V90,Database!$A$2:$L$175,8,FALSE),"-")</f>
        <v>-</v>
      </c>
      <c r="X90" s="80" t="str">
        <f>IFERROR(VLOOKUP(V90,Database!$A$2:$L$175,6,FALSE),"-")</f>
        <v>-</v>
      </c>
      <c r="Y90" s="82" t="str">
        <f>IFERROR(VLOOKUP(V90,Database!$A$2:$L$175,9,FALSE),"-")</f>
        <v>-</v>
      </c>
    </row>
    <row r="91" spans="1:25" ht="15" customHeight="1" thickBot="1" x14ac:dyDescent="0.4">
      <c r="A91" s="89" t="str">
        <f>rengøring!A91</f>
        <v>lørdag</v>
      </c>
      <c r="B91" s="87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79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97" t="str">
        <f>IF(AND(D91="Y",booking!L91&lt;&gt;booking!M91,booking!M91&gt;0),booking!M91,"-")</f>
        <v>-</v>
      </c>
      <c r="O91" s="79" t="str">
        <f>IFERROR(VLOOKUP(N91,Database!$A$2:$L$175,8,FALSE),"-")</f>
        <v>-</v>
      </c>
      <c r="P91" s="79" t="str">
        <f>IFERROR(VLOOKUP(N91,Database!$A$2:$L$175,6,FALSE),"-")</f>
        <v>-</v>
      </c>
      <c r="Q91" s="83" t="str">
        <f>IFERROR(VLOOKUP(N91,Database!$A$2:$L$175,9,FALSE),"-")</f>
        <v>-</v>
      </c>
      <c r="R91" s="98" t="str">
        <f>IF(AND(D91="Y",booking!P91&lt;&gt;booking!Q91,booking!Q91&gt;0),booking!Q91,"-")</f>
        <v>-</v>
      </c>
      <c r="S91" s="79" t="str">
        <f>IFERROR(VLOOKUP(R91,Database!$A$2:$L$175,8,FALSE),"-")</f>
        <v>-</v>
      </c>
      <c r="T91" s="79" t="str">
        <f>IFERROR(VLOOKUP(R91,Database!$A$2:$L$175,6,FALSE),"-")</f>
        <v>-</v>
      </c>
      <c r="U91" s="83" t="str">
        <f>IFERROR(VLOOKUP(R91,Database!$A$2:$L$175,9,FALSE),"-")</f>
        <v>-</v>
      </c>
      <c r="V91" s="97">
        <f>IF(AND(D91="Y",booking!T91&lt;&gt;booking!U91,booking!U91&gt;0),booking!U91,"-")</f>
        <v>49</v>
      </c>
      <c r="W91" s="80">
        <f>IFERROR(VLOOKUP(V91,Database!$A$2:$L$175,8,FALSE),"-")</f>
        <v>0</v>
      </c>
      <c r="X91" s="80" t="str">
        <f>IFERROR(VLOOKUP(V91,Database!$A$2:$L$175,6,FALSE),"-")</f>
        <v>DK</v>
      </c>
      <c r="Y91" s="82" t="str">
        <f>IFERROR(VLOOKUP(V91,Database!$A$2:$L$175,9,FALSE),"-")</f>
        <v>dobb</v>
      </c>
    </row>
    <row r="92" spans="1:25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79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97" t="str">
        <f>IF(AND(D92="Y",booking!L92&lt;&gt;booking!M92,booking!M92&gt;0),booking!M92,"-")</f>
        <v>-</v>
      </c>
      <c r="O92" s="79" t="str">
        <f>IFERROR(VLOOKUP(N92,Database!$A$2:$L$175,8,FALSE),"-")</f>
        <v>-</v>
      </c>
      <c r="P92" s="79" t="str">
        <f>IFERROR(VLOOKUP(N92,Database!$A$2:$L$175,6,FALSE),"-")</f>
        <v>-</v>
      </c>
      <c r="Q92" s="83" t="str">
        <f>IFERROR(VLOOKUP(N92,Database!$A$2:$L$175,9,FALSE),"-")</f>
        <v>-</v>
      </c>
      <c r="R92" s="98">
        <f>IF(AND(D92="Y",booking!P92&lt;&gt;booking!Q92,booking!Q92&gt;0),booking!Q92,"-")</f>
        <v>58</v>
      </c>
      <c r="S92" s="79">
        <f>IFERROR(VLOOKUP(R92,Database!$A$2:$L$175,8,FALSE),"-")</f>
        <v>0</v>
      </c>
      <c r="T92" s="79" t="str">
        <f>IFERROR(VLOOKUP(R92,Database!$A$2:$L$175,6,FALSE),"-")</f>
        <v>DK</v>
      </c>
      <c r="U92" s="83" t="str">
        <f>IFERROR(VLOOKUP(R92,Database!$A$2:$L$175,9,FALSE),"-")</f>
        <v>sing</v>
      </c>
      <c r="V92" s="97" t="str">
        <f>IF(AND(D92="Y",booking!T92&lt;&gt;booking!U92,booking!U92&gt;0),booking!U92,"-")</f>
        <v>-</v>
      </c>
      <c r="W92" s="80" t="str">
        <f>IFERROR(VLOOKUP(V92,Database!$A$2:$L$175,8,FALSE),"-")</f>
        <v>-</v>
      </c>
      <c r="X92" s="80" t="str">
        <f>IFERROR(VLOOKUP(V92,Database!$A$2:$L$175,6,FALSE),"-")</f>
        <v>-</v>
      </c>
      <c r="Y92" s="82" t="str">
        <f>IFERROR(VLOOKUP(V92,Database!$A$2:$L$175,9,FALSE),"-")</f>
        <v>-</v>
      </c>
    </row>
    <row r="93" spans="1:25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79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97">
        <f>IF(AND(D93="Y",booking!L93&lt;&gt;booking!M93,booking!M93&gt;0),booking!M93,"-")</f>
        <v>30</v>
      </c>
      <c r="O93" s="79">
        <f>IFERROR(VLOOKUP(N93,Database!$A$2:$L$175,8,FALSE),"-")</f>
        <v>0</v>
      </c>
      <c r="P93" s="79" t="str">
        <f>IFERROR(VLOOKUP(N93,Database!$A$2:$L$175,6,FALSE),"-")</f>
        <v>DK</v>
      </c>
      <c r="Q93" s="83">
        <f>IFERROR(VLOOKUP(N93,Database!$A$2:$L$175,9,FALSE),"-")</f>
        <v>0</v>
      </c>
      <c r="R93" s="98" t="str">
        <f>IF(AND(D93="Y",booking!P93&lt;&gt;booking!Q93,booking!Q93&gt;0),booking!Q93,"-")</f>
        <v>-</v>
      </c>
      <c r="S93" s="79" t="str">
        <f>IFERROR(VLOOKUP(R93,Database!$A$2:$L$175,8,FALSE),"-")</f>
        <v>-</v>
      </c>
      <c r="T93" s="79" t="str">
        <f>IFERROR(VLOOKUP(R93,Database!$A$2:$L$175,6,FALSE),"-")</f>
        <v>-</v>
      </c>
      <c r="U93" s="83" t="str">
        <f>IFERROR(VLOOKUP(R93,Database!$A$2:$L$175,9,FALSE),"-")</f>
        <v>-</v>
      </c>
      <c r="V93" s="97" t="str">
        <f>IF(AND(D93="Y",booking!T93&lt;&gt;booking!U93,booking!U93&gt;0),booking!U93,"-")</f>
        <v>-</v>
      </c>
      <c r="W93" s="80" t="str">
        <f>IFERROR(VLOOKUP(V93,Database!$A$2:$L$175,8,FALSE),"-")</f>
        <v>-</v>
      </c>
      <c r="X93" s="80" t="str">
        <f>IFERROR(VLOOKUP(V93,Database!$A$2:$L$175,6,FALSE),"-")</f>
        <v>-</v>
      </c>
      <c r="Y93" s="82" t="str">
        <f>IFERROR(VLOOKUP(V93,Database!$A$2:$L$175,9,FALSE),"-")</f>
        <v>-</v>
      </c>
    </row>
    <row r="94" spans="1:25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79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97" t="str">
        <f>IF(AND(D94="Y",booking!L94&lt;&gt;booking!M94,booking!M94&gt;0),booking!M94,"-")</f>
        <v>-</v>
      </c>
      <c r="O94" s="79" t="str">
        <f>IFERROR(VLOOKUP(N94,Database!$A$2:$L$175,8,FALSE),"-")</f>
        <v>-</v>
      </c>
      <c r="P94" s="79" t="str">
        <f>IFERROR(VLOOKUP(N94,Database!$A$2:$L$175,6,FALSE),"-")</f>
        <v>-</v>
      </c>
      <c r="Q94" s="83" t="str">
        <f>IFERROR(VLOOKUP(N94,Database!$A$2:$L$175,9,FALSE),"-")</f>
        <v>-</v>
      </c>
      <c r="R94" s="98" t="str">
        <f>IF(AND(D94="Y",booking!P94&lt;&gt;booking!Q94,booking!Q94&gt;0),booking!Q94,"-")</f>
        <v>-</v>
      </c>
      <c r="S94" s="79" t="str">
        <f>IFERROR(VLOOKUP(R94,Database!$A$2:$L$175,8,FALSE),"-")</f>
        <v>-</v>
      </c>
      <c r="T94" s="79" t="str">
        <f>IFERROR(VLOOKUP(R94,Database!$A$2:$L$175,6,FALSE),"-")</f>
        <v>-</v>
      </c>
      <c r="U94" s="83" t="str">
        <f>IFERROR(VLOOKUP(R94,Database!$A$2:$L$175,9,FALSE),"-")</f>
        <v>-</v>
      </c>
      <c r="V94" s="97" t="str">
        <f>IF(AND(D94="Y",booking!T94&lt;&gt;booking!U94,booking!U94&gt;0),booking!U94,"-")</f>
        <v>-</v>
      </c>
      <c r="W94" s="80" t="str">
        <f>IFERROR(VLOOKUP(V94,Database!$A$2:$L$175,8,FALSE),"-")</f>
        <v>-</v>
      </c>
      <c r="X94" s="80" t="str">
        <f>IFERROR(VLOOKUP(V94,Database!$A$2:$L$175,6,FALSE),"-")</f>
        <v>-</v>
      </c>
      <c r="Y94" s="82" t="str">
        <f>IFERROR(VLOOKUP(V94,Database!$A$2:$L$175,9,FALSE),"-")</f>
        <v>-</v>
      </c>
    </row>
    <row r="95" spans="1:25" ht="15" customHeight="1" thickBot="1" x14ac:dyDescent="0.4">
      <c r="A95" s="89" t="str">
        <f>rengøring!A95</f>
        <v>onsdag</v>
      </c>
      <c r="B95" s="87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79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97" t="str">
        <f>IF(AND(D95="Y",booking!L95&lt;&gt;booking!M95,booking!M95&gt;0),booking!M95,"-")</f>
        <v>-</v>
      </c>
      <c r="O95" s="79" t="str">
        <f>IFERROR(VLOOKUP(N95,Database!$A$2:$L$175,8,FALSE),"-")</f>
        <v>-</v>
      </c>
      <c r="P95" s="79" t="str">
        <f>IFERROR(VLOOKUP(N95,Database!$A$2:$L$175,6,FALSE),"-")</f>
        <v>-</v>
      </c>
      <c r="Q95" s="83" t="str">
        <f>IFERROR(VLOOKUP(N95,Database!$A$2:$L$175,9,FALSE),"-")</f>
        <v>-</v>
      </c>
      <c r="R95" s="98">
        <f>IF(AND(D95="Y",booking!P95&lt;&gt;booking!Q95,booking!Q95&gt;0),booking!Q95,"-")</f>
        <v>57</v>
      </c>
      <c r="S95" s="79">
        <f>IFERROR(VLOOKUP(R95,Database!$A$2:$L$175,8,FALSE),"-")</f>
        <v>0</v>
      </c>
      <c r="T95" s="79" t="str">
        <f>IFERROR(VLOOKUP(R95,Database!$A$2:$L$175,6,FALSE),"-")</f>
        <v>S</v>
      </c>
      <c r="U95" s="83">
        <f>IFERROR(VLOOKUP(R95,Database!$A$2:$L$175,9,FALSE),"-")</f>
        <v>0</v>
      </c>
      <c r="V95" s="97" t="str">
        <f>IF(AND(D95="Y",booking!T95&lt;&gt;booking!U95,booking!U95&gt;0),booking!U95,"-")</f>
        <v>-</v>
      </c>
      <c r="W95" s="80" t="str">
        <f>IFERROR(VLOOKUP(V95,Database!$A$2:$L$175,8,FALSE),"-")</f>
        <v>-</v>
      </c>
      <c r="X95" s="80" t="str">
        <f>IFERROR(VLOOKUP(V95,Database!$A$2:$L$175,6,FALSE),"-")</f>
        <v>-</v>
      </c>
      <c r="Y95" s="82" t="str">
        <f>IFERROR(VLOOKUP(V95,Database!$A$2:$L$175,9,FALSE),"-")</f>
        <v>-</v>
      </c>
    </row>
    <row r="96" spans="1:25" ht="15" customHeight="1" thickBot="1" x14ac:dyDescent="0.4">
      <c r="A96" s="89" t="str">
        <f>rengøring!A96</f>
        <v>torsdag</v>
      </c>
      <c r="B96" s="85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79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97" t="str">
        <f>IF(AND(D96="Y",booking!L96&lt;&gt;booking!M96,booking!M96&gt;0),booking!M96,"-")</f>
        <v>-</v>
      </c>
      <c r="O96" s="79" t="str">
        <f>IFERROR(VLOOKUP(N96,Database!$A$2:$L$175,8,FALSE),"-")</f>
        <v>-</v>
      </c>
      <c r="P96" s="79" t="str">
        <f>IFERROR(VLOOKUP(N96,Database!$A$2:$L$175,6,FALSE),"-")</f>
        <v>-</v>
      </c>
      <c r="Q96" s="83" t="str">
        <f>IFERROR(VLOOKUP(N96,Database!$A$2:$L$175,9,FALSE),"-")</f>
        <v>-</v>
      </c>
      <c r="R96" s="98" t="str">
        <f>IF(AND(D96="Y",booking!P96&lt;&gt;booking!Q96,booking!Q96&gt;0),booking!Q96,"-")</f>
        <v>-</v>
      </c>
      <c r="S96" s="79" t="str">
        <f>IFERROR(VLOOKUP(R96,Database!$A$2:$L$175,8,FALSE),"-")</f>
        <v>-</v>
      </c>
      <c r="T96" s="79" t="str">
        <f>IFERROR(VLOOKUP(R96,Database!$A$2:$L$175,6,FALSE),"-")</f>
        <v>-</v>
      </c>
      <c r="U96" s="83" t="str">
        <f>IFERROR(VLOOKUP(R96,Database!$A$2:$L$175,9,FALSE),"-")</f>
        <v>-</v>
      </c>
      <c r="V96" s="97" t="str">
        <f>IF(AND(D96="Y",booking!T96&lt;&gt;booking!U96,booking!U96&gt;0),booking!U96,"-")</f>
        <v>-</v>
      </c>
      <c r="W96" s="80" t="str">
        <f>IFERROR(VLOOKUP(V96,Database!$A$2:$L$175,8,FALSE),"-")</f>
        <v>-</v>
      </c>
      <c r="X96" s="80" t="str">
        <f>IFERROR(VLOOKUP(V96,Database!$A$2:$L$175,6,FALSE),"-")</f>
        <v>-</v>
      </c>
      <c r="Y96" s="82" t="str">
        <f>IFERROR(VLOOKUP(V96,Database!$A$2:$L$175,9,FALSE),"-")</f>
        <v>-</v>
      </c>
    </row>
    <row r="97" spans="1:25" ht="15" customHeight="1" thickBot="1" x14ac:dyDescent="0.4">
      <c r="A97" s="89" t="str">
        <f>rengøring!A97</f>
        <v>fredag</v>
      </c>
      <c r="B97" s="87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79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97" t="str">
        <f>IF(AND(D97="Y",booking!L97&lt;&gt;booking!M97,booking!M97&gt;0),booking!M97,"-")</f>
        <v>-</v>
      </c>
      <c r="O97" s="79" t="str">
        <f>IFERROR(VLOOKUP(N97,Database!$A$2:$L$175,8,FALSE),"-")</f>
        <v>-</v>
      </c>
      <c r="P97" s="79" t="str">
        <f>IFERROR(VLOOKUP(N97,Database!$A$2:$L$175,6,FALSE),"-")</f>
        <v>-</v>
      </c>
      <c r="Q97" s="83" t="str">
        <f>IFERROR(VLOOKUP(N97,Database!$A$2:$L$175,9,FALSE),"-")</f>
        <v>-</v>
      </c>
      <c r="R97" s="98" t="str">
        <f>IF(AND(D97="Y",booking!P97&lt;&gt;booking!Q97,booking!Q97&gt;0),booking!Q97,"-")</f>
        <v>-</v>
      </c>
      <c r="S97" s="79" t="str">
        <f>IFERROR(VLOOKUP(R97,Database!$A$2:$L$175,8,FALSE),"-")</f>
        <v>-</v>
      </c>
      <c r="T97" s="79" t="str">
        <f>IFERROR(VLOOKUP(R97,Database!$A$2:$L$175,6,FALSE),"-")</f>
        <v>-</v>
      </c>
      <c r="U97" s="83" t="str">
        <f>IFERROR(VLOOKUP(R97,Database!$A$2:$L$175,9,FALSE),"-")</f>
        <v>-</v>
      </c>
      <c r="V97" s="97" t="str">
        <f>IF(AND(D97="Y",booking!T97&lt;&gt;booking!U97,booking!U97&gt;0),booking!U97,"-")</f>
        <v>-</v>
      </c>
      <c r="W97" s="80" t="str">
        <f>IFERROR(VLOOKUP(V97,Database!$A$2:$L$175,8,FALSE),"-")</f>
        <v>-</v>
      </c>
      <c r="X97" s="80" t="str">
        <f>IFERROR(VLOOKUP(V97,Database!$A$2:$L$175,6,FALSE),"-")</f>
        <v>-</v>
      </c>
      <c r="Y97" s="82" t="str">
        <f>IFERROR(VLOOKUP(V97,Database!$A$2:$L$175,9,FALSE),"-")</f>
        <v>-</v>
      </c>
    </row>
    <row r="98" spans="1:25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79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97" t="str">
        <f>IF(AND(D98="Y",booking!L98&lt;&gt;booking!M98,booking!M98&gt;0),booking!M98,"-")</f>
        <v>-</v>
      </c>
      <c r="O98" s="79" t="str">
        <f>IFERROR(VLOOKUP(N98,Database!$A$2:$L$175,8,FALSE),"-")</f>
        <v>-</v>
      </c>
      <c r="P98" s="79" t="str">
        <f>IFERROR(VLOOKUP(N98,Database!$A$2:$L$175,6,FALSE),"-")</f>
        <v>-</v>
      </c>
      <c r="Q98" s="83" t="str">
        <f>IFERROR(VLOOKUP(N98,Database!$A$2:$L$175,9,FALSE),"-")</f>
        <v>-</v>
      </c>
      <c r="R98" s="98" t="str">
        <f>IF(AND(D98="Y",booking!P98&lt;&gt;booking!Q98,booking!Q98&gt;0),booking!Q98,"-")</f>
        <v>-</v>
      </c>
      <c r="S98" s="79" t="str">
        <f>IFERROR(VLOOKUP(R98,Database!$A$2:$L$175,8,FALSE),"-")</f>
        <v>-</v>
      </c>
      <c r="T98" s="79" t="str">
        <f>IFERROR(VLOOKUP(R98,Database!$A$2:$L$175,6,FALSE),"-")</f>
        <v>-</v>
      </c>
      <c r="U98" s="83" t="str">
        <f>IFERROR(VLOOKUP(R98,Database!$A$2:$L$175,9,FALSE),"-")</f>
        <v>-</v>
      </c>
      <c r="V98" s="97" t="str">
        <f>IF(AND(D98="Y",booking!T98&lt;&gt;booking!U98,booking!U98&gt;0),booking!U98,"-")</f>
        <v>-</v>
      </c>
      <c r="W98" s="80" t="str">
        <f>IFERROR(VLOOKUP(V98,Database!$A$2:$L$175,8,FALSE),"-")</f>
        <v>-</v>
      </c>
      <c r="X98" s="80" t="str">
        <f>IFERROR(VLOOKUP(V98,Database!$A$2:$L$175,6,FALSE),"-")</f>
        <v>-</v>
      </c>
      <c r="Y98" s="82" t="str">
        <f>IFERROR(VLOOKUP(V98,Database!$A$2:$L$175,9,FALSE),"-")</f>
        <v>-</v>
      </c>
    </row>
    <row r="99" spans="1:25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79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97">
        <f>IF(AND(D99="Y",booking!L99&lt;&gt;booking!M99,booking!M99&gt;0),booking!M99,"-")</f>
        <v>74</v>
      </c>
      <c r="O99" s="79">
        <f>IFERROR(VLOOKUP(N99,Database!$A$2:$L$175,8,FALSE),"-")</f>
        <v>0</v>
      </c>
      <c r="P99" s="79" t="str">
        <f>IFERROR(VLOOKUP(N99,Database!$A$2:$L$175,6,FALSE),"-")</f>
        <v>DK</v>
      </c>
      <c r="Q99" s="83">
        <f>IFERROR(VLOOKUP(N99,Database!$A$2:$L$175,9,FALSE),"-")</f>
        <v>0</v>
      </c>
      <c r="R99" s="98" t="str">
        <f>IF(AND(D99="Y",booking!P99&lt;&gt;booking!Q99,booking!Q99&gt;0),booking!Q99,"-")</f>
        <v>-</v>
      </c>
      <c r="S99" s="79" t="str">
        <f>IFERROR(VLOOKUP(R99,Database!$A$2:$L$175,8,FALSE),"-")</f>
        <v>-</v>
      </c>
      <c r="T99" s="79" t="str">
        <f>IFERROR(VLOOKUP(R99,Database!$A$2:$L$175,6,FALSE),"-")</f>
        <v>-</v>
      </c>
      <c r="U99" s="83" t="str">
        <f>IFERROR(VLOOKUP(R99,Database!$A$2:$L$175,9,FALSE),"-")</f>
        <v>-</v>
      </c>
      <c r="V99" s="97" t="str">
        <f>IF(AND(D99="Y",booking!T99&lt;&gt;booking!U99,booking!U99&gt;0),booking!U99,"-")</f>
        <v>-</v>
      </c>
      <c r="W99" s="80" t="str">
        <f>IFERROR(VLOOKUP(V99,Database!$A$2:$L$175,8,FALSE),"-")</f>
        <v>-</v>
      </c>
      <c r="X99" s="80" t="str">
        <f>IFERROR(VLOOKUP(V99,Database!$A$2:$L$175,6,FALSE),"-")</f>
        <v>-</v>
      </c>
      <c r="Y99" s="82" t="str">
        <f>IFERROR(VLOOKUP(V99,Database!$A$2:$L$175,9,FALSE),"-")</f>
        <v>-</v>
      </c>
    </row>
    <row r="100" spans="1:25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79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97" t="str">
        <f>IF(AND(D100="Y",booking!L100&lt;&gt;booking!M100,booking!M100&gt;0),booking!M100,"-")</f>
        <v>-</v>
      </c>
      <c r="O100" s="79" t="str">
        <f>IFERROR(VLOOKUP(N100,Database!$A$2:$L$175,8,FALSE),"-")</f>
        <v>-</v>
      </c>
      <c r="P100" s="79" t="str">
        <f>IFERROR(VLOOKUP(N100,Database!$A$2:$L$175,6,FALSE),"-")</f>
        <v>-</v>
      </c>
      <c r="Q100" s="83" t="str">
        <f>IFERROR(VLOOKUP(N100,Database!$A$2:$L$175,9,FALSE),"-")</f>
        <v>-</v>
      </c>
      <c r="R100" s="98" t="str">
        <f>IF(AND(D100="Y",booking!P100&lt;&gt;booking!Q100,booking!Q100&gt;0),booking!Q100,"-")</f>
        <v>-</v>
      </c>
      <c r="S100" s="79" t="str">
        <f>IFERROR(VLOOKUP(R100,Database!$A$2:$L$175,8,FALSE),"-")</f>
        <v>-</v>
      </c>
      <c r="T100" s="79" t="str">
        <f>IFERROR(VLOOKUP(R100,Database!$A$2:$L$175,6,FALSE),"-")</f>
        <v>-</v>
      </c>
      <c r="U100" s="83" t="str">
        <f>IFERROR(VLOOKUP(R100,Database!$A$2:$L$175,9,FALSE),"-")</f>
        <v>-</v>
      </c>
      <c r="V100" s="97">
        <f>IF(AND(D100="Y",booking!T100&lt;&gt;booking!U100,booking!U100&gt;0),booking!U100,"-")</f>
        <v>50</v>
      </c>
      <c r="W100" s="80">
        <f>IFERROR(VLOOKUP(V100,Database!$A$2:$L$175,8,FALSE),"-")</f>
        <v>0</v>
      </c>
      <c r="X100" s="80" t="str">
        <f>IFERROR(VLOOKUP(V100,Database!$A$2:$L$175,6,FALSE),"-")</f>
        <v>DK</v>
      </c>
      <c r="Y100" s="82">
        <f>IFERROR(VLOOKUP(V100,Database!$A$2:$L$175,9,FALSE),"-")</f>
        <v>0</v>
      </c>
    </row>
    <row r="101" spans="1:25" ht="15" customHeight="1" thickBot="1" x14ac:dyDescent="0.4">
      <c r="A101" s="89" t="str">
        <f>rengøring!A101</f>
        <v>tirsdag</v>
      </c>
      <c r="B101" s="87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79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97" t="str">
        <f>IF(AND(D101="Y",booking!L101&lt;&gt;booking!M101,booking!M101&gt;0),booking!M101,"-")</f>
        <v>-</v>
      </c>
      <c r="O101" s="79" t="str">
        <f>IFERROR(VLOOKUP(N101,Database!$A$2:$L$175,8,FALSE),"-")</f>
        <v>-</v>
      </c>
      <c r="P101" s="79" t="str">
        <f>IFERROR(VLOOKUP(N101,Database!$A$2:$L$175,6,FALSE),"-")</f>
        <v>-</v>
      </c>
      <c r="Q101" s="83" t="str">
        <f>IFERROR(VLOOKUP(N101,Database!$A$2:$L$175,9,FALSE),"-")</f>
        <v>-</v>
      </c>
      <c r="R101" s="98" t="str">
        <f>IF(AND(D101="Y",booking!P101&lt;&gt;booking!Q101,booking!Q101&gt;0),booking!Q101,"-")</f>
        <v>-</v>
      </c>
      <c r="S101" s="79" t="str">
        <f>IFERROR(VLOOKUP(R101,Database!$A$2:$L$175,8,FALSE),"-")</f>
        <v>-</v>
      </c>
      <c r="T101" s="79" t="str">
        <f>IFERROR(VLOOKUP(R101,Database!$A$2:$L$175,6,FALSE),"-")</f>
        <v>-</v>
      </c>
      <c r="U101" s="83" t="str">
        <f>IFERROR(VLOOKUP(R101,Database!$A$2:$L$175,9,FALSE),"-")</f>
        <v>-</v>
      </c>
      <c r="V101" s="97" t="str">
        <f>IF(AND(D101="Y",booking!T101&lt;&gt;booking!U101,booking!U101&gt;0),booking!U101,"-")</f>
        <v>-</v>
      </c>
      <c r="W101" s="80" t="str">
        <f>IFERROR(VLOOKUP(V101,Database!$A$2:$L$175,8,FALSE),"-")</f>
        <v>-</v>
      </c>
      <c r="X101" s="80" t="str">
        <f>IFERROR(VLOOKUP(V101,Database!$A$2:$L$175,6,FALSE),"-")</f>
        <v>-</v>
      </c>
      <c r="Y101" s="82" t="str">
        <f>IFERROR(VLOOKUP(V101,Database!$A$2:$L$175,9,FALSE),"-")</f>
        <v>-</v>
      </c>
    </row>
    <row r="102" spans="1:25" ht="15" customHeight="1" thickBot="1" x14ac:dyDescent="0.4">
      <c r="A102" s="89" t="str">
        <f>rengøring!A102</f>
        <v>onsdag</v>
      </c>
      <c r="B102" s="85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79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97" t="str">
        <f>IF(AND(D102="Y",booking!L102&lt;&gt;booking!M102,booking!M102&gt;0),booking!M102,"-")</f>
        <v>-</v>
      </c>
      <c r="O102" s="79" t="str">
        <f>IFERROR(VLOOKUP(N102,Database!$A$2:$L$175,8,FALSE),"-")</f>
        <v>-</v>
      </c>
      <c r="P102" s="79" t="str">
        <f>IFERROR(VLOOKUP(N102,Database!$A$2:$L$175,6,FALSE),"-")</f>
        <v>-</v>
      </c>
      <c r="Q102" s="83" t="str">
        <f>IFERROR(VLOOKUP(N102,Database!$A$2:$L$175,9,FALSE),"-")</f>
        <v>-</v>
      </c>
      <c r="R102" s="98" t="str">
        <f>IF(AND(D102="Y",booking!P102&lt;&gt;booking!Q102,booking!Q102&gt;0),booking!Q102,"-")</f>
        <v>-</v>
      </c>
      <c r="S102" s="79" t="str">
        <f>IFERROR(VLOOKUP(R102,Database!$A$2:$L$175,8,FALSE),"-")</f>
        <v>-</v>
      </c>
      <c r="T102" s="79" t="str">
        <f>IFERROR(VLOOKUP(R102,Database!$A$2:$L$175,6,FALSE),"-")</f>
        <v>-</v>
      </c>
      <c r="U102" s="83" t="str">
        <f>IFERROR(VLOOKUP(R102,Database!$A$2:$L$175,9,FALSE),"-")</f>
        <v>-</v>
      </c>
      <c r="V102" s="97" t="str">
        <f>IF(AND(D102="Y",booking!T102&lt;&gt;booking!U102,booking!U102&gt;0),booking!U102,"-")</f>
        <v>-</v>
      </c>
      <c r="W102" s="80" t="str">
        <f>IFERROR(VLOOKUP(V102,Database!$A$2:$L$175,8,FALSE),"-")</f>
        <v>-</v>
      </c>
      <c r="X102" s="80" t="str">
        <f>IFERROR(VLOOKUP(V102,Database!$A$2:$L$175,6,FALSE),"-")</f>
        <v>-</v>
      </c>
      <c r="Y102" s="82" t="str">
        <f>IFERROR(VLOOKUP(V102,Database!$A$2:$L$175,9,FALSE),"-")</f>
        <v>-</v>
      </c>
    </row>
    <row r="103" spans="1:25" ht="15" customHeight="1" thickBot="1" x14ac:dyDescent="0.4">
      <c r="A103" s="89" t="str">
        <f>rengøring!A103</f>
        <v>torsdag</v>
      </c>
      <c r="B103" s="87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79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97">
        <f>IF(AND(D103="Y",booking!L103&lt;&gt;booking!M103,booking!M103&gt;0),booking!M103,"-")</f>
        <v>33</v>
      </c>
      <c r="O103" s="79">
        <f>IFERROR(VLOOKUP(N103,Database!$A$2:$L$175,8,FALSE),"-")</f>
        <v>0</v>
      </c>
      <c r="P103" s="79" t="str">
        <f>IFERROR(VLOOKUP(N103,Database!$A$2:$L$175,6,FALSE),"-")</f>
        <v>D</v>
      </c>
      <c r="Q103" s="83">
        <f>IFERROR(VLOOKUP(N103,Database!$A$2:$L$175,9,FALSE),"-")</f>
        <v>0</v>
      </c>
      <c r="R103" s="98">
        <f>IF(AND(D103="Y",booking!P103&lt;&gt;booking!Q103,booking!Q103&gt;0),booking!Q103,"-")</f>
        <v>45</v>
      </c>
      <c r="S103" s="79">
        <f>IFERROR(VLOOKUP(R103,Database!$A$2:$L$175,8,FALSE),"-")</f>
        <v>0</v>
      </c>
      <c r="T103" s="79" t="str">
        <f>IFERROR(VLOOKUP(R103,Database!$A$2:$L$175,6,FALSE),"-")</f>
        <v>S</v>
      </c>
      <c r="U103" s="83">
        <f>IFERROR(VLOOKUP(R103,Database!$A$2:$L$175,9,FALSE),"-")</f>
        <v>0</v>
      </c>
      <c r="V103" s="97" t="str">
        <f>IF(AND(D103="Y",booking!T103&lt;&gt;booking!U103,booking!U103&gt;0),booking!U103,"-")</f>
        <v>-</v>
      </c>
      <c r="W103" s="80" t="str">
        <f>IFERROR(VLOOKUP(V103,Database!$A$2:$L$175,8,FALSE),"-")</f>
        <v>-</v>
      </c>
      <c r="X103" s="80" t="str">
        <f>IFERROR(VLOOKUP(V103,Database!$A$2:$L$175,6,FALSE),"-")</f>
        <v>-</v>
      </c>
      <c r="Y103" s="82" t="str">
        <f>IFERROR(VLOOKUP(V103,Database!$A$2:$L$175,9,FALSE),"-")</f>
        <v>-</v>
      </c>
    </row>
    <row r="104" spans="1:25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79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97" t="str">
        <f>IF(AND(D104="Y",booking!L104&lt;&gt;booking!M104,booking!M104&gt;0),booking!M104,"-")</f>
        <v>-</v>
      </c>
      <c r="O104" s="79" t="str">
        <f>IFERROR(VLOOKUP(N104,Database!$A$2:$L$175,8,FALSE),"-")</f>
        <v>-</v>
      </c>
      <c r="P104" s="79" t="str">
        <f>IFERROR(VLOOKUP(N104,Database!$A$2:$L$175,6,FALSE),"-")</f>
        <v>-</v>
      </c>
      <c r="Q104" s="83" t="str">
        <f>IFERROR(VLOOKUP(N104,Database!$A$2:$L$175,9,FALSE),"-")</f>
        <v>-</v>
      </c>
      <c r="R104" s="98" t="str">
        <f>IF(AND(D104="Y",booking!P104&lt;&gt;booking!Q104,booking!Q104&gt;0),booking!Q104,"-")</f>
        <v>-</v>
      </c>
      <c r="S104" s="79" t="str">
        <f>IFERROR(VLOOKUP(R104,Database!$A$2:$L$175,8,FALSE),"-")</f>
        <v>-</v>
      </c>
      <c r="T104" s="79" t="str">
        <f>IFERROR(VLOOKUP(R104,Database!$A$2:$L$175,6,FALSE),"-")</f>
        <v>-</v>
      </c>
      <c r="U104" s="83" t="str">
        <f>IFERROR(VLOOKUP(R104,Database!$A$2:$L$175,9,FALSE),"-")</f>
        <v>-</v>
      </c>
      <c r="V104" s="97">
        <f>IF(AND(D104="Y",booking!T104&lt;&gt;booking!U104,booking!U104&gt;0),booking!U104,"-")</f>
        <v>92</v>
      </c>
      <c r="W104" s="80" t="str">
        <f>IFERROR(VLOOKUP(V104,Database!$A$2:$L$175,8,FALSE),"-")</f>
        <v>1400</v>
      </c>
      <c r="X104" s="80" t="str">
        <f>IFERROR(VLOOKUP(V104,Database!$A$2:$L$175,6,FALSE),"-")</f>
        <v>DK</v>
      </c>
      <c r="Y104" s="82" t="str">
        <f>IFERROR(VLOOKUP(V104,Database!$A$2:$L$175,9,FALSE),"-")</f>
        <v>sing</v>
      </c>
    </row>
    <row r="105" spans="1:25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79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97" t="str">
        <f>IF(AND(D105="Y",booking!L105&lt;&gt;booking!M105,booking!M105&gt;0),booking!M105,"-")</f>
        <v>-</v>
      </c>
      <c r="O105" s="79" t="str">
        <f>IFERROR(VLOOKUP(N105,Database!$A$2:$L$175,8,FALSE),"-")</f>
        <v>-</v>
      </c>
      <c r="P105" s="79" t="str">
        <f>IFERROR(VLOOKUP(N105,Database!$A$2:$L$175,6,FALSE),"-")</f>
        <v>-</v>
      </c>
      <c r="Q105" s="83" t="str">
        <f>IFERROR(VLOOKUP(N105,Database!$A$2:$L$175,9,FALSE),"-")</f>
        <v>-</v>
      </c>
      <c r="R105" s="98" t="str">
        <f>IF(AND(D105="Y",booking!P105&lt;&gt;booking!Q105,booking!Q105&gt;0),booking!Q105,"-")</f>
        <v>-</v>
      </c>
      <c r="S105" s="79" t="str">
        <f>IFERROR(VLOOKUP(R105,Database!$A$2:$L$175,8,FALSE),"-")</f>
        <v>-</v>
      </c>
      <c r="T105" s="79" t="str">
        <f>IFERROR(VLOOKUP(R105,Database!$A$2:$L$175,6,FALSE),"-")</f>
        <v>-</v>
      </c>
      <c r="U105" s="83" t="str">
        <f>IFERROR(VLOOKUP(R105,Database!$A$2:$L$175,9,FALSE),"-")</f>
        <v>-</v>
      </c>
      <c r="V105" s="97" t="str">
        <f>IF(AND(D105="Y",booking!T105&lt;&gt;booking!U105,booking!U105&gt;0),booking!U105,"-")</f>
        <v>-</v>
      </c>
      <c r="W105" s="80" t="str">
        <f>IFERROR(VLOOKUP(V105,Database!$A$2:$L$175,8,FALSE),"-")</f>
        <v>-</v>
      </c>
      <c r="X105" s="80" t="str">
        <f>IFERROR(VLOOKUP(V105,Database!$A$2:$L$175,6,FALSE),"-")</f>
        <v>-</v>
      </c>
      <c r="Y105" s="82" t="str">
        <f>IFERROR(VLOOKUP(V105,Database!$A$2:$L$175,9,FALSE),"-")</f>
        <v>-</v>
      </c>
    </row>
    <row r="106" spans="1:25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79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97" t="str">
        <f>IF(AND(D106="Y",booking!L106&lt;&gt;booking!M106,booking!M106&gt;0),booking!M106,"-")</f>
        <v>-</v>
      </c>
      <c r="O106" s="79" t="str">
        <f>IFERROR(VLOOKUP(N106,Database!$A$2:$L$175,8,FALSE),"-")</f>
        <v>-</v>
      </c>
      <c r="P106" s="79" t="str">
        <f>IFERROR(VLOOKUP(N106,Database!$A$2:$L$175,6,FALSE),"-")</f>
        <v>-</v>
      </c>
      <c r="Q106" s="83" t="str">
        <f>IFERROR(VLOOKUP(N106,Database!$A$2:$L$175,9,FALSE),"-")</f>
        <v>-</v>
      </c>
      <c r="R106" s="98" t="str">
        <f>IF(AND(D106="Y",booking!P106&lt;&gt;booking!Q106,booking!Q106&gt;0),booking!Q106,"-")</f>
        <v>-</v>
      </c>
      <c r="S106" s="79" t="str">
        <f>IFERROR(VLOOKUP(R106,Database!$A$2:$L$175,8,FALSE),"-")</f>
        <v>-</v>
      </c>
      <c r="T106" s="79" t="str">
        <f>IFERROR(VLOOKUP(R106,Database!$A$2:$L$175,6,FALSE),"-")</f>
        <v>-</v>
      </c>
      <c r="U106" s="83" t="str">
        <f>IFERROR(VLOOKUP(R106,Database!$A$2:$L$175,9,FALSE),"-")</f>
        <v>-</v>
      </c>
      <c r="V106" s="97" t="str">
        <f>IF(AND(D106="Y",booking!T106&lt;&gt;booking!U106,booking!U106&gt;0),booking!U106,"-")</f>
        <v>-</v>
      </c>
      <c r="W106" s="80" t="str">
        <f>IFERROR(VLOOKUP(V106,Database!$A$2:$L$175,8,FALSE),"-")</f>
        <v>-</v>
      </c>
      <c r="X106" s="80" t="str">
        <f>IFERROR(VLOOKUP(V106,Database!$A$2:$L$175,6,FALSE),"-")</f>
        <v>-</v>
      </c>
      <c r="Y106" s="82" t="str">
        <f>IFERROR(VLOOKUP(V106,Database!$A$2:$L$175,9,FALSE),"-")</f>
        <v>-</v>
      </c>
    </row>
    <row r="107" spans="1:25" ht="15" customHeight="1" thickBot="1" x14ac:dyDescent="0.4">
      <c r="A107" s="89" t="str">
        <f>rengøring!A107</f>
        <v>mandag</v>
      </c>
      <c r="B107" s="87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79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97" t="str">
        <f>IF(AND(D107="Y",booking!L107&lt;&gt;booking!M107,booking!M107&gt;0),booking!M107,"-")</f>
        <v>-</v>
      </c>
      <c r="O107" s="79" t="str">
        <f>IFERROR(VLOOKUP(N107,Database!$A$2:$L$175,8,FALSE),"-")</f>
        <v>-</v>
      </c>
      <c r="P107" s="79" t="str">
        <f>IFERROR(VLOOKUP(N107,Database!$A$2:$L$175,6,FALSE),"-")</f>
        <v>-</v>
      </c>
      <c r="Q107" s="83" t="str">
        <f>IFERROR(VLOOKUP(N107,Database!$A$2:$L$175,9,FALSE),"-")</f>
        <v>-</v>
      </c>
      <c r="R107" s="98" t="str">
        <f>IF(AND(D107="Y",booking!P107&lt;&gt;booking!Q107,booking!Q107&gt;0),booking!Q107,"-")</f>
        <v>-</v>
      </c>
      <c r="S107" s="79" t="str">
        <f>IFERROR(VLOOKUP(R107,Database!$A$2:$L$175,8,FALSE),"-")</f>
        <v>-</v>
      </c>
      <c r="T107" s="79" t="str">
        <f>IFERROR(VLOOKUP(R107,Database!$A$2:$L$175,6,FALSE),"-")</f>
        <v>-</v>
      </c>
      <c r="U107" s="83" t="str">
        <f>IFERROR(VLOOKUP(R107,Database!$A$2:$L$175,9,FALSE),"-")</f>
        <v>-</v>
      </c>
      <c r="V107" s="97" t="str">
        <f>IF(AND(D107="Y",booking!T107&lt;&gt;booking!U107,booking!U107&gt;0),booking!U107,"-")</f>
        <v>-</v>
      </c>
      <c r="W107" s="80" t="str">
        <f>IFERROR(VLOOKUP(V107,Database!$A$2:$L$175,8,FALSE),"-")</f>
        <v>-</v>
      </c>
      <c r="X107" s="80" t="str">
        <f>IFERROR(VLOOKUP(V107,Database!$A$2:$L$175,6,FALSE),"-")</f>
        <v>-</v>
      </c>
      <c r="Y107" s="82" t="str">
        <f>IFERROR(VLOOKUP(V107,Database!$A$2:$L$175,9,FALSE),"-")</f>
        <v>-</v>
      </c>
    </row>
    <row r="108" spans="1:25" ht="15" customHeight="1" thickBot="1" x14ac:dyDescent="0.4">
      <c r="A108" s="89" t="str">
        <f>rengøring!A108</f>
        <v>tirsdag</v>
      </c>
      <c r="B108" s="85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79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97" t="str">
        <f>IF(AND(D108="Y",booking!L108&lt;&gt;booking!M108,booking!M108&gt;0),booking!M108,"-")</f>
        <v>-</v>
      </c>
      <c r="O108" s="79" t="str">
        <f>IFERROR(VLOOKUP(N108,Database!$A$2:$L$175,8,FALSE),"-")</f>
        <v>-</v>
      </c>
      <c r="P108" s="79" t="str">
        <f>IFERROR(VLOOKUP(N108,Database!$A$2:$L$175,6,FALSE),"-")</f>
        <v>-</v>
      </c>
      <c r="Q108" s="83" t="str">
        <f>IFERROR(VLOOKUP(N108,Database!$A$2:$L$175,9,FALSE),"-")</f>
        <v>-</v>
      </c>
      <c r="R108" s="98" t="str">
        <f>IF(AND(D108="Y",booking!P108&lt;&gt;booking!Q108,booking!Q108&gt;0),booking!Q108,"-")</f>
        <v>-</v>
      </c>
      <c r="S108" s="79" t="str">
        <f>IFERROR(VLOOKUP(R108,Database!$A$2:$L$175,8,FALSE),"-")</f>
        <v>-</v>
      </c>
      <c r="T108" s="79" t="str">
        <f>IFERROR(VLOOKUP(R108,Database!$A$2:$L$175,6,FALSE),"-")</f>
        <v>-</v>
      </c>
      <c r="U108" s="83" t="str">
        <f>IFERROR(VLOOKUP(R108,Database!$A$2:$L$175,9,FALSE),"-")</f>
        <v>-</v>
      </c>
      <c r="V108" s="97" t="str">
        <f>IF(AND(D108="Y",booking!T108&lt;&gt;booking!U108,booking!U108&gt;0),booking!U108,"-")</f>
        <v>-</v>
      </c>
      <c r="W108" s="80" t="str">
        <f>IFERROR(VLOOKUP(V108,Database!$A$2:$L$175,8,FALSE),"-")</f>
        <v>-</v>
      </c>
      <c r="X108" s="80" t="str">
        <f>IFERROR(VLOOKUP(V108,Database!$A$2:$L$175,6,FALSE),"-")</f>
        <v>-</v>
      </c>
      <c r="Y108" s="82" t="str">
        <f>IFERROR(VLOOKUP(V108,Database!$A$2:$L$175,9,FALSE),"-")</f>
        <v>-</v>
      </c>
    </row>
    <row r="109" spans="1:25" ht="15" customHeight="1" thickBot="1" x14ac:dyDescent="0.4">
      <c r="A109" s="89" t="str">
        <f>rengøring!A109</f>
        <v>onsdag</v>
      </c>
      <c r="B109" s="87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79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97" t="str">
        <f>IF(AND(D109="Y",booking!L109&lt;&gt;booking!M109,booking!M109&gt;0),booking!M109,"-")</f>
        <v>-</v>
      </c>
      <c r="O109" s="79" t="str">
        <f>IFERROR(VLOOKUP(N109,Database!$A$2:$L$175,8,FALSE),"-")</f>
        <v>-</v>
      </c>
      <c r="P109" s="79" t="str">
        <f>IFERROR(VLOOKUP(N109,Database!$A$2:$L$175,6,FALSE),"-")</f>
        <v>-</v>
      </c>
      <c r="Q109" s="83" t="str">
        <f>IFERROR(VLOOKUP(N109,Database!$A$2:$L$175,9,FALSE),"-")</f>
        <v>-</v>
      </c>
      <c r="R109" s="98">
        <f>IF(AND(D109="Y",booking!P109&lt;&gt;booking!Q109,booking!Q109&gt;0),booking!Q109,"-")</f>
        <v>4</v>
      </c>
      <c r="S109" s="79">
        <f>IFERROR(VLOOKUP(R109,Database!$A$2:$L$175,8,FALSE),"-")</f>
        <v>0</v>
      </c>
      <c r="T109" s="79" t="str">
        <f>IFERROR(VLOOKUP(R109,Database!$A$2:$L$175,6,FALSE),"-")</f>
        <v>DK</v>
      </c>
      <c r="U109" s="83">
        <f>IFERROR(VLOOKUP(R109,Database!$A$2:$L$175,9,FALSE),"-")</f>
        <v>0</v>
      </c>
      <c r="V109" s="97">
        <f>IF(AND(D109="Y",booking!T109&lt;&gt;booking!U109,booking!U109&gt;0),booking!U109,"-")</f>
        <v>4</v>
      </c>
      <c r="W109" s="80">
        <f>IFERROR(VLOOKUP(V109,Database!$A$2:$L$175,8,FALSE),"-")</f>
        <v>0</v>
      </c>
      <c r="X109" s="80" t="str">
        <f>IFERROR(VLOOKUP(V109,Database!$A$2:$L$175,6,FALSE),"-")</f>
        <v>DK</v>
      </c>
      <c r="Y109" s="82">
        <f>IFERROR(VLOOKUP(V109,Database!$A$2:$L$175,9,FALSE),"-")</f>
        <v>0</v>
      </c>
    </row>
    <row r="110" spans="1:25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79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97">
        <f>IF(AND(D110="Y",booking!L110&lt;&gt;booking!M110,booking!M110&gt;0),booking!M110,"-")</f>
        <v>23</v>
      </c>
      <c r="O110" s="79" t="str">
        <f>IFERROR(VLOOKUP(N110,Database!$A$2:$L$175,8,FALSE),"-")</f>
        <v>1430</v>
      </c>
      <c r="P110" s="79" t="str">
        <f>IFERROR(VLOOKUP(N110,Database!$A$2:$L$175,6,FALSE),"-")</f>
        <v>DK</v>
      </c>
      <c r="Q110" s="83" t="str">
        <f>IFERROR(VLOOKUP(N110,Database!$A$2:$L$175,9,FALSE),"-")</f>
        <v>dobb</v>
      </c>
      <c r="R110" s="98" t="str">
        <f>IF(AND(D110="Y",booking!P110&lt;&gt;booking!Q110,booking!Q110&gt;0),booking!Q110,"-")</f>
        <v>-</v>
      </c>
      <c r="S110" s="79" t="str">
        <f>IFERROR(VLOOKUP(R110,Database!$A$2:$L$175,8,FALSE),"-")</f>
        <v>-</v>
      </c>
      <c r="T110" s="79" t="str">
        <f>IFERROR(VLOOKUP(R110,Database!$A$2:$L$175,6,FALSE),"-")</f>
        <v>-</v>
      </c>
      <c r="U110" s="83" t="str">
        <f>IFERROR(VLOOKUP(R110,Database!$A$2:$L$175,9,FALSE),"-")</f>
        <v>-</v>
      </c>
      <c r="V110" s="97" t="str">
        <f>IF(AND(D110="Y",booking!T110&lt;&gt;booking!U110,booking!U110&gt;0),booking!U110,"-")</f>
        <v>-</v>
      </c>
      <c r="W110" s="80" t="str">
        <f>IFERROR(VLOOKUP(V110,Database!$A$2:$L$175,8,FALSE),"-")</f>
        <v>-</v>
      </c>
      <c r="X110" s="80" t="str">
        <f>IFERROR(VLOOKUP(V110,Database!$A$2:$L$175,6,FALSE),"-")</f>
        <v>-</v>
      </c>
      <c r="Y110" s="82" t="str">
        <f>IFERROR(VLOOKUP(V110,Database!$A$2:$L$175,9,FALSE),"-")</f>
        <v>-</v>
      </c>
    </row>
    <row r="111" spans="1:25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79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97" t="str">
        <f>IF(AND(D111="Y",booking!L111&lt;&gt;booking!M111,booking!M111&gt;0),booking!M111,"-")</f>
        <v>-</v>
      </c>
      <c r="O111" s="79" t="str">
        <f>IFERROR(VLOOKUP(N111,Database!$A$2:$L$175,8,FALSE),"-")</f>
        <v>-</v>
      </c>
      <c r="P111" s="79" t="str">
        <f>IFERROR(VLOOKUP(N111,Database!$A$2:$L$175,6,FALSE),"-")</f>
        <v>-</v>
      </c>
      <c r="Q111" s="83" t="str">
        <f>IFERROR(VLOOKUP(N111,Database!$A$2:$L$175,9,FALSE),"-")</f>
        <v>-</v>
      </c>
      <c r="R111" s="98" t="str">
        <f>IF(AND(D111="Y",booking!P111&lt;&gt;booking!Q111,booking!Q111&gt;0),booking!Q111,"-")</f>
        <v>-</v>
      </c>
      <c r="S111" s="79" t="str">
        <f>IFERROR(VLOOKUP(R111,Database!$A$2:$L$175,8,FALSE),"-")</f>
        <v>-</v>
      </c>
      <c r="T111" s="79" t="str">
        <f>IFERROR(VLOOKUP(R111,Database!$A$2:$L$175,6,FALSE),"-")</f>
        <v>-</v>
      </c>
      <c r="U111" s="83" t="str">
        <f>IFERROR(VLOOKUP(R111,Database!$A$2:$L$175,9,FALSE),"-")</f>
        <v>-</v>
      </c>
      <c r="V111" s="97" t="str">
        <f>IF(AND(D111="Y",booking!T111&lt;&gt;booking!U111,booking!U111&gt;0),booking!U111,"-")</f>
        <v>-</v>
      </c>
      <c r="W111" s="80" t="str">
        <f>IFERROR(VLOOKUP(V111,Database!$A$2:$L$175,8,FALSE),"-")</f>
        <v>-</v>
      </c>
      <c r="X111" s="80" t="str">
        <f>IFERROR(VLOOKUP(V111,Database!$A$2:$L$175,6,FALSE),"-")</f>
        <v>-</v>
      </c>
      <c r="Y111" s="82" t="str">
        <f>IFERROR(VLOOKUP(V111,Database!$A$2:$L$175,9,FALSE),"-")</f>
        <v>-</v>
      </c>
    </row>
    <row r="112" spans="1:25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79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97" t="str">
        <f>IF(AND(D112="Y",booking!L112&lt;&gt;booking!M112,booking!M112&gt;0),booking!M112,"-")</f>
        <v>-</v>
      </c>
      <c r="O112" s="79" t="str">
        <f>IFERROR(VLOOKUP(N112,Database!$A$2:$L$175,8,FALSE),"-")</f>
        <v>-</v>
      </c>
      <c r="P112" s="79" t="str">
        <f>IFERROR(VLOOKUP(N112,Database!$A$2:$L$175,6,FALSE),"-")</f>
        <v>-</v>
      </c>
      <c r="Q112" s="83" t="str">
        <f>IFERROR(VLOOKUP(N112,Database!$A$2:$L$175,9,FALSE),"-")</f>
        <v>-</v>
      </c>
      <c r="R112" s="98" t="str">
        <f>IF(AND(D112="Y",booking!P112&lt;&gt;booking!Q112,booking!Q112&gt;0),booking!Q112,"-")</f>
        <v>-</v>
      </c>
      <c r="S112" s="79" t="str">
        <f>IFERROR(VLOOKUP(R112,Database!$A$2:$L$175,8,FALSE),"-")</f>
        <v>-</v>
      </c>
      <c r="T112" s="79" t="str">
        <f>IFERROR(VLOOKUP(R112,Database!$A$2:$L$175,6,FALSE),"-")</f>
        <v>-</v>
      </c>
      <c r="U112" s="83" t="str">
        <f>IFERROR(VLOOKUP(R112,Database!$A$2:$L$175,9,FALSE),"-")</f>
        <v>-</v>
      </c>
      <c r="V112" s="97" t="str">
        <f>IF(AND(D112="Y",booking!T112&lt;&gt;booking!U112,booking!U112&gt;0),booking!U112,"-")</f>
        <v>-</v>
      </c>
      <c r="W112" s="80" t="str">
        <f>IFERROR(VLOOKUP(V112,Database!$A$2:$L$175,8,FALSE),"-")</f>
        <v>-</v>
      </c>
      <c r="X112" s="80" t="str">
        <f>IFERROR(VLOOKUP(V112,Database!$A$2:$L$175,6,FALSE),"-")</f>
        <v>-</v>
      </c>
      <c r="Y112" s="82" t="str">
        <f>IFERROR(VLOOKUP(V112,Database!$A$2:$L$175,9,FALSE),"-")</f>
        <v>-</v>
      </c>
    </row>
    <row r="113" spans="1:25" ht="15" customHeight="1" thickBot="1" x14ac:dyDescent="0.4">
      <c r="A113" s="89" t="str">
        <f>rengøring!A113</f>
        <v>søndag</v>
      </c>
      <c r="B113" s="87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79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97" t="str">
        <f>IF(AND(D113="Y",booking!L113&lt;&gt;booking!M113,booking!M113&gt;0),booking!M113,"-")</f>
        <v>-</v>
      </c>
      <c r="O113" s="79" t="str">
        <f>IFERROR(VLOOKUP(N113,Database!$A$2:$L$175,8,FALSE),"-")</f>
        <v>-</v>
      </c>
      <c r="P113" s="79" t="str">
        <f>IFERROR(VLOOKUP(N113,Database!$A$2:$L$175,6,FALSE),"-")</f>
        <v>-</v>
      </c>
      <c r="Q113" s="83" t="str">
        <f>IFERROR(VLOOKUP(N113,Database!$A$2:$L$175,9,FALSE),"-")</f>
        <v>-</v>
      </c>
      <c r="R113" s="98">
        <f>IF(AND(D113="Y",booking!P113&lt;&gt;booking!Q113,booking!Q113&gt;0),booking!Q113,"-")</f>
        <v>51</v>
      </c>
      <c r="S113" s="79">
        <f>IFERROR(VLOOKUP(R113,Database!$A$2:$L$175,8,FALSE),"-")</f>
        <v>0</v>
      </c>
      <c r="T113" s="79" t="str">
        <f>IFERROR(VLOOKUP(R113,Database!$A$2:$L$175,6,FALSE),"-")</f>
        <v>DK</v>
      </c>
      <c r="U113" s="83">
        <f>IFERROR(VLOOKUP(R113,Database!$A$2:$L$175,9,FALSE),"-")</f>
        <v>0</v>
      </c>
      <c r="V113" s="97" t="str">
        <f>IF(AND(D113="Y",booking!T113&lt;&gt;booking!U113,booking!U113&gt;0),booking!U113,"-")</f>
        <v>-</v>
      </c>
      <c r="W113" s="80" t="str">
        <f>IFERROR(VLOOKUP(V113,Database!$A$2:$L$175,8,FALSE),"-")</f>
        <v>-</v>
      </c>
      <c r="X113" s="80" t="str">
        <f>IFERROR(VLOOKUP(V113,Database!$A$2:$L$175,6,FALSE),"-")</f>
        <v>-</v>
      </c>
      <c r="Y113" s="82" t="str">
        <f>IFERROR(VLOOKUP(V113,Database!$A$2:$L$175,9,FALSE),"-")</f>
        <v>-</v>
      </c>
    </row>
    <row r="114" spans="1:25" ht="15" customHeight="1" thickBot="1" x14ac:dyDescent="0.4">
      <c r="A114" s="89" t="str">
        <f>rengøring!A114</f>
        <v>mandag</v>
      </c>
      <c r="B114" s="85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79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97">
        <f>IF(AND(D114="Y",booking!L114&lt;&gt;booking!M114,booking!M114&gt;0),booking!M114,"-")</f>
        <v>52</v>
      </c>
      <c r="O114" s="79">
        <f>IFERROR(VLOOKUP(N114,Database!$A$2:$L$175,8,FALSE),"-")</f>
        <v>0</v>
      </c>
      <c r="P114" s="79" t="str">
        <f>IFERROR(VLOOKUP(N114,Database!$A$2:$L$175,6,FALSE),"-")</f>
        <v>DK</v>
      </c>
      <c r="Q114" s="83">
        <f>IFERROR(VLOOKUP(N114,Database!$A$2:$L$175,9,FALSE),"-")</f>
        <v>0</v>
      </c>
      <c r="R114" s="98" t="str">
        <f>IF(AND(D114="Y",booking!P114&lt;&gt;booking!Q114,booking!Q114&gt;0),booking!Q114,"-")</f>
        <v>-</v>
      </c>
      <c r="S114" s="79" t="str">
        <f>IFERROR(VLOOKUP(R114,Database!$A$2:$L$175,8,FALSE),"-")</f>
        <v>-</v>
      </c>
      <c r="T114" s="79" t="str">
        <f>IFERROR(VLOOKUP(R114,Database!$A$2:$L$175,6,FALSE),"-")</f>
        <v>-</v>
      </c>
      <c r="U114" s="83" t="str">
        <f>IFERROR(VLOOKUP(R114,Database!$A$2:$L$175,9,FALSE),"-")</f>
        <v>-</v>
      </c>
      <c r="V114" s="97">
        <f>IF(AND(D114="Y",booking!T114&lt;&gt;booking!U114,booking!U114&gt;0),booking!U114,"-")</f>
        <v>21</v>
      </c>
      <c r="W114" s="80">
        <f>IFERROR(VLOOKUP(V114,Database!$A$2:$L$175,8,FALSE),"-")</f>
        <v>0</v>
      </c>
      <c r="X114" s="80" t="str">
        <f>IFERROR(VLOOKUP(V114,Database!$A$2:$L$175,6,FALSE),"-")</f>
        <v>S</v>
      </c>
      <c r="Y114" s="82">
        <f>IFERROR(VLOOKUP(V114,Database!$A$2:$L$175,9,FALSE),"-")</f>
        <v>0</v>
      </c>
    </row>
    <row r="115" spans="1:25" ht="15" customHeight="1" thickBot="1" x14ac:dyDescent="0.4">
      <c r="A115" s="89" t="str">
        <f>rengøring!A115</f>
        <v>tirsdag</v>
      </c>
      <c r="B115" s="87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79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97" t="str">
        <f>IF(AND(D115="Y",booking!L115&lt;&gt;booking!M115,booking!M115&gt;0),booking!M115,"-")</f>
        <v>-</v>
      </c>
      <c r="O115" s="79" t="str">
        <f>IFERROR(VLOOKUP(N115,Database!$A$2:$L$175,8,FALSE),"-")</f>
        <v>-</v>
      </c>
      <c r="P115" s="79" t="str">
        <f>IFERROR(VLOOKUP(N115,Database!$A$2:$L$175,6,FALSE),"-")</f>
        <v>-</v>
      </c>
      <c r="Q115" s="83" t="str">
        <f>IFERROR(VLOOKUP(N115,Database!$A$2:$L$175,9,FALSE),"-")</f>
        <v>-</v>
      </c>
      <c r="R115" s="98" t="str">
        <f>IF(AND(D115="Y",booking!P115&lt;&gt;booking!Q115,booking!Q115&gt;0),booking!Q115,"-")</f>
        <v>-</v>
      </c>
      <c r="S115" s="79" t="str">
        <f>IFERROR(VLOOKUP(R115,Database!$A$2:$L$175,8,FALSE),"-")</f>
        <v>-</v>
      </c>
      <c r="T115" s="79" t="str">
        <f>IFERROR(VLOOKUP(R115,Database!$A$2:$L$175,6,FALSE),"-")</f>
        <v>-</v>
      </c>
      <c r="U115" s="83" t="str">
        <f>IFERROR(VLOOKUP(R115,Database!$A$2:$L$175,9,FALSE),"-")</f>
        <v>-</v>
      </c>
      <c r="V115" s="97" t="str">
        <f>IF(AND(D115="Y",booking!T115&lt;&gt;booking!U115,booking!U115&gt;0),booking!U115,"-")</f>
        <v>-</v>
      </c>
      <c r="W115" s="80" t="str">
        <f>IFERROR(VLOOKUP(V115,Database!$A$2:$L$175,8,FALSE),"-")</f>
        <v>-</v>
      </c>
      <c r="X115" s="80" t="str">
        <f>IFERROR(VLOOKUP(V115,Database!$A$2:$L$175,6,FALSE),"-")</f>
        <v>-</v>
      </c>
      <c r="Y115" s="82" t="str">
        <f>IFERROR(VLOOKUP(V115,Database!$A$2:$L$175,9,FALSE),"-")</f>
        <v>-</v>
      </c>
    </row>
    <row r="116" spans="1:25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79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97" t="str">
        <f>IF(AND(D116="Y",booking!L116&lt;&gt;booking!M116,booking!M116&gt;0),booking!M116,"-")</f>
        <v>-</v>
      </c>
      <c r="O116" s="79" t="str">
        <f>IFERROR(VLOOKUP(N116,Database!$A$2:$L$175,8,FALSE),"-")</f>
        <v>-</v>
      </c>
      <c r="P116" s="79" t="str">
        <f>IFERROR(VLOOKUP(N116,Database!$A$2:$L$175,6,FALSE),"-")</f>
        <v>-</v>
      </c>
      <c r="Q116" s="83" t="str">
        <f>IFERROR(VLOOKUP(N116,Database!$A$2:$L$175,9,FALSE),"-")</f>
        <v>-</v>
      </c>
      <c r="R116" s="98" t="str">
        <f>IF(AND(D116="Y",booking!P116&lt;&gt;booking!Q116,booking!Q116&gt;0),booking!Q116,"-")</f>
        <v>-</v>
      </c>
      <c r="S116" s="79" t="str">
        <f>IFERROR(VLOOKUP(R116,Database!$A$2:$L$175,8,FALSE),"-")</f>
        <v>-</v>
      </c>
      <c r="T116" s="79" t="str">
        <f>IFERROR(VLOOKUP(R116,Database!$A$2:$L$175,6,FALSE),"-")</f>
        <v>-</v>
      </c>
      <c r="U116" s="83" t="str">
        <f>IFERROR(VLOOKUP(R116,Database!$A$2:$L$175,9,FALSE),"-")</f>
        <v>-</v>
      </c>
      <c r="V116" s="97" t="str">
        <f>IF(AND(D116="Y",booking!T116&lt;&gt;booking!U116,booking!U116&gt;0),booking!U116,"-")</f>
        <v>-</v>
      </c>
      <c r="W116" s="80" t="str">
        <f>IFERROR(VLOOKUP(V116,Database!$A$2:$L$175,8,FALSE),"-")</f>
        <v>-</v>
      </c>
      <c r="X116" s="80" t="str">
        <f>IFERROR(VLOOKUP(V116,Database!$A$2:$L$175,6,FALSE),"-")</f>
        <v>-</v>
      </c>
      <c r="Y116" s="82" t="str">
        <f>IFERROR(VLOOKUP(V116,Database!$A$2:$L$175,9,FALSE),"-")</f>
        <v>-</v>
      </c>
    </row>
    <row r="117" spans="1:25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79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97" t="str">
        <f>IF(AND(D117="Y",booking!L117&lt;&gt;booking!M117,booking!M117&gt;0),booking!M117,"-")</f>
        <v>-</v>
      </c>
      <c r="O117" s="79" t="str">
        <f>IFERROR(VLOOKUP(N117,Database!$A$2:$L$175,8,FALSE),"-")</f>
        <v>-</v>
      </c>
      <c r="P117" s="79" t="str">
        <f>IFERROR(VLOOKUP(N117,Database!$A$2:$L$175,6,FALSE),"-")</f>
        <v>-</v>
      </c>
      <c r="Q117" s="83" t="str">
        <f>IFERROR(VLOOKUP(N117,Database!$A$2:$L$175,9,FALSE),"-")</f>
        <v>-</v>
      </c>
      <c r="R117" s="98" t="str">
        <f>IF(AND(D117="Y",booking!P117&lt;&gt;booking!Q117,booking!Q117&gt;0),booking!Q117,"-")</f>
        <v>-</v>
      </c>
      <c r="S117" s="79" t="str">
        <f>IFERROR(VLOOKUP(R117,Database!$A$2:$L$175,8,FALSE),"-")</f>
        <v>-</v>
      </c>
      <c r="T117" s="79" t="str">
        <f>IFERROR(VLOOKUP(R117,Database!$A$2:$L$175,6,FALSE),"-")</f>
        <v>-</v>
      </c>
      <c r="U117" s="83" t="str">
        <f>IFERROR(VLOOKUP(R117,Database!$A$2:$L$175,9,FALSE),"-")</f>
        <v>-</v>
      </c>
      <c r="V117" s="97" t="str">
        <f>IF(AND(D117="Y",booking!T117&lt;&gt;booking!U117,booking!U117&gt;0),booking!U117,"-")</f>
        <v>-</v>
      </c>
      <c r="W117" s="80" t="str">
        <f>IFERROR(VLOOKUP(V117,Database!$A$2:$L$175,8,FALSE),"-")</f>
        <v>-</v>
      </c>
      <c r="X117" s="80" t="str">
        <f>IFERROR(VLOOKUP(V117,Database!$A$2:$L$175,6,FALSE),"-")</f>
        <v>-</v>
      </c>
      <c r="Y117" s="82" t="str">
        <f>IFERROR(VLOOKUP(V117,Database!$A$2:$L$175,9,FALSE),"-")</f>
        <v>-</v>
      </c>
    </row>
    <row r="118" spans="1:25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79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97">
        <f>IF(AND(D118="Y",booking!L118&lt;&gt;booking!M118,booking!M118&gt;0),booking!M118,"-")</f>
        <v>54</v>
      </c>
      <c r="O118" s="79">
        <f>IFERROR(VLOOKUP(N118,Database!$A$2:$L$175,8,FALSE),"-")</f>
        <v>0</v>
      </c>
      <c r="P118" s="79" t="str">
        <f>IFERROR(VLOOKUP(N118,Database!$A$2:$L$175,6,FALSE),"-")</f>
        <v>DK</v>
      </c>
      <c r="Q118" s="83">
        <f>IFERROR(VLOOKUP(N118,Database!$A$2:$L$175,9,FALSE),"-")</f>
        <v>0</v>
      </c>
      <c r="R118" s="98">
        <f>IF(AND(D118="Y",booking!P118&lt;&gt;booking!Q118,booking!Q118&gt;0),booking!Q118,"-")</f>
        <v>93</v>
      </c>
      <c r="S118" s="79" t="str">
        <f>IFERROR(VLOOKUP(R118,Database!$A$2:$L$175,8,FALSE),"-")</f>
        <v>1530</v>
      </c>
      <c r="T118" s="79" t="str">
        <f>IFERROR(VLOOKUP(R118,Database!$A$2:$L$175,6,FALSE),"-")</f>
        <v>D</v>
      </c>
      <c r="U118" s="83" t="str">
        <f>IFERROR(VLOOKUP(R118,Database!$A$2:$L$175,9,FALSE),"-")</f>
        <v>sing</v>
      </c>
      <c r="V118" s="97" t="str">
        <f>IF(AND(D118="Y",booking!T118&lt;&gt;booking!U118,booking!U118&gt;0),booking!U118,"-")</f>
        <v>-</v>
      </c>
      <c r="W118" s="80" t="str">
        <f>IFERROR(VLOOKUP(V118,Database!$A$2:$L$175,8,FALSE),"-")</f>
        <v>-</v>
      </c>
      <c r="X118" s="80" t="str">
        <f>IFERROR(VLOOKUP(V118,Database!$A$2:$L$175,6,FALSE),"-")</f>
        <v>-</v>
      </c>
      <c r="Y118" s="82" t="str">
        <f>IFERROR(VLOOKUP(V118,Database!$A$2:$L$175,9,FALSE),"-")</f>
        <v>-</v>
      </c>
    </row>
    <row r="119" spans="1:25" ht="15" customHeight="1" thickBot="1" x14ac:dyDescent="0.4">
      <c r="A119" s="89" t="str">
        <f>rengøring!A119</f>
        <v>lørdag</v>
      </c>
      <c r="B119" s="87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79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97" t="str">
        <f>IF(AND(D119="Y",booking!L119&lt;&gt;booking!M119,booking!M119&gt;0),booking!M119,"-")</f>
        <v>-</v>
      </c>
      <c r="O119" s="79" t="str">
        <f>IFERROR(VLOOKUP(N119,Database!$A$2:$L$175,8,FALSE),"-")</f>
        <v>-</v>
      </c>
      <c r="P119" s="79" t="str">
        <f>IFERROR(VLOOKUP(N119,Database!$A$2:$L$175,6,FALSE),"-")</f>
        <v>-</v>
      </c>
      <c r="Q119" s="83" t="str">
        <f>IFERROR(VLOOKUP(N119,Database!$A$2:$L$175,9,FALSE),"-")</f>
        <v>-</v>
      </c>
      <c r="R119" s="98" t="str">
        <f>IF(AND(D119="Y",booking!P119&lt;&gt;booking!Q119,booking!Q119&gt;0),booking!Q119,"-")</f>
        <v>-</v>
      </c>
      <c r="S119" s="79" t="str">
        <f>IFERROR(VLOOKUP(R119,Database!$A$2:$L$175,8,FALSE),"-")</f>
        <v>-</v>
      </c>
      <c r="T119" s="79" t="str">
        <f>IFERROR(VLOOKUP(R119,Database!$A$2:$L$175,6,FALSE),"-")</f>
        <v>-</v>
      </c>
      <c r="U119" s="83" t="str">
        <f>IFERROR(VLOOKUP(R119,Database!$A$2:$L$175,9,FALSE),"-")</f>
        <v>-</v>
      </c>
      <c r="V119" s="97">
        <f>IF(AND(D119="Y",booking!T119&lt;&gt;booking!U119,booking!U119&gt;0),booking!U119,"-")</f>
        <v>25</v>
      </c>
      <c r="W119" s="80">
        <f>IFERROR(VLOOKUP(V119,Database!$A$2:$L$175,8,FALSE),"-")</f>
        <v>0</v>
      </c>
      <c r="X119" s="80" t="str">
        <f>IFERROR(VLOOKUP(V119,Database!$A$2:$L$175,6,FALSE),"-")</f>
        <v>CH</v>
      </c>
      <c r="Y119" s="82" t="str">
        <f>IFERROR(VLOOKUP(V119,Database!$A$2:$L$175,9,FALSE),"-")</f>
        <v>sing</v>
      </c>
    </row>
    <row r="120" spans="1:25" ht="15" customHeight="1" thickBot="1" x14ac:dyDescent="0.4">
      <c r="A120" s="89" t="str">
        <f>rengøring!A120</f>
        <v>søndag</v>
      </c>
      <c r="B120" s="85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79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97" t="str">
        <f>IF(AND(D120="Y",booking!L120&lt;&gt;booking!M120,booking!M120&gt;0),booking!M120,"-")</f>
        <v>-</v>
      </c>
      <c r="O120" s="79" t="str">
        <f>IFERROR(VLOOKUP(N120,Database!$A$2:$L$175,8,FALSE),"-")</f>
        <v>-</v>
      </c>
      <c r="P120" s="79" t="str">
        <f>IFERROR(VLOOKUP(N120,Database!$A$2:$L$175,6,FALSE),"-")</f>
        <v>-</v>
      </c>
      <c r="Q120" s="83" t="str">
        <f>IFERROR(VLOOKUP(N120,Database!$A$2:$L$175,9,FALSE),"-")</f>
        <v>-</v>
      </c>
      <c r="R120" s="98" t="str">
        <f>IF(AND(D120="Y",booking!P120&lt;&gt;booking!Q120,booking!Q120&gt;0),booking!Q120,"-")</f>
        <v>-</v>
      </c>
      <c r="S120" s="79" t="str">
        <f>IFERROR(VLOOKUP(R120,Database!$A$2:$L$175,8,FALSE),"-")</f>
        <v>-</v>
      </c>
      <c r="T120" s="79" t="str">
        <f>IFERROR(VLOOKUP(R120,Database!$A$2:$L$175,6,FALSE),"-")</f>
        <v>-</v>
      </c>
      <c r="U120" s="83" t="str">
        <f>IFERROR(VLOOKUP(R120,Database!$A$2:$L$175,9,FALSE),"-")</f>
        <v>-</v>
      </c>
      <c r="V120" s="97" t="str">
        <f>IF(AND(D120="Y",booking!T120&lt;&gt;booking!U120,booking!U120&gt;0),booking!U120,"-")</f>
        <v>-</v>
      </c>
      <c r="W120" s="80" t="str">
        <f>IFERROR(VLOOKUP(V120,Database!$A$2:$L$175,8,FALSE),"-")</f>
        <v>-</v>
      </c>
      <c r="X120" s="80" t="str">
        <f>IFERROR(VLOOKUP(V120,Database!$A$2:$L$175,6,FALSE),"-")</f>
        <v>-</v>
      </c>
      <c r="Y120" s="82" t="str">
        <f>IFERROR(VLOOKUP(V120,Database!$A$2:$L$175,9,FALSE),"-")</f>
        <v>-</v>
      </c>
    </row>
    <row r="121" spans="1:25" ht="15" customHeight="1" thickBot="1" x14ac:dyDescent="0.4">
      <c r="A121" s="89" t="str">
        <f>rengøring!A121</f>
        <v>mandag</v>
      </c>
      <c r="B121" s="87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79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97">
        <f>IF(AND(D121="Y",booking!L121&lt;&gt;booking!M121,booking!M121&gt;0),booking!M121,"-")</f>
        <v>60</v>
      </c>
      <c r="O121" s="79">
        <f>IFERROR(VLOOKUP(N121,Database!$A$2:$L$175,8,FALSE),"-")</f>
        <v>0</v>
      </c>
      <c r="P121" s="79" t="str">
        <f>IFERROR(VLOOKUP(N121,Database!$A$2:$L$175,6,FALSE),"-")</f>
        <v>DK</v>
      </c>
      <c r="Q121" s="83">
        <f>IFERROR(VLOOKUP(N121,Database!$A$2:$L$175,9,FALSE),"-")</f>
        <v>0</v>
      </c>
      <c r="R121" s="98" t="str">
        <f>IF(AND(D121="Y",booking!P121&lt;&gt;booking!Q121,booking!Q121&gt;0),booking!Q121,"-")</f>
        <v>-</v>
      </c>
      <c r="S121" s="79" t="str">
        <f>IFERROR(VLOOKUP(R121,Database!$A$2:$L$175,8,FALSE),"-")</f>
        <v>-</v>
      </c>
      <c r="T121" s="79" t="str">
        <f>IFERROR(VLOOKUP(R121,Database!$A$2:$L$175,6,FALSE),"-")</f>
        <v>-</v>
      </c>
      <c r="U121" s="83" t="str">
        <f>IFERROR(VLOOKUP(R121,Database!$A$2:$L$175,9,FALSE),"-")</f>
        <v>-</v>
      </c>
      <c r="V121" s="97" t="str">
        <f>IF(AND(D121="Y",booking!T121&lt;&gt;booking!U121,booking!U121&gt;0),booking!U121,"-")</f>
        <v>-</v>
      </c>
      <c r="W121" s="80" t="str">
        <f>IFERROR(VLOOKUP(V121,Database!$A$2:$L$175,8,FALSE),"-")</f>
        <v>-</v>
      </c>
      <c r="X121" s="80" t="str">
        <f>IFERROR(VLOOKUP(V121,Database!$A$2:$L$175,6,FALSE),"-")</f>
        <v>-</v>
      </c>
      <c r="Y121" s="82" t="str">
        <f>IFERROR(VLOOKUP(V121,Database!$A$2:$L$175,9,FALSE),"-")</f>
        <v>-</v>
      </c>
    </row>
    <row r="122" spans="1:25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79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97" t="str">
        <f>IF(AND(D122="Y",booking!L122&lt;&gt;booking!M122,booking!M122&gt;0),booking!M122,"-")</f>
        <v>-</v>
      </c>
      <c r="O122" s="79" t="str">
        <f>IFERROR(VLOOKUP(N122,Database!$A$2:$L$175,8,FALSE),"-")</f>
        <v>-</v>
      </c>
      <c r="P122" s="79" t="str">
        <f>IFERROR(VLOOKUP(N122,Database!$A$2:$L$175,6,FALSE),"-")</f>
        <v>-</v>
      </c>
      <c r="Q122" s="83" t="str">
        <f>IFERROR(VLOOKUP(N122,Database!$A$2:$L$175,9,FALSE),"-")</f>
        <v>-</v>
      </c>
      <c r="R122" s="98" t="str">
        <f>IF(AND(D122="Y",booking!P122&lt;&gt;booking!Q122,booking!Q122&gt;0),booking!Q122,"-")</f>
        <v>-</v>
      </c>
      <c r="S122" s="79" t="str">
        <f>IFERROR(VLOOKUP(R122,Database!$A$2:$L$175,8,FALSE),"-")</f>
        <v>-</v>
      </c>
      <c r="T122" s="79" t="str">
        <f>IFERROR(VLOOKUP(R122,Database!$A$2:$L$175,6,FALSE),"-")</f>
        <v>-</v>
      </c>
      <c r="U122" s="83" t="str">
        <f>IFERROR(VLOOKUP(R122,Database!$A$2:$L$175,9,FALSE),"-")</f>
        <v>-</v>
      </c>
      <c r="V122" s="97" t="str">
        <f>IF(AND(D122="Y",booking!T122&lt;&gt;booking!U122,booking!U122&gt;0),booking!U122,"-")</f>
        <v>-</v>
      </c>
      <c r="W122" s="80" t="str">
        <f>IFERROR(VLOOKUP(V122,Database!$A$2:$L$175,8,FALSE),"-")</f>
        <v>-</v>
      </c>
      <c r="X122" s="80" t="str">
        <f>IFERROR(VLOOKUP(V122,Database!$A$2:$L$175,6,FALSE),"-")</f>
        <v>-</v>
      </c>
      <c r="Y122" s="82" t="str">
        <f>IFERROR(VLOOKUP(V122,Database!$A$2:$L$175,9,FALSE),"-")</f>
        <v>-</v>
      </c>
    </row>
    <row r="123" spans="1:25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79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3"/>
      <c r="J123" s="97" t="str">
        <f>IF(AND(D123="Y",booking!H123&lt;&gt;booking!I123,booking!I123&gt;0),booking!I123,"-")</f>
        <v>-</v>
      </c>
      <c r="K123" s="79" t="str">
        <f>IFERROR(VLOOKUP(J123,Database!$A$2:$L$175,8,FALSE),"-")</f>
        <v>-</v>
      </c>
      <c r="L123" s="79" t="str">
        <f>IFERROR(VLOOKUP(J123,Database!$A$2:$L$175,6,FALSE),"-")</f>
        <v>-</v>
      </c>
      <c r="M123" s="94" t="str">
        <f>IFERROR(VLOOKUP(J123,Database!$A$2:$L$175,9,FALSE),"-")</f>
        <v>-</v>
      </c>
      <c r="N123" s="97" t="str">
        <f>IF(AND(D123="Y",booking!L123&lt;&gt;booking!M123,booking!M123&gt;0),booking!M123,"-")</f>
        <v>-</v>
      </c>
      <c r="O123" s="79" t="str">
        <f>IFERROR(VLOOKUP(N123,Database!$A$2:$L$175,8,FALSE),"-")</f>
        <v>-</v>
      </c>
      <c r="P123" s="79" t="str">
        <f>IFERROR(VLOOKUP(N123,Database!$A$2:$L$175,6,FALSE),"-")</f>
        <v>-</v>
      </c>
      <c r="Q123" s="83" t="str">
        <f>IFERROR(VLOOKUP(N123,Database!$A$2:$L$175,9,FALSE),"-")</f>
        <v>-</v>
      </c>
      <c r="R123" s="98">
        <f>IF(AND(D123="Y",booking!P123&lt;&gt;booking!Q123,booking!Q123&gt;0),booking!Q123,"-")</f>
        <v>78</v>
      </c>
      <c r="S123" s="79">
        <f>IFERROR(VLOOKUP(R123,Database!$A$2:$L$175,8,FALSE),"-")</f>
        <v>0</v>
      </c>
      <c r="T123" s="79" t="str">
        <f>IFERROR(VLOOKUP(R123,Database!$A$2:$L$175,6,FALSE),"-")</f>
        <v>D</v>
      </c>
      <c r="U123" s="83">
        <f>IFERROR(VLOOKUP(R123,Database!$A$2:$L$175,9,FALSE),"-")</f>
        <v>0</v>
      </c>
      <c r="V123" s="97" t="str">
        <f>IF(AND(D123="Y",booking!T123&lt;&gt;booking!U123,booking!U123&gt;0),booking!U123,"-")</f>
        <v>-</v>
      </c>
      <c r="W123" s="80" t="str">
        <f>IFERROR(VLOOKUP(V123,Database!$A$2:$L$175,8,FALSE),"-")</f>
        <v>-</v>
      </c>
      <c r="X123" s="80" t="str">
        <f>IFERROR(VLOOKUP(V123,Database!$A$2:$L$175,6,FALSE),"-")</f>
        <v>-</v>
      </c>
      <c r="Y123" s="82" t="str">
        <f>IFERROR(VLOOKUP(V123,Database!$A$2:$L$175,9,FALSE),"-")</f>
        <v>-</v>
      </c>
    </row>
    <row r="124" spans="1:25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79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97" t="str">
        <f>IF(AND(D124="Y",booking!L124&lt;&gt;booking!M124,booking!M124&gt;0),booking!M124,"-")</f>
        <v>-</v>
      </c>
      <c r="O124" s="79" t="str">
        <f>IFERROR(VLOOKUP(N124,Database!$A$2:$L$175,8,FALSE),"-")</f>
        <v>-</v>
      </c>
      <c r="P124" s="79" t="str">
        <f>IFERROR(VLOOKUP(N124,Database!$A$2:$L$175,6,FALSE),"-")</f>
        <v>-</v>
      </c>
      <c r="Q124" s="83" t="str">
        <f>IFERROR(VLOOKUP(N124,Database!$A$2:$L$175,9,FALSE),"-")</f>
        <v>-</v>
      </c>
      <c r="R124" s="98" t="str">
        <f>IF(AND(D124="Y",booking!P124&lt;&gt;booking!Q124,booking!Q124&gt;0),booking!Q124,"-")</f>
        <v>-</v>
      </c>
      <c r="S124" s="79" t="str">
        <f>IFERROR(VLOOKUP(R124,Database!$A$2:$L$175,8,FALSE),"-")</f>
        <v>-</v>
      </c>
      <c r="T124" s="79" t="str">
        <f>IFERROR(VLOOKUP(R124,Database!$A$2:$L$175,6,FALSE),"-")</f>
        <v>-</v>
      </c>
      <c r="U124" s="83" t="str">
        <f>IFERROR(VLOOKUP(R124,Database!$A$2:$L$175,9,FALSE),"-")</f>
        <v>-</v>
      </c>
      <c r="V124" s="97">
        <f>IF(AND(D124="Y",booking!T124&lt;&gt;booking!U124,booking!U124&gt;0),booking!U124,"-")</f>
        <v>35</v>
      </c>
      <c r="W124" s="80">
        <f>IFERROR(VLOOKUP(V124,Database!$A$2:$L$175,8,FALSE),"-")</f>
        <v>0</v>
      </c>
      <c r="X124" s="80" t="str">
        <f>IFERROR(VLOOKUP(V124,Database!$A$2:$L$175,6,FALSE),"-")</f>
        <v>S</v>
      </c>
      <c r="Y124" s="82">
        <f>IFERROR(VLOOKUP(V124,Database!$A$2:$L$175,9,FALSE),"-")</f>
        <v>0</v>
      </c>
    </row>
    <row r="125" spans="1:25" ht="15" customHeight="1" thickBot="1" x14ac:dyDescent="0.4">
      <c r="A125" s="89" t="str">
        <f>rengøring!A125</f>
        <v>fredag</v>
      </c>
      <c r="B125" s="87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79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97" t="str">
        <f>IF(AND(D125="Y",booking!L125&lt;&gt;booking!M125,booking!M125&gt;0),booking!M125,"-")</f>
        <v>-</v>
      </c>
      <c r="O125" s="79" t="str">
        <f>IFERROR(VLOOKUP(N125,Database!$A$2:$L$175,8,FALSE),"-")</f>
        <v>-</v>
      </c>
      <c r="P125" s="79" t="str">
        <f>IFERROR(VLOOKUP(N125,Database!$A$2:$L$175,6,FALSE),"-")</f>
        <v>-</v>
      </c>
      <c r="Q125" s="83" t="str">
        <f>IFERROR(VLOOKUP(N125,Database!$A$2:$L$175,9,FALSE),"-")</f>
        <v>-</v>
      </c>
      <c r="R125" s="98" t="str">
        <f>IF(AND(D125="Y",booking!P125&lt;&gt;booking!Q125,booking!Q125&gt;0),booking!Q125,"-")</f>
        <v>-</v>
      </c>
      <c r="S125" s="79" t="str">
        <f>IFERROR(VLOOKUP(R125,Database!$A$2:$L$175,8,FALSE),"-")</f>
        <v>-</v>
      </c>
      <c r="T125" s="79" t="str">
        <f>IFERROR(VLOOKUP(R125,Database!$A$2:$L$175,6,FALSE),"-")</f>
        <v>-</v>
      </c>
      <c r="U125" s="83" t="str">
        <f>IFERROR(VLOOKUP(R125,Database!$A$2:$L$175,9,FALSE),"-")</f>
        <v>-</v>
      </c>
      <c r="V125" s="97" t="str">
        <f>IF(AND(D125="Y",booking!T125&lt;&gt;booking!U125,booking!U125&gt;0),booking!U125,"-")</f>
        <v>-</v>
      </c>
      <c r="W125" s="80" t="str">
        <f>IFERROR(VLOOKUP(V125,Database!$A$2:$L$175,8,FALSE),"-")</f>
        <v>-</v>
      </c>
      <c r="X125" s="80" t="str">
        <f>IFERROR(VLOOKUP(V125,Database!$A$2:$L$175,6,FALSE),"-")</f>
        <v>-</v>
      </c>
      <c r="Y125" s="82" t="str">
        <f>IFERROR(VLOOKUP(V125,Database!$A$2:$L$175,9,FALSE),"-")</f>
        <v>-</v>
      </c>
    </row>
    <row r="126" spans="1:25" ht="15" customHeight="1" thickBot="1" x14ac:dyDescent="0.4">
      <c r="A126" s="89" t="str">
        <f>rengøring!A126</f>
        <v>lørdag</v>
      </c>
      <c r="B126" s="85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79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97" t="str">
        <f>IF(AND(D126="Y",booking!L126&lt;&gt;booking!M126,booking!M126&gt;0),booking!M126,"-")</f>
        <v>-</v>
      </c>
      <c r="O126" s="79" t="str">
        <f>IFERROR(VLOOKUP(N126,Database!$A$2:$L$175,8,FALSE),"-")</f>
        <v>-</v>
      </c>
      <c r="P126" s="79" t="str">
        <f>IFERROR(VLOOKUP(N126,Database!$A$2:$L$175,6,FALSE),"-")</f>
        <v>-</v>
      </c>
      <c r="Q126" s="83" t="str">
        <f>IFERROR(VLOOKUP(N126,Database!$A$2:$L$175,9,FALSE),"-")</f>
        <v>-</v>
      </c>
      <c r="R126" s="98" t="str">
        <f>IF(AND(D126="Y",booking!P126&lt;&gt;booking!Q126,booking!Q126&gt;0),booking!Q126,"-")</f>
        <v>-</v>
      </c>
      <c r="S126" s="79" t="str">
        <f>IFERROR(VLOOKUP(R126,Database!$A$2:$L$175,8,FALSE),"-")</f>
        <v>-</v>
      </c>
      <c r="T126" s="79" t="str">
        <f>IFERROR(VLOOKUP(R126,Database!$A$2:$L$175,6,FALSE),"-")</f>
        <v>-</v>
      </c>
      <c r="U126" s="83" t="str">
        <f>IFERROR(VLOOKUP(R126,Database!$A$2:$L$175,9,FALSE),"-")</f>
        <v>-</v>
      </c>
      <c r="V126" s="97" t="str">
        <f>IF(AND(D126="Y",booking!T126&lt;&gt;booking!U126,booking!U126&gt;0),booking!U126,"-")</f>
        <v>-</v>
      </c>
      <c r="W126" s="80" t="str">
        <f>IFERROR(VLOOKUP(V126,Database!$A$2:$L$175,8,FALSE),"-")</f>
        <v>-</v>
      </c>
      <c r="X126" s="80" t="str">
        <f>IFERROR(VLOOKUP(V126,Database!$A$2:$L$175,6,FALSE),"-")</f>
        <v>-</v>
      </c>
      <c r="Y126" s="82" t="str">
        <f>IFERROR(VLOOKUP(V126,Database!$A$2:$L$175,9,FALSE),"-")</f>
        <v>-</v>
      </c>
    </row>
    <row r="127" spans="1:25" ht="15" customHeight="1" thickBot="1" x14ac:dyDescent="0.4">
      <c r="A127" s="89" t="str">
        <f>rengøring!A127</f>
        <v>søndag</v>
      </c>
      <c r="B127" s="87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79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97" t="str">
        <f>IF(AND(D127="Y",booking!L127&lt;&gt;booking!M127,booking!M127&gt;0),booking!M127,"-")</f>
        <v>-</v>
      </c>
      <c r="O127" s="79" t="str">
        <f>IFERROR(VLOOKUP(N127,Database!$A$2:$L$175,8,FALSE),"-")</f>
        <v>-</v>
      </c>
      <c r="P127" s="79" t="str">
        <f>IFERROR(VLOOKUP(N127,Database!$A$2:$L$175,6,FALSE),"-")</f>
        <v>-</v>
      </c>
      <c r="Q127" s="83" t="str">
        <f>IFERROR(VLOOKUP(N127,Database!$A$2:$L$175,9,FALSE),"-")</f>
        <v>-</v>
      </c>
      <c r="R127" s="98" t="str">
        <f>IF(AND(D127="Y",booking!P127&lt;&gt;booking!Q127,booking!Q127&gt;0),booking!Q127,"-")</f>
        <v>-</v>
      </c>
      <c r="S127" s="79" t="str">
        <f>IFERROR(VLOOKUP(R127,Database!$A$2:$L$175,8,FALSE),"-")</f>
        <v>-</v>
      </c>
      <c r="T127" s="79" t="str">
        <f>IFERROR(VLOOKUP(R127,Database!$A$2:$L$175,6,FALSE),"-")</f>
        <v>-</v>
      </c>
      <c r="U127" s="83" t="str">
        <f>IFERROR(VLOOKUP(R127,Database!$A$2:$L$175,9,FALSE),"-")</f>
        <v>-</v>
      </c>
      <c r="V127" s="97" t="str">
        <f>IF(AND(D127="Y",booking!T127&lt;&gt;booking!U127,booking!U127&gt;0),booking!U127,"-")</f>
        <v>-</v>
      </c>
      <c r="W127" s="80" t="str">
        <f>IFERROR(VLOOKUP(V127,Database!$A$2:$L$175,8,FALSE),"-")</f>
        <v>-</v>
      </c>
      <c r="X127" s="80" t="str">
        <f>IFERROR(VLOOKUP(V127,Database!$A$2:$L$175,6,FALSE),"-")</f>
        <v>-</v>
      </c>
      <c r="Y127" s="82" t="str">
        <f>IFERROR(VLOOKUP(V127,Database!$A$2:$L$175,9,FALSE),"-")</f>
        <v>-</v>
      </c>
    </row>
    <row r="128" spans="1:25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79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97" t="str">
        <f>IF(AND(D128="Y",booking!L128&lt;&gt;booking!M128,booking!M128&gt;0),booking!M128,"-")</f>
        <v>-</v>
      </c>
      <c r="O128" s="79" t="str">
        <f>IFERROR(VLOOKUP(N128,Database!$A$2:$L$175,8,FALSE),"-")</f>
        <v>-</v>
      </c>
      <c r="P128" s="79" t="str">
        <f>IFERROR(VLOOKUP(N128,Database!$A$2:$L$175,6,FALSE),"-")</f>
        <v>-</v>
      </c>
      <c r="Q128" s="83" t="str">
        <f>IFERROR(VLOOKUP(N128,Database!$A$2:$L$175,9,FALSE),"-")</f>
        <v>-</v>
      </c>
      <c r="R128" s="98" t="str">
        <f>IF(AND(D128="Y",booking!P128&lt;&gt;booking!Q128,booking!Q128&gt;0),booking!Q128,"-")</f>
        <v>-</v>
      </c>
      <c r="S128" s="79" t="str">
        <f>IFERROR(VLOOKUP(R128,Database!$A$2:$L$175,8,FALSE),"-")</f>
        <v>-</v>
      </c>
      <c r="T128" s="79" t="str">
        <f>IFERROR(VLOOKUP(R128,Database!$A$2:$L$175,6,FALSE),"-")</f>
        <v>-</v>
      </c>
      <c r="U128" s="83" t="str">
        <f>IFERROR(VLOOKUP(R128,Database!$A$2:$L$175,9,FALSE),"-")</f>
        <v>-</v>
      </c>
      <c r="V128" s="97" t="str">
        <f>IF(AND(D128="Y",booking!T128&lt;&gt;booking!U128,booking!U128&gt;0),booking!U128,"-")</f>
        <v>-</v>
      </c>
      <c r="W128" s="80" t="str">
        <f>IFERROR(VLOOKUP(V128,Database!$A$2:$L$175,8,FALSE),"-")</f>
        <v>-</v>
      </c>
      <c r="X128" s="80" t="str">
        <f>IFERROR(VLOOKUP(V128,Database!$A$2:$L$175,6,FALSE),"-")</f>
        <v>-</v>
      </c>
      <c r="Y128" s="82" t="str">
        <f>IFERROR(VLOOKUP(V128,Database!$A$2:$L$175,9,FALSE),"-")</f>
        <v>-</v>
      </c>
    </row>
    <row r="129" spans="1:25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79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97" t="str">
        <f>IF(AND(D129="Y",booking!L129&lt;&gt;booking!M129,booking!M129&gt;0),booking!M129,"-")</f>
        <v>-</v>
      </c>
      <c r="O129" s="79" t="str">
        <f>IFERROR(VLOOKUP(N129,Database!$A$2:$L$175,8,FALSE),"-")</f>
        <v>-</v>
      </c>
      <c r="P129" s="79" t="str">
        <f>IFERROR(VLOOKUP(N129,Database!$A$2:$L$175,6,FALSE),"-")</f>
        <v>-</v>
      </c>
      <c r="Q129" s="83" t="str">
        <f>IFERROR(VLOOKUP(N129,Database!$A$2:$L$175,9,FALSE),"-")</f>
        <v>-</v>
      </c>
      <c r="R129" s="98" t="str">
        <f>IF(AND(D129="Y",booking!P129&lt;&gt;booking!Q129,booking!Q129&gt;0),booking!Q129,"-")</f>
        <v>-</v>
      </c>
      <c r="S129" s="79" t="str">
        <f>IFERROR(VLOOKUP(R129,Database!$A$2:$L$175,8,FALSE),"-")</f>
        <v>-</v>
      </c>
      <c r="T129" s="79" t="str">
        <f>IFERROR(VLOOKUP(R129,Database!$A$2:$L$175,6,FALSE),"-")</f>
        <v>-</v>
      </c>
      <c r="U129" s="83" t="str">
        <f>IFERROR(VLOOKUP(R129,Database!$A$2:$L$175,9,FALSE),"-")</f>
        <v>-</v>
      </c>
      <c r="V129" s="97" t="str">
        <f>IF(AND(D129="Y",booking!T129&lt;&gt;booking!U129,booking!U129&gt;0),booking!U129,"-")</f>
        <v>-</v>
      </c>
      <c r="W129" s="80" t="str">
        <f>IFERROR(VLOOKUP(V129,Database!$A$2:$L$175,8,FALSE),"-")</f>
        <v>-</v>
      </c>
      <c r="X129" s="80" t="str">
        <f>IFERROR(VLOOKUP(V129,Database!$A$2:$L$175,6,FALSE),"-")</f>
        <v>-</v>
      </c>
      <c r="Y129" s="82" t="str">
        <f>IFERROR(VLOOKUP(V129,Database!$A$2:$L$175,9,FALSE),"-")</f>
        <v>-</v>
      </c>
    </row>
    <row r="130" spans="1:25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79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97" t="str">
        <f>IF(AND(D130="Y",booking!L130&lt;&gt;booking!M130,booking!M130&gt;0),booking!M130,"-")</f>
        <v>-</v>
      </c>
      <c r="O130" s="79" t="str">
        <f>IFERROR(VLOOKUP(N130,Database!$A$2:$L$175,8,FALSE),"-")</f>
        <v>-</v>
      </c>
      <c r="P130" s="79" t="str">
        <f>IFERROR(VLOOKUP(N130,Database!$A$2:$L$175,6,FALSE),"-")</f>
        <v>-</v>
      </c>
      <c r="Q130" s="83" t="str">
        <f>IFERROR(VLOOKUP(N130,Database!$A$2:$L$175,9,FALSE),"-")</f>
        <v>-</v>
      </c>
      <c r="R130" s="98" t="str">
        <f>IF(AND(D130="Y",booking!P130&lt;&gt;booking!Q130,booking!Q130&gt;0),booking!Q130,"-")</f>
        <v>-</v>
      </c>
      <c r="S130" s="79" t="str">
        <f>IFERROR(VLOOKUP(R130,Database!$A$2:$L$175,8,FALSE),"-")</f>
        <v>-</v>
      </c>
      <c r="T130" s="79" t="str">
        <f>IFERROR(VLOOKUP(R130,Database!$A$2:$L$175,6,FALSE),"-")</f>
        <v>-</v>
      </c>
      <c r="U130" s="83" t="str">
        <f>IFERROR(VLOOKUP(R130,Database!$A$2:$L$175,9,FALSE),"-")</f>
        <v>-</v>
      </c>
      <c r="V130" s="97" t="str">
        <f>IF(AND(D130="Y",booking!T130&lt;&gt;booking!U130,booking!U130&gt;0),booking!U130,"-")</f>
        <v>-</v>
      </c>
      <c r="W130" s="80" t="str">
        <f>IFERROR(VLOOKUP(V130,Database!$A$2:$L$175,8,FALSE),"-")</f>
        <v>-</v>
      </c>
      <c r="X130" s="80" t="str">
        <f>IFERROR(VLOOKUP(V130,Database!$A$2:$L$175,6,FALSE),"-")</f>
        <v>-</v>
      </c>
      <c r="Y130" s="82" t="str">
        <f>IFERROR(VLOOKUP(V130,Database!$A$2:$L$175,9,FALSE),"-")</f>
        <v>-</v>
      </c>
    </row>
    <row r="131" spans="1:25" ht="15" customHeight="1" thickBot="1" x14ac:dyDescent="0.4">
      <c r="A131" s="89" t="str">
        <f>rengøring!A131</f>
        <v>torsdag</v>
      </c>
      <c r="B131" s="87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79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97" t="str">
        <f>IF(AND(D131="Y",booking!L131&lt;&gt;booking!M131,booking!M131&gt;0),booking!M131,"-")</f>
        <v>-</v>
      </c>
      <c r="O131" s="79" t="str">
        <f>IFERROR(VLOOKUP(N131,Database!$A$2:$L$175,8,FALSE),"-")</f>
        <v>-</v>
      </c>
      <c r="P131" s="79" t="str">
        <f>IFERROR(VLOOKUP(N131,Database!$A$2:$L$175,6,FALSE),"-")</f>
        <v>-</v>
      </c>
      <c r="Q131" s="83" t="str">
        <f>IFERROR(VLOOKUP(N131,Database!$A$2:$L$175,9,FALSE),"-")</f>
        <v>-</v>
      </c>
      <c r="R131" s="98" t="str">
        <f>IF(AND(D131="Y",booking!P131&lt;&gt;booking!Q131,booking!Q131&gt;0),booking!Q131,"-")</f>
        <v>-</v>
      </c>
      <c r="S131" s="79" t="str">
        <f>IFERROR(VLOOKUP(R131,Database!$A$2:$L$175,8,FALSE),"-")</f>
        <v>-</v>
      </c>
      <c r="T131" s="79" t="str">
        <f>IFERROR(VLOOKUP(R131,Database!$A$2:$L$175,6,FALSE),"-")</f>
        <v>-</v>
      </c>
      <c r="U131" s="83" t="str">
        <f>IFERROR(VLOOKUP(R131,Database!$A$2:$L$175,9,FALSE),"-")</f>
        <v>-</v>
      </c>
      <c r="V131" s="97" t="str">
        <f>IF(AND(D131="Y",booking!T131&lt;&gt;booking!U131,booking!U131&gt;0),booking!U131,"-")</f>
        <v>-</v>
      </c>
      <c r="W131" s="80" t="str">
        <f>IFERROR(VLOOKUP(V131,Database!$A$2:$L$175,8,FALSE),"-")</f>
        <v>-</v>
      </c>
      <c r="X131" s="80" t="str">
        <f>IFERROR(VLOOKUP(V131,Database!$A$2:$L$175,6,FALSE),"-")</f>
        <v>-</v>
      </c>
      <c r="Y131" s="82" t="str">
        <f>IFERROR(VLOOKUP(V131,Database!$A$2:$L$175,9,FALSE),"-")</f>
        <v>-</v>
      </c>
    </row>
    <row r="132" spans="1:25" ht="15" customHeight="1" thickBot="1" x14ac:dyDescent="0.4">
      <c r="A132" s="89" t="str">
        <f>rengøring!A132</f>
        <v>fredag</v>
      </c>
      <c r="B132" s="85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79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97" t="str">
        <f>IF(AND(D132="Y",booking!L132&lt;&gt;booking!M132,booking!M132&gt;0),booking!M132,"-")</f>
        <v>-</v>
      </c>
      <c r="O132" s="79" t="str">
        <f>IFERROR(VLOOKUP(N132,Database!$A$2:$L$175,8,FALSE),"-")</f>
        <v>-</v>
      </c>
      <c r="P132" s="79" t="str">
        <f>IFERROR(VLOOKUP(N132,Database!$A$2:$L$175,6,FALSE),"-")</f>
        <v>-</v>
      </c>
      <c r="Q132" s="83" t="str">
        <f>IFERROR(VLOOKUP(N132,Database!$A$2:$L$175,9,FALSE),"-")</f>
        <v>-</v>
      </c>
      <c r="R132" s="98" t="str">
        <f>IF(AND(D132="Y",booking!P132&lt;&gt;booking!Q132,booking!Q132&gt;0),booking!Q132,"-")</f>
        <v>-</v>
      </c>
      <c r="S132" s="79" t="str">
        <f>IFERROR(VLOOKUP(R132,Database!$A$2:$L$175,8,FALSE),"-")</f>
        <v>-</v>
      </c>
      <c r="T132" s="79" t="str">
        <f>IFERROR(VLOOKUP(R132,Database!$A$2:$L$175,6,FALSE),"-")</f>
        <v>-</v>
      </c>
      <c r="U132" s="83" t="str">
        <f>IFERROR(VLOOKUP(R132,Database!$A$2:$L$175,9,FALSE),"-")</f>
        <v>-</v>
      </c>
      <c r="V132" s="97" t="str">
        <f>IF(AND(D132="Y",booking!T132&lt;&gt;booking!U132,booking!U132&gt;0),booking!U132,"-")</f>
        <v>-</v>
      </c>
      <c r="W132" s="80" t="str">
        <f>IFERROR(VLOOKUP(V132,Database!$A$2:$L$175,8,FALSE),"-")</f>
        <v>-</v>
      </c>
      <c r="X132" s="80" t="str">
        <f>IFERROR(VLOOKUP(V132,Database!$A$2:$L$175,6,FALSE),"-")</f>
        <v>-</v>
      </c>
      <c r="Y132" s="82" t="str">
        <f>IFERROR(VLOOKUP(V132,Database!$A$2:$L$175,9,FALSE),"-")</f>
        <v>-</v>
      </c>
    </row>
    <row r="133" spans="1:25" ht="15" customHeight="1" thickBot="1" x14ac:dyDescent="0.4">
      <c r="A133" s="89" t="str">
        <f>rengøring!A133</f>
        <v>lørdag</v>
      </c>
      <c r="B133" s="87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79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97" t="str">
        <f>IF(AND(D133="Y",booking!L133&lt;&gt;booking!M133,booking!M133&gt;0),booking!M133,"-")</f>
        <v>-</v>
      </c>
      <c r="O133" s="79" t="str">
        <f>IFERROR(VLOOKUP(N133,Database!$A$2:$L$175,8,FALSE),"-")</f>
        <v>-</v>
      </c>
      <c r="P133" s="79" t="str">
        <f>IFERROR(VLOOKUP(N133,Database!$A$2:$L$175,6,FALSE),"-")</f>
        <v>-</v>
      </c>
      <c r="Q133" s="83" t="str">
        <f>IFERROR(VLOOKUP(N133,Database!$A$2:$L$175,9,FALSE),"-")</f>
        <v>-</v>
      </c>
      <c r="R133" s="98" t="str">
        <f>IF(AND(D133="Y",booking!P133&lt;&gt;booking!Q133,booking!Q133&gt;0),booking!Q133,"-")</f>
        <v>-</v>
      </c>
      <c r="S133" s="79" t="str">
        <f>IFERROR(VLOOKUP(R133,Database!$A$2:$L$175,8,FALSE),"-")</f>
        <v>-</v>
      </c>
      <c r="T133" s="79" t="str">
        <f>IFERROR(VLOOKUP(R133,Database!$A$2:$L$175,6,FALSE),"-")</f>
        <v>-</v>
      </c>
      <c r="U133" s="83" t="str">
        <f>IFERROR(VLOOKUP(R133,Database!$A$2:$L$175,9,FALSE),"-")</f>
        <v>-</v>
      </c>
      <c r="V133" s="97" t="str">
        <f>IF(AND(D133="Y",booking!T133&lt;&gt;booking!U133,booking!U133&gt;0),booking!U133,"-")</f>
        <v>-</v>
      </c>
      <c r="W133" s="80" t="str">
        <f>IFERROR(VLOOKUP(V133,Database!$A$2:$L$175,8,FALSE),"-")</f>
        <v>-</v>
      </c>
      <c r="X133" s="80" t="str">
        <f>IFERROR(VLOOKUP(V133,Database!$A$2:$L$175,6,FALSE),"-")</f>
        <v>-</v>
      </c>
      <c r="Y133" s="82" t="str">
        <f>IFERROR(VLOOKUP(V133,Database!$A$2:$L$175,9,FALSE),"-")</f>
        <v>-</v>
      </c>
    </row>
    <row r="134" spans="1:25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79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97" t="str">
        <f>IF(AND(D134="Y",booking!L134&lt;&gt;booking!M134,booking!M134&gt;0),booking!M134,"-")</f>
        <v>-</v>
      </c>
      <c r="O134" s="79" t="str">
        <f>IFERROR(VLOOKUP(N134,Database!$A$2:$L$175,8,FALSE),"-")</f>
        <v>-</v>
      </c>
      <c r="P134" s="79" t="str">
        <f>IFERROR(VLOOKUP(N134,Database!$A$2:$L$175,6,FALSE),"-")</f>
        <v>-</v>
      </c>
      <c r="Q134" s="83" t="str">
        <f>IFERROR(VLOOKUP(N134,Database!$A$2:$L$175,9,FALSE),"-")</f>
        <v>-</v>
      </c>
      <c r="R134" s="98" t="str">
        <f>IF(AND(D134="Y",booking!P134&lt;&gt;booking!Q134,booking!Q134&gt;0),booking!Q134,"-")</f>
        <v>-</v>
      </c>
      <c r="S134" s="79" t="str">
        <f>IFERROR(VLOOKUP(R134,Database!$A$2:$L$175,8,FALSE),"-")</f>
        <v>-</v>
      </c>
      <c r="T134" s="79" t="str">
        <f>IFERROR(VLOOKUP(R134,Database!$A$2:$L$175,6,FALSE),"-")</f>
        <v>-</v>
      </c>
      <c r="U134" s="83" t="str">
        <f>IFERROR(VLOOKUP(R134,Database!$A$2:$L$175,9,FALSE),"-")</f>
        <v>-</v>
      </c>
      <c r="V134" s="97">
        <f>IF(AND(D134="Y",booking!T134&lt;&gt;booking!U134,booking!U134&gt;0),booking!U134,"-")</f>
        <v>22</v>
      </c>
      <c r="W134" s="80">
        <f>IFERROR(VLOOKUP(V134,Database!$A$2:$L$175,8,FALSE),"-")</f>
        <v>0</v>
      </c>
      <c r="X134" s="80" t="str">
        <f>IFERROR(VLOOKUP(V134,Database!$A$2:$L$175,6,FALSE),"-")</f>
        <v>D</v>
      </c>
      <c r="Y134" s="82">
        <f>IFERROR(VLOOKUP(V134,Database!$A$2:$L$175,9,FALSE),"-")</f>
        <v>0</v>
      </c>
    </row>
    <row r="135" spans="1:25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79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97" t="str">
        <f>IF(AND(D135="Y",booking!L135&lt;&gt;booking!M135,booking!M135&gt;0),booking!M135,"-")</f>
        <v>-</v>
      </c>
      <c r="O135" s="79" t="str">
        <f>IFERROR(VLOOKUP(N135,Database!$A$2:$L$175,8,FALSE),"-")</f>
        <v>-</v>
      </c>
      <c r="P135" s="79" t="str">
        <f>IFERROR(VLOOKUP(N135,Database!$A$2:$L$175,6,FALSE),"-")</f>
        <v>-</v>
      </c>
      <c r="Q135" s="83" t="str">
        <f>IFERROR(VLOOKUP(N135,Database!$A$2:$L$175,9,FALSE),"-")</f>
        <v>-</v>
      </c>
      <c r="R135" s="98" t="str">
        <f>IF(AND(D135="Y",booking!P135&lt;&gt;booking!Q135,booking!Q135&gt;0),booking!Q135,"-")</f>
        <v>-</v>
      </c>
      <c r="S135" s="79" t="str">
        <f>IFERROR(VLOOKUP(R135,Database!$A$2:$L$175,8,FALSE),"-")</f>
        <v>-</v>
      </c>
      <c r="T135" s="79" t="str">
        <f>IFERROR(VLOOKUP(R135,Database!$A$2:$L$175,6,FALSE),"-")</f>
        <v>-</v>
      </c>
      <c r="U135" s="83" t="str">
        <f>IFERROR(VLOOKUP(R135,Database!$A$2:$L$175,9,FALSE),"-")</f>
        <v>-</v>
      </c>
      <c r="V135" s="97" t="str">
        <f>IF(AND(D135="Y",booking!T135&lt;&gt;booking!U135,booking!U135&gt;0),booking!U135,"-")</f>
        <v>-</v>
      </c>
      <c r="W135" s="80" t="str">
        <f>IFERROR(VLOOKUP(V135,Database!$A$2:$L$175,8,FALSE),"-")</f>
        <v>-</v>
      </c>
      <c r="X135" s="80" t="str">
        <f>IFERROR(VLOOKUP(V135,Database!$A$2:$L$175,6,FALSE),"-")</f>
        <v>-</v>
      </c>
      <c r="Y135" s="82" t="str">
        <f>IFERROR(VLOOKUP(V135,Database!$A$2:$L$175,9,FALSE),"-")</f>
        <v>-</v>
      </c>
    </row>
    <row r="136" spans="1:25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79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97" t="str">
        <f>IF(AND(D136="Y",booking!L136&lt;&gt;booking!M136,booking!M136&gt;0),booking!M136,"-")</f>
        <v>-</v>
      </c>
      <c r="O136" s="79" t="str">
        <f>IFERROR(VLOOKUP(N136,Database!$A$2:$L$175,8,FALSE),"-")</f>
        <v>-</v>
      </c>
      <c r="P136" s="79" t="str">
        <f>IFERROR(VLOOKUP(N136,Database!$A$2:$L$175,6,FALSE),"-")</f>
        <v>-</v>
      </c>
      <c r="Q136" s="83" t="str">
        <f>IFERROR(VLOOKUP(N136,Database!$A$2:$L$175,9,FALSE),"-")</f>
        <v>-</v>
      </c>
      <c r="R136" s="98" t="str">
        <f>IF(AND(D136="Y",booking!P136&lt;&gt;booking!Q136,booking!Q136&gt;0),booking!Q136,"-")</f>
        <v>-</v>
      </c>
      <c r="S136" s="79" t="str">
        <f>IFERROR(VLOOKUP(R136,Database!$A$2:$L$175,8,FALSE),"-")</f>
        <v>-</v>
      </c>
      <c r="T136" s="79" t="str">
        <f>IFERROR(VLOOKUP(R136,Database!$A$2:$L$175,6,FALSE),"-")</f>
        <v>-</v>
      </c>
      <c r="U136" s="83" t="str">
        <f>IFERROR(VLOOKUP(R136,Database!$A$2:$L$175,9,FALSE),"-")</f>
        <v>-</v>
      </c>
      <c r="V136" s="97" t="str">
        <f>IF(AND(D136="Y",booking!T136&lt;&gt;booking!U136,booking!U136&gt;0),booking!U136,"-")</f>
        <v>-</v>
      </c>
      <c r="W136" s="80" t="str">
        <f>IFERROR(VLOOKUP(V136,Database!$A$2:$L$175,8,FALSE),"-")</f>
        <v>-</v>
      </c>
      <c r="X136" s="80" t="str">
        <f>IFERROR(VLOOKUP(V136,Database!$A$2:$L$175,6,FALSE),"-")</f>
        <v>-</v>
      </c>
      <c r="Y136" s="82" t="str">
        <f>IFERROR(VLOOKUP(V136,Database!$A$2:$L$175,9,FALSE),"-")</f>
        <v>-</v>
      </c>
    </row>
    <row r="137" spans="1:25" ht="15" customHeight="1" thickBot="1" x14ac:dyDescent="0.4">
      <c r="A137" s="89" t="str">
        <f>rengøring!A137</f>
        <v>onsdag</v>
      </c>
      <c r="B137" s="87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79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97" t="str">
        <f>IF(AND(D137="Y",booking!L137&lt;&gt;booking!M137,booking!M137&gt;0),booking!M137,"-")</f>
        <v>-</v>
      </c>
      <c r="O137" s="79" t="str">
        <f>IFERROR(VLOOKUP(N137,Database!$A$2:$L$175,8,FALSE),"-")</f>
        <v>-</v>
      </c>
      <c r="P137" s="79" t="str">
        <f>IFERROR(VLOOKUP(N137,Database!$A$2:$L$175,6,FALSE),"-")</f>
        <v>-</v>
      </c>
      <c r="Q137" s="83" t="str">
        <f>IFERROR(VLOOKUP(N137,Database!$A$2:$L$175,9,FALSE),"-")</f>
        <v>-</v>
      </c>
      <c r="R137" s="98" t="str">
        <f>IF(AND(D137="Y",booking!P137&lt;&gt;booking!Q137,booking!Q137&gt;0),booking!Q137,"-")</f>
        <v>-</v>
      </c>
      <c r="S137" s="79" t="str">
        <f>IFERROR(VLOOKUP(R137,Database!$A$2:$L$175,8,FALSE),"-")</f>
        <v>-</v>
      </c>
      <c r="T137" s="79" t="str">
        <f>IFERROR(VLOOKUP(R137,Database!$A$2:$L$175,6,FALSE),"-")</f>
        <v>-</v>
      </c>
      <c r="U137" s="83" t="str">
        <f>IFERROR(VLOOKUP(R137,Database!$A$2:$L$175,9,FALSE),"-")</f>
        <v>-</v>
      </c>
      <c r="V137" s="97" t="str">
        <f>IF(AND(D137="Y",booking!T137&lt;&gt;booking!U137,booking!U137&gt;0),booking!U137,"-")</f>
        <v>-</v>
      </c>
      <c r="W137" s="80" t="str">
        <f>IFERROR(VLOOKUP(V137,Database!$A$2:$L$175,8,FALSE),"-")</f>
        <v>-</v>
      </c>
      <c r="X137" s="80" t="str">
        <f>IFERROR(VLOOKUP(V137,Database!$A$2:$L$175,6,FALSE),"-")</f>
        <v>-</v>
      </c>
      <c r="Y137" s="82" t="str">
        <f>IFERROR(VLOOKUP(V137,Database!$A$2:$L$175,9,FALSE),"-")</f>
        <v>-</v>
      </c>
    </row>
    <row r="138" spans="1:25" ht="15" customHeight="1" thickBot="1" x14ac:dyDescent="0.4">
      <c r="A138" s="89" t="str">
        <f>rengøring!A138</f>
        <v>torsdag</v>
      </c>
      <c r="B138" s="85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79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97" t="str">
        <f>IF(AND(D138="Y",booking!L138&lt;&gt;booking!M138,booking!M138&gt;0),booking!M138,"-")</f>
        <v>-</v>
      </c>
      <c r="O138" s="79" t="str">
        <f>IFERROR(VLOOKUP(N138,Database!$A$2:$L$175,8,FALSE),"-")</f>
        <v>-</v>
      </c>
      <c r="P138" s="79" t="str">
        <f>IFERROR(VLOOKUP(N138,Database!$A$2:$L$175,6,FALSE),"-")</f>
        <v>-</v>
      </c>
      <c r="Q138" s="83" t="str">
        <f>IFERROR(VLOOKUP(N138,Database!$A$2:$L$175,9,FALSE),"-")</f>
        <v>-</v>
      </c>
      <c r="R138" s="98" t="str">
        <f>IF(AND(D138="Y",booking!P138&lt;&gt;booking!Q138,booking!Q138&gt;0),booking!Q138,"-")</f>
        <v>-</v>
      </c>
      <c r="S138" s="79" t="str">
        <f>IFERROR(VLOOKUP(R138,Database!$A$2:$L$175,8,FALSE),"-")</f>
        <v>-</v>
      </c>
      <c r="T138" s="79" t="str">
        <f>IFERROR(VLOOKUP(R138,Database!$A$2:$L$175,6,FALSE),"-")</f>
        <v>-</v>
      </c>
      <c r="U138" s="83" t="str">
        <f>IFERROR(VLOOKUP(R138,Database!$A$2:$L$175,9,FALSE),"-")</f>
        <v>-</v>
      </c>
      <c r="V138" s="97" t="str">
        <f>IF(AND(D138="Y",booking!T138&lt;&gt;booking!U138,booking!U138&gt;0),booking!U138,"-")</f>
        <v>-</v>
      </c>
      <c r="W138" s="80" t="str">
        <f>IFERROR(VLOOKUP(V138,Database!$A$2:$L$175,8,FALSE),"-")</f>
        <v>-</v>
      </c>
      <c r="X138" s="80" t="str">
        <f>IFERROR(VLOOKUP(V138,Database!$A$2:$L$175,6,FALSE),"-")</f>
        <v>-</v>
      </c>
      <c r="Y138" s="82" t="str">
        <f>IFERROR(VLOOKUP(V138,Database!$A$2:$L$175,9,FALSE),"-")</f>
        <v>-</v>
      </c>
    </row>
    <row r="139" spans="1:25" ht="15" customHeight="1" thickBot="1" x14ac:dyDescent="0.4">
      <c r="A139" s="89" t="str">
        <f>rengøring!A139</f>
        <v>fredag</v>
      </c>
      <c r="B139" s="87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79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97" t="str">
        <f>IF(AND(D139="Y",booking!L139&lt;&gt;booking!M139,booking!M139&gt;0),booking!M139,"-")</f>
        <v>-</v>
      </c>
      <c r="O139" s="79" t="str">
        <f>IFERROR(VLOOKUP(N139,Database!$A$2:$L$175,8,FALSE),"-")</f>
        <v>-</v>
      </c>
      <c r="P139" s="79" t="str">
        <f>IFERROR(VLOOKUP(N139,Database!$A$2:$L$175,6,FALSE),"-")</f>
        <v>-</v>
      </c>
      <c r="Q139" s="83" t="str">
        <f>IFERROR(VLOOKUP(N139,Database!$A$2:$L$175,9,FALSE),"-")</f>
        <v>-</v>
      </c>
      <c r="R139" s="98" t="str">
        <f>IF(AND(D139="Y",booking!P139&lt;&gt;booking!Q139,booking!Q139&gt;0),booking!Q139,"-")</f>
        <v>-</v>
      </c>
      <c r="S139" s="79" t="str">
        <f>IFERROR(VLOOKUP(R139,Database!$A$2:$L$175,8,FALSE),"-")</f>
        <v>-</v>
      </c>
      <c r="T139" s="79" t="str">
        <f>IFERROR(VLOOKUP(R139,Database!$A$2:$L$175,6,FALSE),"-")</f>
        <v>-</v>
      </c>
      <c r="U139" s="83" t="str">
        <f>IFERROR(VLOOKUP(R139,Database!$A$2:$L$175,9,FALSE),"-")</f>
        <v>-</v>
      </c>
      <c r="V139" s="97" t="str">
        <f>IF(AND(D139="Y",booking!T139&lt;&gt;booking!U139,booking!U139&gt;0),booking!U139,"-")</f>
        <v>-</v>
      </c>
      <c r="W139" s="80" t="str">
        <f>IFERROR(VLOOKUP(V139,Database!$A$2:$L$175,8,FALSE),"-")</f>
        <v>-</v>
      </c>
      <c r="X139" s="80" t="str">
        <f>IFERROR(VLOOKUP(V139,Database!$A$2:$L$175,6,FALSE),"-")</f>
        <v>-</v>
      </c>
      <c r="Y139" s="82" t="str">
        <f>IFERROR(VLOOKUP(V139,Database!$A$2:$L$175,9,FALSE),"-")</f>
        <v>-</v>
      </c>
    </row>
    <row r="140" spans="1:25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79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97">
        <f>IF(AND(D140="Y",booking!L140&lt;&gt;booking!M140,booking!M140&gt;0),booking!M140,"-")</f>
        <v>103</v>
      </c>
      <c r="O140" s="79">
        <f>IFERROR(VLOOKUP(N140,Database!$A$2:$L$175,8,FALSE),"-")</f>
        <v>0</v>
      </c>
      <c r="P140" s="79" t="str">
        <f>IFERROR(VLOOKUP(N140,Database!$A$2:$L$175,6,FALSE),"-")</f>
        <v>DK</v>
      </c>
      <c r="Q140" s="83" t="str">
        <f>IFERROR(VLOOKUP(N140,Database!$A$2:$L$175,9,FALSE),"-")</f>
        <v>Enk</v>
      </c>
      <c r="R140" s="98" t="str">
        <f>IF(AND(D140="Y",booking!P140&lt;&gt;booking!Q140,booking!Q140&gt;0),booking!Q140,"-")</f>
        <v>-</v>
      </c>
      <c r="S140" s="79" t="str">
        <f>IFERROR(VLOOKUP(R140,Database!$A$2:$L$175,8,FALSE),"-")</f>
        <v>-</v>
      </c>
      <c r="T140" s="79" t="str">
        <f>IFERROR(VLOOKUP(R140,Database!$A$2:$L$175,6,FALSE),"-")</f>
        <v>-</v>
      </c>
      <c r="U140" s="83" t="str">
        <f>IFERROR(VLOOKUP(R140,Database!$A$2:$L$175,9,FALSE),"-")</f>
        <v>-</v>
      </c>
      <c r="V140" s="97" t="str">
        <f>IF(AND(D140="Y",booking!T140&lt;&gt;booking!U140,booking!U140&gt;0),booking!U140,"-")</f>
        <v>-</v>
      </c>
      <c r="W140" s="80" t="str">
        <f>IFERROR(VLOOKUP(V140,Database!$A$2:$L$175,8,FALSE),"-")</f>
        <v>-</v>
      </c>
      <c r="X140" s="80" t="str">
        <f>IFERROR(VLOOKUP(V140,Database!$A$2:$L$175,6,FALSE),"-")</f>
        <v>-</v>
      </c>
      <c r="Y140" s="82" t="str">
        <f>IFERROR(VLOOKUP(V140,Database!$A$2:$L$175,9,FALSE),"-")</f>
        <v>-</v>
      </c>
    </row>
    <row r="141" spans="1:25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79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97" t="str">
        <f>IF(AND(D141="Y",booking!L141&lt;&gt;booking!M141,booking!M141&gt;0),booking!M141,"-")</f>
        <v>-</v>
      </c>
      <c r="O141" s="79" t="str">
        <f>IFERROR(VLOOKUP(N141,Database!$A$2:$L$175,8,FALSE),"-")</f>
        <v>-</v>
      </c>
      <c r="P141" s="79" t="str">
        <f>IFERROR(VLOOKUP(N141,Database!$A$2:$L$175,6,FALSE),"-")</f>
        <v>-</v>
      </c>
      <c r="Q141" s="83" t="str">
        <f>IFERROR(VLOOKUP(N141,Database!$A$2:$L$175,9,FALSE),"-")</f>
        <v>-</v>
      </c>
      <c r="R141" s="98" t="str">
        <f>IF(AND(D141="Y",booking!P141&lt;&gt;booking!Q141,booking!Q141&gt;0),booking!Q141,"-")</f>
        <v>-</v>
      </c>
      <c r="S141" s="79" t="str">
        <f>IFERROR(VLOOKUP(R141,Database!$A$2:$L$175,8,FALSE),"-")</f>
        <v>-</v>
      </c>
      <c r="T141" s="79" t="str">
        <f>IFERROR(VLOOKUP(R141,Database!$A$2:$L$175,6,FALSE),"-")</f>
        <v>-</v>
      </c>
      <c r="U141" s="83" t="str">
        <f>IFERROR(VLOOKUP(R141,Database!$A$2:$L$175,9,FALSE),"-")</f>
        <v>-</v>
      </c>
      <c r="V141" s="97" t="str">
        <f>IF(AND(D141="Y",booking!T141&lt;&gt;booking!U141,booking!U141&gt;0),booking!U141,"-")</f>
        <v>-</v>
      </c>
      <c r="W141" s="80" t="str">
        <f>IFERROR(VLOOKUP(V141,Database!$A$2:$L$175,8,FALSE),"-")</f>
        <v>-</v>
      </c>
      <c r="X141" s="80" t="str">
        <f>IFERROR(VLOOKUP(V141,Database!$A$2:$L$175,6,FALSE),"-")</f>
        <v>-</v>
      </c>
      <c r="Y141" s="82" t="str">
        <f>IFERROR(VLOOKUP(V141,Database!$A$2:$L$175,9,FALSE),"-")</f>
        <v>-</v>
      </c>
    </row>
    <row r="142" spans="1:25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79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97" t="str">
        <f>IF(AND(D142="Y",booking!L142&lt;&gt;booking!M142,booking!M142&gt;0),booking!M142,"-")</f>
        <v>-</v>
      </c>
      <c r="O142" s="79" t="str">
        <f>IFERROR(VLOOKUP(N142,Database!$A$2:$L$175,8,FALSE),"-")</f>
        <v>-</v>
      </c>
      <c r="P142" s="79" t="str">
        <f>IFERROR(VLOOKUP(N142,Database!$A$2:$L$175,6,FALSE),"-")</f>
        <v>-</v>
      </c>
      <c r="Q142" s="83" t="str">
        <f>IFERROR(VLOOKUP(N142,Database!$A$2:$L$175,9,FALSE),"-")</f>
        <v>-</v>
      </c>
      <c r="R142" s="98">
        <f>IF(AND(D142="Y",booking!P142&lt;&gt;booking!Q142,booking!Q142&gt;0),booking!Q142,"-")</f>
        <v>101</v>
      </c>
      <c r="S142" s="79">
        <f>IFERROR(VLOOKUP(R142,Database!$A$2:$L$175,8,FALSE),"-")</f>
        <v>0</v>
      </c>
      <c r="T142" s="79" t="str">
        <f>IFERROR(VLOOKUP(R142,Database!$A$2:$L$175,6,FALSE),"-")</f>
        <v>DK</v>
      </c>
      <c r="U142" s="83" t="str">
        <f>IFERROR(VLOOKUP(R142,Database!$A$2:$L$175,9,FALSE),"-")</f>
        <v>Enk</v>
      </c>
      <c r="V142" s="97" t="str">
        <f>IF(AND(D142="Y",booking!T142&lt;&gt;booking!U142,booking!U142&gt;0),booking!U142,"-")</f>
        <v>-</v>
      </c>
      <c r="W142" s="80" t="str">
        <f>IFERROR(VLOOKUP(V142,Database!$A$2:$L$175,8,FALSE),"-")</f>
        <v>-</v>
      </c>
      <c r="X142" s="80" t="str">
        <f>IFERROR(VLOOKUP(V142,Database!$A$2:$L$175,6,FALSE),"-")</f>
        <v>-</v>
      </c>
      <c r="Y142" s="82" t="str">
        <f>IFERROR(VLOOKUP(V142,Database!$A$2:$L$175,9,FALSE),"-")</f>
        <v>-</v>
      </c>
    </row>
    <row r="143" spans="1:25" ht="15" customHeight="1" thickBot="1" x14ac:dyDescent="0.4">
      <c r="A143" s="89" t="str">
        <f>rengøring!A143</f>
        <v>tirsdag</v>
      </c>
      <c r="B143" s="87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79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97" t="str">
        <f>IF(AND(D143="Y",booking!L143&lt;&gt;booking!M143,booking!M143&gt;0),booking!M143,"-")</f>
        <v>-</v>
      </c>
      <c r="O143" s="79" t="str">
        <f>IFERROR(VLOOKUP(N143,Database!$A$2:$L$175,8,FALSE),"-")</f>
        <v>-</v>
      </c>
      <c r="P143" s="79" t="str">
        <f>IFERROR(VLOOKUP(N143,Database!$A$2:$L$175,6,FALSE),"-")</f>
        <v>-</v>
      </c>
      <c r="Q143" s="83" t="str">
        <f>IFERROR(VLOOKUP(N143,Database!$A$2:$L$175,9,FALSE),"-")</f>
        <v>-</v>
      </c>
      <c r="R143" s="98" t="str">
        <f>IF(AND(D143="Y",booking!P143&lt;&gt;booking!Q143,booking!Q143&gt;0),booking!Q143,"-")</f>
        <v>-</v>
      </c>
      <c r="S143" s="79" t="str">
        <f>IFERROR(VLOOKUP(R143,Database!$A$2:$L$175,8,FALSE),"-")</f>
        <v>-</v>
      </c>
      <c r="T143" s="79" t="str">
        <f>IFERROR(VLOOKUP(R143,Database!$A$2:$L$175,6,FALSE),"-")</f>
        <v>-</v>
      </c>
      <c r="U143" s="83" t="str">
        <f>IFERROR(VLOOKUP(R143,Database!$A$2:$L$175,9,FALSE),"-")</f>
        <v>-</v>
      </c>
      <c r="V143" s="97" t="str">
        <f>IF(AND(D143="Y",booking!T143&lt;&gt;booking!U143,booking!U143&gt;0),booking!U143,"-")</f>
        <v>-</v>
      </c>
      <c r="W143" s="80" t="str">
        <f>IFERROR(VLOOKUP(V143,Database!$A$2:$L$175,8,FALSE),"-")</f>
        <v>-</v>
      </c>
      <c r="X143" s="80" t="str">
        <f>IFERROR(VLOOKUP(V143,Database!$A$2:$L$175,6,FALSE),"-")</f>
        <v>-</v>
      </c>
      <c r="Y143" s="82" t="str">
        <f>IFERROR(VLOOKUP(V143,Database!$A$2:$L$175,9,FALSE),"-")</f>
        <v>-</v>
      </c>
    </row>
    <row r="144" spans="1:25" ht="15" customHeight="1" thickBot="1" x14ac:dyDescent="0.4">
      <c r="A144" s="89" t="str">
        <f>rengøring!A144</f>
        <v>onsdag</v>
      </c>
      <c r="B144" s="85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79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97" t="str">
        <f>IF(AND(D144="Y",booking!L144&lt;&gt;booking!M144,booking!M144&gt;0),booking!M144,"-")</f>
        <v>-</v>
      </c>
      <c r="O144" s="79" t="str">
        <f>IFERROR(VLOOKUP(N144,Database!$A$2:$L$175,8,FALSE),"-")</f>
        <v>-</v>
      </c>
      <c r="P144" s="79" t="str">
        <f>IFERROR(VLOOKUP(N144,Database!$A$2:$L$175,6,FALSE),"-")</f>
        <v>-</v>
      </c>
      <c r="Q144" s="83" t="str">
        <f>IFERROR(VLOOKUP(N144,Database!$A$2:$L$175,9,FALSE),"-")</f>
        <v>-</v>
      </c>
      <c r="R144" s="98" t="str">
        <f>IF(AND(D144="Y",booking!P144&lt;&gt;booking!Q144,booking!Q144&gt;0),booking!Q144,"-")</f>
        <v>-</v>
      </c>
      <c r="S144" s="79" t="str">
        <f>IFERROR(VLOOKUP(R144,Database!$A$2:$L$175,8,FALSE),"-")</f>
        <v>-</v>
      </c>
      <c r="T144" s="79" t="str">
        <f>IFERROR(VLOOKUP(R144,Database!$A$2:$L$175,6,FALSE),"-")</f>
        <v>-</v>
      </c>
      <c r="U144" s="83" t="str">
        <f>IFERROR(VLOOKUP(R144,Database!$A$2:$L$175,9,FALSE),"-")</f>
        <v>-</v>
      </c>
      <c r="V144" s="97" t="str">
        <f>IF(AND(D144="Y",booking!T144&lt;&gt;booking!U144,booking!U144&gt;0),booking!U144,"-")</f>
        <v>-</v>
      </c>
      <c r="W144" s="80" t="str">
        <f>IFERROR(VLOOKUP(V144,Database!$A$2:$L$175,8,FALSE),"-")</f>
        <v>-</v>
      </c>
      <c r="X144" s="80" t="str">
        <f>IFERROR(VLOOKUP(V144,Database!$A$2:$L$175,6,FALSE),"-")</f>
        <v>-</v>
      </c>
      <c r="Y144" s="82" t="str">
        <f>IFERROR(VLOOKUP(V144,Database!$A$2:$L$175,9,FALSE),"-")</f>
        <v>-</v>
      </c>
    </row>
    <row r="145" spans="1:25" ht="15" customHeight="1" thickBot="1" x14ac:dyDescent="0.4">
      <c r="A145" s="89" t="str">
        <f>rengøring!A145</f>
        <v>torsdag</v>
      </c>
      <c r="B145" s="87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79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97" t="str">
        <f>IF(AND(D145="Y",booking!L145&lt;&gt;booking!M145,booking!M145&gt;0),booking!M145,"-")</f>
        <v>-</v>
      </c>
      <c r="O145" s="79" t="str">
        <f>IFERROR(VLOOKUP(N145,Database!$A$2:$L$175,8,FALSE),"-")</f>
        <v>-</v>
      </c>
      <c r="P145" s="79" t="str">
        <f>IFERROR(VLOOKUP(N145,Database!$A$2:$L$175,6,FALSE),"-")</f>
        <v>-</v>
      </c>
      <c r="Q145" s="83" t="str">
        <f>IFERROR(VLOOKUP(N145,Database!$A$2:$L$175,9,FALSE),"-")</f>
        <v>-</v>
      </c>
      <c r="R145" s="98">
        <f>IF(AND(D145="Y",booking!P145&lt;&gt;booking!Q145,booking!Q145&gt;0),booking!Q145,"-")</f>
        <v>42</v>
      </c>
      <c r="S145" s="79">
        <f>IFERROR(VLOOKUP(R145,Database!$A$2:$L$175,8,FALSE),"-")</f>
        <v>0</v>
      </c>
      <c r="T145" s="79" t="str">
        <f>IFERROR(VLOOKUP(R145,Database!$A$2:$L$175,6,FALSE),"-")</f>
        <v>S</v>
      </c>
      <c r="U145" s="83">
        <f>IFERROR(VLOOKUP(R145,Database!$A$2:$L$175,9,FALSE),"-")</f>
        <v>0</v>
      </c>
      <c r="V145" s="97" t="str">
        <f>IF(AND(D145="Y",booking!T145&lt;&gt;booking!U145,booking!U145&gt;0),booking!U145,"-")</f>
        <v>-</v>
      </c>
      <c r="W145" s="80" t="str">
        <f>IFERROR(VLOOKUP(V145,Database!$A$2:$L$175,8,FALSE),"-")</f>
        <v>-</v>
      </c>
      <c r="X145" s="80" t="str">
        <f>IFERROR(VLOOKUP(V145,Database!$A$2:$L$175,6,FALSE),"-")</f>
        <v>-</v>
      </c>
      <c r="Y145" s="82" t="str">
        <f>IFERROR(VLOOKUP(V145,Database!$A$2:$L$175,9,FALSE),"-")</f>
        <v>-</v>
      </c>
    </row>
    <row r="146" spans="1:25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79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97" t="str">
        <f>IF(AND(D146="Y",booking!L146&lt;&gt;booking!M146,booking!M146&gt;0),booking!M146,"-")</f>
        <v>-</v>
      </c>
      <c r="O146" s="79" t="str">
        <f>IFERROR(VLOOKUP(N146,Database!$A$2:$L$175,8,FALSE),"-")</f>
        <v>-</v>
      </c>
      <c r="P146" s="79" t="str">
        <f>IFERROR(VLOOKUP(N146,Database!$A$2:$L$175,6,FALSE),"-")</f>
        <v>-</v>
      </c>
      <c r="Q146" s="83" t="str">
        <f>IFERROR(VLOOKUP(N146,Database!$A$2:$L$175,9,FALSE),"-")</f>
        <v>-</v>
      </c>
      <c r="R146" s="98" t="str">
        <f>IF(AND(D146="Y",booking!P146&lt;&gt;booking!Q146,booking!Q146&gt;0),booking!Q146,"-")</f>
        <v>-</v>
      </c>
      <c r="S146" s="79" t="str">
        <f>IFERROR(VLOOKUP(R146,Database!$A$2:$L$175,8,FALSE),"-")</f>
        <v>-</v>
      </c>
      <c r="T146" s="79" t="str">
        <f>IFERROR(VLOOKUP(R146,Database!$A$2:$L$175,6,FALSE),"-")</f>
        <v>-</v>
      </c>
      <c r="U146" s="83" t="str">
        <f>IFERROR(VLOOKUP(R146,Database!$A$2:$L$175,9,FALSE),"-")</f>
        <v>-</v>
      </c>
      <c r="V146" s="97">
        <f>IF(AND(D146="Y",booking!T146&lt;&gt;booking!U146,booking!U146&gt;0),booking!U146,"-")</f>
        <v>3</v>
      </c>
      <c r="W146" s="80">
        <f>IFERROR(VLOOKUP(V146,Database!$A$2:$L$175,8,FALSE),"-")</f>
        <v>0</v>
      </c>
      <c r="X146" s="80" t="str">
        <f>IFERROR(VLOOKUP(V146,Database!$A$2:$L$175,6,FALSE),"-")</f>
        <v>DK</v>
      </c>
      <c r="Y146" s="82">
        <f>IFERROR(VLOOKUP(V146,Database!$A$2:$L$175,9,FALSE),"-")</f>
        <v>0</v>
      </c>
    </row>
    <row r="147" spans="1:25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79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97" t="str">
        <f>IF(AND(D147="Y",booking!L147&lt;&gt;booking!M147,booking!M147&gt;0),booking!M147,"-")</f>
        <v>-</v>
      </c>
      <c r="O147" s="79" t="str">
        <f>IFERROR(VLOOKUP(N147,Database!$A$2:$L$175,8,FALSE),"-")</f>
        <v>-</v>
      </c>
      <c r="P147" s="79" t="str">
        <f>IFERROR(VLOOKUP(N147,Database!$A$2:$L$175,6,FALSE),"-")</f>
        <v>-</v>
      </c>
      <c r="Q147" s="83" t="str">
        <f>IFERROR(VLOOKUP(N147,Database!$A$2:$L$175,9,FALSE),"-")</f>
        <v>-</v>
      </c>
      <c r="R147" s="98" t="str">
        <f>IF(AND(D147="Y",booking!P147&lt;&gt;booking!Q147,booking!Q147&gt;0),booking!Q147,"-")</f>
        <v>-</v>
      </c>
      <c r="S147" s="79" t="str">
        <f>IFERROR(VLOOKUP(R147,Database!$A$2:$L$175,8,FALSE),"-")</f>
        <v>-</v>
      </c>
      <c r="T147" s="79" t="str">
        <f>IFERROR(VLOOKUP(R147,Database!$A$2:$L$175,6,FALSE),"-")</f>
        <v>-</v>
      </c>
      <c r="U147" s="83" t="str">
        <f>IFERROR(VLOOKUP(R147,Database!$A$2:$L$175,9,FALSE),"-")</f>
        <v>-</v>
      </c>
      <c r="V147" s="97" t="str">
        <f>IF(AND(D147="Y",booking!T147&lt;&gt;booking!U147,booking!U147&gt;0),booking!U147,"-")</f>
        <v>-</v>
      </c>
      <c r="W147" s="80" t="str">
        <f>IFERROR(VLOOKUP(V147,Database!$A$2:$L$175,8,FALSE),"-")</f>
        <v>-</v>
      </c>
      <c r="X147" s="80" t="str">
        <f>IFERROR(VLOOKUP(V147,Database!$A$2:$L$175,6,FALSE),"-")</f>
        <v>-</v>
      </c>
      <c r="Y147" s="82" t="str">
        <f>IFERROR(VLOOKUP(V147,Database!$A$2:$L$175,9,FALSE),"-")</f>
        <v>-</v>
      </c>
    </row>
    <row r="148" spans="1:25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79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97" t="str">
        <f>IF(AND(D148="Y",booking!L148&lt;&gt;booking!M148,booking!M148&gt;0),booking!M148,"-")</f>
        <v>-</v>
      </c>
      <c r="O148" s="79" t="str">
        <f>IFERROR(VLOOKUP(N148,Database!$A$2:$L$175,8,FALSE),"-")</f>
        <v>-</v>
      </c>
      <c r="P148" s="79" t="str">
        <f>IFERROR(VLOOKUP(N148,Database!$A$2:$L$175,6,FALSE),"-")</f>
        <v>-</v>
      </c>
      <c r="Q148" s="83" t="str">
        <f>IFERROR(VLOOKUP(N148,Database!$A$2:$L$175,9,FALSE),"-")</f>
        <v>-</v>
      </c>
      <c r="R148" s="98" t="str">
        <f>IF(AND(D148="Y",booking!P148&lt;&gt;booking!Q148,booking!Q148&gt;0),booking!Q148,"-")</f>
        <v>-</v>
      </c>
      <c r="S148" s="79" t="str">
        <f>IFERROR(VLOOKUP(R148,Database!$A$2:$L$175,8,FALSE),"-")</f>
        <v>-</v>
      </c>
      <c r="T148" s="79" t="str">
        <f>IFERROR(VLOOKUP(R148,Database!$A$2:$L$175,6,FALSE),"-")</f>
        <v>-</v>
      </c>
      <c r="U148" s="83" t="str">
        <f>IFERROR(VLOOKUP(R148,Database!$A$2:$L$175,9,FALSE),"-")</f>
        <v>-</v>
      </c>
      <c r="V148" s="97" t="str">
        <f>IF(AND(D148="Y",booking!T148&lt;&gt;booking!U148,booking!U148&gt;0),booking!U148,"-")</f>
        <v>-</v>
      </c>
      <c r="W148" s="80" t="str">
        <f>IFERROR(VLOOKUP(V148,Database!$A$2:$L$175,8,FALSE),"-")</f>
        <v>-</v>
      </c>
      <c r="X148" s="80" t="str">
        <f>IFERROR(VLOOKUP(V148,Database!$A$2:$L$175,6,FALSE),"-")</f>
        <v>-</v>
      </c>
      <c r="Y148" s="82" t="str">
        <f>IFERROR(VLOOKUP(V148,Database!$A$2:$L$175,9,FALSE),"-")</f>
        <v>-</v>
      </c>
    </row>
    <row r="149" spans="1:25" ht="15" customHeight="1" thickBot="1" x14ac:dyDescent="0.4">
      <c r="A149" s="89" t="str">
        <f>rengøring!A149</f>
        <v>mandag</v>
      </c>
      <c r="B149" s="87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79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97" t="str">
        <f>IF(AND(D149="Y",booking!L149&lt;&gt;booking!M149,booking!M149&gt;0),booking!M149,"-")</f>
        <v>-</v>
      </c>
      <c r="O149" s="79" t="str">
        <f>IFERROR(VLOOKUP(N149,Database!$A$2:$L$175,8,FALSE),"-")</f>
        <v>-</v>
      </c>
      <c r="P149" s="79" t="str">
        <f>IFERROR(VLOOKUP(N149,Database!$A$2:$L$175,6,FALSE),"-")</f>
        <v>-</v>
      </c>
      <c r="Q149" s="83" t="str">
        <f>IFERROR(VLOOKUP(N149,Database!$A$2:$L$175,9,FALSE),"-")</f>
        <v>-</v>
      </c>
      <c r="R149" s="98" t="str">
        <f>IF(AND(D149="Y",booking!P149&lt;&gt;booking!Q149,booking!Q149&gt;0),booking!Q149,"-")</f>
        <v>-</v>
      </c>
      <c r="S149" s="79" t="str">
        <f>IFERROR(VLOOKUP(R149,Database!$A$2:$L$175,8,FALSE),"-")</f>
        <v>-</v>
      </c>
      <c r="T149" s="79" t="str">
        <f>IFERROR(VLOOKUP(R149,Database!$A$2:$L$175,6,FALSE),"-")</f>
        <v>-</v>
      </c>
      <c r="U149" s="83" t="str">
        <f>IFERROR(VLOOKUP(R149,Database!$A$2:$L$175,9,FALSE),"-")</f>
        <v>-</v>
      </c>
      <c r="V149" s="97" t="str">
        <f>IF(AND(D149="Y",booking!T149&lt;&gt;booking!U149,booking!U149&gt;0),booking!U149,"-")</f>
        <v>-</v>
      </c>
      <c r="W149" s="80" t="str">
        <f>IFERROR(VLOOKUP(V149,Database!$A$2:$L$175,8,FALSE),"-")</f>
        <v>-</v>
      </c>
      <c r="X149" s="80" t="str">
        <f>IFERROR(VLOOKUP(V149,Database!$A$2:$L$175,6,FALSE),"-")</f>
        <v>-</v>
      </c>
      <c r="Y149" s="82" t="str">
        <f>IFERROR(VLOOKUP(V149,Database!$A$2:$L$175,9,FALSE),"-")</f>
        <v>-</v>
      </c>
    </row>
    <row r="150" spans="1:25" ht="15" customHeight="1" thickBot="1" x14ac:dyDescent="0.4">
      <c r="A150" s="89" t="str">
        <f>rengøring!A150</f>
        <v>tirsdag</v>
      </c>
      <c r="B150" s="85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79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97" t="str">
        <f>IF(AND(D150="Y",booking!L150&lt;&gt;booking!M150,booking!M150&gt;0),booking!M150,"-")</f>
        <v>-</v>
      </c>
      <c r="O150" s="79" t="str">
        <f>IFERROR(VLOOKUP(N150,Database!$A$2:$L$175,8,FALSE),"-")</f>
        <v>-</v>
      </c>
      <c r="P150" s="79" t="str">
        <f>IFERROR(VLOOKUP(N150,Database!$A$2:$L$175,6,FALSE),"-")</f>
        <v>-</v>
      </c>
      <c r="Q150" s="83" t="str">
        <f>IFERROR(VLOOKUP(N150,Database!$A$2:$L$175,9,FALSE),"-")</f>
        <v>-</v>
      </c>
      <c r="R150" s="98" t="str">
        <f>IF(AND(D150="Y",booking!P150&lt;&gt;booking!Q150,booking!Q150&gt;0),booking!Q150,"-")</f>
        <v>-</v>
      </c>
      <c r="S150" s="79" t="str">
        <f>IFERROR(VLOOKUP(R150,Database!$A$2:$L$175,8,FALSE),"-")</f>
        <v>-</v>
      </c>
      <c r="T150" s="79" t="str">
        <f>IFERROR(VLOOKUP(R150,Database!$A$2:$L$175,6,FALSE),"-")</f>
        <v>-</v>
      </c>
      <c r="U150" s="83" t="str">
        <f>IFERROR(VLOOKUP(R150,Database!$A$2:$L$175,9,FALSE),"-")</f>
        <v>-</v>
      </c>
      <c r="V150" s="97" t="str">
        <f>IF(AND(D150="Y",booking!T150&lt;&gt;booking!U150,booking!U150&gt;0),booking!U150,"-")</f>
        <v>-</v>
      </c>
      <c r="W150" s="80" t="str">
        <f>IFERROR(VLOOKUP(V150,Database!$A$2:$L$175,8,FALSE),"-")</f>
        <v>-</v>
      </c>
      <c r="X150" s="80" t="str">
        <f>IFERROR(VLOOKUP(V150,Database!$A$2:$L$175,6,FALSE),"-")</f>
        <v>-</v>
      </c>
      <c r="Y150" s="82" t="str">
        <f>IFERROR(VLOOKUP(V150,Database!$A$2:$L$175,9,FALSE),"-")</f>
        <v>-</v>
      </c>
    </row>
    <row r="151" spans="1:25" ht="15" customHeight="1" thickBot="1" x14ac:dyDescent="0.4">
      <c r="A151" s="89" t="str">
        <f>rengøring!A151</f>
        <v>onsdag</v>
      </c>
      <c r="B151" s="87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79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97" t="str">
        <f>IF(AND(D151="Y",booking!L151&lt;&gt;booking!M151,booking!M151&gt;0),booking!M151,"-")</f>
        <v>-</v>
      </c>
      <c r="O151" s="79" t="str">
        <f>IFERROR(VLOOKUP(N151,Database!$A$2:$L$175,8,FALSE),"-")</f>
        <v>-</v>
      </c>
      <c r="P151" s="79" t="str">
        <f>IFERROR(VLOOKUP(N151,Database!$A$2:$L$175,6,FALSE),"-")</f>
        <v>-</v>
      </c>
      <c r="Q151" s="83" t="str">
        <f>IFERROR(VLOOKUP(N151,Database!$A$2:$L$175,9,FALSE),"-")</f>
        <v>-</v>
      </c>
      <c r="R151" s="98" t="str">
        <f>IF(AND(D151="Y",booking!P151&lt;&gt;booking!Q151,booking!Q151&gt;0),booking!Q151,"-")</f>
        <v>-</v>
      </c>
      <c r="S151" s="79" t="str">
        <f>IFERROR(VLOOKUP(R151,Database!$A$2:$L$175,8,FALSE),"-")</f>
        <v>-</v>
      </c>
      <c r="T151" s="79" t="str">
        <f>IFERROR(VLOOKUP(R151,Database!$A$2:$L$175,6,FALSE),"-")</f>
        <v>-</v>
      </c>
      <c r="U151" s="83" t="str">
        <f>IFERROR(VLOOKUP(R151,Database!$A$2:$L$175,9,FALSE),"-")</f>
        <v>-</v>
      </c>
      <c r="V151" s="97" t="str">
        <f>IF(AND(D151="Y",booking!T151&lt;&gt;booking!U151,booking!U151&gt;0),booking!U151,"-")</f>
        <v>-</v>
      </c>
      <c r="W151" s="80" t="str">
        <f>IFERROR(VLOOKUP(V151,Database!$A$2:$L$175,8,FALSE),"-")</f>
        <v>-</v>
      </c>
      <c r="X151" s="80" t="str">
        <f>IFERROR(VLOOKUP(V151,Database!$A$2:$L$175,6,FALSE),"-")</f>
        <v>-</v>
      </c>
      <c r="Y151" s="82" t="str">
        <f>IFERROR(VLOOKUP(V151,Database!$A$2:$L$175,9,FALSE),"-")</f>
        <v>-</v>
      </c>
    </row>
    <row r="152" spans="1:25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79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97" t="str">
        <f>IF(AND(D152="Y",booking!L152&lt;&gt;booking!M152,booking!M152&gt;0),booking!M152,"-")</f>
        <v>-</v>
      </c>
      <c r="O152" s="79" t="str">
        <f>IFERROR(VLOOKUP(N152,Database!$A$2:$L$175,8,FALSE),"-")</f>
        <v>-</v>
      </c>
      <c r="P152" s="79" t="str">
        <f>IFERROR(VLOOKUP(N152,Database!$A$2:$L$175,6,FALSE),"-")</f>
        <v>-</v>
      </c>
      <c r="Q152" s="83" t="str">
        <f>IFERROR(VLOOKUP(N152,Database!$A$2:$L$175,9,FALSE),"-")</f>
        <v>-</v>
      </c>
      <c r="R152" s="98" t="str">
        <f>IF(AND(D152="Y",booking!P152&lt;&gt;booking!Q152,booking!Q152&gt;0),booking!Q152,"-")</f>
        <v>-</v>
      </c>
      <c r="S152" s="79" t="str">
        <f>IFERROR(VLOOKUP(R152,Database!$A$2:$L$175,8,FALSE),"-")</f>
        <v>-</v>
      </c>
      <c r="T152" s="79" t="str">
        <f>IFERROR(VLOOKUP(R152,Database!$A$2:$L$175,6,FALSE),"-")</f>
        <v>-</v>
      </c>
      <c r="U152" s="83" t="str">
        <f>IFERROR(VLOOKUP(R152,Database!$A$2:$L$175,9,FALSE),"-")</f>
        <v>-</v>
      </c>
      <c r="V152" s="97" t="str">
        <f>IF(AND(D152="Y",booking!T152&lt;&gt;booking!U152,booking!U152&gt;0),booking!U152,"-")</f>
        <v>-</v>
      </c>
      <c r="W152" s="80" t="str">
        <f>IFERROR(VLOOKUP(V152,Database!$A$2:$L$175,8,FALSE),"-")</f>
        <v>-</v>
      </c>
      <c r="X152" s="80" t="str">
        <f>IFERROR(VLOOKUP(V152,Database!$A$2:$L$175,6,FALSE),"-")</f>
        <v>-</v>
      </c>
      <c r="Y152" s="82" t="str">
        <f>IFERROR(VLOOKUP(V152,Database!$A$2:$L$175,9,FALSE),"-")</f>
        <v>-</v>
      </c>
    </row>
    <row r="153" spans="1:25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79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97" t="str">
        <f>IF(AND(D153="Y",booking!L153&lt;&gt;booking!M153,booking!M153&gt;0),booking!M153,"-")</f>
        <v>-</v>
      </c>
      <c r="O153" s="79" t="str">
        <f>IFERROR(VLOOKUP(N153,Database!$A$2:$L$175,8,FALSE),"-")</f>
        <v>-</v>
      </c>
      <c r="P153" s="79" t="str">
        <f>IFERROR(VLOOKUP(N153,Database!$A$2:$L$175,6,FALSE),"-")</f>
        <v>-</v>
      </c>
      <c r="Q153" s="83" t="str">
        <f>IFERROR(VLOOKUP(N153,Database!$A$2:$L$175,9,FALSE),"-")</f>
        <v>-</v>
      </c>
      <c r="R153" s="98" t="str">
        <f>IF(AND(D153="Y",booking!P153&lt;&gt;booking!Q153,booking!Q153&gt;0),booking!Q153,"-")</f>
        <v>-</v>
      </c>
      <c r="S153" s="79" t="str">
        <f>IFERROR(VLOOKUP(R153,Database!$A$2:$L$175,8,FALSE),"-")</f>
        <v>-</v>
      </c>
      <c r="T153" s="79" t="str">
        <f>IFERROR(VLOOKUP(R153,Database!$A$2:$L$175,6,FALSE),"-")</f>
        <v>-</v>
      </c>
      <c r="U153" s="83" t="str">
        <f>IFERROR(VLOOKUP(R153,Database!$A$2:$L$175,9,FALSE),"-")</f>
        <v>-</v>
      </c>
      <c r="V153" s="97" t="str">
        <f>IF(AND(D153="Y",booking!T153&lt;&gt;booking!U153,booking!U153&gt;0),booking!U153,"-")</f>
        <v>-</v>
      </c>
      <c r="W153" s="80" t="str">
        <f>IFERROR(VLOOKUP(V153,Database!$A$2:$L$175,8,FALSE),"-")</f>
        <v>-</v>
      </c>
      <c r="X153" s="80" t="str">
        <f>IFERROR(VLOOKUP(V153,Database!$A$2:$L$175,6,FALSE),"-")</f>
        <v>-</v>
      </c>
      <c r="Y153" s="82" t="str">
        <f>IFERROR(VLOOKUP(V153,Database!$A$2:$L$175,9,FALSE),"-")</f>
        <v>-</v>
      </c>
    </row>
    <row r="154" spans="1:25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79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97" t="str">
        <f>IF(AND(D154="Y",booking!L154&lt;&gt;booking!M154,booking!M154&gt;0),booking!M154,"-")</f>
        <v>-</v>
      </c>
      <c r="O154" s="79" t="str">
        <f>IFERROR(VLOOKUP(N154,Database!$A$2:$L$175,8,FALSE),"-")</f>
        <v>-</v>
      </c>
      <c r="P154" s="79" t="str">
        <f>IFERROR(VLOOKUP(N154,Database!$A$2:$L$175,6,FALSE),"-")</f>
        <v>-</v>
      </c>
      <c r="Q154" s="83" t="str">
        <f>IFERROR(VLOOKUP(N154,Database!$A$2:$L$175,9,FALSE),"-")</f>
        <v>-</v>
      </c>
      <c r="R154" s="98" t="str">
        <f>IF(AND(D154="Y",booking!P154&lt;&gt;booking!Q154,booking!Q154&gt;0),booking!Q154,"-")</f>
        <v>-</v>
      </c>
      <c r="S154" s="79" t="str">
        <f>IFERROR(VLOOKUP(R154,Database!$A$2:$L$175,8,FALSE),"-")</f>
        <v>-</v>
      </c>
      <c r="T154" s="79" t="str">
        <f>IFERROR(VLOOKUP(R154,Database!$A$2:$L$175,6,FALSE),"-")</f>
        <v>-</v>
      </c>
      <c r="U154" s="83" t="str">
        <f>IFERROR(VLOOKUP(R154,Database!$A$2:$L$175,9,FALSE),"-")</f>
        <v>-</v>
      </c>
      <c r="V154" s="97" t="str">
        <f>IF(AND(D154="Y",booking!T154&lt;&gt;booking!U154,booking!U154&gt;0),booking!U154,"-")</f>
        <v>-</v>
      </c>
      <c r="W154" s="80" t="str">
        <f>IFERROR(VLOOKUP(V154,Database!$A$2:$L$175,8,FALSE),"-")</f>
        <v>-</v>
      </c>
      <c r="X154" s="80" t="str">
        <f>IFERROR(VLOOKUP(V154,Database!$A$2:$L$175,6,FALSE),"-")</f>
        <v>-</v>
      </c>
      <c r="Y154" s="82" t="str">
        <f>IFERROR(VLOOKUP(V154,Database!$A$2:$L$175,9,FALSE),"-")</f>
        <v>-</v>
      </c>
    </row>
    <row r="155" spans="1:25" ht="15" customHeight="1" thickBot="1" x14ac:dyDescent="0.4">
      <c r="A155" s="89" t="str">
        <f>rengøring!A155</f>
        <v>søndag</v>
      </c>
      <c r="B155" s="87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79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97" t="str">
        <f>IF(AND(D155="Y",booking!L155&lt;&gt;booking!M155,booking!M155&gt;0),booking!M155,"-")</f>
        <v>-</v>
      </c>
      <c r="O155" s="79" t="str">
        <f>IFERROR(VLOOKUP(N155,Database!$A$2:$L$175,8,FALSE),"-")</f>
        <v>-</v>
      </c>
      <c r="P155" s="79" t="str">
        <f>IFERROR(VLOOKUP(N155,Database!$A$2:$L$175,6,FALSE),"-")</f>
        <v>-</v>
      </c>
      <c r="Q155" s="83" t="str">
        <f>IFERROR(VLOOKUP(N155,Database!$A$2:$L$175,9,FALSE),"-")</f>
        <v>-</v>
      </c>
      <c r="R155" s="98" t="str">
        <f>IF(AND(D155="Y",booking!P155&lt;&gt;booking!Q155,booking!Q155&gt;0),booking!Q155,"-")</f>
        <v>-</v>
      </c>
      <c r="S155" s="79" t="str">
        <f>IFERROR(VLOOKUP(R155,Database!$A$2:$L$175,8,FALSE),"-")</f>
        <v>-</v>
      </c>
      <c r="T155" s="79" t="str">
        <f>IFERROR(VLOOKUP(R155,Database!$A$2:$L$175,6,FALSE),"-")</f>
        <v>-</v>
      </c>
      <c r="U155" s="83" t="str">
        <f>IFERROR(VLOOKUP(R155,Database!$A$2:$L$175,9,FALSE),"-")</f>
        <v>-</v>
      </c>
      <c r="V155" s="97" t="str">
        <f>IF(AND(D155="Y",booking!T155&lt;&gt;booking!U155,booking!U155&gt;0),booking!U155,"-")</f>
        <v>-</v>
      </c>
      <c r="W155" s="80" t="str">
        <f>IFERROR(VLOOKUP(V155,Database!$A$2:$L$175,8,FALSE),"-")</f>
        <v>-</v>
      </c>
      <c r="X155" s="80" t="str">
        <f>IFERROR(VLOOKUP(V155,Database!$A$2:$L$175,6,FALSE),"-")</f>
        <v>-</v>
      </c>
      <c r="Y155" s="82" t="str">
        <f>IFERROR(VLOOKUP(V155,Database!$A$2:$L$175,9,FALSE),"-")</f>
        <v>-</v>
      </c>
    </row>
    <row r="156" spans="1:25" ht="15" customHeight="1" thickBot="1" x14ac:dyDescent="0.4">
      <c r="A156" s="89" t="str">
        <f>rengøring!A156</f>
        <v>mandag</v>
      </c>
      <c r="B156" s="85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79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97" t="str">
        <f>IF(AND(D156="Y",booking!L156&lt;&gt;booking!M156,booking!M156&gt;0),booking!M156,"-")</f>
        <v>-</v>
      </c>
      <c r="O156" s="79" t="str">
        <f>IFERROR(VLOOKUP(N156,Database!$A$2:$L$175,8,FALSE),"-")</f>
        <v>-</v>
      </c>
      <c r="P156" s="79" t="str">
        <f>IFERROR(VLOOKUP(N156,Database!$A$2:$L$175,6,FALSE),"-")</f>
        <v>-</v>
      </c>
      <c r="Q156" s="83" t="str">
        <f>IFERROR(VLOOKUP(N156,Database!$A$2:$L$175,9,FALSE),"-")</f>
        <v>-</v>
      </c>
      <c r="R156" s="98" t="str">
        <f>IF(AND(D156="Y",booking!P156&lt;&gt;booking!Q156,booking!Q156&gt;0),booking!Q156,"-")</f>
        <v>-</v>
      </c>
      <c r="S156" s="79" t="str">
        <f>IFERROR(VLOOKUP(R156,Database!$A$2:$L$175,8,FALSE),"-")</f>
        <v>-</v>
      </c>
      <c r="T156" s="79" t="str">
        <f>IFERROR(VLOOKUP(R156,Database!$A$2:$L$175,6,FALSE),"-")</f>
        <v>-</v>
      </c>
      <c r="U156" s="83" t="str">
        <f>IFERROR(VLOOKUP(R156,Database!$A$2:$L$175,9,FALSE),"-")</f>
        <v>-</v>
      </c>
      <c r="V156" s="97" t="str">
        <f>IF(AND(D156="Y",booking!T156&lt;&gt;booking!U156,booking!U156&gt;0),booking!U156,"-")</f>
        <v>-</v>
      </c>
      <c r="W156" s="80" t="str">
        <f>IFERROR(VLOOKUP(V156,Database!$A$2:$L$175,8,FALSE),"-")</f>
        <v>-</v>
      </c>
      <c r="X156" s="80" t="str">
        <f>IFERROR(VLOOKUP(V156,Database!$A$2:$L$175,6,FALSE),"-")</f>
        <v>-</v>
      </c>
      <c r="Y156" s="82" t="str">
        <f>IFERROR(VLOOKUP(V156,Database!$A$2:$L$175,9,FALSE),"-")</f>
        <v>-</v>
      </c>
    </row>
    <row r="157" spans="1:25" ht="15" customHeight="1" thickBot="1" x14ac:dyDescent="0.4">
      <c r="A157" s="89" t="str">
        <f>rengøring!A157</f>
        <v>tirsdag</v>
      </c>
      <c r="B157" s="87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79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97" t="str">
        <f>IF(AND(D157="Y",booking!L157&lt;&gt;booking!M157,booking!M157&gt;0),booking!M157,"-")</f>
        <v>-</v>
      </c>
      <c r="O157" s="79" t="str">
        <f>IFERROR(VLOOKUP(N157,Database!$A$2:$L$175,8,FALSE),"-")</f>
        <v>-</v>
      </c>
      <c r="P157" s="79" t="str">
        <f>IFERROR(VLOOKUP(N157,Database!$A$2:$L$175,6,FALSE),"-")</f>
        <v>-</v>
      </c>
      <c r="Q157" s="83" t="str">
        <f>IFERROR(VLOOKUP(N157,Database!$A$2:$L$175,9,FALSE),"-")</f>
        <v>-</v>
      </c>
      <c r="R157" s="98" t="str">
        <f>IF(AND(D157="Y",booking!P157&lt;&gt;booking!Q157,booking!Q157&gt;0),booking!Q157,"-")</f>
        <v>-</v>
      </c>
      <c r="S157" s="79" t="str">
        <f>IFERROR(VLOOKUP(R157,Database!$A$2:$L$175,8,FALSE),"-")</f>
        <v>-</v>
      </c>
      <c r="T157" s="79" t="str">
        <f>IFERROR(VLOOKUP(R157,Database!$A$2:$L$175,6,FALSE),"-")</f>
        <v>-</v>
      </c>
      <c r="U157" s="83" t="str">
        <f>IFERROR(VLOOKUP(R157,Database!$A$2:$L$175,9,FALSE),"-")</f>
        <v>-</v>
      </c>
      <c r="V157" s="97" t="str">
        <f>IF(AND(D157="Y",booking!T157&lt;&gt;booking!U157,booking!U157&gt;0),booking!U157,"-")</f>
        <v>-</v>
      </c>
      <c r="W157" s="80" t="str">
        <f>IFERROR(VLOOKUP(V157,Database!$A$2:$L$175,8,FALSE),"-")</f>
        <v>-</v>
      </c>
      <c r="X157" s="80" t="str">
        <f>IFERROR(VLOOKUP(V157,Database!$A$2:$L$175,6,FALSE),"-")</f>
        <v>-</v>
      </c>
      <c r="Y157" s="82" t="str">
        <f>IFERROR(VLOOKUP(V157,Database!$A$2:$L$175,9,FALSE),"-")</f>
        <v>-</v>
      </c>
    </row>
    <row r="158" spans="1:25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79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97" t="str">
        <f>IF(AND(D158="Y",booking!L158&lt;&gt;booking!M158,booking!M158&gt;0),booking!M158,"-")</f>
        <v>-</v>
      </c>
      <c r="O158" s="79" t="str">
        <f>IFERROR(VLOOKUP(N158,Database!$A$2:$L$175,8,FALSE),"-")</f>
        <v>-</v>
      </c>
      <c r="P158" s="79" t="str">
        <f>IFERROR(VLOOKUP(N158,Database!$A$2:$L$175,6,FALSE),"-")</f>
        <v>-</v>
      </c>
      <c r="Q158" s="83" t="str">
        <f>IFERROR(VLOOKUP(N158,Database!$A$2:$L$175,9,FALSE),"-")</f>
        <v>-</v>
      </c>
      <c r="R158" s="98" t="str">
        <f>IF(AND(D158="Y",booking!P158&lt;&gt;booking!Q158,booking!Q158&gt;0),booking!Q158,"-")</f>
        <v>-</v>
      </c>
      <c r="S158" s="79" t="str">
        <f>IFERROR(VLOOKUP(R158,Database!$A$2:$L$175,8,FALSE),"-")</f>
        <v>-</v>
      </c>
      <c r="T158" s="79" t="str">
        <f>IFERROR(VLOOKUP(R158,Database!$A$2:$L$175,6,FALSE),"-")</f>
        <v>-</v>
      </c>
      <c r="U158" s="83" t="str">
        <f>IFERROR(VLOOKUP(R158,Database!$A$2:$L$175,9,FALSE),"-")</f>
        <v>-</v>
      </c>
      <c r="V158" s="97" t="str">
        <f>IF(AND(D158="Y",booking!T158&lt;&gt;booking!U158,booking!U158&gt;0),booking!U158,"-")</f>
        <v>-</v>
      </c>
      <c r="W158" s="80" t="str">
        <f>IFERROR(VLOOKUP(V158,Database!$A$2:$L$175,8,FALSE),"-")</f>
        <v>-</v>
      </c>
      <c r="X158" s="80" t="str">
        <f>IFERROR(VLOOKUP(V158,Database!$A$2:$L$175,6,FALSE),"-")</f>
        <v>-</v>
      </c>
      <c r="Y158" s="82" t="str">
        <f>IFERROR(VLOOKUP(V158,Database!$A$2:$L$175,9,FALSE),"-")</f>
        <v>-</v>
      </c>
    </row>
    <row r="159" spans="1:25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79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97" t="str">
        <f>IF(AND(D159="Y",booking!L159&lt;&gt;booking!M159,booking!M159&gt;0),booking!M159,"-")</f>
        <v>-</v>
      </c>
      <c r="O159" s="79" t="str">
        <f>IFERROR(VLOOKUP(N159,Database!$A$2:$L$175,8,FALSE),"-")</f>
        <v>-</v>
      </c>
      <c r="P159" s="79" t="str">
        <f>IFERROR(VLOOKUP(N159,Database!$A$2:$L$175,6,FALSE),"-")</f>
        <v>-</v>
      </c>
      <c r="Q159" s="83" t="str">
        <f>IFERROR(VLOOKUP(N159,Database!$A$2:$L$175,9,FALSE),"-")</f>
        <v>-</v>
      </c>
      <c r="R159" s="98" t="str">
        <f>IF(AND(D159="Y",booking!P159&lt;&gt;booking!Q159,booking!Q159&gt;0),booking!Q159,"-")</f>
        <v>-</v>
      </c>
      <c r="S159" s="79" t="str">
        <f>IFERROR(VLOOKUP(R159,Database!$A$2:$L$175,8,FALSE),"-")</f>
        <v>-</v>
      </c>
      <c r="T159" s="79" t="str">
        <f>IFERROR(VLOOKUP(R159,Database!$A$2:$L$175,6,FALSE),"-")</f>
        <v>-</v>
      </c>
      <c r="U159" s="83" t="str">
        <f>IFERROR(VLOOKUP(R159,Database!$A$2:$L$175,9,FALSE),"-")</f>
        <v>-</v>
      </c>
      <c r="V159" s="97" t="str">
        <f>IF(AND(D159="Y",booking!T159&lt;&gt;booking!U159,booking!U159&gt;0),booking!U159,"-")</f>
        <v>-</v>
      </c>
      <c r="W159" s="80" t="str">
        <f>IFERROR(VLOOKUP(V159,Database!$A$2:$L$175,8,FALSE),"-")</f>
        <v>-</v>
      </c>
      <c r="X159" s="80" t="str">
        <f>IFERROR(VLOOKUP(V159,Database!$A$2:$L$175,6,FALSE),"-")</f>
        <v>-</v>
      </c>
      <c r="Y159" s="82" t="str">
        <f>IFERROR(VLOOKUP(V159,Database!$A$2:$L$175,9,FALSE),"-")</f>
        <v>-</v>
      </c>
    </row>
    <row r="160" spans="1:25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79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97" t="str">
        <f>IF(AND(D160="Y",booking!L160&lt;&gt;booking!M160,booking!M160&gt;0),booking!M160,"-")</f>
        <v>-</v>
      </c>
      <c r="O160" s="79" t="str">
        <f>IFERROR(VLOOKUP(N160,Database!$A$2:$L$175,8,FALSE),"-")</f>
        <v>-</v>
      </c>
      <c r="P160" s="79" t="str">
        <f>IFERROR(VLOOKUP(N160,Database!$A$2:$L$175,6,FALSE),"-")</f>
        <v>-</v>
      </c>
      <c r="Q160" s="83" t="str">
        <f>IFERROR(VLOOKUP(N160,Database!$A$2:$L$175,9,FALSE),"-")</f>
        <v>-</v>
      </c>
      <c r="R160" s="98" t="str">
        <f>IF(AND(D160="Y",booking!P160&lt;&gt;booking!Q160,booking!Q160&gt;0),booking!Q160,"-")</f>
        <v>-</v>
      </c>
      <c r="S160" s="79" t="str">
        <f>IFERROR(VLOOKUP(R160,Database!$A$2:$L$175,8,FALSE),"-")</f>
        <v>-</v>
      </c>
      <c r="T160" s="79" t="str">
        <f>IFERROR(VLOOKUP(R160,Database!$A$2:$L$175,6,FALSE),"-")</f>
        <v>-</v>
      </c>
      <c r="U160" s="83" t="str">
        <f>IFERROR(VLOOKUP(R160,Database!$A$2:$L$175,9,FALSE),"-")</f>
        <v>-</v>
      </c>
      <c r="V160" s="97" t="str">
        <f>IF(AND(D160="Y",booking!T160&lt;&gt;booking!U160,booking!U160&gt;0),booking!U160,"-")</f>
        <v>-</v>
      </c>
      <c r="W160" s="80" t="str">
        <f>IFERROR(VLOOKUP(V160,Database!$A$2:$L$175,8,FALSE),"-")</f>
        <v>-</v>
      </c>
      <c r="X160" s="80" t="str">
        <f>IFERROR(VLOOKUP(V160,Database!$A$2:$L$175,6,FALSE),"-")</f>
        <v>-</v>
      </c>
      <c r="Y160" s="82" t="str">
        <f>IFERROR(VLOOKUP(V160,Database!$A$2:$L$175,9,FALSE),"-")</f>
        <v>-</v>
      </c>
    </row>
    <row r="161" spans="1:25" ht="15" customHeight="1" thickBot="1" x14ac:dyDescent="0.4">
      <c r="A161" s="89" t="str">
        <f>rengøring!A161</f>
        <v>lørdag</v>
      </c>
      <c r="B161" s="87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79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97" t="str">
        <f>IF(AND(D161="Y",booking!L161&lt;&gt;booking!M161,booking!M161&gt;0),booking!M161,"-")</f>
        <v>-</v>
      </c>
      <c r="O161" s="79" t="str">
        <f>IFERROR(VLOOKUP(N161,Database!$A$2:$L$175,8,FALSE),"-")</f>
        <v>-</v>
      </c>
      <c r="P161" s="79" t="str">
        <f>IFERROR(VLOOKUP(N161,Database!$A$2:$L$175,6,FALSE),"-")</f>
        <v>-</v>
      </c>
      <c r="Q161" s="83" t="str">
        <f>IFERROR(VLOOKUP(N161,Database!$A$2:$L$175,9,FALSE),"-")</f>
        <v>-</v>
      </c>
      <c r="R161" s="98" t="str">
        <f>IF(AND(D161="Y",booking!P161&lt;&gt;booking!Q161,booking!Q161&gt;0),booking!Q161,"-")</f>
        <v>-</v>
      </c>
      <c r="S161" s="79" t="str">
        <f>IFERROR(VLOOKUP(R161,Database!$A$2:$L$175,8,FALSE),"-")</f>
        <v>-</v>
      </c>
      <c r="T161" s="79" t="str">
        <f>IFERROR(VLOOKUP(R161,Database!$A$2:$L$175,6,FALSE),"-")</f>
        <v>-</v>
      </c>
      <c r="U161" s="83" t="str">
        <f>IFERROR(VLOOKUP(R161,Database!$A$2:$L$175,9,FALSE),"-")</f>
        <v>-</v>
      </c>
      <c r="V161" s="97" t="str">
        <f>IF(AND(D161="Y",booking!T161&lt;&gt;booking!U161,booking!U161&gt;0),booking!U161,"-")</f>
        <v>-</v>
      </c>
      <c r="W161" s="80" t="str">
        <f>IFERROR(VLOOKUP(V161,Database!$A$2:$L$175,8,FALSE),"-")</f>
        <v>-</v>
      </c>
      <c r="X161" s="80" t="str">
        <f>IFERROR(VLOOKUP(V161,Database!$A$2:$L$175,6,FALSE),"-")</f>
        <v>-</v>
      </c>
      <c r="Y161" s="82" t="str">
        <f>IFERROR(VLOOKUP(V161,Database!$A$2:$L$175,9,FALSE),"-")</f>
        <v>-</v>
      </c>
    </row>
    <row r="162" spans="1:25" ht="15" customHeight="1" thickBot="1" x14ac:dyDescent="0.4">
      <c r="A162" s="89" t="str">
        <f>rengøring!A162</f>
        <v>søndag</v>
      </c>
      <c r="B162" s="85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79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97" t="str">
        <f>IF(AND(D162="Y",booking!L162&lt;&gt;booking!M162,booking!M162&gt;0),booking!M162,"-")</f>
        <v>-</v>
      </c>
      <c r="O162" s="79" t="str">
        <f>IFERROR(VLOOKUP(N162,Database!$A$2:$L$175,8,FALSE),"-")</f>
        <v>-</v>
      </c>
      <c r="P162" s="79" t="str">
        <f>IFERROR(VLOOKUP(N162,Database!$A$2:$L$175,6,FALSE),"-")</f>
        <v>-</v>
      </c>
      <c r="Q162" s="83" t="str">
        <f>IFERROR(VLOOKUP(N162,Database!$A$2:$L$175,9,FALSE),"-")</f>
        <v>-</v>
      </c>
      <c r="R162" s="98" t="str">
        <f>IF(AND(D162="Y",booking!P162&lt;&gt;booking!Q162,booking!Q162&gt;0),booking!Q162,"-")</f>
        <v>-</v>
      </c>
      <c r="S162" s="79" t="str">
        <f>IFERROR(VLOOKUP(R162,Database!$A$2:$L$175,8,FALSE),"-")</f>
        <v>-</v>
      </c>
      <c r="T162" s="79" t="str">
        <f>IFERROR(VLOOKUP(R162,Database!$A$2:$L$175,6,FALSE),"-")</f>
        <v>-</v>
      </c>
      <c r="U162" s="83" t="str">
        <f>IFERROR(VLOOKUP(R162,Database!$A$2:$L$175,9,FALSE),"-")</f>
        <v>-</v>
      </c>
      <c r="V162" s="97" t="str">
        <f>IF(AND(D162="Y",booking!T162&lt;&gt;booking!U162,booking!U162&gt;0),booking!U162,"-")</f>
        <v>-</v>
      </c>
      <c r="W162" s="80" t="str">
        <f>IFERROR(VLOOKUP(V162,Database!$A$2:$L$175,8,FALSE),"-")</f>
        <v>-</v>
      </c>
      <c r="X162" s="80" t="str">
        <f>IFERROR(VLOOKUP(V162,Database!$A$2:$L$175,6,FALSE),"-")</f>
        <v>-</v>
      </c>
      <c r="Y162" s="82" t="str">
        <f>IFERROR(VLOOKUP(V162,Database!$A$2:$L$175,9,FALSE),"-")</f>
        <v>-</v>
      </c>
    </row>
    <row r="163" spans="1:25" ht="15" customHeight="1" thickBot="1" x14ac:dyDescent="0.4">
      <c r="A163" s="89" t="str">
        <f>rengøring!A163</f>
        <v>mandag</v>
      </c>
      <c r="B163" s="87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79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97" t="str">
        <f>IF(AND(D163="Y",booking!L163&lt;&gt;booking!M163,booking!M163&gt;0),booking!M163,"-")</f>
        <v>-</v>
      </c>
      <c r="O163" s="79" t="str">
        <f>IFERROR(VLOOKUP(N163,Database!$A$2:$L$175,8,FALSE),"-")</f>
        <v>-</v>
      </c>
      <c r="P163" s="79" t="str">
        <f>IFERROR(VLOOKUP(N163,Database!$A$2:$L$175,6,FALSE),"-")</f>
        <v>-</v>
      </c>
      <c r="Q163" s="83" t="str">
        <f>IFERROR(VLOOKUP(N163,Database!$A$2:$L$175,9,FALSE),"-")</f>
        <v>-</v>
      </c>
      <c r="R163" s="98" t="str">
        <f>IF(AND(D163="Y",booking!P163&lt;&gt;booking!Q163,booking!Q163&gt;0),booking!Q163,"-")</f>
        <v>-</v>
      </c>
      <c r="S163" s="79" t="str">
        <f>IFERROR(VLOOKUP(R163,Database!$A$2:$L$175,8,FALSE),"-")</f>
        <v>-</v>
      </c>
      <c r="T163" s="79" t="str">
        <f>IFERROR(VLOOKUP(R163,Database!$A$2:$L$175,6,FALSE),"-")</f>
        <v>-</v>
      </c>
      <c r="U163" s="83" t="str">
        <f>IFERROR(VLOOKUP(R163,Database!$A$2:$L$175,9,FALSE),"-")</f>
        <v>-</v>
      </c>
      <c r="V163" s="97" t="str">
        <f>IF(AND(D163="Y",booking!T163&lt;&gt;booking!U163,booking!U163&gt;0),booking!U163,"-")</f>
        <v>-</v>
      </c>
      <c r="W163" s="80" t="str">
        <f>IFERROR(VLOOKUP(V163,Database!$A$2:$L$175,8,FALSE),"-")</f>
        <v>-</v>
      </c>
      <c r="X163" s="80" t="str">
        <f>IFERROR(VLOOKUP(V163,Database!$A$2:$L$175,6,FALSE),"-")</f>
        <v>-</v>
      </c>
      <c r="Y163" s="82" t="str">
        <f>IFERROR(VLOOKUP(V163,Database!$A$2:$L$175,9,FALSE),"-")</f>
        <v>-</v>
      </c>
    </row>
    <row r="164" spans="1:25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79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97" t="str">
        <f>IF(AND(D164="Y",booking!L164&lt;&gt;booking!M164,booking!M164&gt;0),booking!M164,"-")</f>
        <v>-</v>
      </c>
      <c r="O164" s="79" t="str">
        <f>IFERROR(VLOOKUP(N164,Database!$A$2:$L$175,8,FALSE),"-")</f>
        <v>-</v>
      </c>
      <c r="P164" s="79" t="str">
        <f>IFERROR(VLOOKUP(N164,Database!$A$2:$L$175,6,FALSE),"-")</f>
        <v>-</v>
      </c>
      <c r="Q164" s="83" t="str">
        <f>IFERROR(VLOOKUP(N164,Database!$A$2:$L$175,9,FALSE),"-")</f>
        <v>-</v>
      </c>
      <c r="R164" s="98" t="str">
        <f>IF(AND(D164="Y",booking!P164&lt;&gt;booking!Q164,booking!Q164&gt;0),booking!Q164,"-")</f>
        <v>-</v>
      </c>
      <c r="S164" s="79" t="str">
        <f>IFERROR(VLOOKUP(R164,Database!$A$2:$L$175,8,FALSE),"-")</f>
        <v>-</v>
      </c>
      <c r="T164" s="79" t="str">
        <f>IFERROR(VLOOKUP(R164,Database!$A$2:$L$175,6,FALSE),"-")</f>
        <v>-</v>
      </c>
      <c r="U164" s="83" t="str">
        <f>IFERROR(VLOOKUP(R164,Database!$A$2:$L$175,9,FALSE),"-")</f>
        <v>-</v>
      </c>
      <c r="V164" s="97" t="str">
        <f>IF(AND(D164="Y",booking!T164&lt;&gt;booking!U164,booking!U164&gt;0),booking!U164,"-")</f>
        <v>-</v>
      </c>
      <c r="W164" s="80" t="str">
        <f>IFERROR(VLOOKUP(V164,Database!$A$2:$L$175,8,FALSE),"-")</f>
        <v>-</v>
      </c>
      <c r="X164" s="80" t="str">
        <f>IFERROR(VLOOKUP(V164,Database!$A$2:$L$175,6,FALSE),"-")</f>
        <v>-</v>
      </c>
      <c r="Y164" s="82" t="str">
        <f>IFERROR(VLOOKUP(V164,Database!$A$2:$L$175,9,FALSE),"-")</f>
        <v>-</v>
      </c>
    </row>
    <row r="165" spans="1:25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79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97" t="str">
        <f>IF(AND(D165="Y",booking!L165&lt;&gt;booking!M165,booking!M165&gt;0),booking!M165,"-")</f>
        <v>-</v>
      </c>
      <c r="O165" s="79" t="str">
        <f>IFERROR(VLOOKUP(N165,Database!$A$2:$L$175,8,FALSE),"-")</f>
        <v>-</v>
      </c>
      <c r="P165" s="79" t="str">
        <f>IFERROR(VLOOKUP(N165,Database!$A$2:$L$175,6,FALSE),"-")</f>
        <v>-</v>
      </c>
      <c r="Q165" s="83" t="str">
        <f>IFERROR(VLOOKUP(N165,Database!$A$2:$L$175,9,FALSE),"-")</f>
        <v>-</v>
      </c>
      <c r="R165" s="98" t="str">
        <f>IF(AND(D165="Y",booking!P165&lt;&gt;booking!Q165,booking!Q165&gt;0),booking!Q165,"-")</f>
        <v>-</v>
      </c>
      <c r="S165" s="79" t="str">
        <f>IFERROR(VLOOKUP(R165,Database!$A$2:$L$175,8,FALSE),"-")</f>
        <v>-</v>
      </c>
      <c r="T165" s="79" t="str">
        <f>IFERROR(VLOOKUP(R165,Database!$A$2:$L$175,6,FALSE),"-")</f>
        <v>-</v>
      </c>
      <c r="U165" s="83" t="str">
        <f>IFERROR(VLOOKUP(R165,Database!$A$2:$L$175,9,FALSE),"-")</f>
        <v>-</v>
      </c>
      <c r="V165" s="97" t="str">
        <f>IF(AND(D165="Y",booking!T165&lt;&gt;booking!U165,booking!U165&gt;0),booking!U165,"-")</f>
        <v>-</v>
      </c>
      <c r="W165" s="80" t="str">
        <f>IFERROR(VLOOKUP(V165,Database!$A$2:$L$175,8,FALSE),"-")</f>
        <v>-</v>
      </c>
      <c r="X165" s="80" t="str">
        <f>IFERROR(VLOOKUP(V165,Database!$A$2:$L$175,6,FALSE),"-")</f>
        <v>-</v>
      </c>
      <c r="Y165" s="82" t="str">
        <f>IFERROR(VLOOKUP(V165,Database!$A$2:$L$175,9,FALSE),"-")</f>
        <v>-</v>
      </c>
    </row>
    <row r="166" spans="1:25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79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97" t="str">
        <f>IF(AND(D166="Y",booking!L166&lt;&gt;booking!M166,booking!M166&gt;0),booking!M166,"-")</f>
        <v>-</v>
      </c>
      <c r="O166" s="79" t="str">
        <f>IFERROR(VLOOKUP(N166,Database!$A$2:$L$175,8,FALSE),"-")</f>
        <v>-</v>
      </c>
      <c r="P166" s="79" t="str">
        <f>IFERROR(VLOOKUP(N166,Database!$A$2:$L$175,6,FALSE),"-")</f>
        <v>-</v>
      </c>
      <c r="Q166" s="83" t="str">
        <f>IFERROR(VLOOKUP(N166,Database!$A$2:$L$175,9,FALSE),"-")</f>
        <v>-</v>
      </c>
      <c r="R166" s="98" t="str">
        <f>IF(AND(D166="Y",booking!P166&lt;&gt;booking!Q166,booking!Q166&gt;0),booking!Q166,"-")</f>
        <v>-</v>
      </c>
      <c r="S166" s="79" t="str">
        <f>IFERROR(VLOOKUP(R166,Database!$A$2:$L$175,8,FALSE),"-")</f>
        <v>-</v>
      </c>
      <c r="T166" s="79" t="str">
        <f>IFERROR(VLOOKUP(R166,Database!$A$2:$L$175,6,FALSE),"-")</f>
        <v>-</v>
      </c>
      <c r="U166" s="83" t="str">
        <f>IFERROR(VLOOKUP(R166,Database!$A$2:$L$175,9,FALSE),"-")</f>
        <v>-</v>
      </c>
      <c r="V166" s="97" t="str">
        <f>IF(AND(D166="Y",booking!T166&lt;&gt;booking!U166,booking!U166&gt;0),booking!U166,"-")</f>
        <v>-</v>
      </c>
      <c r="W166" s="80" t="str">
        <f>IFERROR(VLOOKUP(V166,Database!$A$2:$L$175,8,FALSE),"-")</f>
        <v>-</v>
      </c>
      <c r="X166" s="80" t="str">
        <f>IFERROR(VLOOKUP(V166,Database!$A$2:$L$175,6,FALSE),"-")</f>
        <v>-</v>
      </c>
      <c r="Y166" s="82" t="str">
        <f>IFERROR(VLOOKUP(V166,Database!$A$2:$L$175,9,FALSE),"-")</f>
        <v>-</v>
      </c>
    </row>
    <row r="167" spans="1:25" ht="15" customHeight="1" thickBot="1" x14ac:dyDescent="0.4">
      <c r="A167" s="89" t="str">
        <f>rengøring!A167</f>
        <v>fredag</v>
      </c>
      <c r="B167" s="87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79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97" t="str">
        <f>IF(AND(D167="Y",booking!L167&lt;&gt;booking!M167,booking!M167&gt;0),booking!M167,"-")</f>
        <v>-</v>
      </c>
      <c r="O167" s="79" t="str">
        <f>IFERROR(VLOOKUP(N167,Database!$A$2:$L$175,8,FALSE),"-")</f>
        <v>-</v>
      </c>
      <c r="P167" s="79" t="str">
        <f>IFERROR(VLOOKUP(N167,Database!$A$2:$L$175,6,FALSE),"-")</f>
        <v>-</v>
      </c>
      <c r="Q167" s="83" t="str">
        <f>IFERROR(VLOOKUP(N167,Database!$A$2:$L$175,9,FALSE),"-")</f>
        <v>-</v>
      </c>
      <c r="R167" s="98" t="str">
        <f>IF(AND(D167="Y",booking!P167&lt;&gt;booking!Q167,booking!Q167&gt;0),booking!Q167,"-")</f>
        <v>-</v>
      </c>
      <c r="S167" s="79" t="str">
        <f>IFERROR(VLOOKUP(R167,Database!$A$2:$L$175,8,FALSE),"-")</f>
        <v>-</v>
      </c>
      <c r="T167" s="79" t="str">
        <f>IFERROR(VLOOKUP(R167,Database!$A$2:$L$175,6,FALSE),"-")</f>
        <v>-</v>
      </c>
      <c r="U167" s="83" t="str">
        <f>IFERROR(VLOOKUP(R167,Database!$A$2:$L$175,9,FALSE),"-")</f>
        <v>-</v>
      </c>
      <c r="V167" s="97" t="str">
        <f>IF(AND(D167="Y",booking!T167&lt;&gt;booking!U167,booking!U167&gt;0),booking!U167,"-")</f>
        <v>-</v>
      </c>
      <c r="W167" s="80" t="str">
        <f>IFERROR(VLOOKUP(V167,Database!$A$2:$L$175,8,FALSE),"-")</f>
        <v>-</v>
      </c>
      <c r="X167" s="80" t="str">
        <f>IFERROR(VLOOKUP(V167,Database!$A$2:$L$175,6,FALSE),"-")</f>
        <v>-</v>
      </c>
      <c r="Y167" s="82" t="str">
        <f>IFERROR(VLOOKUP(V167,Database!$A$2:$L$175,9,FALSE),"-")</f>
        <v>-</v>
      </c>
    </row>
    <row r="168" spans="1:25" ht="15" customHeight="1" thickBot="1" x14ac:dyDescent="0.4">
      <c r="A168" s="89" t="str">
        <f>rengøring!A168</f>
        <v>lørdag</v>
      </c>
      <c r="B168" s="85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79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97" t="str">
        <f>IF(AND(D168="Y",booking!L168&lt;&gt;booking!M168,booking!M168&gt;0),booking!M168,"-")</f>
        <v>-</v>
      </c>
      <c r="O168" s="79" t="str">
        <f>IFERROR(VLOOKUP(N168,Database!$A$2:$L$175,8,FALSE),"-")</f>
        <v>-</v>
      </c>
      <c r="P168" s="79" t="str">
        <f>IFERROR(VLOOKUP(N168,Database!$A$2:$L$175,6,FALSE),"-")</f>
        <v>-</v>
      </c>
      <c r="Q168" s="83" t="str">
        <f>IFERROR(VLOOKUP(N168,Database!$A$2:$L$175,9,FALSE),"-")</f>
        <v>-</v>
      </c>
      <c r="R168" s="98" t="str">
        <f>IF(AND(D168="Y",booking!P168&lt;&gt;booking!Q168,booking!Q168&gt;0),booking!Q168,"-")</f>
        <v>-</v>
      </c>
      <c r="S168" s="79" t="str">
        <f>IFERROR(VLOOKUP(R168,Database!$A$2:$L$175,8,FALSE),"-")</f>
        <v>-</v>
      </c>
      <c r="T168" s="79" t="str">
        <f>IFERROR(VLOOKUP(R168,Database!$A$2:$L$175,6,FALSE),"-")</f>
        <v>-</v>
      </c>
      <c r="U168" s="83" t="str">
        <f>IFERROR(VLOOKUP(R168,Database!$A$2:$L$175,9,FALSE),"-")</f>
        <v>-</v>
      </c>
      <c r="V168" s="97" t="str">
        <f>IF(AND(D168="Y",booking!T168&lt;&gt;booking!U168,booking!U168&gt;0),booking!U168,"-")</f>
        <v>-</v>
      </c>
      <c r="W168" s="80" t="str">
        <f>IFERROR(VLOOKUP(V168,Database!$A$2:$L$175,8,FALSE),"-")</f>
        <v>-</v>
      </c>
      <c r="X168" s="80" t="str">
        <f>IFERROR(VLOOKUP(V168,Database!$A$2:$L$175,6,FALSE),"-")</f>
        <v>-</v>
      </c>
      <c r="Y168" s="82" t="str">
        <f>IFERROR(VLOOKUP(V168,Database!$A$2:$L$175,9,FALSE),"-")</f>
        <v>-</v>
      </c>
    </row>
    <row r="169" spans="1:25" ht="15" customHeight="1" thickBot="1" x14ac:dyDescent="0.4">
      <c r="A169" s="89" t="str">
        <f>rengøring!A169</f>
        <v>søndag</v>
      </c>
      <c r="B169" s="87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79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97" t="str">
        <f>IF(AND(D169="Y",booking!L169&lt;&gt;booking!M169,booking!M169&gt;0),booking!M169,"-")</f>
        <v>-</v>
      </c>
      <c r="O169" s="79" t="str">
        <f>IFERROR(VLOOKUP(N169,Database!$A$2:$L$175,8,FALSE),"-")</f>
        <v>-</v>
      </c>
      <c r="P169" s="79" t="str">
        <f>IFERROR(VLOOKUP(N169,Database!$A$2:$L$175,6,FALSE),"-")</f>
        <v>-</v>
      </c>
      <c r="Q169" s="83" t="str">
        <f>IFERROR(VLOOKUP(N169,Database!$A$2:$L$175,9,FALSE),"-")</f>
        <v>-</v>
      </c>
      <c r="R169" s="98" t="str">
        <f>IF(AND(D169="Y",booking!P169&lt;&gt;booking!Q169,booking!Q169&gt;0),booking!Q169,"-")</f>
        <v>-</v>
      </c>
      <c r="S169" s="79" t="str">
        <f>IFERROR(VLOOKUP(R169,Database!$A$2:$L$175,8,FALSE),"-")</f>
        <v>-</v>
      </c>
      <c r="T169" s="79" t="str">
        <f>IFERROR(VLOOKUP(R169,Database!$A$2:$L$175,6,FALSE),"-")</f>
        <v>-</v>
      </c>
      <c r="U169" s="83" t="str">
        <f>IFERROR(VLOOKUP(R169,Database!$A$2:$L$175,9,FALSE),"-")</f>
        <v>-</v>
      </c>
      <c r="V169" s="97" t="str">
        <f>IF(AND(D169="Y",booking!T169&lt;&gt;booking!U169,booking!U169&gt;0),booking!U169,"-")</f>
        <v>-</v>
      </c>
      <c r="W169" s="80" t="str">
        <f>IFERROR(VLOOKUP(V169,Database!$A$2:$L$175,8,FALSE),"-")</f>
        <v>-</v>
      </c>
      <c r="X169" s="80" t="str">
        <f>IFERROR(VLOOKUP(V169,Database!$A$2:$L$175,6,FALSE),"-")</f>
        <v>-</v>
      </c>
      <c r="Y169" s="82" t="str">
        <f>IFERROR(VLOOKUP(V169,Database!$A$2:$L$175,9,FALSE),"-")</f>
        <v>-</v>
      </c>
    </row>
    <row r="170" spans="1:25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79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97" t="str">
        <f>IF(AND(D170="Y",booking!L170&lt;&gt;booking!M170,booking!M170&gt;0),booking!M170,"-")</f>
        <v>-</v>
      </c>
      <c r="O170" s="79" t="str">
        <f>IFERROR(VLOOKUP(N170,Database!$A$2:$L$175,8,FALSE),"-")</f>
        <v>-</v>
      </c>
      <c r="P170" s="79" t="str">
        <f>IFERROR(VLOOKUP(N170,Database!$A$2:$L$175,6,FALSE),"-")</f>
        <v>-</v>
      </c>
      <c r="Q170" s="83" t="str">
        <f>IFERROR(VLOOKUP(N170,Database!$A$2:$L$175,9,FALSE),"-")</f>
        <v>-</v>
      </c>
      <c r="R170" s="98" t="str">
        <f>IF(AND(D170="Y",booking!P170&lt;&gt;booking!Q170,booking!Q170&gt;0),booking!Q170,"-")</f>
        <v>-</v>
      </c>
      <c r="S170" s="79" t="str">
        <f>IFERROR(VLOOKUP(R170,Database!$A$2:$L$175,8,FALSE),"-")</f>
        <v>-</v>
      </c>
      <c r="T170" s="79" t="str">
        <f>IFERROR(VLOOKUP(R170,Database!$A$2:$L$175,6,FALSE),"-")</f>
        <v>-</v>
      </c>
      <c r="U170" s="83" t="str">
        <f>IFERROR(VLOOKUP(R170,Database!$A$2:$L$175,9,FALSE),"-")</f>
        <v>-</v>
      </c>
      <c r="V170" s="97" t="str">
        <f>IF(AND(D170="Y",booking!T170&lt;&gt;booking!U170,booking!U170&gt;0),booking!U170,"-")</f>
        <v>-</v>
      </c>
      <c r="W170" s="80" t="str">
        <f>IFERROR(VLOOKUP(V170,Database!$A$2:$L$175,8,FALSE),"-")</f>
        <v>-</v>
      </c>
      <c r="X170" s="80" t="str">
        <f>IFERROR(VLOOKUP(V170,Database!$A$2:$L$175,6,FALSE),"-")</f>
        <v>-</v>
      </c>
      <c r="Y170" s="82" t="str">
        <f>IFERROR(VLOOKUP(V170,Database!$A$2:$L$175,9,FALSE),"-")</f>
        <v>-</v>
      </c>
    </row>
    <row r="171" spans="1:25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8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97" t="str">
        <f>IF(AND(D171="Y",booking!L171&lt;&gt;booking!M171,booking!M171&gt;0),booking!M171,"-")</f>
        <v>-</v>
      </c>
      <c r="O171" s="81" t="str">
        <f>IFERROR(VLOOKUP(N171,Database!$A$2:$L$175,8,FALSE),"-")</f>
        <v>-</v>
      </c>
      <c r="P171" s="81" t="str">
        <f>IFERROR(VLOOKUP(N171,Database!$A$2:$L$175,6,FALSE),"-")</f>
        <v>-</v>
      </c>
      <c r="Q171" s="84" t="str">
        <f>IFERROR(VLOOKUP(N171,Database!$A$2:$L$175,9,FALSE),"-")</f>
        <v>-</v>
      </c>
      <c r="R171" s="98" t="str">
        <f>IF(AND(D171="Y",booking!P171&lt;&gt;booking!Q171,booking!Q171&gt;0),booking!Q171,"-")</f>
        <v>-</v>
      </c>
      <c r="S171" s="81" t="str">
        <f>IFERROR(VLOOKUP(R171,Database!$A$2:$L$175,8,FALSE),"-")</f>
        <v>-</v>
      </c>
      <c r="T171" s="81" t="str">
        <f>IFERROR(VLOOKUP(R171,Database!$A$2:$L$175,6,FALSE),"-")</f>
        <v>-</v>
      </c>
      <c r="U171" s="84" t="str">
        <f>IFERROR(VLOOKUP(R171,Database!$A$2:$L$175,9,FALSE),"-")</f>
        <v>-</v>
      </c>
      <c r="V171" s="97" t="str">
        <f>IF(AND(D171="Y",booking!T171&lt;&gt;booking!U171,booking!U171&gt;0),booking!U171,"-")</f>
        <v>-</v>
      </c>
      <c r="W171" s="80" t="str">
        <f>IFERROR(VLOOKUP(V171,Database!$A$2:$L$175,8,FALSE),"-")</f>
        <v>-</v>
      </c>
      <c r="X171" s="80" t="str">
        <f>IFERROR(VLOOKUP(V171,Database!$A$2:$L$175,6,FALSE),"-")</f>
        <v>-</v>
      </c>
      <c r="Y171" s="82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 r:id="rId1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235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147</v>
      </c>
      <c r="C1" s="101" t="s">
        <v>148</v>
      </c>
      <c r="D1" s="102" t="s">
        <v>149</v>
      </c>
      <c r="E1" s="99" t="s">
        <v>150</v>
      </c>
      <c r="F1" s="102" t="s">
        <v>151</v>
      </c>
      <c r="G1" s="99" t="s">
        <v>152</v>
      </c>
      <c r="H1" s="102" t="s">
        <v>153</v>
      </c>
      <c r="I1" s="99" t="s">
        <v>154</v>
      </c>
      <c r="J1" s="102" t="s">
        <v>155</v>
      </c>
      <c r="K1" s="99" t="s">
        <v>156</v>
      </c>
      <c r="L1" s="102" t="s">
        <v>157</v>
      </c>
      <c r="M1" s="99" t="s">
        <v>158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va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va</v>
      </c>
      <c r="E23" s="132" t="str">
        <f>IF(booking!I23&gt;0,"oc","va")</f>
        <v>va</v>
      </c>
      <c r="F23" s="131" t="str">
        <f>IF(booking!L23&gt;0,"oc","va")</f>
        <v>va</v>
      </c>
      <c r="G23" s="132" t="str">
        <f>IF(booking!M23&gt;0,"oc","va")</f>
        <v>va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va</v>
      </c>
      <c r="E24" s="132" t="str">
        <f>IF(booking!I24&gt;0,"oc","va")</f>
        <v>va</v>
      </c>
      <c r="F24" s="131" t="str">
        <f>IF(booking!L24&gt;0,"oc","va")</f>
        <v>va</v>
      </c>
      <c r="G24" s="132" t="str">
        <f>IF(booking!M24&gt;0,"oc","va")</f>
        <v>va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va</v>
      </c>
      <c r="E25" s="132" t="str">
        <f>IF(booking!I25&gt;0,"oc","va")</f>
        <v>va</v>
      </c>
      <c r="F25" s="131" t="str">
        <f>IF(booking!L25&gt;0,"oc","va")</f>
        <v>va</v>
      </c>
      <c r="G25" s="132" t="str">
        <f>IF(booking!M25&gt;0,"oc","va")</f>
        <v>va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va</v>
      </c>
      <c r="D26" s="131" t="str">
        <f>IF(booking!H26&gt;0,"oc","va")</f>
        <v>va</v>
      </c>
      <c r="E26" s="132" t="str">
        <f>IF(booking!I26&gt;0,"oc","va")</f>
        <v>oc</v>
      </c>
      <c r="F26" s="131" t="str">
        <f>IF(booking!L26&gt;0,"oc","va")</f>
        <v>va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va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oc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oc</v>
      </c>
      <c r="G28" s="132" t="str">
        <f>IF(booking!M28&gt;0,"oc","va")</f>
        <v>oc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oc</v>
      </c>
      <c r="G29" s="132" t="str">
        <f>IF(booking!M29&gt;0,"oc","va")</f>
        <v>oc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oc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oc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oc</v>
      </c>
      <c r="I36" s="132" t="str">
        <f>IF(booking!Q36&gt;0,"oc","va")</f>
        <v>oc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oc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va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va</v>
      </c>
      <c r="E56" s="132" t="str">
        <f>IF(booking!I56&gt;0,"oc","va")</f>
        <v>va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va</v>
      </c>
      <c r="E57" s="132" t="str">
        <f>IF(booking!I57&gt;0,"oc","va")</f>
        <v>va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va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va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va</v>
      </c>
      <c r="E124" s="132" t="str">
        <f>IF(booking!I124&gt;0,"oc","va")</f>
        <v>va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va</v>
      </c>
      <c r="E125" s="132" t="str">
        <f>IF(booking!I125&gt;0,"oc","va")</f>
        <v>va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va</v>
      </c>
      <c r="E126" s="132" t="str">
        <f>IF(booking!I126&gt;0,"oc","va")</f>
        <v>va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va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2026-03-30T15:46:13Z</dcterms:modified>
  <cp:category/>
  <cp:contentStatus/>
</cp:coreProperties>
</file>