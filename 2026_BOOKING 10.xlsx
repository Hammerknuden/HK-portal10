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295" documentId="8_{48B37ED3-8953-4CF0-98FF-01FF5DFD1860}" xr6:coauthVersionLast="47" xr6:coauthVersionMax="47" xr10:uidLastSave="{29D6BE28-3D0A-4348-8BD9-B68C8EEAE729}"/>
  <bookViews>
    <workbookView xWindow="-110" yWindow="-110" windowWidth="19420" windowHeight="11500" firstSheet="1" activeTab="1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0" i="2" l="1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95" i="10"/>
  <c r="J95" i="10"/>
  <c r="I96" i="10"/>
  <c r="J96" i="10"/>
  <c r="I97" i="10"/>
  <c r="J97" i="10"/>
  <c r="I98" i="10"/>
  <c r="J98" i="10"/>
  <c r="I99" i="10"/>
  <c r="J99" i="10"/>
  <c r="I100" i="10"/>
  <c r="J100" i="10"/>
  <c r="I101" i="10"/>
  <c r="J101" i="10"/>
  <c r="I102" i="10"/>
  <c r="J102" i="10"/>
  <c r="I103" i="10"/>
  <c r="J103" i="10"/>
  <c r="I104" i="10"/>
  <c r="J104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I72" i="10" s="1"/>
  <c r="C72" i="10"/>
  <c r="D72" i="10"/>
  <c r="E72" i="10"/>
  <c r="F72" i="10"/>
  <c r="G72" i="10" s="1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E92" i="10" s="1"/>
  <c r="F92" i="10"/>
  <c r="A93" i="10"/>
  <c r="B93" i="10"/>
  <c r="C93" i="10"/>
  <c r="E93" i="10" s="1"/>
  <c r="G93" i="10" s="1"/>
  <c r="D93" i="10"/>
  <c r="F93" i="10"/>
  <c r="A94" i="10"/>
  <c r="B94" i="10"/>
  <c r="I94" i="10" s="1"/>
  <c r="C94" i="10"/>
  <c r="D94" i="10"/>
  <c r="E94" i="10"/>
  <c r="G94" i="10" s="1"/>
  <c r="F94" i="10"/>
  <c r="A95" i="10"/>
  <c r="B95" i="10"/>
  <c r="C95" i="10"/>
  <c r="D95" i="10"/>
  <c r="E95" i="10" s="1"/>
  <c r="G95" i="10" s="1"/>
  <c r="F95" i="10"/>
  <c r="A96" i="10"/>
  <c r="B96" i="10"/>
  <c r="C96" i="10"/>
  <c r="D96" i="10"/>
  <c r="E96" i="10"/>
  <c r="F96" i="10"/>
  <c r="G96" i="10"/>
  <c r="A97" i="10"/>
  <c r="B97" i="10"/>
  <c r="C97" i="10"/>
  <c r="E97" i="10" s="1"/>
  <c r="G97" i="10" s="1"/>
  <c r="D97" i="10"/>
  <c r="F97" i="10"/>
  <c r="A98" i="10"/>
  <c r="B98" i="10"/>
  <c r="C98" i="10"/>
  <c r="D98" i="10"/>
  <c r="E98" i="10"/>
  <c r="F98" i="10"/>
  <c r="G98" i="10"/>
  <c r="A99" i="10"/>
  <c r="B99" i="10"/>
  <c r="C99" i="10"/>
  <c r="E99" i="10" s="1"/>
  <c r="G99" i="10" s="1"/>
  <c r="D99" i="10"/>
  <c r="F99" i="10"/>
  <c r="A100" i="10"/>
  <c r="B100" i="10"/>
  <c r="C100" i="10"/>
  <c r="D100" i="10"/>
  <c r="E100" i="10"/>
  <c r="G100" i="10" s="1"/>
  <c r="F100" i="10"/>
  <c r="A101" i="10"/>
  <c r="B101" i="10"/>
  <c r="C101" i="10"/>
  <c r="D101" i="10"/>
  <c r="E101" i="10"/>
  <c r="F101" i="10"/>
  <c r="G101" i="10"/>
  <c r="A102" i="10"/>
  <c r="B102" i="10"/>
  <c r="C102" i="10"/>
  <c r="D102" i="10"/>
  <c r="E102" i="10" s="1"/>
  <c r="G102" i="10" s="1"/>
  <c r="F102" i="10"/>
  <c r="A103" i="10"/>
  <c r="B103" i="10"/>
  <c r="C103" i="10"/>
  <c r="D103" i="10"/>
  <c r="E103" i="10"/>
  <c r="F103" i="10"/>
  <c r="G103" i="10"/>
  <c r="A104" i="10"/>
  <c r="B104" i="10"/>
  <c r="C104" i="10"/>
  <c r="D104" i="10"/>
  <c r="E104" i="10" s="1"/>
  <c r="G104" i="10" s="1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J72" i="10" l="1"/>
  <c r="J94" i="10"/>
  <c r="I93" i="10"/>
  <c r="J93" i="10"/>
  <c r="I92" i="10"/>
  <c r="G92" i="10"/>
  <c r="J92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D72" i="8" s="1"/>
  <c r="E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S94" i="3"/>
  <c r="AR94" i="3"/>
  <c r="Z94" i="3"/>
  <c r="T94" i="3"/>
  <c r="S94" i="3"/>
  <c r="G94" i="3"/>
  <c r="F94" i="3"/>
  <c r="D94" i="3"/>
  <c r="B94" i="3"/>
  <c r="Y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C72" i="8" l="1"/>
  <c r="U94" i="3"/>
  <c r="X94" i="3"/>
  <c r="V94" i="3"/>
  <c r="BN94" i="3"/>
  <c r="BG94" i="3"/>
  <c r="BR94" i="3"/>
  <c r="BF94" i="3"/>
  <c r="BO94" i="3"/>
  <c r="BH94" i="3"/>
  <c r="BS94" i="3"/>
  <c r="BE94" i="3"/>
  <c r="BP94" i="3"/>
  <c r="BI94" i="3"/>
  <c r="BX94" i="3"/>
  <c r="BQ94" i="3"/>
  <c r="BJ94" i="3"/>
  <c r="BK94" i="3"/>
  <c r="BY94" i="3"/>
  <c r="BT94" i="3"/>
  <c r="BC94" i="3"/>
  <c r="BD94" i="3"/>
  <c r="BU94" i="3"/>
  <c r="BB94" i="3"/>
  <c r="BV94" i="3"/>
  <c r="BW94" i="3"/>
  <c r="AA94" i="3"/>
  <c r="M94" i="3"/>
  <c r="AT94" i="3"/>
  <c r="BW93" i="3"/>
  <c r="BD93" i="3"/>
  <c r="BG93" i="3"/>
  <c r="BT93" i="3"/>
  <c r="BX93" i="3"/>
  <c r="BE93" i="3"/>
  <c r="BC93" i="3"/>
  <c r="BY93" i="3"/>
  <c r="BF93" i="3"/>
  <c r="BN93" i="3"/>
  <c r="BL93" i="3" s="1"/>
  <c r="BO93" i="3"/>
  <c r="BH93" i="3"/>
  <c r="BP93" i="3"/>
  <c r="BI93" i="3"/>
  <c r="BU93" i="3"/>
  <c r="BB93" i="3"/>
  <c r="BV93" i="3"/>
  <c r="BQ93" i="3"/>
  <c r="BJ93" i="3"/>
  <c r="BR93" i="3"/>
  <c r="BK93" i="3"/>
  <c r="BS93" i="3"/>
  <c r="D92" i="8"/>
  <c r="E92" i="8" s="1"/>
  <c r="C92" i="8" s="1"/>
  <c r="BT92" i="3"/>
  <c r="BU92" i="3"/>
  <c r="BB92" i="3"/>
  <c r="BV92" i="3"/>
  <c r="BC92" i="3"/>
  <c r="BD92" i="3"/>
  <c r="BE92" i="3"/>
  <c r="BF92" i="3"/>
  <c r="BG92" i="3"/>
  <c r="BW92" i="3"/>
  <c r="BX92" i="3"/>
  <c r="BY92" i="3"/>
  <c r="BN92" i="3"/>
  <c r="BO92" i="3"/>
  <c r="BP92" i="3"/>
  <c r="BQ92" i="3"/>
  <c r="BR92" i="3"/>
  <c r="BL92" i="3" s="1"/>
  <c r="BK92" i="3"/>
  <c r="BH92" i="3"/>
  <c r="BI92" i="3"/>
  <c r="BJ92" i="3"/>
  <c r="BS92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94" i="3" l="1"/>
  <c r="BL94" i="3"/>
  <c r="BM93" i="3"/>
  <c r="BM92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I123" authorId="0" shapeId="0" xr:uid="{7EECDF9D-A4AA-44E5-BCF3-A8C7C8CAE84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afbestilt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<sst xmlns="http://schemas.openxmlformats.org/spreadsheetml/2006/main" count="1100" uniqueCount="384">
  <si>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</si>
  <si>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</si>
  <si>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</si>
  <si>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</si>
  <si>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</si>
  <si>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</si>
  <si>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</si>
  <si>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</si>
  <si>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</si>
  <si>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</si>
  <si>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</si>
  <si>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</si>
  <si>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</si>
  <si>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</si>
  <si>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</si>
  <si>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</si>
  <si>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</si>
  <si>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</si>
  <si>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</si>
  <si>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Torben Larsen</t>
  </si>
  <si>
    <t>dk</t>
  </si>
  <si>
    <t>dob</t>
  </si>
  <si>
    <t>hatolamail@gmailcom</t>
  </si>
  <si>
    <t>N</t>
  </si>
  <si>
    <t>Y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</si>
  <si>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</si>
  <si>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</si>
  <si>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</si>
  <si>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</si>
  <si>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</si>
  <si>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</si>
  <si>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</si>
  <si>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</si>
  <si>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</si>
  <si>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</si>
  <si>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</si>
  <si>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</si>
  <si>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</si>
  <si>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</si>
  <si>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</si>
  <si>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</si>
  <si>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</si>
  <si>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</si>
  <si>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</si>
  <si>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</si>
  <si>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</si>
  <si>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</si>
  <si>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</si>
  <si>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</si>
  <si>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</si>
  <si>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</si>
  <si>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</si>
  <si>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</si>
  <si>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Lars Grundfør</t>
  </si>
  <si>
    <t>DK</t>
  </si>
  <si>
    <t>grundfor@hotmail.com</t>
  </si>
  <si>
    <t>Birgitte</t>
  </si>
  <si>
    <t>Etappe</t>
  </si>
  <si>
    <t>Jan Gaard</t>
  </si>
  <si>
    <t>cansl</t>
  </si>
  <si>
    <t>maluga@live.dk</t>
  </si>
  <si>
    <t>Marianne</t>
  </si>
  <si>
    <t>Stine Plæhn</t>
  </si>
  <si>
    <t>stinechri@hotmail.com</t>
  </si>
  <si>
    <t>Asger</t>
  </si>
  <si>
    <t>wonder25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</si>
  <si>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</si>
  <si>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</si>
  <si>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</si>
  <si>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</si>
  <si>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</si>
  <si>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</si>
  <si>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</si>
  <si>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</si>
  <si>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</si>
  <si>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</si>
  <si>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</si>
  <si>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</si>
  <si>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</si>
  <si>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</si>
  <si>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</si>
  <si>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</si>
  <si>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</si>
  <si>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</si>
  <si>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</si>
  <si>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rin.leupold@gmail.com</t>
  </si>
  <si>
    <t>1 ch 5 år</t>
  </si>
  <si>
    <t>Stig Prehn</t>
  </si>
  <si>
    <t>sing</t>
  </si>
  <si>
    <t>isprehn@dbmail.dk</t>
  </si>
  <si>
    <t>Inge</t>
  </si>
  <si>
    <t>år 23,24,25</t>
  </si>
  <si>
    <t>Jan Gubbertsen</t>
  </si>
  <si>
    <t>gubbertsen@gmail.com</t>
  </si>
  <si>
    <t>Mette</t>
  </si>
  <si>
    <t>år 21,22,23,24,25</t>
  </si>
  <si>
    <t>Grete Bossenmeyer</t>
  </si>
  <si>
    <t>grete_bossenmeyer@yahoo.fr</t>
  </si>
  <si>
    <t>Cathrine</t>
  </si>
  <si>
    <t>år 22,23, 25</t>
  </si>
  <si>
    <t>Niels Kaalund</t>
  </si>
  <si>
    <t>FM</t>
  </si>
  <si>
    <t>n.kaalund@hotmail.com</t>
  </si>
  <si>
    <t>Heidi</t>
  </si>
  <si>
    <t>FM / TCAS</t>
  </si>
  <si>
    <t>Gitte Horup</t>
  </si>
  <si>
    <t>gitte.horup@skanderborg.dk</t>
  </si>
  <si>
    <t>FM år 25</t>
  </si>
  <si>
    <t>Lars Thaarbøl</t>
  </si>
  <si>
    <t>thaarboel@gmail.com</t>
  </si>
  <si>
    <t>Ole</t>
  </si>
  <si>
    <t>FM 23,24,25</t>
  </si>
  <si>
    <t>Dorte Strøm</t>
  </si>
  <si>
    <t>adsrejse@gmail.com</t>
  </si>
  <si>
    <t>Jeannie</t>
  </si>
  <si>
    <t>FM 21,22,23,24,25</t>
  </si>
  <si>
    <t>Henrik Sørensen</t>
  </si>
  <si>
    <t>hencom@webspeed.dk</t>
  </si>
  <si>
    <t>Susan Hart</t>
  </si>
  <si>
    <t>sh@susanhart.dk</t>
  </si>
  <si>
    <t>susan</t>
  </si>
  <si>
    <t>Arne Sahlstedt</t>
  </si>
  <si>
    <t>S</t>
  </si>
  <si>
    <t>arne.sahlstedt@gmail.com</t>
  </si>
  <si>
    <t>Birgitta</t>
  </si>
  <si>
    <t>år 23,25 vær5</t>
  </si>
  <si>
    <t>Schroll Lothar</t>
  </si>
  <si>
    <t>"+ 1 dag</t>
  </si>
  <si>
    <t>Stine Jespersen</t>
  </si>
  <si>
    <t>1430</t>
  </si>
  <si>
    <t>dobb</t>
  </si>
  <si>
    <t>Malin Hällblad</t>
  </si>
  <si>
    <t>Liliane Schenker</t>
  </si>
  <si>
    <t>CH</t>
  </si>
  <si>
    <t>Holger Tygesen</t>
  </si>
  <si>
    <t>"+1 dag</t>
  </si>
  <si>
    <t>Eigil Holm Nielsen</t>
  </si>
  <si>
    <t>eigil.holm.nielsen@gmail.com</t>
  </si>
  <si>
    <t>bc 21</t>
  </si>
  <si>
    <t>Alex Nielsen</t>
  </si>
  <si>
    <t>Ryszard Wasikieski</t>
  </si>
  <si>
    <t>PL</t>
  </si>
  <si>
    <t>Annemarie Muller</t>
  </si>
  <si>
    <t>bc 2025</t>
  </si>
  <si>
    <t>Kaj Henriksen</t>
  </si>
  <si>
    <t>kajhenriksen@gmail.com</t>
  </si>
  <si>
    <t>2x2025</t>
  </si>
  <si>
    <t>Wolf Adrian</t>
  </si>
  <si>
    <t>Jörg Wolf</t>
  </si>
  <si>
    <t>Fred Pergande</t>
  </si>
  <si>
    <t>Ken Lentonsson</t>
  </si>
  <si>
    <t>lentonssonken@hotmail.com</t>
  </si>
  <si>
    <t>Renee</t>
  </si>
  <si>
    <t>2023(bc) 2025 Web</t>
  </si>
  <si>
    <t>Henrik Tillebeck</t>
  </si>
  <si>
    <t>Lene Fuglevig</t>
  </si>
  <si>
    <t>Werner Strehmel</t>
  </si>
  <si>
    <t>Bernhard Griesser</t>
  </si>
  <si>
    <t>Else Andersen</t>
  </si>
  <si>
    <t>Mette Sandvig</t>
  </si>
  <si>
    <t>Lisbeth Helbl</t>
  </si>
  <si>
    <t>Ulla Ringgård</t>
  </si>
  <si>
    <t>db + opr</t>
  </si>
  <si>
    <t>ur@heartlandtv.dk</t>
  </si>
  <si>
    <t>opred 12år</t>
  </si>
  <si>
    <t>Jan Uxa</t>
  </si>
  <si>
    <t>CZ</t>
  </si>
  <si>
    <t>Birgitta Björkroth</t>
  </si>
  <si>
    <t>Kathrine Moelgaard Nielsen</t>
  </si>
  <si>
    <t>maybe</t>
  </si>
  <si>
    <t>mulig bc 21</t>
  </si>
  <si>
    <t>jeannie</t>
  </si>
  <si>
    <t>strik "21,22,23,24,25</t>
  </si>
  <si>
    <t>Charlotte Bremer</t>
  </si>
  <si>
    <t>Jens Olesen</t>
  </si>
  <si>
    <t>Lone Dybdahl</t>
  </si>
  <si>
    <t>Mikael Holst</t>
  </si>
  <si>
    <t>mikaelholst@newmail.dk</t>
  </si>
  <si>
    <t>Gitte Nørregaard</t>
  </si>
  <si>
    <t>Gitte Zebitz</t>
  </si>
  <si>
    <t>Claus Nyeland</t>
  </si>
  <si>
    <t>Anita Steffensen</t>
  </si>
  <si>
    <t>Jette Jensen</t>
  </si>
  <si>
    <t>Tage Ebbensgaard</t>
  </si>
  <si>
    <t>2000</t>
  </si>
  <si>
    <t>Dobb</t>
  </si>
  <si>
    <t>mulig bf</t>
  </si>
  <si>
    <t>Cecilia Löfgren</t>
  </si>
  <si>
    <t>Thomas</t>
  </si>
  <si>
    <t>bc 2021</t>
  </si>
  <si>
    <t>Rikke Schwartz</t>
  </si>
  <si>
    <t>rikke</t>
  </si>
  <si>
    <t>Jutta Fogh</t>
  </si>
  <si>
    <t>1200</t>
  </si>
  <si>
    <t>Linda Henriksen</t>
  </si>
  <si>
    <t>Hans-Peter Könitzer</t>
  </si>
  <si>
    <t>1230</t>
  </si>
  <si>
    <t>Sigrid Marie Poulsen</t>
  </si>
  <si>
    <t>10% på 4dage</t>
  </si>
  <si>
    <t>Tommy Thunberg</t>
  </si>
  <si>
    <t>musenborg@gmail.com</t>
  </si>
  <si>
    <t>Elonor Skog</t>
  </si>
  <si>
    <t>Pia Jensen</t>
  </si>
  <si>
    <t>Martin Jørn Simonsen</t>
  </si>
  <si>
    <t>martin@ht-bendix.dk</t>
  </si>
  <si>
    <t>Christian Struck</t>
  </si>
  <si>
    <t>Danny Bukh Almstrup</t>
  </si>
  <si>
    <t>Issam Saou</t>
  </si>
  <si>
    <t>Jan Andersen</t>
  </si>
  <si>
    <t>pija@mail.tele.dk</t>
  </si>
  <si>
    <t>web24 og 25</t>
  </si>
  <si>
    <t>Michael Zorn</t>
  </si>
  <si>
    <t>Anders Andersen</t>
  </si>
  <si>
    <t>donduckvejle@gmail.com</t>
  </si>
  <si>
    <t>web25</t>
  </si>
  <si>
    <t>Maria Meyer</t>
  </si>
  <si>
    <t>Anne Hastrup Poulsen</t>
  </si>
  <si>
    <t>annehastrup@yahoo.dk</t>
  </si>
  <si>
    <t>web 23 cansl 24,25</t>
  </si>
  <si>
    <t>Belinda Danielsen</t>
  </si>
  <si>
    <t>Karin Nielsen</t>
  </si>
  <si>
    <t>Stig Ravnkilde Erichsen</t>
  </si>
  <si>
    <t>stigspost2@hotmail.com</t>
  </si>
  <si>
    <t>21, 25 pris for høj</t>
  </si>
  <si>
    <t>Kim Friedrichs</t>
  </si>
  <si>
    <t>clauskaae@maildk</t>
  </si>
  <si>
    <t>21,22,23,24,25</t>
  </si>
  <si>
    <t>Finn Müllertz</t>
  </si>
  <si>
    <t>finn.olsen.konsulent@gmail.com</t>
  </si>
  <si>
    <t>Lone Anette b Amalie/sofie</t>
  </si>
  <si>
    <t>Torben Juul Nielsen</t>
  </si>
  <si>
    <t>Rikke Duevang</t>
  </si>
  <si>
    <t>Charlotte Søder</t>
  </si>
  <si>
    <t>Bjarne List Nissen</t>
  </si>
  <si>
    <t>musikerbjarne@gmail.com</t>
  </si>
  <si>
    <t>Astrid</t>
  </si>
  <si>
    <t>Stine Yndgaard</t>
  </si>
  <si>
    <t>Peter Baberowski</t>
  </si>
  <si>
    <t>fewo.baberowski@gmx.de</t>
  </si>
  <si>
    <t>Regina</t>
  </si>
  <si>
    <t>Matthias Jaeger</t>
  </si>
  <si>
    <t>Gabriele Walentowski</t>
  </si>
  <si>
    <t>Helle jacobsen</t>
  </si>
  <si>
    <t>toftevej7a@gmail.com</t>
  </si>
  <si>
    <t>N/Y</t>
  </si>
  <si>
    <t>dobb og enk book</t>
  </si>
  <si>
    <t>Kjell Karlsson</t>
  </si>
  <si>
    <t>1630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</si>
  <si>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</si>
  <si>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</si>
  <si>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</si>
  <si>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</si>
  <si>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</si>
  <si>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</si>
  <si>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</si>
  <si>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</si>
  <si>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overnatning</t>
  </si>
  <si>
    <t>week to week</t>
  </si>
  <si>
    <t>Ankomst statestik</t>
  </si>
  <si>
    <t>NL</t>
  </si>
  <si>
    <t>AND</t>
  </si>
  <si>
    <t>AA</t>
  </si>
  <si>
    <t>BB</t>
  </si>
  <si>
    <t>sum</t>
  </si>
  <si>
    <t>sum 26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</si>
  <si>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</si>
  <si>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</si>
  <si>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</si>
  <si>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</si>
  <si>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</si>
  <si>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</si>
  <si>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</si>
  <si>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</si>
  <si>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</si>
  <si>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</si>
  <si>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</si>
  <si>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</si>
  <si>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</si>
  <si>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</si>
  <si>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</si>
  <si>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</si>
  <si>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</si>
  <si>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</si>
  <si>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</si>
  <si>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</si>
  <si>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</si>
  <si>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</si>
  <si>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</si>
  <si>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</si>
  <si>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</si>
  <si>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</si>
  <si>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</si>
  <si>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</si>
  <si>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</si>
  <si>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</si>
  <si>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</si>
  <si>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</si>
  <si>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</si>
  <si>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</si>
  <si>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</si>
  <si>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</si>
  <si>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</si>
  <si>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</si>
  <si>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</si>
  <si>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</si>
  <si>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</si>
  <si>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</si>
  <si>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</si>
  <si>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</si>
  <si>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</si>
  <si>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</si>
  <si>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</si>
  <si>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</si>
  <si>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</si>
  <si>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Danmarks Statestik inberetning 2026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</si>
  <si>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</si>
  <si>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</si>
  <si>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</si>
  <si>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</si>
  <si>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</si>
  <si>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</si>
  <si>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</si>
  <si>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</si>
  <si>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</si>
  <si>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</si>
  <si>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</si>
  <si>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</si>
  <si>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Åbner</t>
  </si>
  <si>
    <t>fredag</t>
  </si>
  <si>
    <t>lørdag</t>
  </si>
  <si>
    <t>søndag</t>
  </si>
  <si>
    <t>igen</t>
  </si>
  <si>
    <t>v4</t>
  </si>
  <si>
    <t>se</t>
  </si>
  <si>
    <t>kr. himmelfart</t>
  </si>
  <si>
    <t>de</t>
  </si>
  <si>
    <t>V1</t>
  </si>
  <si>
    <t>V5</t>
  </si>
  <si>
    <t>pinse</t>
  </si>
  <si>
    <t>2. pinsedag</t>
  </si>
  <si>
    <t>grundlovsdag</t>
  </si>
  <si>
    <t>v5</t>
  </si>
  <si>
    <t>DE</t>
  </si>
  <si>
    <t>SE</t>
  </si>
  <si>
    <t>dob+</t>
  </si>
  <si>
    <t>etape</t>
  </si>
  <si>
    <t>RS</t>
  </si>
  <si>
    <t>wonder</t>
  </si>
  <si>
    <t>v45</t>
  </si>
  <si>
    <t>lukker</t>
  </si>
  <si>
    <t>dag</t>
  </si>
  <si>
    <t>dd</t>
  </si>
  <si>
    <t>chi N</t>
  </si>
  <si>
    <t>V2</t>
  </si>
  <si>
    <t>V3</t>
  </si>
  <si>
    <t>V4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</si>
  <si>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</si>
  <si>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</si>
  <si>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</si>
  <si>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</si>
  <si>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</si>
  <si>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</si>
  <si>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</si>
  <si>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</si>
  <si>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</si>
  <si>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incheck</t>
  </si>
  <si>
    <t>dage</t>
  </si>
  <si>
    <t>antal v</t>
  </si>
  <si>
    <t>booked</t>
  </si>
  <si>
    <t>egen book</t>
  </si>
  <si>
    <t>Booking C</t>
  </si>
  <si>
    <t>book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</si>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</sst>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0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/>
    <xf numFmtId="0" fontId="0" fillId="9" borderId="8" xfId="0" applyFill="1" applyBorder="1" applyAlignment="1">
      <alignment horizontal="center"/>
    </xf>
    <xf numFmtId="44" fontId="0" fillId="0" borderId="0" xfId="1" applyFon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136</c:v>
                </c:pt>
                <c:pt idx="1">
                  <c:v>17</c:v>
                </c:pt>
                <c:pt idx="2">
                  <c:v>0</c:v>
                </c:pt>
                <c:pt idx="3">
                  <c:v>23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591</c:v>
                </c:pt>
                <c:pt idx="1">
                  <c:v>61</c:v>
                </c:pt>
                <c:pt idx="2">
                  <c:v>0</c:v>
                </c:pt>
                <c:pt idx="3">
                  <c:v>141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136</c:v>
                </c:pt>
                <c:pt idx="1">
                  <c:v>17</c:v>
                </c:pt>
                <c:pt idx="2">
                  <c:v>0</c:v>
                </c:pt>
                <c:pt idx="3">
                  <c:v>23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591</c:v>
                </c:pt>
                <c:pt idx="1">
                  <c:v>61</c:v>
                </c:pt>
                <c:pt idx="2">
                  <c:v>0</c:v>
                </c:pt>
                <c:pt idx="3">
                  <c:v>141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227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227</c:v>
                </c:pt>
                <c:pt idx="1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comments" Target="../comments1.xml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1796875" bestFit="1" customWidth="1"/>
    <col min="3" max="3" width="10.1796875" style="24" bestFit="1" customWidth="1"/>
    <col min="4" max="4" width="10.8164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8164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17968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19</v>
      </c>
      <c r="C84" s="24">
        <v>45530</v>
      </c>
      <c r="D84" s="24">
        <v>45533</v>
      </c>
      <c r="E84" s="24">
        <v>45370</v>
      </c>
      <c r="F84" t="s">
        <v>20</v>
      </c>
      <c r="G84" t="s">
        <v>6</v>
      </c>
      <c r="I84" t="s">
        <v>21</v>
      </c>
      <c r="J84">
        <v>5</v>
      </c>
      <c r="K84">
        <v>2</v>
      </c>
      <c r="L84">
        <v>4</v>
      </c>
      <c r="M84" t="s">
        <v>22</v>
      </c>
      <c r="N84">
        <v>25271006</v>
      </c>
      <c r="P84" t="s">
        <v>23</v>
      </c>
      <c r="Q84" t="s">
        <v>24</v>
      </c>
      <c r="R84">
        <v>6241.5</v>
      </c>
      <c r="S84" t="s">
        <v>24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20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23</v>
      </c>
      <c r="Q117" t="s">
        <v>24</v>
      </c>
      <c r="R117">
        <v>4927.5</v>
      </c>
      <c r="S117" t="s">
        <v>24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20</v>
      </c>
      <c r="G134" t="s">
        <v>6</v>
      </c>
      <c r="I134" t="s">
        <v>21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23</v>
      </c>
      <c r="Q134" t="s">
        <v>24</v>
      </c>
      <c r="R134">
        <v>2956.5</v>
      </c>
      <c r="S134" t="s">
        <v>24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24</v>
      </c>
      <c r="Q141" t="s">
        <v>24</v>
      </c>
      <c r="R141">
        <v>2565</v>
      </c>
      <c r="S141" t="s">
        <v>24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20</v>
      </c>
      <c r="G143" t="s">
        <v>35</v>
      </c>
      <c r="J143">
        <v>0</v>
      </c>
      <c r="K143">
        <v>1</v>
      </c>
      <c r="L143">
        <v>2</v>
      </c>
      <c r="P143" t="s">
        <v>23</v>
      </c>
      <c r="Q143" t="s">
        <v>23</v>
      </c>
      <c r="R143">
        <v>4525</v>
      </c>
      <c r="S143" t="s">
        <v>23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20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23</v>
      </c>
      <c r="Q144" t="s">
        <v>24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20</v>
      </c>
      <c r="G145" t="s">
        <v>35</v>
      </c>
      <c r="J145">
        <v>0</v>
      </c>
      <c r="K145">
        <v>1</v>
      </c>
      <c r="L145">
        <v>2</v>
      </c>
      <c r="P145" t="s">
        <v>23</v>
      </c>
      <c r="Q145" t="s">
        <v>24</v>
      </c>
      <c r="R145">
        <v>4380</v>
      </c>
      <c r="S145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5"/>
  <sheetViews>
    <sheetView tabSelected="1" workbookViewId="0">
      <pane ySplit="1" topLeftCell="A83" activePane="bottomLeft" state="frozen"/>
      <selection pane="bottomLeft" activeCell="B100" sqref="B100"/>
    </sheetView>
  </sheetViews>
  <sheetFormatPr defaultRowHeight="14.5" x14ac:dyDescent="0.35"/>
  <cols>
    <col min="1" max="1" width="6.54296875" style="2" bestFit="1" customWidth="1"/>
    <col min="2" max="2" width="21.1796875" bestFit="1" customWidth="1"/>
    <col min="3" max="5" width="10.17968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81640625" style="158" bestFit="1" customWidth="1"/>
    <col min="15" max="15" width="16.17968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  <col min="21" max="21" width="11.5429687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2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5">
      <c r="A2" s="146">
        <v>1</v>
      </c>
      <c r="B2" s="111" t="s">
        <v>53</v>
      </c>
      <c r="C2" s="114">
        <v>46222</v>
      </c>
      <c r="D2" s="114">
        <v>46228</v>
      </c>
      <c r="E2" s="114">
        <v>45868</v>
      </c>
      <c r="F2" s="111" t="s">
        <v>54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5" t="s">
        <v>55</v>
      </c>
      <c r="N2" s="183"/>
      <c r="O2" s="133" t="s">
        <v>56</v>
      </c>
      <c r="P2" s="133"/>
      <c r="Q2" s="133" t="s">
        <v>24</v>
      </c>
      <c r="R2" s="165">
        <v>7267.5</v>
      </c>
      <c r="S2" s="159" t="s">
        <v>23</v>
      </c>
      <c r="T2" t="s">
        <v>57</v>
      </c>
    </row>
    <row r="3" spans="1:21" x14ac:dyDescent="0.35">
      <c r="A3" s="147">
        <v>2</v>
      </c>
      <c r="B3" s="113" t="s">
        <v>58</v>
      </c>
      <c r="C3" s="116">
        <v>46172</v>
      </c>
      <c r="D3" s="116">
        <v>46180</v>
      </c>
      <c r="E3" s="116">
        <v>45889</v>
      </c>
      <c r="F3" s="113" t="s">
        <v>54</v>
      </c>
      <c r="G3" s="113" t="s">
        <v>59</v>
      </c>
      <c r="H3" s="113"/>
      <c r="I3" s="134"/>
      <c r="J3" s="113"/>
      <c r="K3" s="113"/>
      <c r="L3" s="113"/>
      <c r="M3" s="156"/>
      <c r="N3" s="184"/>
      <c r="O3" s="134"/>
      <c r="P3" s="134"/>
      <c r="Q3" s="134"/>
      <c r="R3" s="165"/>
      <c r="S3" s="160"/>
    </row>
    <row r="4" spans="1:21" x14ac:dyDescent="0.35">
      <c r="A4" s="146">
        <v>3</v>
      </c>
      <c r="B4" s="111" t="s">
        <v>58</v>
      </c>
      <c r="C4" s="114">
        <v>46283</v>
      </c>
      <c r="D4" s="114">
        <v>46285</v>
      </c>
      <c r="E4" s="114">
        <v>45889</v>
      </c>
      <c r="F4" s="111" t="s">
        <v>54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5" t="s">
        <v>60</v>
      </c>
      <c r="N4" s="183"/>
      <c r="O4" s="133" t="s">
        <v>61</v>
      </c>
      <c r="P4" s="133"/>
      <c r="Q4" s="133" t="s">
        <v>24</v>
      </c>
      <c r="R4" s="165">
        <v>2070</v>
      </c>
      <c r="S4" s="159" t="s">
        <v>23</v>
      </c>
      <c r="T4" s="131"/>
    </row>
    <row r="5" spans="1:21" x14ac:dyDescent="0.35">
      <c r="A5" s="147">
        <v>4</v>
      </c>
      <c r="B5" s="113" t="s">
        <v>62</v>
      </c>
      <c r="C5" s="116">
        <v>46246</v>
      </c>
      <c r="D5" s="116">
        <v>46250</v>
      </c>
      <c r="E5" s="116">
        <v>45891</v>
      </c>
      <c r="F5" s="113" t="s">
        <v>54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6" t="s">
        <v>63</v>
      </c>
      <c r="N5" s="185">
        <v>4530267986</v>
      </c>
      <c r="O5" s="134" t="s">
        <v>64</v>
      </c>
      <c r="P5" s="134"/>
      <c r="Q5" s="134" t="s">
        <v>24</v>
      </c>
      <c r="R5" s="165">
        <v>9180</v>
      </c>
      <c r="S5" s="160" t="s">
        <v>24</v>
      </c>
      <c r="T5" t="s">
        <v>65</v>
      </c>
    </row>
    <row r="6" spans="1:21" x14ac:dyDescent="0.35">
      <c r="A6" s="146">
        <v>5</v>
      </c>
      <c r="B6" s="111" t="s">
        <v>66</v>
      </c>
      <c r="C6" s="114">
        <v>46169</v>
      </c>
      <c r="D6" s="114">
        <v>46174</v>
      </c>
      <c r="E6" s="114">
        <v>45903</v>
      </c>
      <c r="F6" s="111" t="s">
        <v>54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5" t="s">
        <v>67</v>
      </c>
      <c r="N6" s="183"/>
      <c r="O6" s="133"/>
      <c r="P6" s="133"/>
      <c r="Q6" s="133" t="s">
        <v>24</v>
      </c>
      <c r="R6" s="165">
        <v>5175</v>
      </c>
      <c r="S6" s="159" t="s">
        <v>23</v>
      </c>
    </row>
    <row r="7" spans="1:21" x14ac:dyDescent="0.35">
      <c r="A7" s="146">
        <v>6</v>
      </c>
      <c r="B7" s="126" t="s">
        <v>68</v>
      </c>
      <c r="C7" s="129">
        <v>46178</v>
      </c>
      <c r="D7" s="129">
        <v>46180</v>
      </c>
      <c r="E7" s="129">
        <v>45910</v>
      </c>
      <c r="F7" s="126" t="s">
        <v>54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69</v>
      </c>
      <c r="Q7" s="2" t="s">
        <v>24</v>
      </c>
      <c r="R7" s="132">
        <v>4140</v>
      </c>
      <c r="S7" s="2" t="s">
        <v>38</v>
      </c>
      <c r="T7" t="s">
        <v>70</v>
      </c>
    </row>
    <row r="8" spans="1:21" x14ac:dyDescent="0.35">
      <c r="A8" s="147">
        <v>7</v>
      </c>
      <c r="B8" s="126" t="s">
        <v>71</v>
      </c>
      <c r="C8" s="129">
        <v>46207</v>
      </c>
      <c r="D8" s="129">
        <v>46214</v>
      </c>
      <c r="E8" s="129">
        <v>45927</v>
      </c>
      <c r="F8" s="126" t="s">
        <v>54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72</v>
      </c>
      <c r="N8" s="185">
        <v>4522701312</v>
      </c>
      <c r="O8" s="2" t="s">
        <v>73</v>
      </c>
      <c r="Q8" s="2" t="s">
        <v>23</v>
      </c>
      <c r="R8" s="165">
        <v>6772.5</v>
      </c>
      <c r="S8" s="2" t="s">
        <v>24</v>
      </c>
    </row>
    <row r="9" spans="1:21" x14ac:dyDescent="0.35">
      <c r="A9" s="146">
        <v>8</v>
      </c>
      <c r="B9" s="126" t="s">
        <v>74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75</v>
      </c>
      <c r="N9" s="185">
        <v>4917643882286</v>
      </c>
      <c r="O9" s="2" t="s">
        <v>76</v>
      </c>
      <c r="Q9" s="2" t="s">
        <v>24</v>
      </c>
      <c r="R9" s="132">
        <v>4275</v>
      </c>
      <c r="S9" s="2" t="s">
        <v>24</v>
      </c>
      <c r="T9" s="126" t="s">
        <v>77</v>
      </c>
    </row>
    <row r="10" spans="1:21" x14ac:dyDescent="0.35">
      <c r="A10" s="146">
        <v>9</v>
      </c>
      <c r="B10" s="126" t="s">
        <v>78</v>
      </c>
      <c r="C10" s="129">
        <v>46159</v>
      </c>
      <c r="D10" s="129">
        <v>46166</v>
      </c>
      <c r="E10" s="129">
        <v>45954</v>
      </c>
      <c r="F10" s="126" t="s">
        <v>54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79</v>
      </c>
      <c r="O10" s="2" t="s">
        <v>80</v>
      </c>
      <c r="Q10" s="2" t="s">
        <v>24</v>
      </c>
      <c r="R10" s="165">
        <v>7245</v>
      </c>
      <c r="S10" s="2" t="s">
        <v>24</v>
      </c>
    </row>
    <row r="11" spans="1:21" x14ac:dyDescent="0.35">
      <c r="A11" s="147">
        <v>10</v>
      </c>
      <c r="B11" s="126" t="s">
        <v>81</v>
      </c>
      <c r="C11" s="129">
        <v>46225</v>
      </c>
      <c r="D11" s="129">
        <v>46228</v>
      </c>
      <c r="E11" s="129">
        <v>45932</v>
      </c>
      <c r="F11" s="126" t="s">
        <v>54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82</v>
      </c>
      <c r="N11" s="158">
        <v>4561557600</v>
      </c>
      <c r="Q11" s="2" t="s">
        <v>24</v>
      </c>
      <c r="R11" s="132">
        <v>3442</v>
      </c>
      <c r="S11" s="2" t="s">
        <v>24</v>
      </c>
      <c r="T11" t="s">
        <v>83</v>
      </c>
    </row>
    <row r="12" spans="1:21" x14ac:dyDescent="0.35">
      <c r="A12" s="146">
        <v>11</v>
      </c>
      <c r="B12" s="126" t="s">
        <v>84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85</v>
      </c>
      <c r="Q12" s="2" t="s">
        <v>24</v>
      </c>
      <c r="R12" s="132">
        <v>5737.5</v>
      </c>
      <c r="S12" s="2" t="s">
        <v>23</v>
      </c>
      <c r="T12" t="s">
        <v>86</v>
      </c>
    </row>
    <row r="13" spans="1:21" x14ac:dyDescent="0.35">
      <c r="A13" s="146">
        <v>12</v>
      </c>
      <c r="B13" s="126" t="s">
        <v>87</v>
      </c>
      <c r="C13" s="129">
        <v>46175</v>
      </c>
      <c r="D13" s="129">
        <v>46179</v>
      </c>
      <c r="E13" s="129">
        <v>45977</v>
      </c>
      <c r="F13" s="126" t="s">
        <v>54</v>
      </c>
      <c r="G13" s="2" t="s">
        <v>6</v>
      </c>
      <c r="H13" s="2"/>
      <c r="I13" s="2" t="s">
        <v>88</v>
      </c>
      <c r="J13" s="128">
        <v>10</v>
      </c>
      <c r="K13" s="128">
        <v>1</v>
      </c>
      <c r="L13" s="128">
        <v>2</v>
      </c>
      <c r="M13" s="130" t="s">
        <v>89</v>
      </c>
      <c r="N13" s="186">
        <v>4540552384</v>
      </c>
      <c r="O13" s="2" t="s">
        <v>90</v>
      </c>
      <c r="Q13" s="2" t="s">
        <v>24</v>
      </c>
      <c r="R13" s="132">
        <v>4140</v>
      </c>
      <c r="S13" s="2" t="s">
        <v>24</v>
      </c>
      <c r="T13" t="s">
        <v>91</v>
      </c>
    </row>
    <row r="14" spans="1:21" x14ac:dyDescent="0.35">
      <c r="A14" s="147">
        <v>13</v>
      </c>
      <c r="B14" s="126" t="s">
        <v>92</v>
      </c>
      <c r="C14" s="24">
        <v>46211</v>
      </c>
      <c r="D14" s="24">
        <v>46218</v>
      </c>
      <c r="E14" s="24">
        <v>45998</v>
      </c>
      <c r="F14" s="126" t="s">
        <v>54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93</v>
      </c>
      <c r="N14" s="186">
        <v>4525582842</v>
      </c>
      <c r="O14" s="2" t="s">
        <v>94</v>
      </c>
      <c r="Q14" s="2" t="s">
        <v>24</v>
      </c>
      <c r="R14" s="132">
        <v>8032.5</v>
      </c>
      <c r="S14" s="2" t="s">
        <v>38</v>
      </c>
      <c r="T14" t="s">
        <v>95</v>
      </c>
    </row>
    <row r="15" spans="1:21" x14ac:dyDescent="0.35">
      <c r="A15" s="146">
        <v>14</v>
      </c>
      <c r="B15" s="126" t="s">
        <v>96</v>
      </c>
      <c r="C15" s="24">
        <v>46206</v>
      </c>
      <c r="D15" s="24">
        <v>46213</v>
      </c>
      <c r="E15" s="24">
        <v>46001</v>
      </c>
      <c r="F15" s="126" t="s">
        <v>54</v>
      </c>
      <c r="G15" s="2" t="s">
        <v>6</v>
      </c>
      <c r="J15" s="128">
        <v>10</v>
      </c>
      <c r="K15" s="128">
        <v>1</v>
      </c>
      <c r="L15" s="128">
        <v>2</v>
      </c>
      <c r="M15" s="157" t="s">
        <v>97</v>
      </c>
      <c r="N15" s="186">
        <v>4591191885</v>
      </c>
      <c r="O15" s="2" t="s">
        <v>98</v>
      </c>
      <c r="Q15" s="2" t="s">
        <v>24</v>
      </c>
      <c r="R15" s="132">
        <v>9180</v>
      </c>
      <c r="S15" s="2" t="s">
        <v>38</v>
      </c>
      <c r="T15" s="126" t="s">
        <v>99</v>
      </c>
    </row>
    <row r="16" spans="1:21" x14ac:dyDescent="0.35">
      <c r="A16" s="146">
        <v>15</v>
      </c>
      <c r="B16" s="126" t="s">
        <v>100</v>
      </c>
      <c r="C16" s="24">
        <v>46181</v>
      </c>
      <c r="D16" s="24">
        <v>46188</v>
      </c>
      <c r="E16" s="24">
        <v>45866</v>
      </c>
      <c r="F16" s="126" t="s">
        <v>54</v>
      </c>
      <c r="G16" s="2" t="s">
        <v>101</v>
      </c>
      <c r="K16" s="128">
        <v>1</v>
      </c>
      <c r="L16" s="128">
        <v>2</v>
      </c>
      <c r="M16" s="123" t="s">
        <v>102</v>
      </c>
      <c r="N16" s="158">
        <v>4531534745</v>
      </c>
      <c r="O16" s="2" t="s">
        <v>103</v>
      </c>
      <c r="Q16" s="2" t="s">
        <v>24</v>
      </c>
      <c r="R16" s="132">
        <v>8925</v>
      </c>
      <c r="S16" s="2" t="s">
        <v>38</v>
      </c>
      <c r="T16" t="s">
        <v>104</v>
      </c>
      <c r="U16" s="191">
        <f>R16*0.5</f>
        <v>4462.5</v>
      </c>
    </row>
    <row r="17" spans="1:21" x14ac:dyDescent="0.35">
      <c r="A17" s="147">
        <v>16</v>
      </c>
      <c r="B17" s="126" t="s">
        <v>105</v>
      </c>
      <c r="C17" s="24">
        <v>46182</v>
      </c>
      <c r="D17" s="24">
        <v>46188</v>
      </c>
      <c r="E17" s="24">
        <v>45832</v>
      </c>
      <c r="F17" s="126" t="s">
        <v>54</v>
      </c>
      <c r="G17" s="2" t="s">
        <v>101</v>
      </c>
      <c r="K17" s="128">
        <v>2</v>
      </c>
      <c r="L17" s="128">
        <v>4</v>
      </c>
      <c r="M17" s="123" t="s">
        <v>106</v>
      </c>
      <c r="N17" s="186">
        <v>4530604703</v>
      </c>
      <c r="Q17" s="2" t="s">
        <v>24</v>
      </c>
      <c r="R17" s="132">
        <v>17850</v>
      </c>
      <c r="S17" s="2" t="s">
        <v>38</v>
      </c>
      <c r="T17" t="s">
        <v>107</v>
      </c>
      <c r="U17" s="192">
        <f t="shared" ref="U17:U19" si="0">R17*0.5</f>
        <v>8925</v>
      </c>
    </row>
    <row r="18" spans="1:21" x14ac:dyDescent="0.35">
      <c r="A18" s="146">
        <v>17</v>
      </c>
      <c r="B18" s="126" t="s">
        <v>108</v>
      </c>
      <c r="C18" s="24">
        <v>46181</v>
      </c>
      <c r="D18" s="24">
        <v>46188</v>
      </c>
      <c r="E18" s="24">
        <v>45824</v>
      </c>
      <c r="F18" s="126" t="s">
        <v>54</v>
      </c>
      <c r="G18" s="2" t="s">
        <v>101</v>
      </c>
      <c r="K18" s="128">
        <v>1</v>
      </c>
      <c r="L18" s="128">
        <v>2</v>
      </c>
      <c r="M18" s="123" t="s">
        <v>109</v>
      </c>
      <c r="N18" s="186">
        <v>4524669843</v>
      </c>
      <c r="O18" s="2" t="s">
        <v>110</v>
      </c>
      <c r="Q18" s="2" t="s">
        <v>24</v>
      </c>
      <c r="R18" s="132">
        <v>8925</v>
      </c>
      <c r="S18" s="2" t="s">
        <v>38</v>
      </c>
      <c r="T18" t="s">
        <v>111</v>
      </c>
      <c r="U18" s="192">
        <f t="shared" si="0"/>
        <v>4462.5</v>
      </c>
    </row>
    <row r="19" spans="1:21" x14ac:dyDescent="0.35">
      <c r="A19" s="146">
        <v>18</v>
      </c>
      <c r="B19" s="126" t="s">
        <v>112</v>
      </c>
      <c r="C19" s="24">
        <v>46182</v>
      </c>
      <c r="D19" s="24">
        <v>46187</v>
      </c>
      <c r="E19" s="24">
        <v>45834</v>
      </c>
      <c r="F19" s="126" t="s">
        <v>54</v>
      </c>
      <c r="G19" s="2" t="s">
        <v>101</v>
      </c>
      <c r="K19" s="128">
        <v>1</v>
      </c>
      <c r="L19" s="128">
        <v>2</v>
      </c>
      <c r="M19" s="157" t="s">
        <v>113</v>
      </c>
      <c r="N19" s="186">
        <v>4531909358</v>
      </c>
      <c r="O19" s="2" t="s">
        <v>114</v>
      </c>
      <c r="Q19" s="2" t="s">
        <v>24</v>
      </c>
      <c r="R19" s="132">
        <v>6375</v>
      </c>
      <c r="S19" s="2" t="s">
        <v>38</v>
      </c>
      <c r="T19" t="s">
        <v>115</v>
      </c>
      <c r="U19" s="192">
        <f t="shared" si="0"/>
        <v>3187.5</v>
      </c>
    </row>
    <row r="20" spans="1:21" x14ac:dyDescent="0.35">
      <c r="A20" s="147">
        <v>19</v>
      </c>
      <c r="B20" t="s">
        <v>116</v>
      </c>
      <c r="C20" s="24">
        <v>46215</v>
      </c>
      <c r="D20" s="24">
        <v>46229</v>
      </c>
      <c r="E20" s="24">
        <v>45931</v>
      </c>
      <c r="F20" t="s">
        <v>54</v>
      </c>
      <c r="G20" t="s">
        <v>6</v>
      </c>
      <c r="I20" s="2" t="s">
        <v>88</v>
      </c>
      <c r="J20">
        <v>10</v>
      </c>
      <c r="K20">
        <v>1</v>
      </c>
      <c r="L20">
        <v>1</v>
      </c>
      <c r="M20" s="123" t="s">
        <v>117</v>
      </c>
      <c r="N20" s="186">
        <v>4541515960</v>
      </c>
      <c r="P20" s="2" t="s">
        <v>24</v>
      </c>
      <c r="Q20" s="2" t="s">
        <v>24</v>
      </c>
      <c r="R20" s="132">
        <v>14805</v>
      </c>
      <c r="S20" s="2" t="s">
        <v>38</v>
      </c>
      <c r="T20" s="2" t="s">
        <v>95</v>
      </c>
    </row>
    <row r="21" spans="1:21" x14ac:dyDescent="0.35">
      <c r="A21" s="146">
        <v>20</v>
      </c>
      <c r="B21" s="126" t="s">
        <v>118</v>
      </c>
      <c r="C21" s="24">
        <v>46163</v>
      </c>
      <c r="D21" s="24">
        <v>46167</v>
      </c>
      <c r="E21" s="24">
        <v>46008</v>
      </c>
      <c r="F21" s="126" t="s">
        <v>54</v>
      </c>
      <c r="G21" s="2" t="s">
        <v>6</v>
      </c>
      <c r="K21" s="128">
        <v>3</v>
      </c>
      <c r="L21" s="128">
        <v>6</v>
      </c>
      <c r="M21" s="123" t="s">
        <v>119</v>
      </c>
      <c r="Q21" s="2" t="s">
        <v>24</v>
      </c>
      <c r="R21" s="165">
        <v>12420</v>
      </c>
      <c r="S21" s="2" t="s">
        <v>38</v>
      </c>
      <c r="T21" t="s">
        <v>120</v>
      </c>
    </row>
    <row r="22" spans="1:21" x14ac:dyDescent="0.35">
      <c r="A22" s="146">
        <v>21</v>
      </c>
      <c r="B22" s="126" t="s">
        <v>121</v>
      </c>
      <c r="C22" s="24">
        <v>46251</v>
      </c>
      <c r="D22" s="24">
        <v>46256</v>
      </c>
      <c r="E22" s="24">
        <v>46009</v>
      </c>
      <c r="F22" s="126" t="s">
        <v>122</v>
      </c>
      <c r="G22" s="2" t="s">
        <v>6</v>
      </c>
      <c r="J22">
        <v>10</v>
      </c>
      <c r="K22" s="128">
        <v>1</v>
      </c>
      <c r="L22" s="128">
        <v>2</v>
      </c>
      <c r="M22" s="123" t="s">
        <v>123</v>
      </c>
      <c r="N22" s="186">
        <v>46705125490</v>
      </c>
      <c r="O22" s="2" t="s">
        <v>124</v>
      </c>
      <c r="Q22" s="2" t="s">
        <v>24</v>
      </c>
      <c r="R22" s="165">
        <v>5175</v>
      </c>
      <c r="S22" s="2" t="s">
        <v>38</v>
      </c>
      <c r="T22" t="s">
        <v>125</v>
      </c>
    </row>
    <row r="23" spans="1:21" x14ac:dyDescent="0.35">
      <c r="A23" s="147">
        <v>22</v>
      </c>
      <c r="B23" t="s">
        <v>126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24</v>
      </c>
      <c r="R23" s="132">
        <v>11500</v>
      </c>
      <c r="S23" s="2" t="s">
        <v>23</v>
      </c>
      <c r="T23" t="s">
        <v>127</v>
      </c>
    </row>
    <row r="24" spans="1:21" x14ac:dyDescent="0.35">
      <c r="A24" s="146">
        <v>23</v>
      </c>
      <c r="B24" t="s">
        <v>128</v>
      </c>
      <c r="C24" s="24">
        <v>46247</v>
      </c>
      <c r="D24" s="24">
        <v>46250</v>
      </c>
      <c r="E24" s="24">
        <v>46017</v>
      </c>
      <c r="F24" t="s">
        <v>54</v>
      </c>
      <c r="G24" t="s">
        <v>35</v>
      </c>
      <c r="H24" s="1" t="s">
        <v>129</v>
      </c>
      <c r="I24" s="2" t="s">
        <v>130</v>
      </c>
      <c r="K24" s="128">
        <v>1</v>
      </c>
      <c r="L24" s="128">
        <v>2</v>
      </c>
      <c r="Q24" s="2" t="s">
        <v>24</v>
      </c>
      <c r="R24" s="165">
        <v>3825</v>
      </c>
      <c r="S24" s="2" t="s">
        <v>23</v>
      </c>
    </row>
    <row r="25" spans="1:21" x14ac:dyDescent="0.35">
      <c r="A25" s="146">
        <v>24</v>
      </c>
      <c r="B25" t="s">
        <v>131</v>
      </c>
      <c r="C25" s="24">
        <v>46205</v>
      </c>
      <c r="D25" s="24">
        <v>46208</v>
      </c>
      <c r="E25" s="24">
        <v>46016</v>
      </c>
      <c r="F25" t="s">
        <v>122</v>
      </c>
      <c r="G25" t="s">
        <v>35</v>
      </c>
      <c r="K25" s="128">
        <v>1</v>
      </c>
      <c r="L25" s="128">
        <v>2</v>
      </c>
      <c r="M25" s="123"/>
      <c r="Q25" s="2" t="s">
        <v>24</v>
      </c>
      <c r="R25" s="165">
        <v>3825</v>
      </c>
      <c r="S25" s="2" t="s">
        <v>23</v>
      </c>
    </row>
    <row r="26" spans="1:21" x14ac:dyDescent="0.35">
      <c r="A26" s="147">
        <v>25</v>
      </c>
      <c r="B26" t="s">
        <v>132</v>
      </c>
      <c r="C26" s="24">
        <v>46256</v>
      </c>
      <c r="D26" s="24">
        <v>46261</v>
      </c>
      <c r="E26" s="24">
        <v>46017</v>
      </c>
      <c r="F26" t="s">
        <v>133</v>
      </c>
      <c r="G26" t="s">
        <v>35</v>
      </c>
      <c r="I26" s="2" t="s">
        <v>88</v>
      </c>
      <c r="K26" s="128">
        <v>1</v>
      </c>
      <c r="L26" s="128">
        <v>1</v>
      </c>
      <c r="M26" s="123"/>
      <c r="P26" s="2" t="s">
        <v>24</v>
      </c>
      <c r="Q26" s="2" t="s">
        <v>23</v>
      </c>
      <c r="R26" s="132">
        <v>4250</v>
      </c>
      <c r="S26" s="2" t="s">
        <v>23</v>
      </c>
    </row>
    <row r="27" spans="1:21" x14ac:dyDescent="0.35">
      <c r="A27" s="146">
        <v>26</v>
      </c>
      <c r="B27" t="s">
        <v>134</v>
      </c>
      <c r="C27" s="24">
        <v>46251</v>
      </c>
      <c r="D27" s="24">
        <v>46255</v>
      </c>
      <c r="E27" s="24">
        <v>46019</v>
      </c>
      <c r="F27" t="s">
        <v>54</v>
      </c>
      <c r="G27" t="s">
        <v>35</v>
      </c>
      <c r="K27" s="128">
        <v>1</v>
      </c>
      <c r="L27" s="128">
        <v>2</v>
      </c>
      <c r="N27" s="187"/>
      <c r="Q27" s="2" t="s">
        <v>24</v>
      </c>
      <c r="R27" s="132">
        <v>3450</v>
      </c>
      <c r="S27" s="2" t="s">
        <v>23</v>
      </c>
      <c r="T27" t="s">
        <v>135</v>
      </c>
    </row>
    <row r="28" spans="1:21" x14ac:dyDescent="0.35">
      <c r="A28" s="146">
        <v>27</v>
      </c>
      <c r="B28" t="s">
        <v>136</v>
      </c>
      <c r="C28" s="24">
        <v>46176</v>
      </c>
      <c r="D28" s="24">
        <v>46182</v>
      </c>
      <c r="E28" s="24">
        <v>46021</v>
      </c>
      <c r="F28" t="s">
        <v>54</v>
      </c>
      <c r="G28" t="s">
        <v>6</v>
      </c>
      <c r="J28">
        <v>10</v>
      </c>
      <c r="K28" s="128">
        <v>1</v>
      </c>
      <c r="L28" s="128">
        <v>2</v>
      </c>
      <c r="M28" s="123" t="s">
        <v>137</v>
      </c>
      <c r="N28" s="186">
        <v>4561283743</v>
      </c>
      <c r="Q28" s="2" t="s">
        <v>24</v>
      </c>
      <c r="R28" s="132">
        <v>6210</v>
      </c>
      <c r="S28" s="2" t="s">
        <v>24</v>
      </c>
      <c r="T28" t="s">
        <v>138</v>
      </c>
    </row>
    <row r="29" spans="1:21" x14ac:dyDescent="0.35">
      <c r="A29" s="147">
        <v>28</v>
      </c>
      <c r="B29" t="s">
        <v>139</v>
      </c>
      <c r="C29" s="24">
        <v>46143</v>
      </c>
      <c r="D29" s="24">
        <v>46145</v>
      </c>
      <c r="E29" s="24">
        <v>46021</v>
      </c>
      <c r="F29" t="s">
        <v>54</v>
      </c>
      <c r="G29" t="s">
        <v>35</v>
      </c>
      <c r="K29">
        <v>2</v>
      </c>
      <c r="L29">
        <v>3</v>
      </c>
      <c r="M29" s="123"/>
      <c r="Q29" s="2" t="s">
        <v>24</v>
      </c>
      <c r="R29" s="132">
        <v>1900</v>
      </c>
      <c r="S29" s="2" t="s">
        <v>23</v>
      </c>
    </row>
    <row r="30" spans="1:21" x14ac:dyDescent="0.35">
      <c r="A30" s="146">
        <v>29</v>
      </c>
      <c r="B30" t="s">
        <v>140</v>
      </c>
      <c r="C30" s="24">
        <v>46177</v>
      </c>
      <c r="D30" s="24">
        <v>46179</v>
      </c>
      <c r="E30" s="24">
        <v>46023</v>
      </c>
      <c r="F30" t="s">
        <v>141</v>
      </c>
      <c r="G30" t="s">
        <v>59</v>
      </c>
      <c r="K30" s="128"/>
      <c r="L30" s="128"/>
      <c r="M30" s="123"/>
    </row>
    <row r="31" spans="1:21" x14ac:dyDescent="0.35">
      <c r="A31" s="146">
        <v>30</v>
      </c>
      <c r="B31" t="s">
        <v>142</v>
      </c>
      <c r="C31" s="24">
        <v>46230</v>
      </c>
      <c r="D31" s="24">
        <v>46234</v>
      </c>
      <c r="E31" s="24">
        <v>46025</v>
      </c>
      <c r="F31" t="s">
        <v>54</v>
      </c>
      <c r="G31" t="s">
        <v>35</v>
      </c>
      <c r="K31" s="128">
        <v>1</v>
      </c>
      <c r="L31" s="128">
        <v>2</v>
      </c>
      <c r="N31" s="186">
        <v>4526241192</v>
      </c>
      <c r="Q31" s="2" t="s">
        <v>24</v>
      </c>
      <c r="R31" s="132">
        <v>5100</v>
      </c>
      <c r="S31" s="2" t="s">
        <v>24</v>
      </c>
      <c r="T31" t="s">
        <v>143</v>
      </c>
    </row>
    <row r="32" spans="1:21" x14ac:dyDescent="0.35">
      <c r="A32" s="147">
        <v>31</v>
      </c>
      <c r="B32" t="s">
        <v>144</v>
      </c>
      <c r="C32" s="24">
        <v>46190</v>
      </c>
      <c r="D32" s="24">
        <v>46195</v>
      </c>
      <c r="E32" s="24">
        <v>46029</v>
      </c>
      <c r="F32" t="s">
        <v>54</v>
      </c>
      <c r="G32" t="s">
        <v>6</v>
      </c>
      <c r="J32">
        <v>10</v>
      </c>
      <c r="K32" s="128">
        <v>1</v>
      </c>
      <c r="L32" s="128">
        <v>1</v>
      </c>
      <c r="M32" s="123" t="s">
        <v>145</v>
      </c>
      <c r="N32" s="158">
        <v>4541125671</v>
      </c>
      <c r="P32" s="2" t="s">
        <v>24</v>
      </c>
      <c r="Q32" s="2" t="s">
        <v>24</v>
      </c>
      <c r="R32" s="132">
        <v>4275</v>
      </c>
      <c r="S32" s="2" t="s">
        <v>24</v>
      </c>
      <c r="T32" s="126" t="s">
        <v>146</v>
      </c>
    </row>
    <row r="33" spans="1:20" x14ac:dyDescent="0.35">
      <c r="A33" s="146">
        <v>32</v>
      </c>
      <c r="B33" t="s">
        <v>147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24</v>
      </c>
      <c r="R33" s="132">
        <v>8925</v>
      </c>
      <c r="S33" s="2" t="s">
        <v>23</v>
      </c>
    </row>
    <row r="34" spans="1:20" x14ac:dyDescent="0.35">
      <c r="A34" s="146">
        <v>33</v>
      </c>
      <c r="B34" t="s">
        <v>148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24</v>
      </c>
      <c r="Q34" s="2" t="s">
        <v>24</v>
      </c>
      <c r="R34" s="132">
        <v>7525</v>
      </c>
      <c r="S34" s="2" t="s">
        <v>23</v>
      </c>
    </row>
    <row r="35" spans="1:20" x14ac:dyDescent="0.35">
      <c r="A35" s="147">
        <v>34</v>
      </c>
      <c r="B35" t="s">
        <v>149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24</v>
      </c>
      <c r="R35" s="132">
        <v>12375</v>
      </c>
      <c r="S35" s="2" t="s">
        <v>23</v>
      </c>
    </row>
    <row r="36" spans="1:20" x14ac:dyDescent="0.35">
      <c r="A36" s="146">
        <v>35</v>
      </c>
      <c r="B36" t="s">
        <v>150</v>
      </c>
      <c r="C36" s="24">
        <v>46261</v>
      </c>
      <c r="D36" s="24">
        <v>46265</v>
      </c>
      <c r="E36" s="24">
        <v>46030</v>
      </c>
      <c r="F36" t="s">
        <v>122</v>
      </c>
      <c r="G36" t="s">
        <v>6</v>
      </c>
      <c r="J36">
        <v>10</v>
      </c>
      <c r="K36">
        <v>1</v>
      </c>
      <c r="L36">
        <v>2</v>
      </c>
      <c r="M36" s="166" t="s">
        <v>151</v>
      </c>
      <c r="N36" s="186">
        <v>46733448215</v>
      </c>
      <c r="O36" s="2" t="s">
        <v>152</v>
      </c>
      <c r="Q36" s="2" t="s">
        <v>24</v>
      </c>
      <c r="R36" s="132">
        <v>4140</v>
      </c>
      <c r="S36" s="2" t="s">
        <v>38</v>
      </c>
      <c r="T36" t="s">
        <v>153</v>
      </c>
    </row>
    <row r="37" spans="1:20" x14ac:dyDescent="0.35">
      <c r="A37" s="146">
        <v>36</v>
      </c>
      <c r="B37" t="s">
        <v>154</v>
      </c>
      <c r="C37" s="24">
        <v>46209</v>
      </c>
      <c r="D37" s="24">
        <v>46212</v>
      </c>
      <c r="E37" s="24">
        <v>46030</v>
      </c>
      <c r="F37" t="s">
        <v>54</v>
      </c>
      <c r="G37" t="s">
        <v>35</v>
      </c>
      <c r="K37">
        <v>2</v>
      </c>
      <c r="L37">
        <v>4</v>
      </c>
      <c r="M37" s="123"/>
      <c r="Q37" s="2" t="s">
        <v>23</v>
      </c>
      <c r="R37" s="132">
        <v>6450</v>
      </c>
      <c r="S37" s="2" t="s">
        <v>23</v>
      </c>
    </row>
    <row r="38" spans="1:20" x14ac:dyDescent="0.35">
      <c r="A38" s="147">
        <v>37</v>
      </c>
      <c r="B38" t="s">
        <v>155</v>
      </c>
      <c r="C38" s="24">
        <v>46195</v>
      </c>
      <c r="D38" s="24">
        <v>46198</v>
      </c>
      <c r="E38" s="24">
        <v>46031</v>
      </c>
      <c r="F38" t="s">
        <v>54</v>
      </c>
      <c r="G38" t="s">
        <v>35</v>
      </c>
      <c r="H38" s="1" t="s">
        <v>129</v>
      </c>
      <c r="K38">
        <v>1</v>
      </c>
      <c r="L38">
        <v>2</v>
      </c>
      <c r="M38" s="123"/>
      <c r="Q38" s="2" t="s">
        <v>24</v>
      </c>
      <c r="R38" s="132">
        <v>3450</v>
      </c>
      <c r="S38" s="2" t="s">
        <v>23</v>
      </c>
    </row>
    <row r="39" spans="1:20" x14ac:dyDescent="0.35">
      <c r="A39" s="146">
        <v>38</v>
      </c>
      <c r="B39" t="s">
        <v>156</v>
      </c>
      <c r="C39" s="24">
        <v>46221</v>
      </c>
      <c r="D39" s="24">
        <v>46228</v>
      </c>
      <c r="E39" s="24">
        <v>46031</v>
      </c>
      <c r="F39" t="s">
        <v>133</v>
      </c>
      <c r="G39" t="s">
        <v>35</v>
      </c>
      <c r="K39">
        <v>1</v>
      </c>
      <c r="L39">
        <v>2</v>
      </c>
      <c r="M39" s="123"/>
      <c r="Q39" s="2" t="s">
        <v>23</v>
      </c>
      <c r="R39" s="132">
        <v>7525</v>
      </c>
      <c r="S39" s="2" t="s">
        <v>23</v>
      </c>
    </row>
    <row r="40" spans="1:20" x14ac:dyDescent="0.35">
      <c r="A40" s="2">
        <v>39</v>
      </c>
      <c r="B40" t="s">
        <v>157</v>
      </c>
      <c r="C40" s="24">
        <v>46216</v>
      </c>
      <c r="D40" s="24">
        <v>46220</v>
      </c>
      <c r="E40" s="24">
        <v>46032</v>
      </c>
      <c r="G40" t="s">
        <v>59</v>
      </c>
    </row>
    <row r="41" spans="1:20" x14ac:dyDescent="0.35">
      <c r="A41" s="2">
        <v>40</v>
      </c>
      <c r="B41" t="s">
        <v>158</v>
      </c>
      <c r="C41" s="24">
        <v>46164</v>
      </c>
      <c r="D41" s="24">
        <v>46167</v>
      </c>
      <c r="E41" s="24">
        <v>46033</v>
      </c>
      <c r="F41" t="s">
        <v>54</v>
      </c>
      <c r="G41" t="s">
        <v>35</v>
      </c>
      <c r="K41">
        <v>1</v>
      </c>
      <c r="L41">
        <v>2</v>
      </c>
      <c r="M41" s="123"/>
      <c r="Q41" s="2" t="s">
        <v>24</v>
      </c>
      <c r="R41" s="132">
        <v>3450</v>
      </c>
      <c r="S41" s="2" t="s">
        <v>23</v>
      </c>
    </row>
    <row r="42" spans="1:20" x14ac:dyDescent="0.35">
      <c r="A42" s="2">
        <v>41</v>
      </c>
      <c r="B42" t="s">
        <v>159</v>
      </c>
      <c r="C42" s="24">
        <v>46282</v>
      </c>
      <c r="D42" s="24">
        <v>46285</v>
      </c>
      <c r="E42" s="24">
        <v>46035</v>
      </c>
      <c r="F42" t="s">
        <v>54</v>
      </c>
      <c r="G42" t="s">
        <v>35</v>
      </c>
      <c r="I42" s="2" t="s">
        <v>88</v>
      </c>
      <c r="K42">
        <v>1</v>
      </c>
      <c r="L42">
        <v>2</v>
      </c>
      <c r="M42" s="123"/>
      <c r="Q42" s="2" t="s">
        <v>23</v>
      </c>
      <c r="R42" s="132">
        <v>2850</v>
      </c>
      <c r="S42" s="2" t="s">
        <v>23</v>
      </c>
    </row>
    <row r="43" spans="1:20" x14ac:dyDescent="0.35">
      <c r="A43" s="2">
        <v>42</v>
      </c>
      <c r="B43" t="s">
        <v>160</v>
      </c>
      <c r="C43" s="24">
        <v>46282</v>
      </c>
      <c r="D43" s="24">
        <v>46285</v>
      </c>
      <c r="E43" s="24">
        <v>46036</v>
      </c>
      <c r="F43" t="s">
        <v>122</v>
      </c>
      <c r="G43" t="s">
        <v>35</v>
      </c>
      <c r="K43">
        <v>1</v>
      </c>
      <c r="L43">
        <v>1</v>
      </c>
      <c r="M43" s="123"/>
      <c r="P43" s="2" t="s">
        <v>24</v>
      </c>
      <c r="Q43" s="2" t="s">
        <v>23</v>
      </c>
      <c r="R43" s="132">
        <v>2550</v>
      </c>
      <c r="S43" s="2" t="s">
        <v>23</v>
      </c>
    </row>
    <row r="44" spans="1:20" x14ac:dyDescent="0.35">
      <c r="A44" s="2">
        <v>43</v>
      </c>
      <c r="B44" t="s">
        <v>161</v>
      </c>
      <c r="C44" s="24">
        <v>46216</v>
      </c>
      <c r="D44" s="24">
        <v>46219</v>
      </c>
      <c r="E44" s="24">
        <v>46037</v>
      </c>
      <c r="F44" t="s">
        <v>54</v>
      </c>
      <c r="G44" t="s">
        <v>6</v>
      </c>
      <c r="H44" s="1" t="s">
        <v>129</v>
      </c>
      <c r="I44" s="2" t="s">
        <v>162</v>
      </c>
      <c r="K44">
        <v>1</v>
      </c>
      <c r="L44">
        <v>2</v>
      </c>
      <c r="M44" s="123" t="s">
        <v>163</v>
      </c>
      <c r="N44" s="158">
        <v>4526140610</v>
      </c>
      <c r="Q44" s="2" t="s">
        <v>24</v>
      </c>
      <c r="R44" s="132">
        <v>4500</v>
      </c>
      <c r="S44" s="2" t="s">
        <v>23</v>
      </c>
      <c r="T44" t="s">
        <v>164</v>
      </c>
    </row>
    <row r="45" spans="1:20" x14ac:dyDescent="0.35">
      <c r="A45" s="2">
        <v>44</v>
      </c>
      <c r="B45" t="s">
        <v>165</v>
      </c>
      <c r="C45" s="24">
        <v>46222</v>
      </c>
      <c r="D45" s="24">
        <v>46227</v>
      </c>
      <c r="E45" s="24">
        <v>46037</v>
      </c>
      <c r="F45" t="s">
        <v>166</v>
      </c>
      <c r="G45" t="s">
        <v>35</v>
      </c>
      <c r="I45" s="2" t="s">
        <v>130</v>
      </c>
      <c r="K45">
        <v>1</v>
      </c>
      <c r="L45">
        <v>2</v>
      </c>
      <c r="Q45" s="2" t="s">
        <v>24</v>
      </c>
      <c r="R45" s="132">
        <v>6375</v>
      </c>
      <c r="S45" s="2" t="s">
        <v>23</v>
      </c>
    </row>
    <row r="46" spans="1:20" x14ac:dyDescent="0.35">
      <c r="A46" s="2">
        <v>45</v>
      </c>
      <c r="B46" t="s">
        <v>167</v>
      </c>
      <c r="C46" s="24">
        <v>46240</v>
      </c>
      <c r="D46" s="24">
        <v>46243</v>
      </c>
      <c r="E46" s="24">
        <v>46038</v>
      </c>
      <c r="F46" t="s">
        <v>122</v>
      </c>
      <c r="G46" t="s">
        <v>35</v>
      </c>
      <c r="K46">
        <v>1</v>
      </c>
      <c r="L46">
        <v>2</v>
      </c>
      <c r="Q46" s="2" t="s">
        <v>24</v>
      </c>
      <c r="R46" s="132">
        <v>3825</v>
      </c>
      <c r="S46" s="2" t="s">
        <v>23</v>
      </c>
    </row>
    <row r="47" spans="1:20" x14ac:dyDescent="0.35">
      <c r="A47" s="2">
        <v>46</v>
      </c>
      <c r="B47" t="s">
        <v>168</v>
      </c>
      <c r="C47" s="24">
        <v>46247</v>
      </c>
      <c r="D47" s="24">
        <v>46252</v>
      </c>
      <c r="E47" s="24">
        <v>46037</v>
      </c>
      <c r="F47" t="s">
        <v>54</v>
      </c>
      <c r="G47" t="s">
        <v>35</v>
      </c>
      <c r="K47">
        <v>1</v>
      </c>
      <c r="L47">
        <v>2</v>
      </c>
      <c r="M47" s="123"/>
      <c r="Q47" s="2" t="s">
        <v>23</v>
      </c>
      <c r="R47" s="132">
        <v>5125</v>
      </c>
      <c r="S47" s="2" t="s">
        <v>169</v>
      </c>
      <c r="T47" t="s">
        <v>170</v>
      </c>
    </row>
    <row r="48" spans="1:20" x14ac:dyDescent="0.35">
      <c r="A48" s="2">
        <v>47</v>
      </c>
      <c r="B48" t="s">
        <v>112</v>
      </c>
      <c r="C48" s="24">
        <v>46281</v>
      </c>
      <c r="D48" s="24">
        <v>46286</v>
      </c>
      <c r="E48" s="24">
        <v>46037</v>
      </c>
      <c r="F48" t="s">
        <v>54</v>
      </c>
      <c r="G48" t="s">
        <v>6</v>
      </c>
      <c r="K48">
        <v>1</v>
      </c>
      <c r="L48">
        <v>2</v>
      </c>
      <c r="M48" s="123" t="s">
        <v>113</v>
      </c>
      <c r="N48" s="186">
        <v>4531909358</v>
      </c>
      <c r="O48" s="188" t="s">
        <v>171</v>
      </c>
      <c r="Q48" s="2" t="s">
        <v>24</v>
      </c>
      <c r="S48" s="2" t="s">
        <v>24</v>
      </c>
      <c r="T48" t="s">
        <v>172</v>
      </c>
    </row>
    <row r="49" spans="1:20" x14ac:dyDescent="0.35">
      <c r="A49" s="2">
        <v>48</v>
      </c>
      <c r="B49" t="s">
        <v>173</v>
      </c>
      <c r="C49" s="24">
        <v>46156</v>
      </c>
      <c r="D49" s="24">
        <v>46159</v>
      </c>
      <c r="E49" s="24">
        <v>46040</v>
      </c>
      <c r="F49" t="s">
        <v>54</v>
      </c>
      <c r="G49" t="s">
        <v>59</v>
      </c>
      <c r="M49" s="123"/>
    </row>
    <row r="50" spans="1:20" x14ac:dyDescent="0.35">
      <c r="A50" s="2">
        <v>49</v>
      </c>
      <c r="B50" t="s">
        <v>174</v>
      </c>
      <c r="C50" s="24">
        <v>46228</v>
      </c>
      <c r="D50" s="24">
        <v>46235</v>
      </c>
      <c r="E50" s="24">
        <v>46040</v>
      </c>
      <c r="F50" t="s">
        <v>54</v>
      </c>
      <c r="G50" t="s">
        <v>35</v>
      </c>
      <c r="I50" s="2" t="s">
        <v>130</v>
      </c>
      <c r="K50">
        <v>1</v>
      </c>
      <c r="L50">
        <v>2</v>
      </c>
      <c r="M50" s="123"/>
      <c r="Q50" s="2" t="s">
        <v>24</v>
      </c>
      <c r="R50" s="132">
        <v>8925</v>
      </c>
      <c r="S50" s="2" t="s">
        <v>23</v>
      </c>
    </row>
    <row r="51" spans="1:20" x14ac:dyDescent="0.35">
      <c r="A51" s="2">
        <v>50</v>
      </c>
      <c r="B51" t="s">
        <v>175</v>
      </c>
      <c r="C51" s="24">
        <v>46237</v>
      </c>
      <c r="D51" s="24">
        <v>46241</v>
      </c>
      <c r="E51" s="24">
        <v>46039</v>
      </c>
      <c r="F51" t="s">
        <v>54</v>
      </c>
      <c r="G51" t="s">
        <v>35</v>
      </c>
      <c r="K51">
        <v>1</v>
      </c>
      <c r="L51">
        <v>2</v>
      </c>
      <c r="Q51" s="2" t="s">
        <v>24</v>
      </c>
      <c r="R51" s="132">
        <v>5100</v>
      </c>
      <c r="S51" s="2" t="s">
        <v>23</v>
      </c>
    </row>
    <row r="52" spans="1:20" x14ac:dyDescent="0.35">
      <c r="A52" s="2">
        <v>51</v>
      </c>
      <c r="B52" t="s">
        <v>176</v>
      </c>
      <c r="C52" s="24">
        <v>46250</v>
      </c>
      <c r="D52" s="24">
        <v>46255</v>
      </c>
      <c r="E52" s="24">
        <v>46041</v>
      </c>
      <c r="F52" t="s">
        <v>54</v>
      </c>
      <c r="G52" t="s">
        <v>6</v>
      </c>
      <c r="J52">
        <v>10</v>
      </c>
      <c r="K52">
        <v>1</v>
      </c>
      <c r="L52">
        <v>2</v>
      </c>
      <c r="M52" s="166" t="s">
        <v>177</v>
      </c>
      <c r="N52" s="186">
        <v>4540474386</v>
      </c>
      <c r="O52" s="188" t="s">
        <v>178</v>
      </c>
      <c r="Q52" s="2" t="s">
        <v>24</v>
      </c>
      <c r="R52" s="194">
        <v>5737.5</v>
      </c>
      <c r="S52" s="2" t="s">
        <v>24</v>
      </c>
      <c r="T52">
        <v>2024</v>
      </c>
    </row>
    <row r="53" spans="1:20" x14ac:dyDescent="0.35">
      <c r="A53" s="2">
        <v>52</v>
      </c>
      <c r="B53" t="s">
        <v>179</v>
      </c>
      <c r="C53" s="24">
        <v>46251</v>
      </c>
      <c r="D53" s="24">
        <v>46255</v>
      </c>
      <c r="E53" s="24">
        <v>46041</v>
      </c>
      <c r="F53" t="s">
        <v>54</v>
      </c>
      <c r="G53" t="s">
        <v>35</v>
      </c>
      <c r="K53">
        <v>1</v>
      </c>
      <c r="L53">
        <v>2</v>
      </c>
      <c r="M53" s="123"/>
      <c r="Q53" s="2" t="s">
        <v>24</v>
      </c>
      <c r="R53" s="132">
        <v>4600</v>
      </c>
      <c r="S53" s="2" t="s">
        <v>23</v>
      </c>
    </row>
    <row r="54" spans="1:20" x14ac:dyDescent="0.35">
      <c r="A54" s="2">
        <v>53</v>
      </c>
      <c r="B54" t="s">
        <v>180</v>
      </c>
      <c r="C54" s="24">
        <v>46155</v>
      </c>
      <c r="D54" s="24">
        <v>46158</v>
      </c>
      <c r="E54" s="24">
        <v>46041</v>
      </c>
      <c r="F54" t="s">
        <v>54</v>
      </c>
      <c r="G54" t="s">
        <v>35</v>
      </c>
      <c r="K54">
        <v>1</v>
      </c>
      <c r="L54">
        <v>2</v>
      </c>
      <c r="Q54" s="2" t="s">
        <v>23</v>
      </c>
      <c r="R54" s="132">
        <v>2850</v>
      </c>
      <c r="S54" s="2" t="s">
        <v>23</v>
      </c>
    </row>
    <row r="55" spans="1:20" x14ac:dyDescent="0.35">
      <c r="A55" s="2">
        <v>54</v>
      </c>
      <c r="B55" t="s">
        <v>181</v>
      </c>
      <c r="C55" s="24">
        <v>46254</v>
      </c>
      <c r="D55" s="24">
        <v>46257</v>
      </c>
      <c r="E55" s="24">
        <v>46042</v>
      </c>
      <c r="F55" t="s">
        <v>54</v>
      </c>
      <c r="G55" t="s">
        <v>35</v>
      </c>
      <c r="K55">
        <v>2</v>
      </c>
      <c r="L55">
        <v>4</v>
      </c>
      <c r="M55" s="123"/>
      <c r="Q55" s="2" t="s">
        <v>23</v>
      </c>
      <c r="R55" s="165">
        <v>5700</v>
      </c>
    </row>
    <row r="56" spans="1:20" x14ac:dyDescent="0.35">
      <c r="A56" s="2">
        <v>55</v>
      </c>
      <c r="B56" t="s">
        <v>182</v>
      </c>
      <c r="C56" s="24">
        <v>46230</v>
      </c>
      <c r="D56" s="24">
        <v>46234</v>
      </c>
      <c r="E56" s="24">
        <v>46042</v>
      </c>
      <c r="F56" t="s">
        <v>54</v>
      </c>
      <c r="G56" t="s">
        <v>35</v>
      </c>
      <c r="K56">
        <v>1</v>
      </c>
      <c r="L56">
        <v>2</v>
      </c>
      <c r="M56" s="123"/>
      <c r="Q56" s="2" t="s">
        <v>23</v>
      </c>
      <c r="R56" s="132">
        <v>4300</v>
      </c>
      <c r="S56" s="2" t="s">
        <v>23</v>
      </c>
    </row>
    <row r="57" spans="1:20" x14ac:dyDescent="0.35">
      <c r="A57" s="2">
        <v>56</v>
      </c>
      <c r="B57" t="s">
        <v>183</v>
      </c>
      <c r="C57" s="24">
        <v>46192</v>
      </c>
      <c r="D57" s="24">
        <v>46194</v>
      </c>
      <c r="E57" s="24">
        <v>46043</v>
      </c>
      <c r="F57" t="s">
        <v>54</v>
      </c>
      <c r="G57" t="s">
        <v>35</v>
      </c>
      <c r="H57" s="1" t="s">
        <v>184</v>
      </c>
      <c r="I57" s="2" t="s">
        <v>185</v>
      </c>
      <c r="K57">
        <v>1</v>
      </c>
      <c r="L57">
        <v>2</v>
      </c>
      <c r="M57" s="123"/>
      <c r="Q57" s="2" t="s">
        <v>23</v>
      </c>
      <c r="R57" s="132">
        <v>1900</v>
      </c>
      <c r="S57" s="2" t="s">
        <v>23</v>
      </c>
      <c r="T57" t="s">
        <v>186</v>
      </c>
    </row>
    <row r="58" spans="1:20" x14ac:dyDescent="0.35">
      <c r="A58" s="2">
        <v>57</v>
      </c>
      <c r="B58" t="s">
        <v>187</v>
      </c>
      <c r="C58" s="24">
        <v>46232</v>
      </c>
      <c r="D58" s="24">
        <v>46238</v>
      </c>
      <c r="E58" s="24">
        <v>46043</v>
      </c>
      <c r="F58" t="s">
        <v>122</v>
      </c>
      <c r="G58" t="s">
        <v>35</v>
      </c>
      <c r="K58">
        <v>1</v>
      </c>
      <c r="L58">
        <v>2</v>
      </c>
      <c r="N58" s="186">
        <v>466700686</v>
      </c>
      <c r="O58" s="2" t="s">
        <v>188</v>
      </c>
      <c r="Q58" s="2" t="s">
        <v>23</v>
      </c>
      <c r="R58" s="165">
        <v>6450</v>
      </c>
      <c r="S58" s="2" t="s">
        <v>38</v>
      </c>
      <c r="T58" t="s">
        <v>189</v>
      </c>
    </row>
    <row r="59" spans="1:20" x14ac:dyDescent="0.35">
      <c r="A59" s="2">
        <v>58</v>
      </c>
      <c r="B59" t="s">
        <v>190</v>
      </c>
      <c r="C59" s="24">
        <v>46229</v>
      </c>
      <c r="D59" s="24">
        <v>46233</v>
      </c>
      <c r="E59" s="24">
        <v>46046</v>
      </c>
      <c r="F59" t="s">
        <v>54</v>
      </c>
      <c r="G59" t="s">
        <v>6</v>
      </c>
      <c r="I59" s="2" t="s">
        <v>88</v>
      </c>
      <c r="J59">
        <v>10</v>
      </c>
      <c r="K59">
        <v>1</v>
      </c>
      <c r="L59">
        <v>2</v>
      </c>
      <c r="M59" s="123"/>
      <c r="Q59" s="2" t="s">
        <v>24</v>
      </c>
      <c r="R59" s="165">
        <v>4590</v>
      </c>
      <c r="S59" s="2" t="s">
        <v>38</v>
      </c>
      <c r="T59" t="s">
        <v>191</v>
      </c>
    </row>
    <row r="60" spans="1:20" x14ac:dyDescent="0.35">
      <c r="A60" s="2">
        <v>59</v>
      </c>
      <c r="B60" t="s">
        <v>192</v>
      </c>
      <c r="C60" s="24">
        <v>46244</v>
      </c>
      <c r="D60" s="24">
        <v>46248</v>
      </c>
      <c r="E60" s="24">
        <v>46047</v>
      </c>
      <c r="F60" t="s">
        <v>54</v>
      </c>
      <c r="G60" t="s">
        <v>35</v>
      </c>
      <c r="H60" s="1" t="s">
        <v>193</v>
      </c>
      <c r="I60" s="2" t="s">
        <v>130</v>
      </c>
      <c r="K60">
        <v>1</v>
      </c>
      <c r="L60">
        <v>2</v>
      </c>
      <c r="M60" s="123"/>
      <c r="N60" s="158">
        <v>4542401010</v>
      </c>
      <c r="Q60" s="2" t="s">
        <v>24</v>
      </c>
      <c r="R60" s="165">
        <v>5100</v>
      </c>
      <c r="S60" s="2" t="s">
        <v>23</v>
      </c>
    </row>
    <row r="61" spans="1:20" x14ac:dyDescent="0.35">
      <c r="A61" s="2">
        <v>60</v>
      </c>
      <c r="B61" t="s">
        <v>194</v>
      </c>
      <c r="C61" s="24">
        <v>46258</v>
      </c>
      <c r="D61" s="24">
        <v>46262</v>
      </c>
      <c r="E61" s="24">
        <v>46047</v>
      </c>
      <c r="F61" t="s">
        <v>54</v>
      </c>
      <c r="G61" t="s">
        <v>35</v>
      </c>
      <c r="K61">
        <v>1</v>
      </c>
      <c r="L61">
        <v>1</v>
      </c>
      <c r="P61" s="2" t="s">
        <v>24</v>
      </c>
      <c r="Q61" s="2" t="s">
        <v>24</v>
      </c>
      <c r="R61" s="165">
        <v>3800</v>
      </c>
      <c r="S61" s="2" t="s">
        <v>23</v>
      </c>
    </row>
    <row r="62" spans="1:20" x14ac:dyDescent="0.35">
      <c r="A62" s="2">
        <v>61</v>
      </c>
      <c r="B62" t="s">
        <v>195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196</v>
      </c>
      <c r="I62" s="2" t="s">
        <v>185</v>
      </c>
      <c r="K62">
        <v>1</v>
      </c>
      <c r="L62">
        <v>2</v>
      </c>
      <c r="M62" s="123"/>
      <c r="Q62" s="2" t="s">
        <v>23</v>
      </c>
      <c r="R62" s="165">
        <v>2975</v>
      </c>
      <c r="S62" s="2" t="s">
        <v>23</v>
      </c>
    </row>
    <row r="63" spans="1:20" x14ac:dyDescent="0.35">
      <c r="A63" s="2">
        <v>62</v>
      </c>
      <c r="B63" t="s">
        <v>197</v>
      </c>
      <c r="C63" s="24">
        <v>46214</v>
      </c>
      <c r="D63" s="24">
        <v>46225</v>
      </c>
      <c r="E63" s="24">
        <v>46047</v>
      </c>
      <c r="F63" t="s">
        <v>54</v>
      </c>
      <c r="G63" t="s">
        <v>35</v>
      </c>
      <c r="I63" s="2" t="s">
        <v>185</v>
      </c>
      <c r="J63">
        <v>10</v>
      </c>
      <c r="K63">
        <v>1</v>
      </c>
      <c r="L63">
        <v>2</v>
      </c>
      <c r="Q63" s="2" t="s">
        <v>24</v>
      </c>
      <c r="R63" s="165">
        <f>8925+3442.5</f>
        <v>12367.5</v>
      </c>
      <c r="S63" s="2" t="s">
        <v>23</v>
      </c>
      <c r="T63" t="s">
        <v>198</v>
      </c>
    </row>
    <row r="64" spans="1:20" x14ac:dyDescent="0.35">
      <c r="A64" s="2">
        <v>63</v>
      </c>
      <c r="B64" t="s">
        <v>199</v>
      </c>
      <c r="C64" s="24">
        <v>46153</v>
      </c>
      <c r="D64" s="24">
        <v>46155</v>
      </c>
      <c r="E64" s="24">
        <v>46048</v>
      </c>
      <c r="F64" t="s">
        <v>122</v>
      </c>
      <c r="G64" t="s">
        <v>6</v>
      </c>
      <c r="J64">
        <v>5</v>
      </c>
      <c r="K64">
        <v>1</v>
      </c>
      <c r="L64">
        <v>2</v>
      </c>
      <c r="M64" s="123" t="s">
        <v>200</v>
      </c>
      <c r="Q64" s="2" t="s">
        <v>23</v>
      </c>
      <c r="R64" s="165">
        <v>1805</v>
      </c>
      <c r="S64" s="2" t="s">
        <v>23</v>
      </c>
    </row>
    <row r="65" spans="1:20" x14ac:dyDescent="0.35">
      <c r="A65" s="2">
        <v>64</v>
      </c>
      <c r="B65" t="s">
        <v>201</v>
      </c>
      <c r="C65" s="24">
        <v>46198</v>
      </c>
      <c r="D65" s="24">
        <v>46201</v>
      </c>
      <c r="E65" s="24">
        <v>46053</v>
      </c>
      <c r="F65" t="s">
        <v>122</v>
      </c>
      <c r="G65" t="s">
        <v>35</v>
      </c>
      <c r="I65" s="2" t="s">
        <v>88</v>
      </c>
      <c r="K65">
        <v>1</v>
      </c>
      <c r="L65">
        <v>2</v>
      </c>
      <c r="Q65" s="2" t="s">
        <v>23</v>
      </c>
      <c r="R65" s="132">
        <v>2850</v>
      </c>
      <c r="S65" s="2" t="s">
        <v>23</v>
      </c>
    </row>
    <row r="66" spans="1:20" x14ac:dyDescent="0.35">
      <c r="A66" s="2">
        <v>65</v>
      </c>
      <c r="B66" t="s">
        <v>202</v>
      </c>
      <c r="C66" s="24">
        <v>46256</v>
      </c>
      <c r="D66" s="24">
        <v>46259</v>
      </c>
      <c r="E66" s="24">
        <v>46054</v>
      </c>
      <c r="F66" t="s">
        <v>54</v>
      </c>
      <c r="G66" t="s">
        <v>35</v>
      </c>
      <c r="I66" s="2" t="s">
        <v>185</v>
      </c>
      <c r="K66">
        <v>1</v>
      </c>
      <c r="L66">
        <v>2</v>
      </c>
      <c r="Q66" s="2" t="s">
        <v>23</v>
      </c>
      <c r="R66" s="165">
        <v>2850</v>
      </c>
      <c r="S66" s="2" t="s">
        <v>23</v>
      </c>
    </row>
    <row r="67" spans="1:20" x14ac:dyDescent="0.35">
      <c r="A67" s="2">
        <v>66</v>
      </c>
      <c r="B67" t="s">
        <v>203</v>
      </c>
      <c r="C67" s="24">
        <v>46214</v>
      </c>
      <c r="D67" s="24">
        <v>46222</v>
      </c>
      <c r="E67" s="24">
        <v>46054</v>
      </c>
      <c r="F67" t="s">
        <v>54</v>
      </c>
      <c r="G67" t="s">
        <v>6</v>
      </c>
      <c r="J67">
        <v>10</v>
      </c>
      <c r="K67">
        <v>1</v>
      </c>
      <c r="L67">
        <v>2</v>
      </c>
      <c r="M67" s="123" t="s">
        <v>204</v>
      </c>
      <c r="N67" s="157">
        <v>4521261488</v>
      </c>
      <c r="O67" s="2" t="s">
        <v>73</v>
      </c>
      <c r="Q67" s="2" t="s">
        <v>24</v>
      </c>
      <c r="R67" s="165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205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24</v>
      </c>
      <c r="R68" s="165">
        <v>5750</v>
      </c>
      <c r="S68" s="2" t="s">
        <v>23</v>
      </c>
    </row>
    <row r="69" spans="1:20" x14ac:dyDescent="0.35">
      <c r="A69" s="2">
        <v>68</v>
      </c>
      <c r="B69" t="s">
        <v>206</v>
      </c>
      <c r="C69" s="24">
        <v>46143</v>
      </c>
      <c r="D69" s="24">
        <v>46145</v>
      </c>
      <c r="E69" s="24">
        <v>46055</v>
      </c>
      <c r="F69" t="s">
        <v>54</v>
      </c>
      <c r="G69" t="s">
        <v>35</v>
      </c>
      <c r="I69" s="2" t="s">
        <v>88</v>
      </c>
      <c r="K69">
        <v>1</v>
      </c>
      <c r="L69">
        <v>1</v>
      </c>
      <c r="P69" s="2" t="s">
        <v>24</v>
      </c>
      <c r="Q69" s="2" t="s">
        <v>23</v>
      </c>
      <c r="R69" s="165">
        <v>1700</v>
      </c>
      <c r="S69" s="2" t="s">
        <v>23</v>
      </c>
    </row>
    <row r="70" spans="1:20" x14ac:dyDescent="0.35">
      <c r="A70" s="2">
        <v>69</v>
      </c>
      <c r="B70" t="s">
        <v>207</v>
      </c>
      <c r="C70" s="24">
        <v>46212</v>
      </c>
      <c r="D70" s="24">
        <v>46215</v>
      </c>
      <c r="E70" s="24">
        <v>46055</v>
      </c>
      <c r="F70" t="s">
        <v>54</v>
      </c>
      <c r="G70" t="s">
        <v>35</v>
      </c>
      <c r="K70">
        <v>1</v>
      </c>
      <c r="L70">
        <v>2</v>
      </c>
      <c r="Q70" s="2" t="s">
        <v>23</v>
      </c>
      <c r="R70" s="165">
        <v>3225</v>
      </c>
      <c r="S70" s="2" t="s">
        <v>23</v>
      </c>
    </row>
    <row r="71" spans="1:20" x14ac:dyDescent="0.35">
      <c r="A71" s="2">
        <v>70</v>
      </c>
      <c r="B71" t="s">
        <v>208</v>
      </c>
      <c r="C71" s="24">
        <v>46188</v>
      </c>
      <c r="D71" s="24">
        <v>46193</v>
      </c>
      <c r="E71" s="24">
        <v>46056</v>
      </c>
      <c r="F71" t="s">
        <v>54</v>
      </c>
      <c r="G71" t="s">
        <v>6</v>
      </c>
      <c r="K71">
        <v>1</v>
      </c>
      <c r="L71">
        <v>2</v>
      </c>
      <c r="M71" s="123" t="s">
        <v>209</v>
      </c>
      <c r="N71" s="157">
        <v>4561793423</v>
      </c>
      <c r="Q71" s="2" t="s">
        <v>24</v>
      </c>
      <c r="R71" s="165">
        <v>5175</v>
      </c>
      <c r="S71" s="2" t="s">
        <v>24</v>
      </c>
      <c r="T71" t="s">
        <v>210</v>
      </c>
    </row>
    <row r="72" spans="1:20" x14ac:dyDescent="0.35">
      <c r="A72" s="2">
        <v>71</v>
      </c>
      <c r="B72" t="s">
        <v>211</v>
      </c>
      <c r="C72" s="24">
        <v>46260</v>
      </c>
      <c r="D72" s="24">
        <v>46264</v>
      </c>
      <c r="E72" s="24">
        <v>46057</v>
      </c>
      <c r="F72" t="s">
        <v>31</v>
      </c>
      <c r="G72" t="s">
        <v>59</v>
      </c>
      <c r="S72" s="2" t="s">
        <v>23</v>
      </c>
    </row>
    <row r="73" spans="1:20" x14ac:dyDescent="0.35">
      <c r="A73" s="2">
        <v>72</v>
      </c>
      <c r="B73" t="s">
        <v>212</v>
      </c>
      <c r="C73" s="24">
        <v>46145</v>
      </c>
      <c r="D73" s="24">
        <v>46152</v>
      </c>
      <c r="E73" s="24">
        <v>46060</v>
      </c>
      <c r="F73" t="s">
        <v>54</v>
      </c>
      <c r="G73" t="s">
        <v>35</v>
      </c>
      <c r="H73" s="1" t="s">
        <v>129</v>
      </c>
      <c r="K73">
        <v>1</v>
      </c>
      <c r="L73">
        <v>2</v>
      </c>
      <c r="M73" s="166" t="s">
        <v>213</v>
      </c>
      <c r="N73" s="157">
        <v>4527139833</v>
      </c>
      <c r="Q73" s="2" t="s">
        <v>24</v>
      </c>
      <c r="R73" s="165">
        <v>8050</v>
      </c>
      <c r="S73" s="2" t="s">
        <v>24</v>
      </c>
      <c r="T73" t="s">
        <v>214</v>
      </c>
    </row>
    <row r="74" spans="1:20" x14ac:dyDescent="0.35">
      <c r="A74" s="2">
        <v>73</v>
      </c>
      <c r="B74" t="s">
        <v>215</v>
      </c>
      <c r="C74" s="24">
        <v>46143</v>
      </c>
      <c r="D74" s="24">
        <v>46145</v>
      </c>
      <c r="E74" s="24">
        <v>46061</v>
      </c>
      <c r="F74" t="s">
        <v>54</v>
      </c>
      <c r="G74" t="s">
        <v>59</v>
      </c>
    </row>
    <row r="75" spans="1:20" x14ac:dyDescent="0.35">
      <c r="A75" s="2">
        <v>74</v>
      </c>
      <c r="B75" t="s">
        <v>216</v>
      </c>
      <c r="C75" s="24">
        <v>46236</v>
      </c>
      <c r="D75" s="24">
        <v>46240</v>
      </c>
      <c r="E75" s="24">
        <v>46063</v>
      </c>
      <c r="F75" t="s">
        <v>54</v>
      </c>
      <c r="G75" t="s">
        <v>6</v>
      </c>
      <c r="J75">
        <v>10</v>
      </c>
      <c r="K75">
        <v>2</v>
      </c>
      <c r="L75">
        <v>3</v>
      </c>
      <c r="M75" s="123" t="s">
        <v>217</v>
      </c>
      <c r="Q75" s="2" t="s">
        <v>24</v>
      </c>
      <c r="R75" s="165">
        <v>8460</v>
      </c>
      <c r="S75" s="2" t="s">
        <v>24</v>
      </c>
      <c r="T75" t="s">
        <v>218</v>
      </c>
    </row>
    <row r="76" spans="1:20" x14ac:dyDescent="0.35">
      <c r="A76" s="2">
        <v>75</v>
      </c>
      <c r="B76" t="s">
        <v>219</v>
      </c>
      <c r="C76" s="24">
        <v>46276</v>
      </c>
      <c r="D76" s="24">
        <v>46279</v>
      </c>
      <c r="E76" s="24">
        <v>46067</v>
      </c>
      <c r="F76" t="s">
        <v>54</v>
      </c>
      <c r="G76" t="s">
        <v>59</v>
      </c>
      <c r="R76" s="165"/>
    </row>
    <row r="77" spans="1:20" x14ac:dyDescent="0.35">
      <c r="A77" s="2">
        <v>76</v>
      </c>
      <c r="B77" t="s">
        <v>220</v>
      </c>
      <c r="C77" s="24">
        <v>46201</v>
      </c>
      <c r="D77" s="24">
        <v>46205</v>
      </c>
      <c r="E77" s="24">
        <v>46068</v>
      </c>
      <c r="F77" t="s">
        <v>54</v>
      </c>
      <c r="G77" t="s">
        <v>35</v>
      </c>
      <c r="I77" s="2" t="s">
        <v>88</v>
      </c>
      <c r="K77">
        <v>1</v>
      </c>
      <c r="L77">
        <v>2</v>
      </c>
      <c r="Q77" s="2" t="s">
        <v>24</v>
      </c>
      <c r="R77" s="165">
        <v>5100</v>
      </c>
      <c r="S77" s="2" t="s">
        <v>23</v>
      </c>
    </row>
    <row r="78" spans="1:20" x14ac:dyDescent="0.35">
      <c r="A78" s="2">
        <v>77</v>
      </c>
      <c r="B78" t="s">
        <v>221</v>
      </c>
      <c r="C78" s="24">
        <v>46200</v>
      </c>
      <c r="D78" s="24">
        <v>46207</v>
      </c>
      <c r="E78" s="24">
        <v>46069</v>
      </c>
      <c r="F78" t="s">
        <v>54</v>
      </c>
      <c r="G78" t="s">
        <v>6</v>
      </c>
      <c r="K78">
        <v>1</v>
      </c>
      <c r="L78">
        <v>2</v>
      </c>
      <c r="M78" s="166" t="s">
        <v>222</v>
      </c>
      <c r="N78" s="157">
        <v>4525240507</v>
      </c>
      <c r="Q78" s="2" t="s">
        <v>24</v>
      </c>
      <c r="R78" s="194">
        <v>8032.5</v>
      </c>
      <c r="S78" s="2" t="s">
        <v>24</v>
      </c>
      <c r="T78" t="s">
        <v>223</v>
      </c>
    </row>
    <row r="79" spans="1:20" x14ac:dyDescent="0.35">
      <c r="A79" s="2">
        <v>78</v>
      </c>
      <c r="B79" t="s">
        <v>224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24</v>
      </c>
      <c r="R79" s="132">
        <v>9200</v>
      </c>
      <c r="S79" s="2" t="s">
        <v>23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54</v>
      </c>
      <c r="G80" t="s">
        <v>6</v>
      </c>
      <c r="J80">
        <v>10</v>
      </c>
      <c r="K80">
        <v>1</v>
      </c>
      <c r="L80">
        <v>2</v>
      </c>
      <c r="M80" s="123" t="s">
        <v>225</v>
      </c>
      <c r="N80" s="157">
        <v>4520646004</v>
      </c>
      <c r="Q80" s="2" t="s">
        <v>24</v>
      </c>
      <c r="R80" s="165">
        <v>5175</v>
      </c>
      <c r="S80" s="2" t="s">
        <v>38</v>
      </c>
      <c r="T80" t="s">
        <v>226</v>
      </c>
    </row>
    <row r="81" spans="1:20" x14ac:dyDescent="0.35">
      <c r="A81" s="2">
        <v>80</v>
      </c>
      <c r="B81" t="s">
        <v>227</v>
      </c>
      <c r="C81" s="24">
        <v>46149</v>
      </c>
      <c r="D81" s="24">
        <v>46152</v>
      </c>
      <c r="E81" s="24">
        <v>46074</v>
      </c>
      <c r="F81" t="s">
        <v>54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228</v>
      </c>
      <c r="N81" s="157">
        <v>4520143818</v>
      </c>
      <c r="Q81" s="2" t="s">
        <v>24</v>
      </c>
      <c r="R81" s="132">
        <v>10350</v>
      </c>
      <c r="S81" s="2" t="s">
        <v>24</v>
      </c>
      <c r="T81" t="s">
        <v>229</v>
      </c>
    </row>
    <row r="82" spans="1:20" x14ac:dyDescent="0.35">
      <c r="A82" s="2">
        <v>81</v>
      </c>
      <c r="B82" t="s">
        <v>230</v>
      </c>
      <c r="C82" s="24">
        <v>46218</v>
      </c>
      <c r="D82" s="24">
        <v>46221</v>
      </c>
      <c r="E82" s="24">
        <v>46074</v>
      </c>
      <c r="F82" t="s">
        <v>54</v>
      </c>
      <c r="G82" t="s">
        <v>35</v>
      </c>
      <c r="K82">
        <v>1</v>
      </c>
      <c r="L82">
        <v>2</v>
      </c>
      <c r="Q82" s="2" t="s">
        <v>24</v>
      </c>
      <c r="R82" s="132">
        <v>3825</v>
      </c>
      <c r="S82" s="2" t="s">
        <v>23</v>
      </c>
    </row>
    <row r="83" spans="1:20" x14ac:dyDescent="0.35">
      <c r="A83" s="2">
        <v>82</v>
      </c>
      <c r="B83" s="190" t="s">
        <v>231</v>
      </c>
      <c r="C83" s="24">
        <v>46143</v>
      </c>
      <c r="D83" s="24">
        <v>46145</v>
      </c>
      <c r="E83" s="24">
        <v>46075</v>
      </c>
      <c r="F83" t="s">
        <v>54</v>
      </c>
      <c r="G83" t="s">
        <v>35</v>
      </c>
      <c r="K83">
        <v>1</v>
      </c>
      <c r="L83">
        <v>2</v>
      </c>
      <c r="Q83" s="2" t="s">
        <v>24</v>
      </c>
      <c r="R83" s="165">
        <v>2300</v>
      </c>
      <c r="S83" s="2" t="s">
        <v>23</v>
      </c>
    </row>
    <row r="84" spans="1:20" x14ac:dyDescent="0.35">
      <c r="A84" s="2">
        <v>83</v>
      </c>
      <c r="B84" s="193" t="s">
        <v>232</v>
      </c>
      <c r="C84" s="24">
        <v>46187</v>
      </c>
      <c r="D84" s="24">
        <v>46191</v>
      </c>
      <c r="E84" s="24">
        <v>46077</v>
      </c>
      <c r="F84" t="s">
        <v>54</v>
      </c>
      <c r="G84" t="s">
        <v>35</v>
      </c>
      <c r="K84">
        <v>1</v>
      </c>
      <c r="L84">
        <v>2</v>
      </c>
      <c r="Q84" s="2" t="s">
        <v>24</v>
      </c>
      <c r="R84" s="132">
        <v>4600</v>
      </c>
      <c r="S84" s="2" t="s">
        <v>23</v>
      </c>
    </row>
    <row r="85" spans="1:20" x14ac:dyDescent="0.35">
      <c r="A85" s="2">
        <v>84</v>
      </c>
      <c r="B85" s="190" t="s">
        <v>233</v>
      </c>
      <c r="C85" s="24">
        <v>46212</v>
      </c>
      <c r="D85" s="24">
        <v>46216</v>
      </c>
      <c r="E85" s="24">
        <v>46079</v>
      </c>
      <c r="F85" t="s">
        <v>54</v>
      </c>
      <c r="G85" t="s">
        <v>6</v>
      </c>
      <c r="J85">
        <v>10</v>
      </c>
      <c r="K85">
        <v>1</v>
      </c>
      <c r="L85">
        <v>2</v>
      </c>
      <c r="M85" s="166" t="s">
        <v>234</v>
      </c>
      <c r="N85" s="157">
        <v>4526251564</v>
      </c>
      <c r="O85" s="2" t="s">
        <v>235</v>
      </c>
      <c r="Q85" s="2" t="s">
        <v>23</v>
      </c>
      <c r="R85" s="165">
        <v>3870</v>
      </c>
    </row>
    <row r="86" spans="1:20" x14ac:dyDescent="0.35">
      <c r="A86" s="2">
        <v>85</v>
      </c>
      <c r="B86" t="s">
        <v>236</v>
      </c>
      <c r="C86" s="24">
        <v>46143</v>
      </c>
      <c r="D86" s="24">
        <v>46145</v>
      </c>
      <c r="E86" s="24">
        <v>46081</v>
      </c>
      <c r="F86" t="s">
        <v>54</v>
      </c>
      <c r="G86" t="s">
        <v>35</v>
      </c>
      <c r="K86">
        <v>1</v>
      </c>
      <c r="L86">
        <v>1</v>
      </c>
      <c r="Q86" s="2" t="s">
        <v>23</v>
      </c>
      <c r="R86" s="132">
        <v>1700</v>
      </c>
      <c r="S86" s="2" t="s">
        <v>23</v>
      </c>
    </row>
    <row r="87" spans="1:20" x14ac:dyDescent="0.35">
      <c r="A87" s="2">
        <v>86</v>
      </c>
      <c r="B87" t="s">
        <v>237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3" t="s">
        <v>238</v>
      </c>
      <c r="O87" s="2" t="s">
        <v>239</v>
      </c>
      <c r="Q87" s="2" t="s">
        <v>24</v>
      </c>
      <c r="R87" s="132">
        <v>7245</v>
      </c>
      <c r="S87" s="2" t="s">
        <v>24</v>
      </c>
      <c r="T87">
        <v>20.22</v>
      </c>
    </row>
    <row r="88" spans="1:20" x14ac:dyDescent="0.35">
      <c r="A88" s="2">
        <v>87</v>
      </c>
      <c r="B88" t="s">
        <v>240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23</v>
      </c>
      <c r="R88" s="132">
        <v>2975</v>
      </c>
      <c r="S88" s="2" t="s">
        <v>23</v>
      </c>
    </row>
    <row r="89" spans="1:20" x14ac:dyDescent="0.35">
      <c r="A89" s="2">
        <v>88</v>
      </c>
      <c r="B89" t="s">
        <v>241</v>
      </c>
      <c r="C89" s="24">
        <v>46188</v>
      </c>
      <c r="D89" s="24">
        <v>46191</v>
      </c>
      <c r="E89" s="24">
        <v>46089</v>
      </c>
      <c r="F89" t="s">
        <v>31</v>
      </c>
      <c r="G89" t="s">
        <v>59</v>
      </c>
    </row>
    <row r="90" spans="1:20" x14ac:dyDescent="0.35">
      <c r="A90" s="2">
        <v>89</v>
      </c>
      <c r="B90" t="s">
        <v>242</v>
      </c>
      <c r="C90" s="24">
        <v>46276</v>
      </c>
      <c r="D90" s="24">
        <v>46278</v>
      </c>
      <c r="E90" s="24">
        <v>46091</v>
      </c>
      <c r="F90" t="s">
        <v>54</v>
      </c>
      <c r="G90" t="s">
        <v>6</v>
      </c>
      <c r="H90"/>
      <c r="I90" t="s">
        <v>88</v>
      </c>
      <c r="J90">
        <v>5</v>
      </c>
      <c r="K90">
        <v>2</v>
      </c>
      <c r="L90">
        <v>3</v>
      </c>
      <c r="M90" s="123" t="s">
        <v>243</v>
      </c>
      <c r="N90">
        <v>4540528447</v>
      </c>
      <c r="O90"/>
      <c r="P90" s="2" t="s">
        <v>244</v>
      </c>
      <c r="Q90" s="2" t="s">
        <v>24</v>
      </c>
      <c r="R90" s="132">
        <f>2185+1805</f>
        <v>3990</v>
      </c>
      <c r="S90" s="2" t="s">
        <v>23</v>
      </c>
      <c r="T90" t="s">
        <v>245</v>
      </c>
    </row>
    <row r="91" spans="1:20" x14ac:dyDescent="0.35">
      <c r="A91" s="2">
        <v>90</v>
      </c>
      <c r="B91" t="s">
        <v>246</v>
      </c>
      <c r="C91" s="24">
        <v>46156</v>
      </c>
      <c r="D91" s="24">
        <v>46159</v>
      </c>
      <c r="E91" s="24">
        <v>46091</v>
      </c>
      <c r="F91" t="s">
        <v>122</v>
      </c>
      <c r="G91" t="s">
        <v>35</v>
      </c>
      <c r="H91" t="s">
        <v>247</v>
      </c>
      <c r="I91" t="s">
        <v>130</v>
      </c>
      <c r="J91">
        <v>0</v>
      </c>
      <c r="K91">
        <v>1</v>
      </c>
      <c r="L91">
        <v>2</v>
      </c>
      <c r="N91"/>
      <c r="O91"/>
      <c r="P91" s="2" t="s">
        <v>23</v>
      </c>
      <c r="Q91" s="2" t="s">
        <v>23</v>
      </c>
      <c r="R91" s="132">
        <v>2850</v>
      </c>
      <c r="S91" s="2" t="s">
        <v>23</v>
      </c>
    </row>
    <row r="92" spans="1:20" x14ac:dyDescent="0.35">
      <c r="A92" s="2">
        <v>91</v>
      </c>
      <c r="B92" t="s">
        <v>248</v>
      </c>
      <c r="C92" s="24">
        <v>46157</v>
      </c>
      <c r="D92" s="24">
        <v>46159</v>
      </c>
      <c r="E92" s="24">
        <v>46095</v>
      </c>
      <c r="F92" t="s">
        <v>54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23</v>
      </c>
      <c r="Q92" s="2" t="s">
        <v>24</v>
      </c>
      <c r="R92" s="201">
        <v>2185</v>
      </c>
      <c r="S92" s="2" t="s">
        <v>23</v>
      </c>
    </row>
    <row r="93" spans="1:20" x14ac:dyDescent="0.35">
      <c r="A93" s="2">
        <v>92</v>
      </c>
      <c r="B93" t="s">
        <v>249</v>
      </c>
      <c r="C93" s="24">
        <v>46241</v>
      </c>
      <c r="D93" s="24">
        <v>46246</v>
      </c>
      <c r="E93" s="24">
        <v>46095</v>
      </c>
      <c r="F93" t="s">
        <v>54</v>
      </c>
      <c r="G93" t="s">
        <v>6</v>
      </c>
      <c r="H93" t="s">
        <v>250</v>
      </c>
      <c r="I93" t="s">
        <v>88</v>
      </c>
      <c r="J93">
        <v>0</v>
      </c>
      <c r="K93">
        <v>1</v>
      </c>
      <c r="L93">
        <v>2</v>
      </c>
      <c r="M93" s="123" t="s">
        <v>251</v>
      </c>
      <c r="N93"/>
      <c r="O93" t="s">
        <v>252</v>
      </c>
      <c r="P93" s="2" t="s">
        <v>23</v>
      </c>
      <c r="Q93" s="2" t="s">
        <v>23</v>
      </c>
      <c r="R93" s="201">
        <v>4837.5</v>
      </c>
      <c r="S93" s="2" t="s">
        <v>38</v>
      </c>
      <c r="T93" t="s">
        <v>253</v>
      </c>
    </row>
    <row r="94" spans="1:20" x14ac:dyDescent="0.35">
      <c r="A94" s="2">
        <v>93</v>
      </c>
      <c r="B94" t="s">
        <v>254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255</v>
      </c>
      <c r="I94" t="s">
        <v>88</v>
      </c>
      <c r="J94">
        <v>0</v>
      </c>
      <c r="K94">
        <v>1</v>
      </c>
      <c r="L94">
        <v>2</v>
      </c>
      <c r="N94"/>
      <c r="O94"/>
      <c r="P94" s="2" t="s">
        <v>23</v>
      </c>
      <c r="Q94" s="2" t="s">
        <v>23</v>
      </c>
      <c r="R94" s="201">
        <v>2850</v>
      </c>
      <c r="S94" s="2" t="s">
        <v>23</v>
      </c>
    </row>
    <row r="95" spans="1:20" x14ac:dyDescent="0.35">
      <c r="A95" s="2">
        <v>94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53398B73-9313-4D72-B7F1-3594AD5FE9EA}"/>
  </hyperlinks>
  <pageMargins left="0.7" right="0.7" top="0.75" bottom="0.75" header="0.3" footer="0.3"/>
  <pageSetup paperSize="9" orientation="portrait" r:id="rId37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I206" sqref="I206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17968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256</v>
      </c>
      <c r="F1" t="str">
        <f>Database!L1</f>
        <v>gæster</v>
      </c>
      <c r="G1" t="str">
        <f>Database!F1</f>
        <v>Nat</v>
      </c>
      <c r="I1" t="s">
        <v>257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258</v>
      </c>
      <c r="BB1" s="45" t="s">
        <v>54</v>
      </c>
      <c r="BC1" s="45" t="s">
        <v>54</v>
      </c>
      <c r="BD1" s="45" t="s">
        <v>122</v>
      </c>
      <c r="BE1" s="45" t="s">
        <v>122</v>
      </c>
      <c r="BF1" s="45" t="s">
        <v>23</v>
      </c>
      <c r="BG1" s="45" t="s">
        <v>23</v>
      </c>
      <c r="BH1" s="45" t="s">
        <v>31</v>
      </c>
      <c r="BI1" s="45" t="s">
        <v>31</v>
      </c>
      <c r="BJ1" s="45" t="s">
        <v>259</v>
      </c>
      <c r="BK1" s="45" t="s">
        <v>259</v>
      </c>
      <c r="BL1" s="45" t="s">
        <v>260</v>
      </c>
      <c r="BM1" s="45" t="s">
        <v>260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166</v>
      </c>
      <c r="BU1" s="2" t="str">
        <f>BT1</f>
        <v>CZ</v>
      </c>
      <c r="BV1" s="181" t="s">
        <v>261</v>
      </c>
      <c r="BW1" s="181" t="s">
        <v>261</v>
      </c>
      <c r="BX1" s="141" t="s">
        <v>262</v>
      </c>
      <c r="BY1" s="141" t="s">
        <v>262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263</v>
      </c>
      <c r="BB196" s="34">
        <f t="shared" ref="BB196:BY196" si="167">SUM(BB2:BB195)</f>
        <v>136</v>
      </c>
      <c r="BC196" s="34">
        <f t="shared" si="167"/>
        <v>591</v>
      </c>
      <c r="BD196" s="34">
        <f t="shared" si="167"/>
        <v>17</v>
      </c>
      <c r="BE196" s="34">
        <f t="shared" si="167"/>
        <v>61</v>
      </c>
      <c r="BF196" s="34">
        <f t="shared" si="167"/>
        <v>0</v>
      </c>
      <c r="BG196" s="34">
        <f t="shared" si="167"/>
        <v>0</v>
      </c>
      <c r="BH196" s="34">
        <f t="shared" si="167"/>
        <v>23</v>
      </c>
      <c r="BI196" s="34">
        <f t="shared" si="167"/>
        <v>141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264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356</v>
      </c>
      <c r="R198">
        <f t="shared" si="168"/>
        <v>368</v>
      </c>
      <c r="S198">
        <f t="shared" si="168"/>
        <v>399</v>
      </c>
      <c r="T198">
        <f t="shared" si="168"/>
        <v>416</v>
      </c>
      <c r="U198">
        <f t="shared" si="168"/>
        <v>419</v>
      </c>
      <c r="V198">
        <f t="shared" si="168"/>
        <v>436</v>
      </c>
      <c r="W198">
        <f t="shared" si="168"/>
        <v>436</v>
      </c>
      <c r="X198">
        <f t="shared" si="168"/>
        <v>436</v>
      </c>
      <c r="Y198">
        <f t="shared" si="168"/>
        <v>436</v>
      </c>
      <c r="Z198">
        <f t="shared" si="168"/>
        <v>436</v>
      </c>
      <c r="AA198">
        <f t="shared" si="168"/>
        <v>436</v>
      </c>
      <c r="AB198">
        <f t="shared" si="168"/>
        <v>436</v>
      </c>
      <c r="AC198">
        <f t="shared" si="168"/>
        <v>436</v>
      </c>
      <c r="AD198">
        <f t="shared" si="168"/>
        <v>436</v>
      </c>
      <c r="AE198">
        <f t="shared" si="168"/>
        <v>436</v>
      </c>
      <c r="AF198">
        <f t="shared" si="168"/>
        <v>436</v>
      </c>
      <c r="AG198">
        <f t="shared" si="168"/>
        <v>436</v>
      </c>
      <c r="AH198">
        <f t="shared" si="168"/>
        <v>436</v>
      </c>
      <c r="AI198">
        <f t="shared" si="168"/>
        <v>436</v>
      </c>
      <c r="AJ198">
        <f t="shared" si="168"/>
        <v>436</v>
      </c>
      <c r="AK198">
        <f t="shared" si="168"/>
        <v>436</v>
      </c>
      <c r="AL198">
        <f t="shared" si="168"/>
        <v>436</v>
      </c>
      <c r="AM198">
        <f t="shared" si="168"/>
        <v>436</v>
      </c>
      <c r="AN198">
        <f t="shared" si="168"/>
        <v>436</v>
      </c>
      <c r="AO198">
        <f t="shared" si="168"/>
        <v>436</v>
      </c>
      <c r="AP198">
        <f t="shared" si="168"/>
        <v>436</v>
      </c>
      <c r="AQ198">
        <f t="shared" si="168"/>
        <v>436</v>
      </c>
      <c r="AR198">
        <f t="shared" si="168"/>
        <v>436</v>
      </c>
      <c r="AS198">
        <f t="shared" si="168"/>
        <v>436</v>
      </c>
      <c r="AT198">
        <f t="shared" si="168"/>
        <v>436</v>
      </c>
      <c r="AU198">
        <f t="shared" si="168"/>
        <v>436</v>
      </c>
      <c r="AV198">
        <f t="shared" si="168"/>
        <v>436</v>
      </c>
      <c r="AW198">
        <f t="shared" si="168"/>
        <v>436</v>
      </c>
      <c r="AX198">
        <f t="shared" si="168"/>
        <v>436</v>
      </c>
    </row>
    <row r="199" spans="1:77" ht="15" customHeight="1" x14ac:dyDescent="0.35">
      <c r="K199" t="s">
        <v>265</v>
      </c>
      <c r="L199" t="s">
        <v>266</v>
      </c>
      <c r="M199" t="s">
        <v>267</v>
      </c>
      <c r="N199" t="s">
        <v>268</v>
      </c>
      <c r="O199" t="s">
        <v>269</v>
      </c>
      <c r="P199" t="s">
        <v>270</v>
      </c>
      <c r="Q199" t="s">
        <v>271</v>
      </c>
      <c r="R199" t="s">
        <v>272</v>
      </c>
      <c r="S199" t="s">
        <v>273</v>
      </c>
      <c r="T199" t="s">
        <v>274</v>
      </c>
      <c r="U199" t="s">
        <v>275</v>
      </c>
      <c r="V199" t="s">
        <v>276</v>
      </c>
      <c r="W199" t="s">
        <v>277</v>
      </c>
      <c r="X199" t="s">
        <v>278</v>
      </c>
      <c r="Y199" t="s">
        <v>279</v>
      </c>
      <c r="Z199" t="s">
        <v>280</v>
      </c>
      <c r="AA199" t="s">
        <v>281</v>
      </c>
      <c r="AB199" t="s">
        <v>282</v>
      </c>
      <c r="AC199" t="s">
        <v>283</v>
      </c>
      <c r="AD199" t="s">
        <v>284</v>
      </c>
      <c r="AE199" t="s">
        <v>285</v>
      </c>
      <c r="AF199" t="s">
        <v>286</v>
      </c>
      <c r="AG199" t="s">
        <v>287</v>
      </c>
      <c r="AH199" t="s">
        <v>288</v>
      </c>
      <c r="AI199" t="s">
        <v>289</v>
      </c>
      <c r="AJ199" t="s">
        <v>290</v>
      </c>
      <c r="AK199" t="s">
        <v>291</v>
      </c>
      <c r="AL199" t="s">
        <v>292</v>
      </c>
      <c r="AM199" t="s">
        <v>293</v>
      </c>
      <c r="AN199" t="s">
        <v>294</v>
      </c>
      <c r="AO199" t="s">
        <v>295</v>
      </c>
      <c r="AP199" t="s">
        <v>296</v>
      </c>
      <c r="AQ199" t="s">
        <v>297</v>
      </c>
      <c r="AR199" t="s">
        <v>298</v>
      </c>
      <c r="AS199" t="s">
        <v>299</v>
      </c>
      <c r="AT199" t="s">
        <v>300</v>
      </c>
      <c r="AU199" t="s">
        <v>301</v>
      </c>
      <c r="AV199" t="s">
        <v>302</v>
      </c>
      <c r="AW199" t="s">
        <v>303</v>
      </c>
      <c r="AX199" t="s">
        <v>304</v>
      </c>
      <c r="AY199" t="s">
        <v>305</v>
      </c>
      <c r="AZ199" t="s">
        <v>306</v>
      </c>
      <c r="BA199" t="s">
        <v>307</v>
      </c>
      <c r="BC199" t="s">
        <v>308</v>
      </c>
      <c r="BJ199" t="s">
        <v>309</v>
      </c>
      <c r="BL199" s="2"/>
      <c r="BN199" s="2"/>
    </row>
    <row r="200" spans="1:77" ht="15" customHeight="1" thickBot="1" x14ac:dyDescent="0.4">
      <c r="J200">
        <v>2026</v>
      </c>
      <c r="K200">
        <f t="shared" ref="K200:W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356</v>
      </c>
      <c r="R200">
        <f t="shared" si="169"/>
        <v>368</v>
      </c>
      <c r="S200">
        <f t="shared" si="169"/>
        <v>399</v>
      </c>
      <c r="T200">
        <f t="shared" si="169"/>
        <v>416</v>
      </c>
      <c r="U200">
        <f t="shared" si="169"/>
        <v>419</v>
      </c>
      <c r="V200">
        <f t="shared" si="169"/>
        <v>436</v>
      </c>
      <c r="W200">
        <f t="shared" si="169"/>
        <v>436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54</v>
      </c>
      <c r="BE201" s="28" t="s">
        <v>23</v>
      </c>
      <c r="BF201" s="28" t="s">
        <v>122</v>
      </c>
      <c r="BG201" s="28" t="s">
        <v>31</v>
      </c>
      <c r="BH201" s="28" t="s">
        <v>259</v>
      </c>
      <c r="BI201" s="29" t="s">
        <v>310</v>
      </c>
      <c r="BJ201" s="30" t="s">
        <v>141</v>
      </c>
      <c r="BK201" s="31" t="s">
        <v>311</v>
      </c>
      <c r="BL201" s="31" t="s">
        <v>133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312</v>
      </c>
      <c r="BD202" s="34">
        <f>BB196</f>
        <v>136</v>
      </c>
      <c r="BE202" s="34">
        <f>BD196</f>
        <v>17</v>
      </c>
      <c r="BF202" s="34">
        <f>BF196</f>
        <v>0</v>
      </c>
      <c r="BG202" s="34">
        <f>BH196</f>
        <v>23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313</v>
      </c>
      <c r="BD203" s="40">
        <f>BC196</f>
        <v>591</v>
      </c>
      <c r="BE203" s="40">
        <f>BE196</f>
        <v>61</v>
      </c>
      <c r="BF203" s="40">
        <f>BG196</f>
        <v>0</v>
      </c>
      <c r="BG203" s="40">
        <f>BI196</f>
        <v>141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314</v>
      </c>
      <c r="H28" t="s">
        <v>309</v>
      </c>
      <c r="J28" s="2"/>
    </row>
    <row r="29" spans="1:13" ht="15" thickBot="1" x14ac:dyDescent="0.4">
      <c r="A29" s="27"/>
      <c r="B29" s="28" t="s">
        <v>54</v>
      </c>
      <c r="C29" s="28" t="s">
        <v>23</v>
      </c>
      <c r="D29" s="28" t="s">
        <v>122</v>
      </c>
      <c r="E29" s="28" t="s">
        <v>31</v>
      </c>
      <c r="F29" s="28" t="s">
        <v>259</v>
      </c>
      <c r="G29" s="29" t="s">
        <v>310</v>
      </c>
      <c r="H29" s="30" t="s">
        <v>141</v>
      </c>
      <c r="I29" s="31" t="s">
        <v>311</v>
      </c>
      <c r="J29" s="31" t="s">
        <v>133</v>
      </c>
      <c r="K29" s="172" t="s">
        <v>166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312</v>
      </c>
      <c r="B30" s="34">
        <f>'book stat'!BD202</f>
        <v>136</v>
      </c>
      <c r="C30" s="34">
        <f>'book stat'!BE202</f>
        <v>17</v>
      </c>
      <c r="D30" s="34">
        <f>'book stat'!BF202</f>
        <v>0</v>
      </c>
      <c r="E30" s="34">
        <f>'book stat'!BG202</f>
        <v>23</v>
      </c>
      <c r="F30" s="34">
        <f>'book stat'!BH202</f>
        <v>0</v>
      </c>
      <c r="G30" s="35">
        <f>'book stat'!BI202</f>
        <v>5</v>
      </c>
      <c r="H30" s="173">
        <f>'book stat'!BJ202</f>
        <v>0</v>
      </c>
      <c r="I30" s="174">
        <f>'book stat'!BK202</f>
        <v>0</v>
      </c>
      <c r="J30" s="174">
        <f>'book stat'!BL202</f>
        <v>3</v>
      </c>
      <c r="K30" s="175">
        <f>'book stat'!BM202</f>
        <v>2</v>
      </c>
      <c r="L30" s="176">
        <f>'book stat'!BN202</f>
        <v>0</v>
      </c>
      <c r="M30" s="177">
        <f>'book stat'!BO202</f>
        <v>0</v>
      </c>
    </row>
    <row r="31" spans="1:13" ht="15" customHeight="1" thickBot="1" x14ac:dyDescent="0.4">
      <c r="A31" s="39" t="s">
        <v>313</v>
      </c>
      <c r="B31" s="34">
        <f>'book stat'!BD203</f>
        <v>591</v>
      </c>
      <c r="C31" s="34">
        <f>'book stat'!BE203</f>
        <v>61</v>
      </c>
      <c r="D31" s="34">
        <f>'book stat'!BF203</f>
        <v>0</v>
      </c>
      <c r="E31" s="34">
        <f>'book stat'!BG203</f>
        <v>141</v>
      </c>
      <c r="F31" s="34">
        <f>'book stat'!BH203</f>
        <v>0</v>
      </c>
      <c r="G31" s="35">
        <f>'book stat'!BI203</f>
        <v>29</v>
      </c>
      <c r="H31" s="178">
        <f>'book stat'!BJ203</f>
        <v>0</v>
      </c>
      <c r="I31" s="179">
        <f>'book stat'!BK203</f>
        <v>0</v>
      </c>
      <c r="J31" s="179">
        <f>'book stat'!BL203</f>
        <v>19</v>
      </c>
      <c r="K31" s="180">
        <f>'book stat'!BM203</f>
        <v>10</v>
      </c>
      <c r="L31" s="176">
        <f>'book stat'!BN203</f>
        <v>0</v>
      </c>
      <c r="M31" s="177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18" activePane="bottomLeft" state="frozen"/>
      <selection pane="bottomLeft" activeCell="I123" sqref="I123"/>
    </sheetView>
  </sheetViews>
  <sheetFormatPr defaultRowHeight="14.5" x14ac:dyDescent="0.35"/>
  <cols>
    <col min="1" max="1" width="13.1796875" customWidth="1"/>
    <col min="2" max="2" width="7.453125" customWidth="1"/>
    <col min="3" max="3" width="12.17968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315</v>
      </c>
      <c r="B1" s="15" t="s">
        <v>316</v>
      </c>
      <c r="C1" s="16" t="s">
        <v>317</v>
      </c>
      <c r="D1" s="202">
        <v>1</v>
      </c>
      <c r="E1" s="203"/>
      <c r="F1" s="66" t="s">
        <v>318</v>
      </c>
      <c r="G1" s="67" t="s">
        <v>8</v>
      </c>
      <c r="H1" s="204">
        <v>2</v>
      </c>
      <c r="I1" s="203"/>
      <c r="J1" s="66" t="s">
        <v>318</v>
      </c>
      <c r="K1" s="68" t="s">
        <v>8</v>
      </c>
      <c r="L1" s="204">
        <v>3</v>
      </c>
      <c r="M1" s="203"/>
      <c r="N1" s="66" t="s">
        <v>318</v>
      </c>
      <c r="O1" s="69" t="s">
        <v>8</v>
      </c>
      <c r="P1" s="202">
        <v>4</v>
      </c>
      <c r="Q1" s="203"/>
      <c r="R1" s="66" t="s">
        <v>318</v>
      </c>
      <c r="S1" s="68" t="s">
        <v>8</v>
      </c>
      <c r="T1" s="205">
        <v>5</v>
      </c>
      <c r="U1" s="206"/>
      <c r="V1" s="66" t="s">
        <v>318</v>
      </c>
      <c r="W1" s="68" t="s">
        <v>8</v>
      </c>
      <c r="X1" s="202">
        <v>6</v>
      </c>
      <c r="Y1" s="203"/>
      <c r="Z1" s="70" t="s">
        <v>319</v>
      </c>
      <c r="AA1" s="139">
        <f>SUM(AA2:AA171)</f>
        <v>432</v>
      </c>
      <c r="AB1" s="71" t="s">
        <v>320</v>
      </c>
      <c r="AC1" s="71" t="s">
        <v>321</v>
      </c>
      <c r="AD1" s="72" t="s">
        <v>322</v>
      </c>
    </row>
    <row r="2" spans="1:30" ht="30" customHeight="1" x14ac:dyDescent="0.35">
      <c r="A2" s="6">
        <v>18</v>
      </c>
      <c r="B2" s="6" t="s">
        <v>323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324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325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326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327</v>
      </c>
      <c r="B6" s="6" t="s">
        <v>328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329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330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323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331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324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332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325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326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130</v>
      </c>
      <c r="L12" s="14"/>
      <c r="M12" s="149">
        <v>80</v>
      </c>
      <c r="N12" s="20"/>
      <c r="O12" s="20" t="s">
        <v>130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328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329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330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323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324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333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325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334</v>
      </c>
      <c r="B19" s="6" t="s">
        <v>326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90</v>
      </c>
      <c r="V19" s="20"/>
      <c r="W19" s="20" t="s">
        <v>130</v>
      </c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328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90</v>
      </c>
      <c r="U20" s="8">
        <v>90</v>
      </c>
      <c r="V20" s="20"/>
      <c r="W20" s="20" t="s">
        <v>333</v>
      </c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329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90</v>
      </c>
      <c r="U21" s="8">
        <v>90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330</v>
      </c>
      <c r="C22" s="7">
        <v>46159</v>
      </c>
      <c r="D22" s="149">
        <v>8</v>
      </c>
      <c r="E22" s="149">
        <v>8</v>
      </c>
      <c r="F22" s="20">
        <v>2</v>
      </c>
      <c r="G22" s="19" t="s">
        <v>335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90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323</v>
      </c>
      <c r="C23" s="7">
        <v>46160</v>
      </c>
      <c r="D23" s="149">
        <v>8</v>
      </c>
      <c r="E23" s="149">
        <v>8</v>
      </c>
      <c r="F23" s="20">
        <v>2</v>
      </c>
      <c r="G23" s="19" t="s">
        <v>336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337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324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325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326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328</v>
      </c>
      <c r="C27" s="7">
        <v>46164</v>
      </c>
      <c r="D27" s="10"/>
      <c r="E27" s="8">
        <v>40</v>
      </c>
      <c r="F27" s="20"/>
      <c r="G27" s="19"/>
      <c r="H27" s="161">
        <v>20</v>
      </c>
      <c r="I27" s="148">
        <v>20</v>
      </c>
      <c r="J27" s="20">
        <v>2</v>
      </c>
      <c r="K27" s="19"/>
      <c r="L27" s="161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329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1">
        <v>20</v>
      </c>
      <c r="I28" s="148">
        <v>20</v>
      </c>
      <c r="J28" s="20">
        <v>2</v>
      </c>
      <c r="K28" s="19"/>
      <c r="L28" s="161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338</v>
      </c>
      <c r="B29" s="6" t="s">
        <v>330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1">
        <v>20</v>
      </c>
      <c r="I29" s="148">
        <v>20</v>
      </c>
      <c r="J29" s="20">
        <v>2</v>
      </c>
      <c r="K29" s="19"/>
      <c r="L29" s="161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339</v>
      </c>
      <c r="B30" s="6" t="s">
        <v>323</v>
      </c>
      <c r="C30" s="7">
        <v>46167</v>
      </c>
      <c r="D30" s="10">
        <v>40</v>
      </c>
      <c r="E30" s="8"/>
      <c r="F30" s="124">
        <v>2</v>
      </c>
      <c r="G30" s="143"/>
      <c r="H30" s="161">
        <v>20</v>
      </c>
      <c r="I30" s="8"/>
      <c r="J30" s="20">
        <v>2</v>
      </c>
      <c r="K30" s="19"/>
      <c r="L30" s="161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324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325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21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326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328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329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330</v>
      </c>
      <c r="C36" s="7">
        <v>46173</v>
      </c>
      <c r="D36" s="8"/>
      <c r="E36" s="8"/>
      <c r="F36" s="124"/>
      <c r="G36" s="143"/>
      <c r="H36" s="122"/>
      <c r="I36" s="163">
        <v>79</v>
      </c>
      <c r="J36" s="20"/>
      <c r="K36" s="19" t="s">
        <v>88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323</v>
      </c>
      <c r="C37" s="7">
        <v>46174</v>
      </c>
      <c r="D37" s="10"/>
      <c r="E37" s="8"/>
      <c r="F37" s="124"/>
      <c r="G37" s="143"/>
      <c r="H37" s="163">
        <v>79</v>
      </c>
      <c r="I37" s="163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324</v>
      </c>
      <c r="C38" s="7">
        <v>46175</v>
      </c>
      <c r="D38" s="10"/>
      <c r="E38" s="8"/>
      <c r="F38" s="124"/>
      <c r="G38" s="143"/>
      <c r="H38" s="163">
        <v>79</v>
      </c>
      <c r="I38" s="163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325</v>
      </c>
      <c r="C39" s="7">
        <v>46176</v>
      </c>
      <c r="D39" s="10"/>
      <c r="E39" s="8"/>
      <c r="F39" s="124"/>
      <c r="G39" s="143"/>
      <c r="H39" s="163">
        <v>79</v>
      </c>
      <c r="I39" s="163">
        <v>79</v>
      </c>
      <c r="J39" s="20">
        <v>2</v>
      </c>
      <c r="K39" s="19"/>
      <c r="L39" s="8"/>
      <c r="M39" s="163">
        <v>27</v>
      </c>
      <c r="N39" s="20"/>
      <c r="O39" s="20" t="s">
        <v>88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337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326</v>
      </c>
      <c r="C40" s="7">
        <v>46177</v>
      </c>
      <c r="D40" s="10"/>
      <c r="E40" s="8"/>
      <c r="F40" s="124"/>
      <c r="G40" s="143"/>
      <c r="H40" s="163">
        <v>79</v>
      </c>
      <c r="I40" s="163">
        <v>79</v>
      </c>
      <c r="J40" s="20">
        <v>2</v>
      </c>
      <c r="K40" s="19"/>
      <c r="L40" s="162">
        <v>27</v>
      </c>
      <c r="M40" s="163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340</v>
      </c>
      <c r="B41" s="6" t="s">
        <v>328</v>
      </c>
      <c r="C41" s="7">
        <v>46178</v>
      </c>
      <c r="D41" s="10"/>
      <c r="E41" s="149">
        <v>6</v>
      </c>
      <c r="F41" s="124"/>
      <c r="G41" s="143"/>
      <c r="H41" s="163">
        <v>79</v>
      </c>
      <c r="I41" s="149">
        <v>6</v>
      </c>
      <c r="J41" s="20">
        <v>2</v>
      </c>
      <c r="K41" s="19"/>
      <c r="L41" s="163">
        <v>27</v>
      </c>
      <c r="M41" s="163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329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3">
        <v>27</v>
      </c>
      <c r="M42" s="163">
        <v>27</v>
      </c>
      <c r="N42" s="20">
        <v>2</v>
      </c>
      <c r="O42" s="20" t="s">
        <v>130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330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3">
        <v>27</v>
      </c>
      <c r="M43" s="163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323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3">
        <v>27</v>
      </c>
      <c r="M44" s="163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130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324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3">
        <v>27</v>
      </c>
      <c r="M45" s="149">
        <v>18</v>
      </c>
      <c r="N45" s="20">
        <v>2</v>
      </c>
      <c r="O45" s="20" t="s">
        <v>88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325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101</v>
      </c>
      <c r="B47" s="6" t="s">
        <v>326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101</v>
      </c>
      <c r="B48" s="6" t="s">
        <v>328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101</v>
      </c>
      <c r="B49" s="6" t="s">
        <v>329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101</v>
      </c>
      <c r="B50" s="6" t="s">
        <v>330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323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89">
        <v>70</v>
      </c>
      <c r="R51" s="124"/>
      <c r="S51" s="124"/>
      <c r="T51" s="149">
        <v>17</v>
      </c>
      <c r="U51" s="149">
        <v>86</v>
      </c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324</v>
      </c>
      <c r="C52" s="7">
        <v>46189</v>
      </c>
      <c r="D52" s="121"/>
      <c r="E52" s="8"/>
      <c r="F52" s="124"/>
      <c r="G52" s="143"/>
      <c r="H52" s="122"/>
      <c r="I52" s="8"/>
      <c r="J52" s="20">
        <v>2</v>
      </c>
      <c r="K52" s="19" t="s">
        <v>335</v>
      </c>
      <c r="L52" s="8">
        <v>83</v>
      </c>
      <c r="M52" s="8">
        <v>83</v>
      </c>
      <c r="N52" s="20">
        <v>2</v>
      </c>
      <c r="O52" s="20"/>
      <c r="P52" s="189">
        <v>70</v>
      </c>
      <c r="Q52" s="189">
        <v>70</v>
      </c>
      <c r="R52" s="124">
        <v>2</v>
      </c>
      <c r="S52" s="124"/>
      <c r="T52" s="149">
        <v>86</v>
      </c>
      <c r="U52" s="149">
        <v>86</v>
      </c>
      <c r="V52" s="20">
        <v>2</v>
      </c>
      <c r="W52" s="20" t="s">
        <v>335</v>
      </c>
      <c r="X52" s="22"/>
      <c r="Y52" s="22"/>
      <c r="Z52" s="145">
        <f t="shared" si="2"/>
        <v>8</v>
      </c>
      <c r="AA52" s="140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325</v>
      </c>
      <c r="C53" s="7">
        <v>46190</v>
      </c>
      <c r="D53" s="8"/>
      <c r="E53" s="149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9">
        <v>70</v>
      </c>
      <c r="Q53" s="149">
        <v>70</v>
      </c>
      <c r="R53" s="124">
        <v>2</v>
      </c>
      <c r="S53" s="124"/>
      <c r="T53" s="149">
        <v>86</v>
      </c>
      <c r="U53" s="149">
        <v>86</v>
      </c>
      <c r="V53" s="20">
        <v>2</v>
      </c>
      <c r="W53" s="20" t="s">
        <v>341</v>
      </c>
      <c r="X53" s="22"/>
      <c r="Y53" s="22"/>
      <c r="Z53" s="145">
        <f t="shared" si="2"/>
        <v>8</v>
      </c>
      <c r="AA53" s="140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326</v>
      </c>
      <c r="C54" s="7">
        <v>46191</v>
      </c>
      <c r="D54" s="149">
        <v>31</v>
      </c>
      <c r="E54" s="149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86</v>
      </c>
      <c r="U54" s="149">
        <v>86</v>
      </c>
      <c r="V54" s="20">
        <v>2</v>
      </c>
      <c r="W54" s="20"/>
      <c r="X54" s="22"/>
      <c r="Y54" s="22"/>
      <c r="Z54" s="145">
        <f t="shared" si="2"/>
        <v>9</v>
      </c>
      <c r="AA54" s="140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328</v>
      </c>
      <c r="C55" s="7">
        <v>46192</v>
      </c>
      <c r="D55" s="149">
        <v>31</v>
      </c>
      <c r="E55" s="149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86</v>
      </c>
      <c r="U55" s="149">
        <v>86</v>
      </c>
      <c r="V55" s="20">
        <v>2</v>
      </c>
      <c r="W55" s="20"/>
      <c r="X55" s="22"/>
      <c r="Y55" s="22"/>
      <c r="Z55" s="145">
        <f t="shared" si="2"/>
        <v>7</v>
      </c>
      <c r="AA55" s="140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329</v>
      </c>
      <c r="C56" s="7">
        <v>46193</v>
      </c>
      <c r="D56" s="149">
        <v>31</v>
      </c>
      <c r="E56" s="149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86</v>
      </c>
      <c r="U56" s="149">
        <v>86</v>
      </c>
      <c r="V56" s="20">
        <v>2</v>
      </c>
      <c r="W56" s="20"/>
      <c r="X56" s="22"/>
      <c r="Y56" s="22"/>
      <c r="Z56" s="145">
        <f t="shared" si="2"/>
        <v>7</v>
      </c>
      <c r="AA56" s="140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330</v>
      </c>
      <c r="C57" s="7">
        <v>46194</v>
      </c>
      <c r="D57" s="149">
        <v>31</v>
      </c>
      <c r="E57" s="149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86</v>
      </c>
      <c r="U57" s="149">
        <v>86</v>
      </c>
      <c r="V57" s="20">
        <v>2</v>
      </c>
      <c r="W57" s="20"/>
      <c r="X57" s="22"/>
      <c r="Y57" s="22"/>
      <c r="Z57" s="145">
        <f t="shared" si="2"/>
        <v>5</v>
      </c>
      <c r="AA57" s="140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323</v>
      </c>
      <c r="C58" s="7">
        <v>46195</v>
      </c>
      <c r="D58" s="149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4">
        <v>37</v>
      </c>
      <c r="R58" s="124"/>
      <c r="S58" s="124"/>
      <c r="T58" s="149">
        <v>86</v>
      </c>
      <c r="U58" s="8"/>
      <c r="V58" s="20">
        <v>2</v>
      </c>
      <c r="W58" s="20"/>
      <c r="X58" s="22"/>
      <c r="Y58" s="22"/>
      <c r="Z58" s="145">
        <f t="shared" si="2"/>
        <v>3</v>
      </c>
      <c r="AA58" s="140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324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4">
        <v>37</v>
      </c>
      <c r="Q59" s="164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325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4">
        <v>37</v>
      </c>
      <c r="Q60" s="164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326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4">
        <v>37</v>
      </c>
      <c r="Q61" s="8">
        <v>64</v>
      </c>
      <c r="R61" s="124">
        <v>2</v>
      </c>
      <c r="S61" s="20" t="s">
        <v>88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328</v>
      </c>
      <c r="C62" s="7">
        <v>46199</v>
      </c>
      <c r="D62" s="8"/>
      <c r="E62" s="8">
        <v>87</v>
      </c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342</v>
      </c>
      <c r="P62" s="8">
        <v>64</v>
      </c>
      <c r="Q62" s="8">
        <v>64</v>
      </c>
      <c r="R62" s="20"/>
      <c r="S62" s="20" t="s">
        <v>333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329</v>
      </c>
      <c r="C63" s="7">
        <v>46200</v>
      </c>
      <c r="D63" s="8">
        <v>87</v>
      </c>
      <c r="E63" s="8">
        <v>87</v>
      </c>
      <c r="F63" s="124"/>
      <c r="G63" s="143" t="s">
        <v>335</v>
      </c>
      <c r="H63" s="9">
        <v>61</v>
      </c>
      <c r="I63" s="9">
        <v>61</v>
      </c>
      <c r="J63" s="20">
        <v>2</v>
      </c>
      <c r="K63" s="19" t="s">
        <v>335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3">
        <v>77</v>
      </c>
      <c r="V63" s="20"/>
      <c r="W63" s="20" t="s">
        <v>21</v>
      </c>
      <c r="X63" s="22"/>
      <c r="Y63" s="22"/>
      <c r="Z63" s="145">
        <f t="shared" si="2"/>
        <v>4</v>
      </c>
      <c r="AA63" s="140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330</v>
      </c>
      <c r="C64" s="7">
        <v>46201</v>
      </c>
      <c r="D64" s="8">
        <v>87</v>
      </c>
      <c r="E64" s="8">
        <v>87</v>
      </c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21"/>
      <c r="R64" s="20"/>
      <c r="S64" s="20"/>
      <c r="T64" s="163">
        <v>77</v>
      </c>
      <c r="U64" s="163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323</v>
      </c>
      <c r="C65" s="7">
        <v>46202</v>
      </c>
      <c r="D65" s="8">
        <v>87</v>
      </c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21"/>
      <c r="Q65" s="164">
        <v>76</v>
      </c>
      <c r="R65" s="20"/>
      <c r="S65" s="20" t="s">
        <v>88</v>
      </c>
      <c r="T65" s="163">
        <v>77</v>
      </c>
      <c r="U65" s="163">
        <v>77</v>
      </c>
      <c r="V65" s="20">
        <v>2</v>
      </c>
      <c r="W65" s="20"/>
      <c r="X65" s="22"/>
      <c r="Y65" s="22"/>
      <c r="Z65" s="145">
        <f t="shared" si="2"/>
        <v>6</v>
      </c>
      <c r="AA65" s="140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324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4">
        <v>76</v>
      </c>
      <c r="Q66" s="164">
        <v>76</v>
      </c>
      <c r="R66" s="124">
        <v>2</v>
      </c>
      <c r="S66" s="124"/>
      <c r="T66" s="163">
        <v>77</v>
      </c>
      <c r="U66" s="163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325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4">
        <v>76</v>
      </c>
      <c r="Q67" s="164">
        <v>76</v>
      </c>
      <c r="R67" s="124">
        <v>2</v>
      </c>
      <c r="S67" s="124"/>
      <c r="T67" s="163">
        <v>77</v>
      </c>
      <c r="U67" s="163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326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4">
        <v>76</v>
      </c>
      <c r="Q68" s="174">
        <v>76</v>
      </c>
      <c r="R68" s="124">
        <v>2</v>
      </c>
      <c r="S68" s="143"/>
      <c r="T68" s="163">
        <v>77</v>
      </c>
      <c r="U68" s="163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4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328</v>
      </c>
      <c r="C69" s="7">
        <v>46206</v>
      </c>
      <c r="D69" s="8">
        <v>24</v>
      </c>
      <c r="E69" s="8">
        <v>24</v>
      </c>
      <c r="F69" s="124">
        <v>2</v>
      </c>
      <c r="G69" s="143" t="s">
        <v>343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198"/>
      <c r="P69" s="199">
        <v>76</v>
      </c>
      <c r="Q69" s="152">
        <v>14</v>
      </c>
      <c r="R69" s="124">
        <v>2</v>
      </c>
      <c r="S69" s="143"/>
      <c r="T69" s="163">
        <v>77</v>
      </c>
      <c r="U69" s="163">
        <v>77</v>
      </c>
      <c r="V69" s="20">
        <v>2</v>
      </c>
      <c r="W69" s="20"/>
      <c r="X69" s="136"/>
      <c r="Y69" s="136"/>
      <c r="Z69" s="145">
        <f t="shared" si="6"/>
        <v>8</v>
      </c>
      <c r="AA69" s="140">
        <f t="shared" si="7"/>
        <v>4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329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3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330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323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324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325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326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149">
        <v>84</v>
      </c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328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149">
        <v>84</v>
      </c>
      <c r="M76" s="149">
        <v>84</v>
      </c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329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149">
        <v>84</v>
      </c>
      <c r="M77" s="149">
        <v>84</v>
      </c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344</v>
      </c>
      <c r="X77" s="22"/>
      <c r="Y77" s="22"/>
      <c r="Z77" s="145">
        <f t="shared" si="6"/>
        <v>2</v>
      </c>
      <c r="AA77" s="140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330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149">
        <v>84</v>
      </c>
      <c r="M78" s="149">
        <v>84</v>
      </c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323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149">
        <v>84</v>
      </c>
      <c r="M79" s="148">
        <v>43</v>
      </c>
      <c r="N79" s="20"/>
      <c r="O79" s="20" t="s">
        <v>344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324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325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326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328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329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330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342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323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324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325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345</v>
      </c>
      <c r="B89" s="6" t="s">
        <v>326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328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329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330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323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346</v>
      </c>
      <c r="L93" s="8"/>
      <c r="M93" s="8">
        <v>30</v>
      </c>
      <c r="N93" s="20"/>
      <c r="O93" s="20" t="s">
        <v>88</v>
      </c>
      <c r="P93" s="149">
        <v>58</v>
      </c>
      <c r="Q93" s="149">
        <v>58</v>
      </c>
      <c r="R93" s="124">
        <v>1</v>
      </c>
      <c r="S93" s="124" t="s">
        <v>346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324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325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1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326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0">
        <v>57</v>
      </c>
      <c r="Q96" s="171">
        <v>57</v>
      </c>
      <c r="R96" s="124"/>
      <c r="S96" s="124" t="s">
        <v>333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328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0">
        <v>57</v>
      </c>
      <c r="Q97" s="171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329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0">
        <v>57</v>
      </c>
      <c r="Q98" s="171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330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0">
        <v>57</v>
      </c>
      <c r="Q99" s="171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323</v>
      </c>
      <c r="C100" s="7">
        <v>46237</v>
      </c>
      <c r="D100" s="10"/>
      <c r="E100" s="148">
        <v>11</v>
      </c>
      <c r="F100" s="20"/>
      <c r="G100" s="19" t="s">
        <v>344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0">
        <v>57</v>
      </c>
      <c r="Q100" s="171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324</v>
      </c>
      <c r="C101" s="7">
        <v>46238</v>
      </c>
      <c r="D101" s="148">
        <v>11</v>
      </c>
      <c r="E101" s="148">
        <v>11</v>
      </c>
      <c r="F101" s="20"/>
      <c r="G101" s="19" t="s">
        <v>335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0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325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326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130</v>
      </c>
      <c r="L103" s="149">
        <v>74</v>
      </c>
      <c r="M103" s="164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328</v>
      </c>
      <c r="C104" s="7">
        <v>46241</v>
      </c>
      <c r="D104" s="148">
        <v>11</v>
      </c>
      <c r="E104" s="148">
        <v>11</v>
      </c>
      <c r="F104" s="20"/>
      <c r="G104" s="19"/>
      <c r="H104" s="121">
        <v>32</v>
      </c>
      <c r="I104" s="121">
        <v>32</v>
      </c>
      <c r="J104" s="121">
        <v>2</v>
      </c>
      <c r="K104" s="197" t="s">
        <v>335</v>
      </c>
      <c r="L104" s="164">
        <v>33</v>
      </c>
      <c r="M104" s="164">
        <v>33</v>
      </c>
      <c r="N104" s="121">
        <v>1</v>
      </c>
      <c r="O104" s="121" t="s">
        <v>335</v>
      </c>
      <c r="P104" s="121">
        <v>45</v>
      </c>
      <c r="Q104" s="121">
        <v>45</v>
      </c>
      <c r="R104" s="121">
        <v>2</v>
      </c>
      <c r="S104" s="121"/>
      <c r="T104" s="121">
        <v>50</v>
      </c>
      <c r="U104" s="121"/>
      <c r="V104" s="121">
        <v>2</v>
      </c>
      <c r="W104" s="121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329</v>
      </c>
      <c r="C105" s="7">
        <v>46242</v>
      </c>
      <c r="D105" s="148">
        <v>11</v>
      </c>
      <c r="E105" s="8"/>
      <c r="F105" s="20"/>
      <c r="G105" s="19"/>
      <c r="H105" s="121">
        <v>32</v>
      </c>
      <c r="I105" s="121">
        <v>32</v>
      </c>
      <c r="J105" s="121">
        <v>2</v>
      </c>
      <c r="K105" s="197"/>
      <c r="L105" s="164">
        <v>33</v>
      </c>
      <c r="M105" s="164">
        <v>33</v>
      </c>
      <c r="N105" s="121">
        <v>1</v>
      </c>
      <c r="O105" s="121"/>
      <c r="P105" s="121">
        <v>45</v>
      </c>
      <c r="Q105" s="121">
        <v>45</v>
      </c>
      <c r="R105" s="121">
        <v>2</v>
      </c>
      <c r="S105" s="121"/>
      <c r="T105" s="121"/>
      <c r="U105" s="121"/>
      <c r="V105" s="121"/>
      <c r="W105" s="121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330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4">
        <v>33</v>
      </c>
      <c r="M106" s="164">
        <v>33</v>
      </c>
      <c r="N106" s="121">
        <v>1</v>
      </c>
      <c r="O106" s="121"/>
      <c r="P106" s="121">
        <v>45</v>
      </c>
      <c r="Q106" s="121"/>
      <c r="R106" s="121">
        <v>2</v>
      </c>
      <c r="S106" s="121"/>
      <c r="T106" s="121"/>
      <c r="U106" s="121"/>
      <c r="V106" s="121"/>
      <c r="W106" s="121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323</v>
      </c>
      <c r="C107" s="7">
        <v>46244</v>
      </c>
      <c r="D107" s="8"/>
      <c r="E107" s="8">
        <v>59</v>
      </c>
      <c r="F107" s="20"/>
      <c r="G107" s="19" t="s">
        <v>130</v>
      </c>
      <c r="H107" s="8">
        <v>32</v>
      </c>
      <c r="I107" s="8">
        <v>32</v>
      </c>
      <c r="J107" s="20">
        <v>2</v>
      </c>
      <c r="K107" s="19"/>
      <c r="L107" s="164">
        <v>33</v>
      </c>
      <c r="M107" s="164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324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4">
        <v>33</v>
      </c>
      <c r="M108" s="164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325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4">
        <v>33</v>
      </c>
      <c r="M109" s="164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347</v>
      </c>
      <c r="B110" s="6" t="s">
        <v>326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4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347</v>
      </c>
      <c r="B111" s="6" t="s">
        <v>328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347</v>
      </c>
      <c r="B112" s="6" t="s">
        <v>329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330</v>
      </c>
      <c r="C113" s="7">
        <v>46250</v>
      </c>
      <c r="D113" s="8"/>
      <c r="E113" s="8"/>
      <c r="F113" s="20"/>
      <c r="G113" s="19"/>
      <c r="H113" s="37">
        <v>46</v>
      </c>
      <c r="I113" s="164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3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323</v>
      </c>
      <c r="C114" s="7">
        <v>46251</v>
      </c>
      <c r="D114" s="10"/>
      <c r="E114" s="8">
        <v>26</v>
      </c>
      <c r="F114" s="20"/>
      <c r="G114" s="19" t="s">
        <v>21</v>
      </c>
      <c r="H114" s="164">
        <v>46</v>
      </c>
      <c r="I114" s="164">
        <v>46</v>
      </c>
      <c r="J114" s="20"/>
      <c r="K114" s="19"/>
      <c r="L114" s="14"/>
      <c r="M114" s="8">
        <v>52</v>
      </c>
      <c r="N114" s="20"/>
      <c r="O114" s="20"/>
      <c r="P114" s="167">
        <v>51</v>
      </c>
      <c r="Q114" s="163">
        <v>51</v>
      </c>
      <c r="R114" s="124">
        <v>2</v>
      </c>
      <c r="S114" s="124" t="s">
        <v>348</v>
      </c>
      <c r="T114" s="8"/>
      <c r="U114" s="149">
        <v>21</v>
      </c>
      <c r="V114" s="20"/>
      <c r="W114" s="20" t="s">
        <v>88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324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4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7">
        <v>51</v>
      </c>
      <c r="Q115" s="163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341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325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7">
        <v>51</v>
      </c>
      <c r="Q116" s="163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326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8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7">
        <v>51</v>
      </c>
      <c r="Q117" s="163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68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328</v>
      </c>
      <c r="C118" s="7">
        <v>46255</v>
      </c>
      <c r="D118" s="10">
        <v>26</v>
      </c>
      <c r="E118" s="8"/>
      <c r="F118" s="20">
        <v>2</v>
      </c>
      <c r="G118" s="19"/>
      <c r="H118" s="169">
        <v>54</v>
      </c>
      <c r="I118" s="168">
        <v>54</v>
      </c>
      <c r="J118" s="20">
        <v>2</v>
      </c>
      <c r="K118" s="19"/>
      <c r="L118" s="14">
        <v>52</v>
      </c>
      <c r="M118" s="168">
        <v>54</v>
      </c>
      <c r="N118" s="20">
        <v>2</v>
      </c>
      <c r="O118" s="20"/>
      <c r="P118" s="167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68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329</v>
      </c>
      <c r="C119" s="7">
        <v>46256</v>
      </c>
      <c r="D119" s="10"/>
      <c r="E119" s="8">
        <v>65</v>
      </c>
      <c r="F119" s="20"/>
      <c r="G119" s="19"/>
      <c r="H119" s="169">
        <v>54</v>
      </c>
      <c r="I119" s="168">
        <v>54</v>
      </c>
      <c r="J119" s="20">
        <v>2</v>
      </c>
      <c r="K119" s="19"/>
      <c r="L119" s="168">
        <v>54</v>
      </c>
      <c r="M119" s="168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330</v>
      </c>
      <c r="C120" s="7">
        <v>46257</v>
      </c>
      <c r="D120" s="10">
        <v>65</v>
      </c>
      <c r="E120" s="8">
        <v>65</v>
      </c>
      <c r="F120" s="20"/>
      <c r="G120" s="19"/>
      <c r="H120" s="169">
        <v>54</v>
      </c>
      <c r="I120" s="8"/>
      <c r="J120" s="20">
        <v>2</v>
      </c>
      <c r="K120" s="19"/>
      <c r="L120" s="168">
        <v>54</v>
      </c>
      <c r="M120" s="8"/>
      <c r="N120" s="20">
        <v>2</v>
      </c>
      <c r="O120" s="20"/>
      <c r="P120" s="8"/>
      <c r="Q120" s="8"/>
      <c r="R120" s="124"/>
      <c r="S120" s="124" t="s">
        <v>133</v>
      </c>
      <c r="T120" s="8">
        <v>25</v>
      </c>
      <c r="U120" s="8">
        <v>25</v>
      </c>
      <c r="V120" s="124"/>
      <c r="W120" s="124" t="s">
        <v>133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323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324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325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326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335</v>
      </c>
      <c r="H124" s="8">
        <v>71</v>
      </c>
      <c r="I124" s="8">
        <v>71</v>
      </c>
      <c r="J124" s="124"/>
      <c r="K124" s="124" t="s">
        <v>335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335</v>
      </c>
      <c r="T124" s="8">
        <v>25</v>
      </c>
      <c r="U124" s="149">
        <v>35</v>
      </c>
      <c r="V124" s="124"/>
      <c r="W124" s="124"/>
      <c r="X124" s="22"/>
      <c r="Y124" s="22"/>
      <c r="Z124" s="145">
        <f t="shared" si="6"/>
        <v>5</v>
      </c>
      <c r="AA124" s="140">
        <f t="shared" si="7"/>
        <v>5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328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343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329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330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323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324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325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326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328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329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330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323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342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324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325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326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328</v>
      </c>
      <c r="C139" s="7">
        <v>46276</v>
      </c>
      <c r="D139" s="10"/>
      <c r="E139" s="148">
        <v>89</v>
      </c>
      <c r="F139" s="20"/>
      <c r="G139" s="19"/>
      <c r="H139" s="10"/>
      <c r="I139" s="148">
        <v>89</v>
      </c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329</v>
      </c>
      <c r="C140" s="7">
        <v>46277</v>
      </c>
      <c r="D140" s="200">
        <v>89</v>
      </c>
      <c r="E140" s="148">
        <v>89</v>
      </c>
      <c r="F140" s="20">
        <v>1</v>
      </c>
      <c r="G140" s="19"/>
      <c r="H140" s="200">
        <v>89</v>
      </c>
      <c r="I140" s="148">
        <v>89</v>
      </c>
      <c r="J140" s="20">
        <v>2</v>
      </c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5</v>
      </c>
      <c r="AA140" s="140">
        <f t="shared" si="13"/>
        <v>3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330</v>
      </c>
      <c r="C141" s="7">
        <v>46278</v>
      </c>
      <c r="D141" s="200">
        <v>89</v>
      </c>
      <c r="E141" s="8"/>
      <c r="F141" s="20">
        <v>1</v>
      </c>
      <c r="G141" s="19"/>
      <c r="H141" s="200">
        <v>89</v>
      </c>
      <c r="I141" s="8"/>
      <c r="J141" s="20">
        <v>2</v>
      </c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5</v>
      </c>
      <c r="AA141" s="140">
        <f t="shared" si="13"/>
        <v>1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323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324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325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88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326</v>
      </c>
      <c r="C145" s="7">
        <v>46282</v>
      </c>
      <c r="D145" s="8"/>
      <c r="E145" s="8">
        <v>41</v>
      </c>
      <c r="F145" s="20"/>
      <c r="G145" s="19" t="s">
        <v>88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328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329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330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323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324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325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326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328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329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330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323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324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325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326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328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329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349</v>
      </c>
      <c r="B162" s="6" t="s">
        <v>330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323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324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325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326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328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329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330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323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324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9:G15 H9:H10 H12:H15 D16:H52 J2:N57 H53:H57 H58:M58 D53:G58 O2:Y171 D59:M115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350</v>
      </c>
      <c r="B1" s="55" t="s">
        <v>317</v>
      </c>
      <c r="C1" s="73" t="s">
        <v>351</v>
      </c>
      <c r="D1" s="74">
        <f ca="1">TODAY()</f>
        <v>46104</v>
      </c>
      <c r="E1" s="56" t="s">
        <v>336</v>
      </c>
      <c r="F1" s="57" t="s">
        <v>352</v>
      </c>
      <c r="G1" s="57" t="s">
        <v>8</v>
      </c>
      <c r="H1" s="56" t="s">
        <v>353</v>
      </c>
      <c r="I1" s="57" t="s">
        <v>352</v>
      </c>
      <c r="J1" s="57" t="s">
        <v>8</v>
      </c>
      <c r="K1" s="56" t="s">
        <v>354</v>
      </c>
      <c r="L1" s="57" t="s">
        <v>352</v>
      </c>
      <c r="M1" s="57" t="s">
        <v>8</v>
      </c>
      <c r="N1" s="56" t="s">
        <v>355</v>
      </c>
      <c r="O1" s="57" t="s">
        <v>352</v>
      </c>
      <c r="P1" s="57" t="s">
        <v>8</v>
      </c>
      <c r="Q1" s="56" t="s">
        <v>337</v>
      </c>
      <c r="R1" s="57" t="s">
        <v>352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1796875" style="24" bestFit="1" customWidth="1"/>
    <col min="3" max="3" width="3.8164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46104</v>
      </c>
      <c r="E1" s="79" t="str">
        <f>rengøring!E1</f>
        <v>V1</v>
      </c>
      <c r="F1" s="82" t="s">
        <v>356</v>
      </c>
      <c r="G1" s="82" t="s">
        <v>357</v>
      </c>
      <c r="H1" s="82" t="s">
        <v>358</v>
      </c>
      <c r="I1" s="79" t="s">
        <v>359</v>
      </c>
      <c r="J1" s="79" t="str">
        <f>rengøring!H1</f>
        <v>V2</v>
      </c>
      <c r="K1" s="82" t="s">
        <v>356</v>
      </c>
      <c r="L1" s="82" t="s">
        <v>357</v>
      </c>
      <c r="M1" s="82" t="s">
        <v>358</v>
      </c>
      <c r="N1" s="79" t="str">
        <f>rengøring!K1</f>
        <v>V3</v>
      </c>
      <c r="O1" s="82" t="s">
        <v>360</v>
      </c>
      <c r="P1" s="82" t="s">
        <v>357</v>
      </c>
      <c r="Q1" s="82" t="s">
        <v>358</v>
      </c>
      <c r="R1" s="83" t="str">
        <f>rengøring!N1</f>
        <v>V4</v>
      </c>
      <c r="S1" s="82" t="s">
        <v>360</v>
      </c>
      <c r="T1" s="82" t="s">
        <v>357</v>
      </c>
      <c r="U1" s="82" t="s">
        <v>358</v>
      </c>
      <c r="V1" s="79" t="str">
        <f>rengøring!Q1</f>
        <v>V5</v>
      </c>
      <c r="W1" s="82" t="s">
        <v>360</v>
      </c>
      <c r="X1" s="82" t="s">
        <v>357</v>
      </c>
      <c r="Y1" s="82" t="s">
        <v>358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100">
        <f>IFERROR(VLOOKUP(E6,Database!$A$2:$L$175,9,FALSE),"-")</f>
        <v>0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90</v>
      </c>
      <c r="W19" s="85" t="str">
        <f>IFERROR(VLOOKUP(V19,Database!$A$2:$L$175,8,FALSE),"-")</f>
        <v>1630</v>
      </c>
      <c r="X19" s="85" t="str">
        <f>IFERROR(VLOOKUP(V19,Database!$A$2:$L$175,6,FALSE),"-")</f>
        <v>S</v>
      </c>
      <c r="Y19" s="87" t="str">
        <f>IFERROR(VLOOKUP(V19,Database!$A$2:$L$175,9,FALSE),"-")</f>
        <v>dobb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100">
        <f>IFERROR(VLOOKUP(E53,Database!$A$2:$L$175,9,FALSE),"-")</f>
        <v>0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100">
        <f>IFERROR(VLOOKUP(E62,Database!$A$2:$L$175,9,FALSE),"-")</f>
        <v>0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Y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>
        <f>IF(AND(D65="Y",booking!P65&lt;&gt;booking!Q65,booking!Q65&gt;0),booking!Q65,"-")</f>
        <v>76</v>
      </c>
      <c r="S65" s="84">
        <f>IFERROR(VLOOKUP(R65,Database!$A$2:$L$175,8,FALSE),"-")</f>
        <v>0</v>
      </c>
      <c r="T65" s="84" t="str">
        <f>IFERROR(VLOOKUP(R65,Database!$A$2:$L$175,6,FALSE),"-")</f>
        <v>DK</v>
      </c>
      <c r="U65" s="88" t="str">
        <f>IFERROR(VLOOKUP(R65,Database!$A$2:$L$175,9,FALSE),"-")</f>
        <v>sing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>
        <f>IFERROR(VLOOKUP(J123,Database!$A$2:$L$175,9,FALSE),"-")</f>
        <v>0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>
        <f>IF(AND(D139="Y",booking!D139&lt;&gt;booking!E139,booking!E139&gt;0),booking!E139,"-")</f>
        <v>89</v>
      </c>
      <c r="F139" s="84">
        <f>IFERROR(VLOOKUP(E139,Database!$A$2:$L$175,8,FALSE),"-")</f>
        <v>0</v>
      </c>
      <c r="G139" s="84" t="str">
        <f>IFERROR(VLOOKUP(E139,Database!$A$2:$L$175,6,FALSE),"-")</f>
        <v>DK</v>
      </c>
      <c r="H139" s="100" t="str">
        <f>IFERROR(VLOOKUP(E139,Database!$A$2:$L$175,9,FALSE),"-")</f>
        <v>sing</v>
      </c>
      <c r="I139" s="119"/>
      <c r="J139" s="103">
        <f>IF(AND(D139="Y",booking!H139&lt;&gt;booking!I139,booking!I139&gt;0),booking!I139,"-")</f>
        <v>89</v>
      </c>
      <c r="K139" s="84">
        <f>IFERROR(VLOOKUP(J139,Database!$A$2:$L$175,8,FALSE),"-")</f>
        <v>0</v>
      </c>
      <c r="L139" s="84" t="str">
        <f>IFERROR(VLOOKUP(J139,Database!$A$2:$L$175,6,FALSE),"-")</f>
        <v>DK</v>
      </c>
      <c r="M139" s="100" t="str">
        <f>IFERROR(VLOOKUP(J139,Database!$A$2:$L$175,9,FALSE),"-")</f>
        <v>sing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361</v>
      </c>
      <c r="B1" s="2" t="s">
        <v>318</v>
      </c>
      <c r="C1" s="2" t="s">
        <v>362</v>
      </c>
      <c r="D1" t="s">
        <v>363</v>
      </c>
      <c r="E1" s="2" t="s">
        <v>364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1796875" style="5" bestFit="1" customWidth="1"/>
  </cols>
  <sheetData>
    <row r="1" spans="1:13" x14ac:dyDescent="0.35">
      <c r="A1" t="s">
        <v>361</v>
      </c>
      <c r="B1" t="s">
        <v>6</v>
      </c>
      <c r="C1" s="5" t="s">
        <v>365</v>
      </c>
      <c r="D1" s="5" t="s">
        <v>41</v>
      </c>
      <c r="E1" t="s">
        <v>366</v>
      </c>
      <c r="F1" t="s">
        <v>367</v>
      </c>
      <c r="G1" t="s">
        <v>368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369</v>
      </c>
      <c r="M2" t="s">
        <v>370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371</v>
      </c>
      <c r="L3">
        <f>SUM(I2:I200)</f>
        <v>227</v>
      </c>
      <c r="M3">
        <f>SUM(J2:J200)</f>
        <v>209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95" t="str">
        <f>Database!G16</f>
        <v>FM</v>
      </c>
      <c r="C16" s="196">
        <f>Database!C16</f>
        <v>46181</v>
      </c>
      <c r="D16" s="196">
        <f>Database!D16</f>
        <v>46188</v>
      </c>
      <c r="E16" s="195">
        <f t="shared" si="0"/>
        <v>7</v>
      </c>
      <c r="F16" s="195">
        <f>Database!K16</f>
        <v>1</v>
      </c>
      <c r="G16" s="195">
        <f t="shared" si="1"/>
        <v>7</v>
      </c>
      <c r="H16" s="195"/>
      <c r="I16" s="195">
        <f>G16</f>
        <v>7</v>
      </c>
      <c r="J16" s="195">
        <f t="shared" si="3"/>
        <v>0</v>
      </c>
    </row>
    <row r="17" spans="1:10" x14ac:dyDescent="0.35">
      <c r="A17">
        <f>Database!A17</f>
        <v>16</v>
      </c>
      <c r="B17" s="195" t="str">
        <f>Database!G17</f>
        <v>FM</v>
      </c>
      <c r="C17" s="196">
        <f>Database!C17</f>
        <v>46182</v>
      </c>
      <c r="D17" s="196">
        <f>Database!D17</f>
        <v>46188</v>
      </c>
      <c r="E17" s="195">
        <f t="shared" si="0"/>
        <v>6</v>
      </c>
      <c r="F17" s="195">
        <f>Database!K17</f>
        <v>2</v>
      </c>
      <c r="G17" s="195">
        <f t="shared" si="1"/>
        <v>12</v>
      </c>
      <c r="H17" s="195"/>
      <c r="I17" s="195">
        <f>G17</f>
        <v>12</v>
      </c>
      <c r="J17" s="195">
        <f t="shared" si="3"/>
        <v>0</v>
      </c>
    </row>
    <row r="18" spans="1:10" x14ac:dyDescent="0.35">
      <c r="A18">
        <f>Database!A18</f>
        <v>17</v>
      </c>
      <c r="B18" s="195" t="str">
        <f>Database!G18</f>
        <v>FM</v>
      </c>
      <c r="C18" s="196">
        <f>Database!C18</f>
        <v>46181</v>
      </c>
      <c r="D18" s="196">
        <f>Database!D18</f>
        <v>46188</v>
      </c>
      <c r="E18" s="195">
        <f t="shared" si="0"/>
        <v>7</v>
      </c>
      <c r="F18" s="195">
        <f>Database!K18</f>
        <v>1</v>
      </c>
      <c r="G18" s="195">
        <f t="shared" si="1"/>
        <v>7</v>
      </c>
      <c r="H18" s="195"/>
      <c r="I18" s="195">
        <f>G18</f>
        <v>7</v>
      </c>
      <c r="J18" s="195">
        <f t="shared" si="3"/>
        <v>0</v>
      </c>
    </row>
    <row r="19" spans="1:10" x14ac:dyDescent="0.35">
      <c r="A19">
        <f>Database!A19</f>
        <v>18</v>
      </c>
      <c r="B19" s="195" t="str">
        <f>Database!G19</f>
        <v>FM</v>
      </c>
      <c r="C19" s="196">
        <f>Database!C19</f>
        <v>46182</v>
      </c>
      <c r="D19" s="196">
        <f>Database!D19</f>
        <v>46187</v>
      </c>
      <c r="E19" s="195">
        <f t="shared" si="0"/>
        <v>5</v>
      </c>
      <c r="F19" s="195">
        <f>Database!K19</f>
        <v>1</v>
      </c>
      <c r="G19" s="195">
        <f t="shared" si="1"/>
        <v>5</v>
      </c>
      <c r="H19" s="195"/>
      <c r="I19" s="195">
        <f>G19</f>
        <v>5</v>
      </c>
      <c r="J19" s="195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>
        <f>Database!G95</f>
        <v>0</v>
      </c>
      <c r="C95" s="5">
        <f>Database!C95</f>
        <v>0</v>
      </c>
      <c r="D95" s="5">
        <f>Database!D95</f>
        <v>0</v>
      </c>
      <c r="E95">
        <f t="shared" si="4"/>
        <v>0</v>
      </c>
      <c r="F95">
        <f>Database!K95</f>
        <v>0</v>
      </c>
      <c r="G95">
        <f t="shared" si="5"/>
        <v>0</v>
      </c>
      <c r="I95">
        <f t="shared" si="6"/>
        <v>0</v>
      </c>
      <c r="J95">
        <f t="shared" si="7"/>
        <v>0</v>
      </c>
    </row>
    <row r="96" spans="1:10" x14ac:dyDescent="0.35">
      <c r="A96">
        <f>Database!A96</f>
        <v>0</v>
      </c>
      <c r="B96">
        <f>Database!G96</f>
        <v>0</v>
      </c>
      <c r="C96" s="5">
        <f>Database!C96</f>
        <v>0</v>
      </c>
      <c r="D96" s="5">
        <f>Database!D96</f>
        <v>0</v>
      </c>
      <c r="E96">
        <f t="shared" si="4"/>
        <v>0</v>
      </c>
      <c r="F96">
        <f>Database!K96</f>
        <v>0</v>
      </c>
      <c r="G96">
        <f t="shared" si="5"/>
        <v>0</v>
      </c>
      <c r="I96">
        <f t="shared" si="6"/>
        <v>0</v>
      </c>
      <c r="J96">
        <f t="shared" si="7"/>
        <v>0</v>
      </c>
    </row>
    <row r="97" spans="1:10" x14ac:dyDescent="0.35">
      <c r="A97">
        <f>Database!A97</f>
        <v>0</v>
      </c>
      <c r="B97">
        <f>Database!G97</f>
        <v>0</v>
      </c>
      <c r="C97" s="5">
        <f>Database!C97</f>
        <v>0</v>
      </c>
      <c r="D97" s="5">
        <f>Database!D97</f>
        <v>0</v>
      </c>
      <c r="E97">
        <f t="shared" si="4"/>
        <v>0</v>
      </c>
      <c r="F97">
        <f>Database!K97</f>
        <v>0</v>
      </c>
      <c r="G97">
        <f t="shared" si="5"/>
        <v>0</v>
      </c>
      <c r="I97">
        <f t="shared" si="6"/>
        <v>0</v>
      </c>
      <c r="J97">
        <f t="shared" si="7"/>
        <v>0</v>
      </c>
    </row>
    <row r="98" spans="1:10" x14ac:dyDescent="0.35">
      <c r="A98">
        <f>Database!A98</f>
        <v>0</v>
      </c>
      <c r="B98">
        <f>Database!G98</f>
        <v>0</v>
      </c>
      <c r="C98" s="5">
        <f>Database!C98</f>
        <v>0</v>
      </c>
      <c r="D98" s="5">
        <f>Database!D98</f>
        <v>0</v>
      </c>
      <c r="E98">
        <f t="shared" si="4"/>
        <v>0</v>
      </c>
      <c r="F98">
        <f>Database!K98</f>
        <v>0</v>
      </c>
      <c r="G98">
        <f t="shared" si="5"/>
        <v>0</v>
      </c>
      <c r="I98">
        <f t="shared" si="6"/>
        <v>0</v>
      </c>
      <c r="J98">
        <f t="shared" si="7"/>
        <v>0</v>
      </c>
    </row>
    <row r="99" spans="1:10" x14ac:dyDescent="0.35">
      <c r="A99">
        <f>Database!A99</f>
        <v>0</v>
      </c>
      <c r="B99">
        <f>Database!G99</f>
        <v>0</v>
      </c>
      <c r="C99" s="5">
        <f>Database!C99</f>
        <v>0</v>
      </c>
      <c r="D99" s="5">
        <f>Database!D99</f>
        <v>0</v>
      </c>
      <c r="E99">
        <f t="shared" si="4"/>
        <v>0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0</v>
      </c>
      <c r="B100">
        <f>Database!G100</f>
        <v>0</v>
      </c>
      <c r="C100" s="5">
        <f>Database!C100</f>
        <v>0</v>
      </c>
      <c r="D100" s="5">
        <f>Database!D100</f>
        <v>0</v>
      </c>
      <c r="E100">
        <f t="shared" si="4"/>
        <v>0</v>
      </c>
      <c r="F100">
        <f>Database!K100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Database!A101</f>
        <v>0</v>
      </c>
      <c r="B101">
        <f>Database!G101</f>
        <v>0</v>
      </c>
      <c r="C101" s="5">
        <f>Database!C101</f>
        <v>0</v>
      </c>
      <c r="D101" s="5">
        <f>Database!D101</f>
        <v>0</v>
      </c>
      <c r="E101">
        <f t="shared" si="4"/>
        <v>0</v>
      </c>
      <c r="F101">
        <f>Database!K101</f>
        <v>0</v>
      </c>
      <c r="G101">
        <f t="shared" si="5"/>
        <v>0</v>
      </c>
      <c r="I101">
        <f t="shared" si="6"/>
        <v>0</v>
      </c>
      <c r="J101">
        <f t="shared" si="7"/>
        <v>0</v>
      </c>
    </row>
    <row r="102" spans="1:10" x14ac:dyDescent="0.35">
      <c r="A102">
        <f>Database!A102</f>
        <v>0</v>
      </c>
      <c r="B102">
        <f>Database!G102</f>
        <v>0</v>
      </c>
      <c r="C102" s="5">
        <f>Database!C102</f>
        <v>0</v>
      </c>
      <c r="D102" s="5">
        <f>Database!D102</f>
        <v>0</v>
      </c>
      <c r="E102">
        <f t="shared" si="4"/>
        <v>0</v>
      </c>
      <c r="F102">
        <f>Database!K102</f>
        <v>0</v>
      </c>
      <c r="G102">
        <f t="shared" si="5"/>
        <v>0</v>
      </c>
      <c r="I102">
        <f t="shared" si="6"/>
        <v>0</v>
      </c>
      <c r="J102">
        <f t="shared" si="7"/>
        <v>0</v>
      </c>
    </row>
    <row r="103" spans="1:10" x14ac:dyDescent="0.35">
      <c r="A103">
        <f>Database!A103</f>
        <v>0</v>
      </c>
      <c r="B103">
        <f>Database!G103</f>
        <v>0</v>
      </c>
      <c r="C103" s="5">
        <f>Database!C103</f>
        <v>0</v>
      </c>
      <c r="D103" s="5">
        <f>Database!D103</f>
        <v>0</v>
      </c>
      <c r="E103">
        <f t="shared" si="4"/>
        <v>0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0</v>
      </c>
      <c r="B104">
        <f>Database!G104</f>
        <v>0</v>
      </c>
      <c r="C104" s="5">
        <f>Database!C104</f>
        <v>0</v>
      </c>
      <c r="D104" s="5">
        <f>Database!D104</f>
        <v>0</v>
      </c>
      <c r="E104">
        <f t="shared" si="4"/>
        <v>0</v>
      </c>
      <c r="F104">
        <f>Database!K104</f>
        <v>0</v>
      </c>
      <c r="G104">
        <f t="shared" si="5"/>
        <v>0</v>
      </c>
      <c r="I104">
        <f t="shared" si="6"/>
        <v>0</v>
      </c>
      <c r="J104">
        <f t="shared" si="7"/>
        <v>0</v>
      </c>
    </row>
    <row r="105" spans="1:10" x14ac:dyDescent="0.35">
      <c r="A105">
        <f>Database!A105</f>
        <v>0</v>
      </c>
      <c r="B105">
        <f>Database!G105</f>
        <v>0</v>
      </c>
      <c r="C105" s="5">
        <f>Database!C105</f>
        <v>0</v>
      </c>
      <c r="D105" s="5">
        <f>Database!D105</f>
        <v>0</v>
      </c>
      <c r="E105">
        <f t="shared" si="4"/>
        <v>0</v>
      </c>
      <c r="F105">
        <f>Database!K105</f>
        <v>0</v>
      </c>
      <c r="G105">
        <f t="shared" si="5"/>
        <v>0</v>
      </c>
      <c r="I105">
        <f t="shared" si="6"/>
        <v>0</v>
      </c>
      <c r="J105">
        <f t="shared" si="7"/>
        <v>0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17968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372</v>
      </c>
      <c r="C1" s="107" t="s">
        <v>373</v>
      </c>
      <c r="D1" s="108" t="s">
        <v>374</v>
      </c>
      <c r="E1" s="105" t="s">
        <v>375</v>
      </c>
      <c r="F1" s="108" t="s">
        <v>376</v>
      </c>
      <c r="G1" s="105" t="s">
        <v>377</v>
      </c>
      <c r="H1" s="108" t="s">
        <v>378</v>
      </c>
      <c r="I1" s="105" t="s">
        <v>379</v>
      </c>
      <c r="J1" s="108" t="s">
        <v>380</v>
      </c>
      <c r="K1" s="105" t="s">
        <v>381</v>
      </c>
      <c r="L1" s="108" t="s">
        <v>382</v>
      </c>
      <c r="M1" s="105" t="s">
        <v>383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oc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oc</v>
      </c>
      <c r="C7" s="138" t="str">
        <f>IF(booking!E7&gt;0,"oc","va")</f>
        <v>oc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oc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oc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oc</v>
      </c>
      <c r="K52" s="138" t="str">
        <f>IF(booking!U52&gt;0,"oc","va")</f>
        <v>oc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oc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oc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oc</v>
      </c>
      <c r="C54" s="138" t="str">
        <f>IF(booking!E54&gt;0,"oc","va")</f>
        <v>oc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oc</v>
      </c>
      <c r="C55" s="138" t="str">
        <f>IF(booking!E55&gt;0,"oc","va")</f>
        <v>oc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oc</v>
      </c>
      <c r="C56" s="138" t="str">
        <f>IF(booking!E56&gt;0,"oc","va")</f>
        <v>oc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oc</v>
      </c>
      <c r="C57" s="138" t="str">
        <f>IF(booking!E57&gt;0,"oc","va")</f>
        <v>oc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oc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oc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oc</v>
      </c>
      <c r="C63" s="138" t="str">
        <f>IF(booking!E63&gt;0,"oc","va")</f>
        <v>oc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oc</v>
      </c>
      <c r="C64" s="138" t="str">
        <f>IF(booking!E64&gt;0,"oc","va")</f>
        <v>oc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oc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oc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oc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oc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oc</v>
      </c>
      <c r="G76" s="138" t="str">
        <f>IF(booking!M76&gt;0,"oc","va")</f>
        <v>oc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oc</v>
      </c>
      <c r="G77" s="138" t="str">
        <f>IF(booking!M77&gt;0,"oc","va")</f>
        <v>oc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oc</v>
      </c>
      <c r="G78" s="138" t="str">
        <f>IF(booking!M78&gt;0,"oc","va")</f>
        <v>oc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oc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oc</v>
      </c>
      <c r="D139" s="137" t="str">
        <f>IF(booking!H139&gt;0,"oc","va")</f>
        <v>va</v>
      </c>
      <c r="E139" s="138" t="str">
        <f>IF(booking!I139&gt;0,"oc","va")</f>
        <v>oc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oc</v>
      </c>
      <c r="C140" s="138" t="str">
        <f>IF(booking!E140&gt;0,"oc","va")</f>
        <v>oc</v>
      </c>
      <c r="D140" s="137" t="str">
        <f>IF(booking!H140&gt;0,"oc","va")</f>
        <v>oc</v>
      </c>
      <c r="E140" s="138" t="str">
        <f>IF(booking!I140&gt;0,"oc","va")</f>
        <v>oc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oc</v>
      </c>
      <c r="C141" s="138" t="str">
        <f>IF(booking!E141&gt;0,"oc","va")</f>
        <v>va</v>
      </c>
      <c r="D141" s="137" t="str">
        <f>IF(booking!H141&gt;0,"oc","va")</f>
        <v>oc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dcterms:created xsi:type="dcterms:W3CDTF">2024-07-25T07:35:10Z</dcterms:created>
  <dcterms:modified xsi:type="dcterms:W3CDTF">2026-03-23T08:55:14Z</dcterms:modified>
  <cp:category/>
  <cp:contentStatus/>
</cp:coreProperties>
</file>