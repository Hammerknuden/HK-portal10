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7E44C65C-8065-4CDD-8B3D-EE031DAE2454}" xr6:coauthVersionLast="47" xr6:coauthVersionMax="47" xr10:uidLastSave="{00000000-0000-0000-0000-000000000000}"/>
  <bookViews>
    <workbookView xWindow="-110" yWindow="-110" windowWidth="19420" windowHeight="11500" firstSheet="1" activeTab="6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7" l="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AC2" i="7"/>
  <c r="X2" i="7"/>
  <c r="S2" i="7"/>
  <c r="N2" i="7"/>
  <c r="AC14" i="5"/>
  <c r="AB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G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00" i="10" l="1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E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T60" i="7" s="1"/>
  <c r="AC59" i="5"/>
  <c r="D59" i="6" s="1"/>
  <c r="AB59" i="5"/>
  <c r="D59" i="7" s="1"/>
  <c r="Y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O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O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Y16" i="7" s="1"/>
  <c r="AB16" i="7" s="1"/>
  <c r="AC15" i="5"/>
  <c r="D15" i="6" s="1"/>
  <c r="AB15" i="5"/>
  <c r="L15" i="6" s="1"/>
  <c r="D14" i="6"/>
  <c r="I14" i="6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O8" i="7" s="1"/>
  <c r="R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T105" i="3" l="1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N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T64" i="7" s="1"/>
  <c r="L96" i="6"/>
  <c r="M96" i="6"/>
  <c r="L33" i="6"/>
  <c r="D33" i="7"/>
  <c r="E33" i="7" s="1"/>
  <c r="N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T9" i="7" s="1"/>
  <c r="O36" i="7"/>
  <c r="R36" i="7" s="1"/>
  <c r="K174" i="7"/>
  <c r="M174" i="7"/>
  <c r="L174" i="7"/>
  <c r="L36" i="7"/>
  <c r="K36" i="7"/>
  <c r="M36" i="7"/>
  <c r="J32" i="7"/>
  <c r="L32" i="7" s="1"/>
  <c r="T174" i="7"/>
  <c r="V174" i="7" s="1"/>
  <c r="O175" i="7"/>
  <c r="R175" i="7" s="1"/>
  <c r="AA172" i="7"/>
  <c r="AA175" i="7"/>
  <c r="E175" i="7"/>
  <c r="F175" i="7" s="1"/>
  <c r="E28" i="7"/>
  <c r="N28" i="7" s="1"/>
  <c r="E174" i="7"/>
  <c r="F174" i="7" s="1"/>
  <c r="Y174" i="7"/>
  <c r="AA174" i="7" s="1"/>
  <c r="T175" i="7"/>
  <c r="U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O40" i="7" s="1"/>
  <c r="P6" i="6"/>
  <c r="S6" i="6"/>
  <c r="J5" i="6"/>
  <c r="L3" i="6"/>
  <c r="O5" i="6"/>
  <c r="J4" i="6"/>
  <c r="S4" i="6"/>
  <c r="F4" i="6"/>
  <c r="Y4" i="7"/>
  <c r="AB4" i="7" s="1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T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T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T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O141" i="7"/>
  <c r="Y141" i="7"/>
  <c r="E141" i="7"/>
  <c r="J141" i="7"/>
  <c r="T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E14" i="7" s="1"/>
  <c r="P14" i="6"/>
  <c r="G14" i="6"/>
  <c r="D15" i="7"/>
  <c r="I15" i="6"/>
  <c r="S15" i="6"/>
  <c r="G15" i="6"/>
  <c r="R15" i="6"/>
  <c r="F15" i="6"/>
  <c r="P15" i="6"/>
  <c r="O15" i="6"/>
  <c r="M15" i="6"/>
  <c r="J15" i="6"/>
  <c r="AA16" i="7"/>
  <c r="Z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O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T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Y60" i="7"/>
  <c r="J60" i="7"/>
  <c r="E60" i="7"/>
  <c r="O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T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T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Q32" i="7"/>
  <c r="P32" i="7"/>
  <c r="L5" i="6"/>
  <c r="L17" i="6"/>
  <c r="L29" i="6"/>
  <c r="R89" i="6"/>
  <c r="S101" i="6"/>
  <c r="M115" i="6"/>
  <c r="M125" i="6"/>
  <c r="L151" i="6"/>
  <c r="R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O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T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I8" i="7" l="1"/>
  <c r="N8" i="7"/>
  <c r="I60" i="7"/>
  <c r="N60" i="7"/>
  <c r="I10" i="7"/>
  <c r="N10" i="7"/>
  <c r="I16" i="7"/>
  <c r="N16" i="7"/>
  <c r="I30" i="7"/>
  <c r="N30" i="7"/>
  <c r="I14" i="7"/>
  <c r="N14" i="7"/>
  <c r="I36" i="7"/>
  <c r="N36" i="7"/>
  <c r="I4" i="7"/>
  <c r="N4" i="7"/>
  <c r="I76" i="7"/>
  <c r="N76" i="7"/>
  <c r="I141" i="7"/>
  <c r="N141" i="7"/>
  <c r="I32" i="7"/>
  <c r="N32" i="7"/>
  <c r="I59" i="7"/>
  <c r="N59" i="7"/>
  <c r="H28" i="7"/>
  <c r="I28" i="7"/>
  <c r="H33" i="7"/>
  <c r="I33" i="7"/>
  <c r="H12" i="7"/>
  <c r="I12" i="7"/>
  <c r="T12" i="7"/>
  <c r="V12" i="7" s="1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G44" i="7" s="1"/>
  <c r="O44" i="7"/>
  <c r="R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N40" i="7" s="1"/>
  <c r="AB174" i="7"/>
  <c r="O9" i="7"/>
  <c r="R9" i="7" s="1"/>
  <c r="G175" i="7"/>
  <c r="Q174" i="7"/>
  <c r="V172" i="7"/>
  <c r="L172" i="7"/>
  <c r="J9" i="7"/>
  <c r="M9" i="7" s="1"/>
  <c r="Y9" i="7"/>
  <c r="AA9" i="7" s="1"/>
  <c r="W172" i="7"/>
  <c r="O12" i="7"/>
  <c r="P12" i="7" s="1"/>
  <c r="Q36" i="7"/>
  <c r="J12" i="7"/>
  <c r="L12" i="7" s="1"/>
  <c r="Y12" i="7"/>
  <c r="Z12" i="7" s="1"/>
  <c r="H175" i="7"/>
  <c r="R174" i="7"/>
  <c r="G28" i="7"/>
  <c r="Y100" i="7"/>
  <c r="AA100" i="7" s="1"/>
  <c r="F12" i="7"/>
  <c r="G12" i="7"/>
  <c r="E9" i="7"/>
  <c r="N9" i="7" s="1"/>
  <c r="J64" i="7"/>
  <c r="M64" i="7" s="1"/>
  <c r="M172" i="7"/>
  <c r="Y44" i="7"/>
  <c r="AA44" i="7" s="1"/>
  <c r="J44" i="7"/>
  <c r="L44" i="7" s="1"/>
  <c r="E64" i="7"/>
  <c r="N64" i="7" s="1"/>
  <c r="M16" i="7"/>
  <c r="O64" i="7"/>
  <c r="P64" i="7" s="1"/>
  <c r="Y64" i="7"/>
  <c r="AB64" i="7" s="1"/>
  <c r="G33" i="7"/>
  <c r="V175" i="7"/>
  <c r="G174" i="7"/>
  <c r="L16" i="7"/>
  <c r="Z174" i="7"/>
  <c r="F33" i="7"/>
  <c r="P172" i="7"/>
  <c r="K173" i="7"/>
  <c r="Q175" i="7"/>
  <c r="Y24" i="7"/>
  <c r="AB24" i="7" s="1"/>
  <c r="O33" i="7"/>
  <c r="P33" i="7" s="1"/>
  <c r="T44" i="7"/>
  <c r="U44" i="7" s="1"/>
  <c r="Y33" i="7"/>
  <c r="AA33" i="7" s="1"/>
  <c r="H172" i="7"/>
  <c r="W174" i="7"/>
  <c r="K32" i="7"/>
  <c r="T33" i="7"/>
  <c r="U33" i="7" s="1"/>
  <c r="W175" i="7"/>
  <c r="P175" i="7"/>
  <c r="M32" i="7"/>
  <c r="L24" i="7"/>
  <c r="J33" i="7"/>
  <c r="L33" i="7" s="1"/>
  <c r="BF196" i="3"/>
  <c r="BF202" i="3" s="1"/>
  <c r="D30" i="4" s="1"/>
  <c r="R198" i="3"/>
  <c r="R200" i="3" s="1"/>
  <c r="O84" i="7"/>
  <c r="Q84" i="7" s="1"/>
  <c r="J40" i="7"/>
  <c r="L40" i="7" s="1"/>
  <c r="H174" i="7"/>
  <c r="Y52" i="7"/>
  <c r="AB52" i="7" s="1"/>
  <c r="M24" i="7"/>
  <c r="L173" i="7"/>
  <c r="U174" i="7"/>
  <c r="E52" i="7"/>
  <c r="N52" i="7" s="1"/>
  <c r="P36" i="7"/>
  <c r="T40" i="7"/>
  <c r="U40" i="7" s="1"/>
  <c r="G172" i="7"/>
  <c r="Y40" i="7"/>
  <c r="Z40" i="7" s="1"/>
  <c r="T52" i="7"/>
  <c r="U52" i="7" s="1"/>
  <c r="Q172" i="7"/>
  <c r="O100" i="7"/>
  <c r="Q100" i="7" s="1"/>
  <c r="Z4" i="7"/>
  <c r="T100" i="7"/>
  <c r="V100" i="7" s="1"/>
  <c r="Y84" i="7"/>
  <c r="Z84" i="7" s="1"/>
  <c r="T84" i="7"/>
  <c r="W84" i="7" s="1"/>
  <c r="E84" i="7"/>
  <c r="N84" i="7" s="1"/>
  <c r="E100" i="7"/>
  <c r="N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R52" i="7" s="1"/>
  <c r="T76" i="7"/>
  <c r="V76" i="7" s="1"/>
  <c r="O76" i="7"/>
  <c r="Q76" i="7" s="1"/>
  <c r="Y76" i="7"/>
  <c r="AB76" i="7" s="1"/>
  <c r="J76" i="7"/>
  <c r="M76" i="7" s="1"/>
  <c r="T24" i="7"/>
  <c r="W24" i="7" s="1"/>
  <c r="O24" i="7"/>
  <c r="Q24" i="7" s="1"/>
  <c r="E24" i="7"/>
  <c r="N24" i="7" s="1"/>
  <c r="AA4" i="7"/>
  <c r="T96" i="7"/>
  <c r="E96" i="7"/>
  <c r="Y96" i="7"/>
  <c r="O96" i="7"/>
  <c r="J96" i="7"/>
  <c r="J99" i="7"/>
  <c r="T99" i="7"/>
  <c r="Y99" i="7"/>
  <c r="O99" i="7"/>
  <c r="E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G76" i="7"/>
  <c r="H76" i="7"/>
  <c r="F76" i="7"/>
  <c r="Q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T164" i="7"/>
  <c r="E164" i="7"/>
  <c r="Y164" i="7"/>
  <c r="O164" i="7"/>
  <c r="J164" i="7"/>
  <c r="J48" i="7"/>
  <c r="Y48" i="7"/>
  <c r="E48" i="7"/>
  <c r="T48" i="7"/>
  <c r="O48" i="7"/>
  <c r="M100" i="7"/>
  <c r="K100" i="7"/>
  <c r="L100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M84" i="7"/>
  <c r="L84" i="7"/>
  <c r="K84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E101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E9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W64" i="7"/>
  <c r="V64" i="7"/>
  <c r="U64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L52" i="7"/>
  <c r="M52" i="7"/>
  <c r="K52" i="7"/>
  <c r="O67" i="7"/>
  <c r="T67" i="7"/>
  <c r="J67" i="7"/>
  <c r="Y67" i="7"/>
  <c r="E67" i="7"/>
  <c r="T114" i="7"/>
  <c r="Y114" i="7"/>
  <c r="E114" i="7"/>
  <c r="O114" i="7"/>
  <c r="J114" i="7"/>
  <c r="R40" i="7"/>
  <c r="P40" i="7"/>
  <c r="Q40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W9" i="7"/>
  <c r="U9" i="7"/>
  <c r="V9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Q44" i="7" l="1"/>
  <c r="I72" i="7"/>
  <c r="N72" i="7"/>
  <c r="I46" i="7"/>
  <c r="N46" i="7"/>
  <c r="I130" i="7"/>
  <c r="N130" i="7"/>
  <c r="I96" i="7"/>
  <c r="N96" i="7"/>
  <c r="I144" i="7"/>
  <c r="N144" i="7"/>
  <c r="I19" i="7"/>
  <c r="N19" i="7"/>
  <c r="I132" i="7"/>
  <c r="N132" i="7"/>
  <c r="I142" i="7"/>
  <c r="N142" i="7"/>
  <c r="I166" i="7"/>
  <c r="N166" i="7"/>
  <c r="I34" i="7"/>
  <c r="N34" i="7"/>
  <c r="I13" i="7"/>
  <c r="N13" i="7"/>
  <c r="I37" i="7"/>
  <c r="N37" i="7"/>
  <c r="I42" i="7"/>
  <c r="N42" i="7"/>
  <c r="I111" i="7"/>
  <c r="N111" i="7"/>
  <c r="I23" i="7"/>
  <c r="N23" i="7"/>
  <c r="I66" i="7"/>
  <c r="N66" i="7"/>
  <c r="I49" i="7"/>
  <c r="N49" i="7"/>
  <c r="I47" i="7"/>
  <c r="N47" i="7"/>
  <c r="I114" i="7"/>
  <c r="N114" i="7"/>
  <c r="I146" i="7"/>
  <c r="N146" i="7"/>
  <c r="I89" i="7"/>
  <c r="N89" i="7"/>
  <c r="I167" i="7"/>
  <c r="N167" i="7"/>
  <c r="I2" i="7"/>
  <c r="I78" i="7"/>
  <c r="N78" i="7"/>
  <c r="I35" i="7"/>
  <c r="N35" i="7"/>
  <c r="I20" i="7"/>
  <c r="N20" i="7"/>
  <c r="I138" i="7"/>
  <c r="N138" i="7"/>
  <c r="I120" i="7"/>
  <c r="N120" i="7"/>
  <c r="I135" i="7"/>
  <c r="N135" i="7"/>
  <c r="I55" i="7"/>
  <c r="N55" i="7"/>
  <c r="I121" i="7"/>
  <c r="N121" i="7"/>
  <c r="I77" i="7"/>
  <c r="N77" i="7"/>
  <c r="I11" i="7"/>
  <c r="N11" i="7"/>
  <c r="N6" i="7"/>
  <c r="I6" i="7"/>
  <c r="I129" i="7"/>
  <c r="N129" i="7"/>
  <c r="I107" i="7"/>
  <c r="N107" i="7"/>
  <c r="I50" i="7"/>
  <c r="N50" i="7"/>
  <c r="I18" i="7"/>
  <c r="N18" i="7"/>
  <c r="I123" i="7"/>
  <c r="N123" i="7"/>
  <c r="I15" i="7"/>
  <c r="N15" i="7"/>
  <c r="I57" i="7"/>
  <c r="N57" i="7"/>
  <c r="I58" i="7"/>
  <c r="N58" i="7"/>
  <c r="I147" i="7"/>
  <c r="N147" i="7"/>
  <c r="I110" i="7"/>
  <c r="N110" i="7"/>
  <c r="I43" i="7"/>
  <c r="N43" i="7"/>
  <c r="I119" i="7"/>
  <c r="N119" i="7"/>
  <c r="I44" i="7"/>
  <c r="N44" i="7"/>
  <c r="I151" i="7"/>
  <c r="N151" i="7"/>
  <c r="I81" i="7"/>
  <c r="N81" i="7"/>
  <c r="I31" i="7"/>
  <c r="N31" i="7"/>
  <c r="I91" i="7"/>
  <c r="N91" i="7"/>
  <c r="I87" i="7"/>
  <c r="N87" i="7"/>
  <c r="I101" i="7"/>
  <c r="N101" i="7"/>
  <c r="I99" i="7"/>
  <c r="N99" i="7"/>
  <c r="I116" i="7"/>
  <c r="N116" i="7"/>
  <c r="I54" i="7"/>
  <c r="N54" i="7"/>
  <c r="I56" i="7"/>
  <c r="N56" i="7"/>
  <c r="I45" i="7"/>
  <c r="N45" i="7"/>
  <c r="I108" i="7"/>
  <c r="N108" i="7"/>
  <c r="I157" i="7"/>
  <c r="N157" i="7"/>
  <c r="I125" i="7"/>
  <c r="N125" i="7"/>
  <c r="I80" i="7"/>
  <c r="N80" i="7"/>
  <c r="I5" i="7"/>
  <c r="N5" i="7"/>
  <c r="I158" i="7"/>
  <c r="N158" i="7"/>
  <c r="I27" i="7"/>
  <c r="N27" i="7"/>
  <c r="I39" i="7"/>
  <c r="N39" i="7"/>
  <c r="I137" i="7"/>
  <c r="N137" i="7"/>
  <c r="I92" i="7"/>
  <c r="N92" i="7"/>
  <c r="I94" i="7"/>
  <c r="N94" i="7"/>
  <c r="I86" i="7"/>
  <c r="N86" i="7"/>
  <c r="I98" i="7"/>
  <c r="N98" i="7"/>
  <c r="I145" i="7"/>
  <c r="N145" i="7"/>
  <c r="I118" i="7"/>
  <c r="N118" i="7"/>
  <c r="I155" i="7"/>
  <c r="N155" i="7"/>
  <c r="I22" i="7"/>
  <c r="N22" i="7"/>
  <c r="I163" i="7"/>
  <c r="N163" i="7"/>
  <c r="I171" i="7"/>
  <c r="N171" i="7"/>
  <c r="I154" i="7"/>
  <c r="N154" i="7"/>
  <c r="I71" i="7"/>
  <c r="N71" i="7"/>
  <c r="I161" i="7"/>
  <c r="N161" i="7"/>
  <c r="I41" i="7"/>
  <c r="N41" i="7"/>
  <c r="I73" i="7"/>
  <c r="N73" i="7"/>
  <c r="I164" i="7"/>
  <c r="N164" i="7"/>
  <c r="I62" i="7"/>
  <c r="N62" i="7"/>
  <c r="I128" i="7"/>
  <c r="N128" i="7"/>
  <c r="I168" i="7"/>
  <c r="N168" i="7"/>
  <c r="I61" i="7"/>
  <c r="N61" i="7"/>
  <c r="I93" i="7"/>
  <c r="N93" i="7"/>
  <c r="I131" i="7"/>
  <c r="N131" i="7"/>
  <c r="I113" i="7"/>
  <c r="N113" i="7"/>
  <c r="I67" i="7"/>
  <c r="N67" i="7"/>
  <c r="I26" i="7"/>
  <c r="N26" i="7"/>
  <c r="I17" i="7"/>
  <c r="N17" i="7"/>
  <c r="I69" i="7"/>
  <c r="N69" i="7"/>
  <c r="I75" i="7"/>
  <c r="N75" i="7"/>
  <c r="I112" i="7"/>
  <c r="N112" i="7"/>
  <c r="I159" i="7"/>
  <c r="N159" i="7"/>
  <c r="I97" i="7"/>
  <c r="N97" i="7"/>
  <c r="I88" i="7"/>
  <c r="N88" i="7"/>
  <c r="I63" i="7"/>
  <c r="N63" i="7"/>
  <c r="I102" i="7"/>
  <c r="N102" i="7"/>
  <c r="I65" i="7"/>
  <c r="N65" i="7"/>
  <c r="I109" i="7"/>
  <c r="N109" i="7"/>
  <c r="I85" i="7"/>
  <c r="N85" i="7"/>
  <c r="I74" i="7"/>
  <c r="N74" i="7"/>
  <c r="I21" i="7"/>
  <c r="N21" i="7"/>
  <c r="I105" i="7"/>
  <c r="N105" i="7"/>
  <c r="I156" i="7"/>
  <c r="N156" i="7"/>
  <c r="I90" i="7"/>
  <c r="N90" i="7"/>
  <c r="I115" i="7"/>
  <c r="N115" i="7"/>
  <c r="I140" i="7"/>
  <c r="N140" i="7"/>
  <c r="I165" i="7"/>
  <c r="N165" i="7"/>
  <c r="I70" i="7"/>
  <c r="N70" i="7"/>
  <c r="I103" i="7"/>
  <c r="N103" i="7"/>
  <c r="I143" i="7"/>
  <c r="N143" i="7"/>
  <c r="I68" i="7"/>
  <c r="N68" i="7"/>
  <c r="I126" i="7"/>
  <c r="N126" i="7"/>
  <c r="I162" i="7"/>
  <c r="N162" i="7"/>
  <c r="I95" i="7"/>
  <c r="N95" i="7"/>
  <c r="I169" i="7"/>
  <c r="N169" i="7"/>
  <c r="I133" i="7"/>
  <c r="N133" i="7"/>
  <c r="I104" i="7"/>
  <c r="N104" i="7"/>
  <c r="I150" i="7"/>
  <c r="N150" i="7"/>
  <c r="I149" i="7"/>
  <c r="N149" i="7"/>
  <c r="I136" i="7"/>
  <c r="N136" i="7"/>
  <c r="I29" i="7"/>
  <c r="N29" i="7"/>
  <c r="I51" i="7"/>
  <c r="N51" i="7"/>
  <c r="I160" i="7"/>
  <c r="N160" i="7"/>
  <c r="I79" i="7"/>
  <c r="N79" i="7"/>
  <c r="I134" i="7"/>
  <c r="N134" i="7"/>
  <c r="I53" i="7"/>
  <c r="N53" i="7"/>
  <c r="I38" i="7"/>
  <c r="N38" i="7"/>
  <c r="I170" i="7"/>
  <c r="N170" i="7"/>
  <c r="I7" i="7"/>
  <c r="N7" i="7"/>
  <c r="I152" i="7"/>
  <c r="N152" i="7"/>
  <c r="I153" i="7"/>
  <c r="N153" i="7"/>
  <c r="I48" i="7"/>
  <c r="N48" i="7"/>
  <c r="I25" i="7"/>
  <c r="N25" i="7"/>
  <c r="I127" i="7"/>
  <c r="N127" i="7"/>
  <c r="I83" i="7"/>
  <c r="N83" i="7"/>
  <c r="I82" i="7"/>
  <c r="N82" i="7"/>
  <c r="I122" i="7"/>
  <c r="N122" i="7"/>
  <c r="I106" i="7"/>
  <c r="N106" i="7"/>
  <c r="N3" i="7"/>
  <c r="I3" i="7"/>
  <c r="I124" i="7"/>
  <c r="N124" i="7"/>
  <c r="I117" i="7"/>
  <c r="N117" i="7"/>
  <c r="I139" i="7"/>
  <c r="N139" i="7"/>
  <c r="I148" i="7"/>
  <c r="N148" i="7"/>
  <c r="H84" i="7"/>
  <c r="I84" i="7"/>
  <c r="H52" i="7"/>
  <c r="I52" i="7"/>
  <c r="H40" i="7"/>
  <c r="I40" i="7"/>
  <c r="U12" i="7"/>
  <c r="W12" i="7"/>
  <c r="F24" i="7"/>
  <c r="I24" i="7"/>
  <c r="G100" i="7"/>
  <c r="I100" i="7"/>
  <c r="G64" i="7"/>
  <c r="I64" i="7"/>
  <c r="G9" i="7"/>
  <c r="I9" i="7"/>
  <c r="H44" i="7"/>
  <c r="F100" i="7"/>
  <c r="F44" i="7"/>
  <c r="F40" i="7"/>
  <c r="M12" i="7"/>
  <c r="P9" i="7"/>
  <c r="BL196" i="3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BI202" i="3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<sst xmlns="http://schemas.openxmlformats.org/spreadsheetml/2006/main" count="1193" uniqueCount="419">
  <si>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</si>
  <si>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</si>
  <si>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</si>
  <si>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</si>
  <si>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</si>
  <si>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</si>
  <si>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</si>
  <si>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</si>
  <si>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</si>
  <si>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</si>
  <si>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</si>
  <si>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</si>
  <si>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</si>
  <si>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</si>
  <si>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</si>
  <si>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</si>
  <si>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</si>
  <si>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</si>
  <si>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</si>
  <si>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</si>
  <si>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</si>
  <si>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</si>
  <si>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</si>
  <si>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</si>
  <si>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</si>
  <si>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</si>
  <si>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</si>
  <si>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</si>
  <si>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</si>
  <si>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</si>
  <si>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</si>
  <si>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</si>
  <si>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</si>
  <si>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</si>
  <si>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</si>
  <si>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</si>
  <si>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</si>
  <si>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</si>
  <si>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</si>
  <si>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</si>
  <si>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</si>
  <si>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</si>
  <si>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</si>
  <si>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</si>
  <si>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</si>
  <si>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</si>
  <si>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</si>
  <si>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</si>
  <si>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</si>
  <si>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</si>
  <si>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</si>
  <si>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</si>
  <si>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</si>
  <si>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</si>
  <si>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</si>
  <si>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</si>
  <si>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</si>
  <si>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</si>
  <si>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</si>
  <si>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</si>
  <si>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</si>
  <si>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</si>
  <si>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</si>
  <si>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</si>
  <si>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</si>
  <si>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</si>
  <si>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</si>
  <si>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</si>
  <si>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</si>
  <si>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</si>
  <si>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</si>
  <si>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</si>
  <si>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</si>
  <si>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</si>
  <si>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</si>
  <si>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</si>
  <si>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</si>
  <si>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</si>
  <si>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</si>
  <si>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</si>
  <si>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</si>
  <si>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</si>
  <si>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</si>
  <si>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</si>
  <si>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</si>
  <si>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</si>
  <si>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</si>
  <si>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</si>
  <si>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</si>
  <si>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</si>
  <si>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</si>
  <si>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</si>
  <si>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</si>
  <si>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</si>
  <si>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</si>
  <si>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</si>
  <si>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</si>
  <si>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</si>
  <si>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</si>
  <si>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</si>
  <si>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</si>
  <si>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</si>
  <si>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</si>
  <si>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</si>
  <si>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</si>
  <si>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</si>
  <si>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</si>
  <si>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</si>
  <si>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</si>
  <si>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</si>
  <si>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</si>
  <si>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</si>
  <si>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</si>
  <si>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</si>
  <si>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</si>
  <si>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</si>
  <si>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</si>
  <si>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</si>
  <si>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</si>
  <si>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</si>
  <si>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</si>
  <si>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</si>
  <si>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</si>
  <si>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</si>
  <si>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</si>
  <si>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</si>
  <si>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</si>
  <si>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</si>
  <si>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</si>
  <si>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</si>
  <si>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</si>
  <si>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</si>
  <si>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</si>
  <si>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</si>
  <si>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</si>
  <si>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</si>
  <si>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</si>
  <si>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</si>
  <si>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</si>
  <si>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</si>
  <si>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</si>
  <si>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</si>
  <si>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</si>
  <si>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</si>
  <si>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</si>
  <si>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</si>
  <si>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</si>
  <si>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</si>
  <si>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</si>
  <si>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</si>
  <si>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</si>
  <si>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</si>
  <si>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</si>
  <si>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</si>
  <si>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</si>
  <si>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</si>
  <si>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</si>
  <si>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</si>
  <si>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</si>
  <si>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</si>
  <si>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</si>
  <si>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</si>
  <si>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</si>
  <si>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</si>
  <si>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</si>
  <si>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</si>
  <si>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</si>
  <si>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</si>
  <si>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</si>
  <si>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</si>
  <si>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</si>
  <si>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</si>
  <si>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</si>
  <si>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</si>
  <si>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</si>
  <si>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</si>
  <si>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</si>
  <si>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</si>
  <si>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</si>
  <si>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</si>
  <si>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</si>
  <si>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</si>
  <si>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</si>
  <si>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</si>
  <si>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</si>
  <si>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</si>
  <si>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</si>
  <si>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</si>
  <si>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</si>
  <si>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</si>
  <si>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</si>
  <si>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</si>
  <si>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</si>
  <si>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</si>
  <si>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</si>
  <si>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</si>
  <si>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</si>
  <si>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</si>
  <si>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</si>
  <si>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</si>
  <si>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</si>
  <si>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</si>
  <si>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</si>
  <si>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</si>
  <si>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</si>
  <si>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</si>
  <si>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</si>
  <si>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</si>
  <si>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</si>
  <si>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</si>
  <si>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</si>
  <si>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</si>
  <si>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</si>
  <si>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</si>
  <si>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</si>
  <si>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</si>
  <si>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</si>
  <si>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</si>
  <si>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</si>
  <si>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</si>
  <si>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</si>
  <si>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</si>
  <si>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</si>
  <si>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</si>
  <si>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</si>
  <si>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</si>
  <si>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</si>
  <si>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</si>
  <si>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</si>
  <si>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</si>
  <si>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</si>
  <si>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</si>
  <si>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</si>
  <si>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</si>
  <si>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</si>
  <si>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</si>
  <si>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</si>
  <si>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</si>
  <si>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</si>
  <si>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</si>
  <si>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</si>
  <si>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</si>
  <si>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</si>
  <si>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</si>
  <si>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</si>
  <si>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</si>
  <si>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</si>
  <si>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</si>
  <si>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</si>
  <si>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</si>
  <si>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</si>
  <si>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</si>
  <si>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</si>
  <si>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</si>
  <si>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</si>
  <si>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</si>
  <si>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</si>
  <si>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</si>
  <si>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</si>
  <si>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</si>
  <si>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</si>
  <si>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</si>
  <si>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</si>
  <si>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</si>
  <si>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</si>
  <si>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</si>
  <si>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</si>
  <si>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</si>
  <si>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</si>
  <si>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</si>
  <si>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</si>
  <si>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</si>
  <si>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</si>
  <si>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</si>
  <si>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</si>
  <si>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</si>
  <si>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</si>
  <si>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</si>
  <si>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</si>
  <si>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</si>
  <si>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</si>
  <si>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</si>
  <si>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</si>
  <si>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</si>
  <si>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</si>
  <si>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</si>
  <si>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</si>
  <si>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</si>
  <si>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</si>
  <si>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</si>
  <si>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</si>
  <si>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</si>
  <si>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</si>
  <si>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</si>
  <si>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</si>
  <si>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</si>
  <si>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</si>
  <si>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</si>
  <si>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</si>
  <si>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</si>
  <si>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</si>
  <si>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</si>
  <si>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</si>
  <si>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</si>
  <si>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</si>
  <si>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</si>
  <si>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</si>
  <si>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</si>
  <si>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</si>
  <si>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</si>
  <si>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</si>
  <si>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</si>
  <si>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</si>
  <si>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</si>
  <si>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</si>
  <si>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</si>
  <si>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</si>
  <si>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</si>
  <si>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</si>
  <si>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</si>
  <si>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</si>
  <si>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</si>
  <si>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</si>
  <si>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</si>
  <si>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</si>
  <si>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</si>
  <si>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</si>
  <si>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</si>
  <si>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</si>
  <si>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</si>
  <si>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</si>
  <si>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</si>
  <si>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</si>
  <si>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</si>
  <si>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</si>
  <si>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</si>
  <si>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</si>
  <si>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</si>
  <si>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</si>
  <si>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</si>
  <si>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</si>
  <si>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</si>
  <si>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</si>
  <si>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</si>
  <si>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</si>
  <si>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</si>
  <si>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</si>
  <si>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</si>
  <si>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</si>
  <si>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</si>
  <si>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</si>
  <si>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</si>
  <si>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</si>
  <si>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</si>
  <si>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</si>
  <si>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</si>
  <si>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</si>
  <si>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</si>
  <si>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</si>
  <si>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</si>
  <si>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</si>
  <si>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</si>
  <si>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</si>
  <si>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</si>
  <si>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</si>
  <si>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</si>
  <si>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</si>
  <si>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</si>
  <si>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</si>
  <si>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</si>
  <si>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</si>
  <si>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</si>
  <si>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</si>
  <si>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</si>
  <si>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</si>
  <si>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</si>
  <si>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</si>
  <si>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</si>
  <si>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</si>
  <si>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</si>
  <si>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</si>
  <si>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</si>
  <si>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</si>
  <si>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</si>
  <si>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</si>
  <si>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</si>
  <si>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</si>
  <si>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</si>
  <si>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</si>
  <si>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</si>
  <si>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</si>
  <si>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</si>
  <si>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</si>
  <si>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</si>
  <si>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</si>
  <si>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</si>
  <si>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</si>
  <si>
    <t>indchecks</t>
  </si>
  <si>
    <t>o</t>
  </si>
  <si>
    <t>V1_Ank</t>
  </si>
  <si>
    <t>V1_nat</t>
  </si>
  <si>
    <t>V1_bed</t>
  </si>
  <si>
    <t>V1_kwn</t>
  </si>
  <si>
    <t>V2_Ank</t>
  </si>
  <si>
    <t>V2_kwn</t>
  </si>
  <si>
    <t>V3_Ank</t>
  </si>
  <si>
    <t>V2_Nat</t>
  </si>
  <si>
    <t>V2_Bed</t>
  </si>
  <si>
    <t>V3_Nat</t>
  </si>
  <si>
    <t>V3_Bed</t>
  </si>
  <si>
    <t>V3_kwn</t>
  </si>
  <si>
    <t>V4_Ank</t>
  </si>
  <si>
    <t>V4_Nat</t>
  </si>
  <si>
    <t>V4_Bed</t>
  </si>
  <si>
    <t>V4_kwn</t>
  </si>
  <si>
    <t>V5_Ank</t>
  </si>
  <si>
    <t>V5_Nat</t>
  </si>
  <si>
    <t>V5_Bed</t>
  </si>
  <si>
    <t>V5_kwn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</si>
</sst>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0" fontId="7" fillId="0" borderId="0" applyNumberFormat="0" applyFill="0" applyBorder="0" applyAlignment="0" applyProtection="0"/>
  </cellStyleXfs>
  <cellXfs count="21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0" fontId="0" fillId="3" borderId="0" xfId="0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36" xfId="0" applyNumberFormat="1" applyBorder="1" applyAlignment="1">
      <alignment horizontal="center"/>
    </xf>
    <xf numFmtId="0" fontId="0" fillId="3" borderId="0" xfId="0" applyNumberFormat="1" applyFill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/>
    <xf numFmtId="0" fontId="0" fillId="0" borderId="4" xfId="0" applyNumberFormat="1" applyBorder="1" applyAlignment="1">
      <alignment horizontal="center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5"/>
  <sheetViews>
    <sheetView topLeftCell="F1" workbookViewId="0">
      <pane ySplit="1" topLeftCell="A95" activePane="bottomLeft" state="frozen"/>
      <selection pane="bottomLeft" activeCell="N111" sqref="N11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5" t="s">
        <v>163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6"/>
      <c r="J2" s="105">
        <v>5</v>
      </c>
      <c r="K2" s="105">
        <v>1</v>
      </c>
      <c r="L2" s="105">
        <v>2</v>
      </c>
      <c r="M2" s="148" t="s">
        <v>164</v>
      </c>
      <c r="N2" s="176"/>
      <c r="O2" s="126" t="s">
        <v>165</v>
      </c>
      <c r="P2" s="126"/>
      <c r="Q2" s="126" t="s">
        <v>21</v>
      </c>
      <c r="R2" s="158">
        <v>7267.5</v>
      </c>
      <c r="S2" s="152" t="s">
        <v>20</v>
      </c>
      <c r="T2" t="s">
        <v>166</v>
      </c>
    </row>
    <row r="3" spans="1:21" x14ac:dyDescent="0.35">
      <c r="A3" s="140">
        <v>2</v>
      </c>
      <c r="B3" s="107" t="s">
        <v>167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7"/>
      <c r="J3" s="107"/>
      <c r="K3" s="107"/>
      <c r="L3" s="107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5" t="s">
        <v>167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6"/>
      <c r="J4" s="105">
        <v>10</v>
      </c>
      <c r="K4" s="105">
        <v>1</v>
      </c>
      <c r="L4" s="105">
        <v>2</v>
      </c>
      <c r="M4" s="148" t="s">
        <v>168</v>
      </c>
      <c r="N4" s="176"/>
      <c r="O4" s="126" t="s">
        <v>169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7" t="s">
        <v>170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7"/>
      <c r="J5" s="107">
        <v>10</v>
      </c>
      <c r="K5" s="107">
        <v>2</v>
      </c>
      <c r="L5" s="107">
        <v>4</v>
      </c>
      <c r="M5" s="149" t="s">
        <v>172</v>
      </c>
      <c r="N5" s="178">
        <v>4530267986</v>
      </c>
      <c r="O5" s="127" t="s">
        <v>173</v>
      </c>
      <c r="P5" s="127"/>
      <c r="Q5" s="127" t="s">
        <v>21</v>
      </c>
      <c r="R5" s="158">
        <v>9180</v>
      </c>
      <c r="S5" s="153" t="s">
        <v>21</v>
      </c>
      <c r="T5" t="s">
        <v>171</v>
      </c>
    </row>
    <row r="6" spans="1:21" x14ac:dyDescent="0.35">
      <c r="A6" s="139">
        <v>5</v>
      </c>
      <c r="B6" s="105" t="s">
        <v>174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/>
      <c r="I6" s="126"/>
      <c r="J6" s="105">
        <v>10</v>
      </c>
      <c r="K6" s="105">
        <v>1</v>
      </c>
      <c r="L6" s="105">
        <v>2</v>
      </c>
      <c r="M6" s="148" t="s">
        <v>175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176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121">
        <v>10</v>
      </c>
      <c r="K7" s="121">
        <v>2</v>
      </c>
      <c r="L7" s="121">
        <v>4</v>
      </c>
      <c r="M7" s="123" t="s">
        <v>177</v>
      </c>
      <c r="Q7" s="2" t="s">
        <v>21</v>
      </c>
      <c r="R7" s="125">
        <v>4140</v>
      </c>
      <c r="S7" s="2" t="s">
        <v>38</v>
      </c>
      <c r="T7" t="s">
        <v>178</v>
      </c>
    </row>
    <row r="8" spans="1:21" x14ac:dyDescent="0.35">
      <c r="A8" s="140">
        <v>7</v>
      </c>
      <c r="B8" s="119" t="s">
        <v>179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121">
        <v>10</v>
      </c>
      <c r="K8" s="121">
        <v>1</v>
      </c>
      <c r="L8" s="121">
        <v>2</v>
      </c>
      <c r="M8" s="123" t="s">
        <v>180</v>
      </c>
      <c r="N8" s="178">
        <v>4522701312</v>
      </c>
      <c r="O8" s="2" t="s">
        <v>181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182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121">
        <v>10</v>
      </c>
      <c r="K9" s="121">
        <v>1</v>
      </c>
      <c r="L9" s="121">
        <v>2</v>
      </c>
      <c r="M9" s="123" t="s">
        <v>183</v>
      </c>
      <c r="N9" s="178">
        <v>4917643882286</v>
      </c>
      <c r="O9" s="2" t="s">
        <v>184</v>
      </c>
      <c r="Q9" s="2" t="s">
        <v>21</v>
      </c>
      <c r="R9" s="125">
        <v>4275</v>
      </c>
      <c r="S9" s="2" t="s">
        <v>21</v>
      </c>
      <c r="T9" s="119" t="s">
        <v>185</v>
      </c>
    </row>
    <row r="10" spans="1:21" x14ac:dyDescent="0.35">
      <c r="A10" s="139">
        <v>9</v>
      </c>
      <c r="B10" s="119" t="s">
        <v>186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/>
      <c r="J10" s="121">
        <v>10</v>
      </c>
      <c r="K10" s="121">
        <v>1</v>
      </c>
      <c r="L10" s="121">
        <v>2</v>
      </c>
      <c r="M10" s="123" t="s">
        <v>187</v>
      </c>
      <c r="O10" s="2" t="s">
        <v>188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189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121">
        <v>10</v>
      </c>
      <c r="K11" s="121">
        <v>1</v>
      </c>
      <c r="L11" s="121">
        <v>2</v>
      </c>
      <c r="M11" s="120" t="s">
        <v>190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191</v>
      </c>
    </row>
    <row r="12" spans="1:21" x14ac:dyDescent="0.35">
      <c r="A12" s="139">
        <v>11</v>
      </c>
      <c r="B12" s="119" t="s">
        <v>192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121">
        <v>10</v>
      </c>
      <c r="K12" s="121">
        <v>1</v>
      </c>
      <c r="L12" s="121">
        <v>2</v>
      </c>
      <c r="M12" s="123" t="s">
        <v>194</v>
      </c>
      <c r="Q12" s="2" t="s">
        <v>21</v>
      </c>
      <c r="R12" s="125">
        <v>5737.5</v>
      </c>
      <c r="S12" s="2" t="s">
        <v>20</v>
      </c>
      <c r="T12" t="s">
        <v>193</v>
      </c>
    </row>
    <row r="13" spans="1:21" x14ac:dyDescent="0.35">
      <c r="A13" s="139">
        <v>12</v>
      </c>
      <c r="B13" s="119" t="s">
        <v>195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160</v>
      </c>
      <c r="J13" s="121">
        <v>10</v>
      </c>
      <c r="K13" s="121">
        <v>1</v>
      </c>
      <c r="L13" s="121">
        <v>2</v>
      </c>
      <c r="M13" s="123" t="s">
        <v>196</v>
      </c>
      <c r="N13" s="179">
        <v>4540552384</v>
      </c>
      <c r="O13" s="2" t="s">
        <v>197</v>
      </c>
      <c r="Q13" s="2" t="s">
        <v>21</v>
      </c>
      <c r="R13" s="125">
        <v>4140</v>
      </c>
      <c r="S13" s="2" t="s">
        <v>21</v>
      </c>
      <c r="T13" t="s">
        <v>198</v>
      </c>
    </row>
    <row r="14" spans="1:21" x14ac:dyDescent="0.35">
      <c r="A14" s="140">
        <v>13</v>
      </c>
      <c r="B14" s="119" t="s">
        <v>199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121">
        <v>10</v>
      </c>
      <c r="K14" s="121">
        <v>1</v>
      </c>
      <c r="L14" s="121">
        <v>2</v>
      </c>
      <c r="M14" s="116" t="s">
        <v>200</v>
      </c>
      <c r="N14" s="179">
        <v>4525582842</v>
      </c>
      <c r="O14" s="2" t="s">
        <v>202</v>
      </c>
      <c r="Q14" s="2" t="s">
        <v>21</v>
      </c>
      <c r="R14" s="125">
        <v>8032.5</v>
      </c>
      <c r="S14" s="2" t="s">
        <v>38</v>
      </c>
      <c r="T14" t="s">
        <v>201</v>
      </c>
    </row>
    <row r="15" spans="1:21" x14ac:dyDescent="0.35">
      <c r="A15" s="139">
        <v>14</v>
      </c>
      <c r="B15" s="119" t="s">
        <v>203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121">
        <v>10</v>
      </c>
      <c r="K15" s="121">
        <v>1</v>
      </c>
      <c r="L15" s="121">
        <v>2</v>
      </c>
      <c r="M15" s="150" t="s">
        <v>206</v>
      </c>
      <c r="N15" s="179">
        <v>4591191885</v>
      </c>
      <c r="O15" s="2" t="s">
        <v>204</v>
      </c>
      <c r="Q15" s="2" t="s">
        <v>21</v>
      </c>
      <c r="R15" s="125">
        <v>9180</v>
      </c>
      <c r="S15" s="2" t="s">
        <v>38</v>
      </c>
      <c r="T15" s="119" t="s">
        <v>205</v>
      </c>
    </row>
    <row r="16" spans="1:21" x14ac:dyDescent="0.35">
      <c r="A16" s="139">
        <v>15</v>
      </c>
      <c r="B16" s="119" t="s">
        <v>207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208</v>
      </c>
      <c r="N16" s="151">
        <v>4531534745</v>
      </c>
      <c r="O16" s="2" t="s">
        <v>209</v>
      </c>
      <c r="Q16" s="2" t="s">
        <v>21</v>
      </c>
      <c r="R16" s="125">
        <v>8925</v>
      </c>
      <c r="S16" s="2" t="s">
        <v>38</v>
      </c>
      <c r="T16" t="s">
        <v>210</v>
      </c>
      <c r="U16" s="184">
        <f>R16*0.5</f>
        <v>4462.5</v>
      </c>
    </row>
    <row r="17" spans="1:21" x14ac:dyDescent="0.35">
      <c r="A17" s="140">
        <v>16</v>
      </c>
      <c r="B17" s="119" t="s">
        <v>221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K17" s="121">
        <v>2</v>
      </c>
      <c r="L17" s="121">
        <v>4</v>
      </c>
      <c r="M17" s="116" t="s">
        <v>222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223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215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218</v>
      </c>
      <c r="N18" s="179">
        <v>4524669843</v>
      </c>
      <c r="O18" s="2" t="s">
        <v>219</v>
      </c>
      <c r="Q18" s="2" t="s">
        <v>21</v>
      </c>
      <c r="R18" s="125">
        <v>8925</v>
      </c>
      <c r="S18" s="2" t="s">
        <v>38</v>
      </c>
      <c r="T18" t="s">
        <v>220</v>
      </c>
      <c r="U18" s="185">
        <f t="shared" si="0"/>
        <v>4462.5</v>
      </c>
    </row>
    <row r="19" spans="1:21" x14ac:dyDescent="0.35">
      <c r="A19" s="139">
        <v>18</v>
      </c>
      <c r="B19" s="119" t="s">
        <v>213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214</v>
      </c>
      <c r="N19" s="179">
        <v>4531909358</v>
      </c>
      <c r="O19" s="2" t="s">
        <v>217</v>
      </c>
      <c r="Q19" s="2" t="s">
        <v>21</v>
      </c>
      <c r="R19" s="125">
        <v>6375</v>
      </c>
      <c r="S19" s="2" t="s">
        <v>38</v>
      </c>
      <c r="T19" t="s">
        <v>216</v>
      </c>
      <c r="U19" s="185">
        <f t="shared" si="0"/>
        <v>3187.5</v>
      </c>
    </row>
    <row r="20" spans="1:21" x14ac:dyDescent="0.35">
      <c r="A20" s="140">
        <v>19</v>
      </c>
      <c r="B20" t="s">
        <v>211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160</v>
      </c>
      <c r="J20">
        <v>10</v>
      </c>
      <c r="K20">
        <v>1</v>
      </c>
      <c r="L20">
        <v>1</v>
      </c>
      <c r="M20" s="116" t="s">
        <v>212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201</v>
      </c>
    </row>
    <row r="21" spans="1:21" x14ac:dyDescent="0.35">
      <c r="A21" s="139">
        <v>20</v>
      </c>
      <c r="B21" s="119" t="s">
        <v>241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242</v>
      </c>
      <c r="Q21" s="2" t="s">
        <v>21</v>
      </c>
      <c r="R21" s="158">
        <v>12420</v>
      </c>
      <c r="S21" s="2" t="s">
        <v>38</v>
      </c>
      <c r="T21" t="s">
        <v>243</v>
      </c>
    </row>
    <row r="22" spans="1:21" x14ac:dyDescent="0.35">
      <c r="A22" s="139">
        <v>21</v>
      </c>
      <c r="B22" s="119" t="s">
        <v>264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>
        <v>10</v>
      </c>
      <c r="K22" s="121">
        <v>1</v>
      </c>
      <c r="L22" s="121">
        <v>2</v>
      </c>
      <c r="M22" s="116" t="s">
        <v>239</v>
      </c>
      <c r="N22" s="179">
        <v>46705125490</v>
      </c>
      <c r="O22" s="2" t="s">
        <v>238</v>
      </c>
      <c r="Q22" s="2" t="s">
        <v>21</v>
      </c>
      <c r="R22" s="158">
        <v>5175</v>
      </c>
      <c r="S22" s="2" t="s">
        <v>38</v>
      </c>
      <c r="T22" t="s">
        <v>240</v>
      </c>
    </row>
    <row r="23" spans="1:21" x14ac:dyDescent="0.35">
      <c r="A23" s="140">
        <v>22</v>
      </c>
      <c r="B23" t="s">
        <v>236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237</v>
      </c>
    </row>
    <row r="24" spans="1:21" x14ac:dyDescent="0.35">
      <c r="A24" s="139">
        <v>23</v>
      </c>
      <c r="B24" t="s">
        <v>235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254</v>
      </c>
      <c r="I24" s="2" t="s">
        <v>157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234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233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160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232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321</v>
      </c>
    </row>
    <row r="28" spans="1:21" x14ac:dyDescent="0.35">
      <c r="A28" s="139">
        <v>27</v>
      </c>
      <c r="B28" t="s">
        <v>230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1">
        <v>1</v>
      </c>
      <c r="L28" s="121">
        <v>2</v>
      </c>
      <c r="M28" s="116" t="s">
        <v>231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263</v>
      </c>
    </row>
    <row r="29" spans="1:21" x14ac:dyDescent="0.35">
      <c r="A29" s="140">
        <v>28</v>
      </c>
      <c r="B29" t="s">
        <v>229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246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1"/>
      <c r="L30" s="121"/>
      <c r="M30" s="116"/>
    </row>
    <row r="31" spans="1:21" x14ac:dyDescent="0.35">
      <c r="A31" s="139">
        <v>30</v>
      </c>
      <c r="B31" t="s">
        <v>244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245</v>
      </c>
    </row>
    <row r="32" spans="1:21" x14ac:dyDescent="0.35">
      <c r="A32" s="140">
        <v>31</v>
      </c>
      <c r="B32" t="s">
        <v>247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1">
        <v>1</v>
      </c>
      <c r="L32" s="121">
        <v>1</v>
      </c>
      <c r="M32" s="116" t="s">
        <v>248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249</v>
      </c>
    </row>
    <row r="33" spans="1:20" x14ac:dyDescent="0.35">
      <c r="A33" s="139">
        <v>32</v>
      </c>
      <c r="B33" t="s">
        <v>262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261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260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256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59" t="s">
        <v>257</v>
      </c>
      <c r="N36" s="179">
        <v>46733448215</v>
      </c>
      <c r="O36" s="2" t="s">
        <v>258</v>
      </c>
      <c r="Q36" s="2" t="s">
        <v>21</v>
      </c>
      <c r="R36" s="125">
        <v>4140</v>
      </c>
      <c r="S36" s="2" t="s">
        <v>38</v>
      </c>
      <c r="T36" t="s">
        <v>259</v>
      </c>
    </row>
    <row r="37" spans="1:20" x14ac:dyDescent="0.35">
      <c r="A37" s="139">
        <v>36</v>
      </c>
      <c r="B37" t="s">
        <v>255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253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254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252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251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250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16"/>
      <c r="Q41" s="2" t="s">
        <v>21</v>
      </c>
      <c r="R41" s="125">
        <v>3450</v>
      </c>
      <c r="S41" s="2" t="s">
        <v>20</v>
      </c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160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254</v>
      </c>
      <c r="I44" s="2" t="s">
        <v>286</v>
      </c>
      <c r="K44">
        <v>1</v>
      </c>
      <c r="L44">
        <v>2</v>
      </c>
      <c r="M44" s="116" t="s">
        <v>285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157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213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214</v>
      </c>
      <c r="N48" s="179">
        <v>4531909358</v>
      </c>
      <c r="O48" s="181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6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157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59" t="s">
        <v>272</v>
      </c>
      <c r="N52" s="179">
        <v>4540474386</v>
      </c>
      <c r="O52" s="181" t="s">
        <v>271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300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297</v>
      </c>
      <c r="Q58" s="2" t="s">
        <v>20</v>
      </c>
      <c r="R58" s="158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160</v>
      </c>
      <c r="J59">
        <v>10</v>
      </c>
      <c r="K59">
        <v>1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157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>
        <v>10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16" t="s">
        <v>307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160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300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16" t="s">
        <v>316</v>
      </c>
      <c r="N67" s="150">
        <v>4521261488</v>
      </c>
      <c r="O67" s="2" t="s">
        <v>181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160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327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160</v>
      </c>
      <c r="K72">
        <v>1</v>
      </c>
      <c r="L72">
        <v>1</v>
      </c>
      <c r="P72" s="2" t="s">
        <v>21</v>
      </c>
      <c r="Q72" s="2" t="s">
        <v>20</v>
      </c>
      <c r="R72" s="125">
        <v>3400</v>
      </c>
      <c r="S72" s="2" t="s">
        <v>20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254</v>
      </c>
      <c r="K73">
        <v>1</v>
      </c>
      <c r="L73">
        <v>2</v>
      </c>
      <c r="M73" s="159" t="s">
        <v>324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16" t="s">
        <v>333</v>
      </c>
      <c r="Q75" s="2" t="s">
        <v>21</v>
      </c>
      <c r="R75" s="158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8"/>
    </row>
    <row r="77" spans="1:20" x14ac:dyDescent="0.35">
      <c r="A77" s="2">
        <v>76</v>
      </c>
      <c r="B77" t="s">
        <v>330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160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336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16" t="s">
        <v>343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16" t="s">
        <v>341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58">
        <v>2300</v>
      </c>
      <c r="S83" s="2" t="s">
        <v>20</v>
      </c>
    </row>
    <row r="84" spans="1:20" x14ac:dyDescent="0.35">
      <c r="A84" s="2">
        <v>83</v>
      </c>
      <c r="B84" s="186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>
        <v>10</v>
      </c>
      <c r="K85">
        <v>1</v>
      </c>
      <c r="L85">
        <v>2</v>
      </c>
      <c r="M85" s="159" t="s">
        <v>361</v>
      </c>
      <c r="N85" s="150">
        <v>4526251564</v>
      </c>
      <c r="O85" s="2" t="s">
        <v>362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16" t="s">
        <v>357</v>
      </c>
      <c r="O87" s="2" t="s">
        <v>358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160</v>
      </c>
      <c r="J90">
        <v>5</v>
      </c>
      <c r="K90">
        <v>2</v>
      </c>
      <c r="L90">
        <v>3</v>
      </c>
      <c r="M90" s="116" t="s">
        <v>367</v>
      </c>
      <c r="N90">
        <v>4540528447</v>
      </c>
      <c r="O90"/>
      <c r="P90" s="2" t="s">
        <v>369</v>
      </c>
      <c r="Q90" s="2" t="s">
        <v>21</v>
      </c>
      <c r="R90" s="125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157</v>
      </c>
      <c r="J91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>
        <v>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160</v>
      </c>
      <c r="J93">
        <v>10</v>
      </c>
      <c r="K93">
        <v>1</v>
      </c>
      <c r="L93">
        <v>2</v>
      </c>
      <c r="M93" s="116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160</v>
      </c>
      <c r="J9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199">
        <v>46234</v>
      </c>
      <c r="D95" s="199">
        <v>46237</v>
      </c>
      <c r="E95" s="199">
        <v>46098</v>
      </c>
      <c r="F95" t="s">
        <v>31</v>
      </c>
      <c r="G95" t="s">
        <v>35</v>
      </c>
      <c r="H95"/>
      <c r="I95"/>
      <c r="J95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t="s">
        <v>20</v>
      </c>
    </row>
    <row r="96" spans="1:20" x14ac:dyDescent="0.35">
      <c r="A96" s="2">
        <v>95</v>
      </c>
      <c r="B96" t="s">
        <v>380</v>
      </c>
      <c r="C96" s="199">
        <v>46156</v>
      </c>
      <c r="D96" s="199">
        <v>46159</v>
      </c>
      <c r="E96" s="199">
        <v>46098</v>
      </c>
      <c r="F96" t="s">
        <v>54</v>
      </c>
      <c r="G96" t="s">
        <v>35</v>
      </c>
      <c r="H96"/>
      <c r="I96"/>
      <c r="J96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t="s">
        <v>20</v>
      </c>
    </row>
    <row r="97" spans="1:20" x14ac:dyDescent="0.35">
      <c r="A97" s="2">
        <v>96</v>
      </c>
      <c r="B97" t="s">
        <v>381</v>
      </c>
      <c r="C97" s="199">
        <v>46159</v>
      </c>
      <c r="D97" s="199">
        <v>46163</v>
      </c>
      <c r="E97" s="199">
        <v>46099</v>
      </c>
      <c r="F97" t="s">
        <v>31</v>
      </c>
      <c r="G97" t="s">
        <v>35</v>
      </c>
      <c r="H97" t="s">
        <v>382</v>
      </c>
      <c r="I97" t="s">
        <v>157</v>
      </c>
      <c r="J97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t="s">
        <v>20</v>
      </c>
    </row>
    <row r="98" spans="1:20" x14ac:dyDescent="0.35">
      <c r="A98" s="2">
        <v>97</v>
      </c>
      <c r="B98" t="s">
        <v>383</v>
      </c>
      <c r="C98" s="113">
        <v>46156</v>
      </c>
      <c r="D98" s="113">
        <v>46159</v>
      </c>
      <c r="E98" s="113">
        <v>46102</v>
      </c>
      <c r="F98" t="s">
        <v>53</v>
      </c>
      <c r="G98" t="s">
        <v>35</v>
      </c>
      <c r="H98"/>
      <c r="I98"/>
      <c r="J98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t="s">
        <v>20</v>
      </c>
    </row>
    <row r="99" spans="1:20" x14ac:dyDescent="0.35">
      <c r="A99" s="2">
        <v>98</v>
      </c>
      <c r="B99" t="s">
        <v>384</v>
      </c>
      <c r="C99" s="199">
        <v>46207</v>
      </c>
      <c r="D99" s="199">
        <v>46210</v>
      </c>
      <c r="E99" s="199">
        <v>46103</v>
      </c>
      <c r="F99" t="s">
        <v>53</v>
      </c>
      <c r="G99" t="s">
        <v>35</v>
      </c>
      <c r="H99"/>
      <c r="I99"/>
      <c r="J99">
        <v>0</v>
      </c>
      <c r="K99">
        <v>1</v>
      </c>
      <c r="L99">
        <v>2</v>
      </c>
      <c r="N99"/>
      <c r="O99"/>
      <c r="P99" s="2" t="s">
        <v>20</v>
      </c>
      <c r="Q99" s="2" t="s">
        <v>20</v>
      </c>
      <c r="R99" s="125">
        <v>3225</v>
      </c>
      <c r="S99" t="s">
        <v>20</v>
      </c>
    </row>
    <row r="100" spans="1:20" x14ac:dyDescent="0.35">
      <c r="A100" s="2">
        <v>99</v>
      </c>
      <c r="B100" t="s">
        <v>385</v>
      </c>
      <c r="C100" s="199">
        <v>46171</v>
      </c>
      <c r="D100" s="199">
        <v>46173</v>
      </c>
      <c r="E100" s="199">
        <v>46104</v>
      </c>
      <c r="F100" t="s">
        <v>53</v>
      </c>
      <c r="G100" t="s">
        <v>6</v>
      </c>
      <c r="H100"/>
      <c r="I100"/>
      <c r="J100">
        <v>10</v>
      </c>
      <c r="K100">
        <v>1</v>
      </c>
      <c r="L100">
        <v>2</v>
      </c>
      <c r="M100" s="116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5">
        <v>2070</v>
      </c>
      <c r="S100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199">
        <v>46279</v>
      </c>
      <c r="D101" s="199">
        <v>46281</v>
      </c>
      <c r="E101" s="199">
        <v>46104</v>
      </c>
      <c r="F101" t="s">
        <v>53</v>
      </c>
      <c r="G101" t="s">
        <v>35</v>
      </c>
      <c r="H101"/>
      <c r="I101"/>
      <c r="J101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t="s">
        <v>20</v>
      </c>
    </row>
    <row r="102" spans="1:20" x14ac:dyDescent="0.35">
      <c r="A102" s="2">
        <v>101</v>
      </c>
      <c r="B102" t="s">
        <v>391</v>
      </c>
      <c r="C102" s="199">
        <v>46279</v>
      </c>
      <c r="D102" s="199">
        <v>46281</v>
      </c>
      <c r="E102" s="199">
        <v>46104</v>
      </c>
      <c r="F102" t="s">
        <v>53</v>
      </c>
      <c r="G102" t="s">
        <v>35</v>
      </c>
      <c r="H102"/>
      <c r="I102" t="s">
        <v>392</v>
      </c>
      <c r="J102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t="s">
        <v>20</v>
      </c>
    </row>
    <row r="103" spans="1:20" x14ac:dyDescent="0.35">
      <c r="A103" s="2">
        <v>102</v>
      </c>
      <c r="B103" t="s">
        <v>393</v>
      </c>
      <c r="C103" s="199">
        <v>46172</v>
      </c>
      <c r="D103" s="199">
        <v>46174</v>
      </c>
      <c r="E103" s="199">
        <v>46106</v>
      </c>
      <c r="F103" t="s">
        <v>53</v>
      </c>
      <c r="G103" t="s">
        <v>35</v>
      </c>
      <c r="H103"/>
      <c r="I103"/>
      <c r="J103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25">
        <v>1900</v>
      </c>
      <c r="S103" t="s">
        <v>20</v>
      </c>
    </row>
    <row r="104" spans="1:20" x14ac:dyDescent="0.35">
      <c r="A104" s="2">
        <v>103</v>
      </c>
      <c r="B104" t="s">
        <v>394</v>
      </c>
      <c r="C104" s="199">
        <v>46278</v>
      </c>
      <c r="D104" s="199">
        <v>46284</v>
      </c>
      <c r="E104" s="199">
        <v>46107</v>
      </c>
      <c r="F104" t="s">
        <v>53</v>
      </c>
      <c r="G104" t="s">
        <v>6</v>
      </c>
      <c r="H104"/>
      <c r="I104" t="s">
        <v>392</v>
      </c>
      <c r="J104">
        <v>10</v>
      </c>
      <c r="K104">
        <v>1</v>
      </c>
      <c r="L104">
        <v>2</v>
      </c>
      <c r="M104" s="116" t="s">
        <v>395</v>
      </c>
      <c r="N104"/>
      <c r="O104"/>
      <c r="P104" s="2" t="s">
        <v>20</v>
      </c>
      <c r="Q104" s="2" t="s">
        <v>21</v>
      </c>
      <c r="R104" s="125">
        <v>6210</v>
      </c>
      <c r="S104" t="s">
        <v>20</v>
      </c>
    </row>
    <row r="105" spans="1:20" x14ac:dyDescent="0.35">
      <c r="A105" s="2">
        <v>104</v>
      </c>
      <c r="B105" t="s">
        <v>396</v>
      </c>
      <c r="C105" s="199">
        <v>46204</v>
      </c>
      <c r="D105" s="199">
        <v>46207</v>
      </c>
      <c r="E105" s="199">
        <v>46107</v>
      </c>
      <c r="F105" t="s">
        <v>53</v>
      </c>
      <c r="G105" t="s">
        <v>35</v>
      </c>
      <c r="H105"/>
      <c r="I105"/>
      <c r="J105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4" t="s">
        <v>292</v>
      </c>
      <c r="BW1" s="174" t="s">
        <v>292</v>
      </c>
      <c r="BX1" s="134" t="s">
        <v>293</v>
      </c>
      <c r="BY1" s="134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1</v>
      </c>
      <c r="D99">
        <f>Database!D99-Database!C99</f>
        <v>3</v>
      </c>
      <c r="F99">
        <f>Database!L99</f>
        <v>2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4">
        <f t="shared" si="63"/>
        <v>2</v>
      </c>
      <c r="BC99" s="34">
        <f t="shared" si="64"/>
        <v>6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151</v>
      </c>
      <c r="BC196" s="34">
        <f t="shared" si="167"/>
        <v>635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156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154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360</v>
      </c>
      <c r="R198">
        <f t="shared" si="168"/>
        <v>372</v>
      </c>
      <c r="S198">
        <f t="shared" si="168"/>
        <v>403</v>
      </c>
      <c r="T198">
        <f t="shared" si="168"/>
        <v>420</v>
      </c>
      <c r="U198">
        <f t="shared" si="168"/>
        <v>423</v>
      </c>
      <c r="V198">
        <f t="shared" si="168"/>
        <v>440</v>
      </c>
      <c r="W198">
        <f t="shared" si="168"/>
        <v>456</v>
      </c>
      <c r="X198">
        <f t="shared" si="168"/>
        <v>473</v>
      </c>
      <c r="Y198">
        <f t="shared" si="168"/>
        <v>473</v>
      </c>
      <c r="Z198">
        <f t="shared" si="168"/>
        <v>473</v>
      </c>
      <c r="AA198">
        <f t="shared" si="168"/>
        <v>473</v>
      </c>
      <c r="AB198">
        <f t="shared" si="168"/>
        <v>473</v>
      </c>
      <c r="AC198">
        <f t="shared" si="168"/>
        <v>473</v>
      </c>
      <c r="AD198">
        <f t="shared" si="168"/>
        <v>473</v>
      </c>
      <c r="AE198">
        <f t="shared" si="168"/>
        <v>473</v>
      </c>
      <c r="AF198">
        <f t="shared" si="168"/>
        <v>473</v>
      </c>
      <c r="AG198">
        <f t="shared" si="168"/>
        <v>473</v>
      </c>
      <c r="AH198">
        <f t="shared" si="168"/>
        <v>473</v>
      </c>
      <c r="AI198">
        <f t="shared" si="168"/>
        <v>473</v>
      </c>
      <c r="AJ198">
        <f t="shared" si="168"/>
        <v>473</v>
      </c>
      <c r="AK198">
        <f t="shared" si="168"/>
        <v>473</v>
      </c>
      <c r="AL198">
        <f t="shared" si="168"/>
        <v>473</v>
      </c>
      <c r="AM198">
        <f t="shared" si="168"/>
        <v>473</v>
      </c>
      <c r="AN198">
        <f t="shared" si="168"/>
        <v>473</v>
      </c>
      <c r="AO198">
        <f t="shared" si="168"/>
        <v>473</v>
      </c>
      <c r="AP198">
        <f t="shared" si="168"/>
        <v>473</v>
      </c>
      <c r="AQ198">
        <f t="shared" si="168"/>
        <v>473</v>
      </c>
      <c r="AR198">
        <f t="shared" si="168"/>
        <v>473</v>
      </c>
      <c r="AS198">
        <f t="shared" si="168"/>
        <v>473</v>
      </c>
      <c r="AT198">
        <f t="shared" si="168"/>
        <v>473</v>
      </c>
      <c r="AU198">
        <f t="shared" si="168"/>
        <v>473</v>
      </c>
      <c r="AV198">
        <f t="shared" si="168"/>
        <v>473</v>
      </c>
      <c r="AW198">
        <f t="shared" si="168"/>
        <v>473</v>
      </c>
      <c r="AX198">
        <f t="shared" si="168"/>
        <v>473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360</v>
      </c>
      <c r="R200">
        <f t="shared" si="169"/>
        <v>372</v>
      </c>
      <c r="S200">
        <f t="shared" si="169"/>
        <v>403</v>
      </c>
      <c r="T200">
        <f t="shared" si="169"/>
        <v>420</v>
      </c>
      <c r="U200">
        <f t="shared" si="169"/>
        <v>423</v>
      </c>
      <c r="V200">
        <f t="shared" si="169"/>
        <v>440</v>
      </c>
      <c r="W200">
        <f t="shared" si="169"/>
        <v>456</v>
      </c>
      <c r="X200">
        <f t="shared" si="169"/>
        <v>473</v>
      </c>
      <c r="Y200">
        <f t="shared" si="169"/>
        <v>473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635</v>
      </c>
      <c r="BE203" s="40">
        <f>BE196</f>
        <v>67</v>
      </c>
      <c r="BF203" s="40">
        <f>BG196</f>
        <v>0</v>
      </c>
      <c r="BG203" s="40">
        <f>BI196</f>
        <v>156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155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0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635</v>
      </c>
      <c r="C31" s="34">
        <f>'book stat'!BE203</f>
        <v>67</v>
      </c>
      <c r="D31" s="34">
        <f>'book stat'!BF203</f>
        <v>0</v>
      </c>
      <c r="E31" s="34">
        <f>'book stat'!BG203</f>
        <v>156</v>
      </c>
      <c r="F31" s="34">
        <f>'book stat'!BH203</f>
        <v>0</v>
      </c>
      <c r="G31" s="35">
        <f>'book stat'!BI203</f>
        <v>29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0</v>
      </c>
      <c r="M31" s="170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41" activePane="bottomLeft" state="frozen"/>
      <selection pane="bottomLeft" activeCell="AA1" sqref="AA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05">
        <v>1</v>
      </c>
      <c r="E1" s="206"/>
      <c r="F1" s="66" t="s">
        <v>117</v>
      </c>
      <c r="G1" s="67" t="s">
        <v>8</v>
      </c>
      <c r="H1" s="207">
        <v>2</v>
      </c>
      <c r="I1" s="206"/>
      <c r="J1" s="66" t="s">
        <v>117</v>
      </c>
      <c r="K1" s="68" t="s">
        <v>8</v>
      </c>
      <c r="L1" s="207">
        <v>3</v>
      </c>
      <c r="M1" s="206"/>
      <c r="N1" s="66" t="s">
        <v>117</v>
      </c>
      <c r="O1" s="69" t="s">
        <v>8</v>
      </c>
      <c r="P1" s="205">
        <v>4</v>
      </c>
      <c r="Q1" s="206"/>
      <c r="R1" s="66" t="s">
        <v>117</v>
      </c>
      <c r="S1" s="68" t="s">
        <v>8</v>
      </c>
      <c r="T1" s="208">
        <v>5</v>
      </c>
      <c r="U1" s="209"/>
      <c r="V1" s="66" t="s">
        <v>117</v>
      </c>
      <c r="W1" s="68" t="s">
        <v>8</v>
      </c>
      <c r="X1" s="205">
        <v>6</v>
      </c>
      <c r="Y1" s="206"/>
      <c r="Z1" s="70" t="s">
        <v>118</v>
      </c>
      <c r="AA1" s="132">
        <f>SUM(AA2:AA171)</f>
        <v>472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162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2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2">
        <v>72</v>
      </c>
      <c r="Q9" s="142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2">
        <v>72</v>
      </c>
      <c r="Q10" s="142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2">
        <v>72</v>
      </c>
      <c r="Q11" s="142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157</v>
      </c>
      <c r="L12" s="14"/>
      <c r="M12" s="142">
        <v>80</v>
      </c>
      <c r="N12" s="20"/>
      <c r="O12" s="20" t="s">
        <v>157</v>
      </c>
      <c r="P12" s="142">
        <v>72</v>
      </c>
      <c r="Q12" s="142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42">
        <v>72</v>
      </c>
      <c r="Q13" s="142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6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42">
        <v>72</v>
      </c>
      <c r="Q14" s="142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>COUNT(D14,I14,M14,Q14,U14)</f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42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290</v>
      </c>
      <c r="X17" s="22"/>
      <c r="Y17" s="22"/>
      <c r="Z17" s="138">
        <f t="shared" si="2"/>
        <v>0</v>
      </c>
      <c r="AA17" s="133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224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7"/>
      <c r="K19" s="19"/>
      <c r="L19" s="14"/>
      <c r="M19" s="8">
        <v>95</v>
      </c>
      <c r="N19" s="20"/>
      <c r="O19" s="20"/>
      <c r="P19" s="8"/>
      <c r="Q19" s="195">
        <v>97</v>
      </c>
      <c r="R19" s="117"/>
      <c r="S19" s="117"/>
      <c r="T19" s="8"/>
      <c r="U19" s="8">
        <v>90</v>
      </c>
      <c r="V19" s="20"/>
      <c r="W19" s="20" t="s">
        <v>157</v>
      </c>
      <c r="X19" s="22"/>
      <c r="Y19" s="22"/>
      <c r="Z19" s="138">
        <f t="shared" si="2"/>
        <v>0</v>
      </c>
      <c r="AA19" s="133">
        <f t="shared" si="3"/>
        <v>4</v>
      </c>
      <c r="AB19" s="8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7"/>
      <c r="K20" s="19" t="s">
        <v>160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7"/>
      <c r="S20" s="117"/>
      <c r="T20" s="8">
        <v>90</v>
      </c>
      <c r="U20" s="8">
        <v>90</v>
      </c>
      <c r="V20" s="20"/>
      <c r="W20" s="20" t="s">
        <v>290</v>
      </c>
      <c r="X20" s="22"/>
      <c r="Y20" s="22"/>
      <c r="Z20" s="138">
        <f t="shared" si="2"/>
        <v>2</v>
      </c>
      <c r="AA20" s="133">
        <f t="shared" si="3"/>
        <v>5</v>
      </c>
      <c r="AB20" s="8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91</v>
      </c>
      <c r="I21" s="8">
        <v>91</v>
      </c>
      <c r="J21" s="117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7"/>
      <c r="S21" s="117"/>
      <c r="T21" s="8">
        <v>90</v>
      </c>
      <c r="U21" s="8">
        <v>90</v>
      </c>
      <c r="V21" s="20"/>
      <c r="W21" s="20"/>
      <c r="X21" s="22"/>
      <c r="Y21" s="22"/>
      <c r="Z21" s="138">
        <f t="shared" si="2"/>
        <v>4</v>
      </c>
      <c r="AA21" s="133">
        <f t="shared" si="3"/>
        <v>5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158</v>
      </c>
      <c r="H22" s="8">
        <v>91</v>
      </c>
      <c r="I22" s="8"/>
      <c r="J22" s="117">
        <v>2</v>
      </c>
      <c r="K22" s="19"/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7"/>
      <c r="S22" s="117"/>
      <c r="T22" s="8">
        <v>90</v>
      </c>
      <c r="U22" s="142">
        <v>9</v>
      </c>
      <c r="V22" s="20"/>
      <c r="W22" s="20"/>
      <c r="X22" s="22"/>
      <c r="Y22" s="22"/>
      <c r="Z22" s="138">
        <f t="shared" si="2"/>
        <v>6</v>
      </c>
      <c r="AA22" s="133">
        <f t="shared" si="3"/>
        <v>3</v>
      </c>
      <c r="AB22" s="8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4"/>
      <c r="I23" s="8"/>
      <c r="J23" s="117"/>
      <c r="K23" s="19"/>
      <c r="L23" s="14"/>
      <c r="M23" s="8"/>
      <c r="N23" s="20"/>
      <c r="O23" s="20"/>
      <c r="P23" s="8">
        <v>96</v>
      </c>
      <c r="Q23" s="8">
        <v>96</v>
      </c>
      <c r="R23" s="117">
        <v>2</v>
      </c>
      <c r="S23" s="117" t="s">
        <v>158</v>
      </c>
      <c r="T23" s="142">
        <v>9</v>
      </c>
      <c r="U23" s="142">
        <v>9</v>
      </c>
      <c r="V23" s="20">
        <v>2</v>
      </c>
      <c r="W23" s="20" t="s">
        <v>137</v>
      </c>
      <c r="X23" s="22"/>
      <c r="Y23" s="22"/>
      <c r="Z23" s="138">
        <f t="shared" si="2"/>
        <v>6</v>
      </c>
      <c r="AA23" s="133">
        <f t="shared" si="3"/>
        <v>3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6</v>
      </c>
      <c r="AA24" s="133">
        <f t="shared" si="3"/>
        <v>3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6</v>
      </c>
      <c r="AA25" s="133">
        <f t="shared" si="3"/>
        <v>3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8"/>
      <c r="F26" s="20">
        <v>2</v>
      </c>
      <c r="G26" s="19"/>
      <c r="H26" s="14"/>
      <c r="I26" s="141">
        <v>20</v>
      </c>
      <c r="J26" s="20"/>
      <c r="K26" s="19"/>
      <c r="L26" s="14"/>
      <c r="M26" s="141">
        <v>20</v>
      </c>
      <c r="N26" s="20"/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6</v>
      </c>
      <c r="AA26" s="133">
        <f t="shared" si="3"/>
        <v>4</v>
      </c>
      <c r="AB26" s="8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54">
        <v>20</v>
      </c>
      <c r="I27" s="141">
        <v>20</v>
      </c>
      <c r="J27" s="20">
        <v>2</v>
      </c>
      <c r="K27" s="19"/>
      <c r="L27" s="154">
        <v>20</v>
      </c>
      <c r="M27" s="141">
        <v>20</v>
      </c>
      <c r="N27" s="20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22"/>
      <c r="Y27" s="22"/>
      <c r="Z27" s="138">
        <f t="shared" si="2"/>
        <v>8</v>
      </c>
      <c r="AA27" s="133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54">
        <v>20</v>
      </c>
      <c r="I28" s="141">
        <v>20</v>
      </c>
      <c r="J28" s="20">
        <v>2</v>
      </c>
      <c r="K28" s="19"/>
      <c r="L28" s="154">
        <v>20</v>
      </c>
      <c r="M28" s="141">
        <v>20</v>
      </c>
      <c r="N28" s="20">
        <v>2</v>
      </c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22"/>
      <c r="Y28" s="22"/>
      <c r="Z28" s="138">
        <f t="shared" si="2"/>
        <v>10</v>
      </c>
      <c r="AA28" s="133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225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54">
        <v>20</v>
      </c>
      <c r="I29" s="141">
        <v>20</v>
      </c>
      <c r="J29" s="20">
        <v>2</v>
      </c>
      <c r="K29" s="19"/>
      <c r="L29" s="154">
        <v>20</v>
      </c>
      <c r="M29" s="141">
        <v>20</v>
      </c>
      <c r="N29" s="20">
        <v>2</v>
      </c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22"/>
      <c r="Y29" s="22"/>
      <c r="Z29" s="138">
        <f t="shared" si="2"/>
        <v>10</v>
      </c>
      <c r="AA29" s="133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226</v>
      </c>
      <c r="B30" s="6" t="s">
        <v>122</v>
      </c>
      <c r="C30" s="7">
        <v>46167</v>
      </c>
      <c r="D30" s="10">
        <v>40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54">
        <v>20</v>
      </c>
      <c r="M30" s="8"/>
      <c r="N30" s="20">
        <v>2</v>
      </c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22"/>
      <c r="Y30" s="22"/>
      <c r="Z30" s="138">
        <f t="shared" si="2"/>
        <v>8</v>
      </c>
      <c r="AA30" s="133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14"/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4"/>
      <c r="I34" s="8"/>
      <c r="J34" s="20"/>
      <c r="K34" s="19"/>
      <c r="L34" s="142">
        <v>5</v>
      </c>
      <c r="M34" s="142">
        <v>5</v>
      </c>
      <c r="N34" s="117">
        <v>2</v>
      </c>
      <c r="O34" s="117"/>
      <c r="P34" s="114"/>
      <c r="Q34" s="114"/>
      <c r="R34" s="114"/>
      <c r="S34" s="114"/>
      <c r="T34" s="8"/>
      <c r="U34" s="142">
        <v>99</v>
      </c>
      <c r="V34" s="20"/>
      <c r="W34" s="19" t="s">
        <v>157</v>
      </c>
      <c r="X34" s="22"/>
      <c r="Y34" s="22"/>
      <c r="Z34" s="138">
        <f t="shared" si="2"/>
        <v>2</v>
      </c>
      <c r="AA34" s="133">
        <f t="shared" si="3"/>
        <v>2</v>
      </c>
      <c r="AB34" s="8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17"/>
      <c r="G35" s="136"/>
      <c r="H35" s="14"/>
      <c r="I35" s="8"/>
      <c r="J35" s="20"/>
      <c r="K35" s="19"/>
      <c r="L35" s="142">
        <v>5</v>
      </c>
      <c r="M35" s="142">
        <v>5</v>
      </c>
      <c r="N35" s="117">
        <v>2</v>
      </c>
      <c r="O35" s="117"/>
      <c r="P35" s="114"/>
      <c r="Q35" s="114">
        <v>102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4</v>
      </c>
      <c r="AA35" s="133">
        <f t="shared" si="3"/>
        <v>3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7"/>
      <c r="G36" s="136"/>
      <c r="H36" s="115"/>
      <c r="I36" s="156">
        <v>79</v>
      </c>
      <c r="J36" s="20"/>
      <c r="K36" s="19" t="s">
        <v>160</v>
      </c>
      <c r="L36" s="142">
        <v>5</v>
      </c>
      <c r="M36" s="142">
        <v>5</v>
      </c>
      <c r="N36" s="117">
        <v>2</v>
      </c>
      <c r="O36" s="117"/>
      <c r="P36" s="114">
        <v>102</v>
      </c>
      <c r="Q36" s="114">
        <v>102</v>
      </c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4</v>
      </c>
      <c r="AA36" s="133">
        <f t="shared" si="3"/>
        <v>3</v>
      </c>
      <c r="AB36" s="8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7"/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>
        <v>102</v>
      </c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2</v>
      </c>
      <c r="AA37" s="133">
        <f t="shared" si="3"/>
        <v>1</v>
      </c>
      <c r="AB37" s="8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7"/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2</v>
      </c>
      <c r="AA38" s="133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7"/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160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137</v>
      </c>
      <c r="X39" s="22"/>
      <c r="Y39" s="22"/>
      <c r="Z39" s="138">
        <f t="shared" si="2"/>
        <v>2</v>
      </c>
      <c r="AA39" s="133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7"/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/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4</v>
      </c>
      <c r="AA40" s="133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2">
        <v>6</v>
      </c>
      <c r="F41" s="117"/>
      <c r="G41" s="136"/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/>
      <c r="Q41" s="114"/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4</v>
      </c>
      <c r="AA41" s="133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157</v>
      </c>
      <c r="P42" s="114"/>
      <c r="Q42" s="114"/>
      <c r="R42" s="114"/>
      <c r="S42" s="117"/>
      <c r="T42" s="142">
        <v>12</v>
      </c>
      <c r="U42" s="114"/>
      <c r="V42" s="20"/>
      <c r="W42" s="20"/>
      <c r="X42" s="115"/>
      <c r="Y42" s="114"/>
      <c r="Z42" s="138">
        <f t="shared" si="2"/>
        <v>2</v>
      </c>
      <c r="AA42" s="133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/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/>
      <c r="Q43" s="114"/>
      <c r="R43" s="114"/>
      <c r="S43" s="117"/>
      <c r="T43" s="114"/>
      <c r="U43" s="114"/>
      <c r="V43" s="20"/>
      <c r="W43" s="20"/>
      <c r="X43" s="115"/>
      <c r="Y43" s="114"/>
      <c r="Z43" s="138">
        <f t="shared" si="2"/>
        <v>2</v>
      </c>
      <c r="AA43" s="133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7"/>
      <c r="G44" s="136"/>
      <c r="H44" s="14"/>
      <c r="I44" s="8"/>
      <c r="J44" s="20"/>
      <c r="K44" s="19"/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/>
      <c r="U44" s="142">
        <v>17</v>
      </c>
      <c r="V44" s="20"/>
      <c r="W44" s="20" t="s">
        <v>157</v>
      </c>
      <c r="X44" s="22"/>
      <c r="Y44" s="22"/>
      <c r="Z44" s="138">
        <f t="shared" si="2"/>
        <v>2</v>
      </c>
      <c r="AA44" s="133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2">
        <v>16</v>
      </c>
      <c r="F45" s="117"/>
      <c r="G45" s="136"/>
      <c r="H45" s="8"/>
      <c r="I45" s="142">
        <v>16</v>
      </c>
      <c r="J45" s="20"/>
      <c r="K45" s="19"/>
      <c r="L45" s="156">
        <v>27</v>
      </c>
      <c r="M45" s="142">
        <v>18</v>
      </c>
      <c r="N45" s="20">
        <v>2</v>
      </c>
      <c r="O45" s="20" t="s">
        <v>160</v>
      </c>
      <c r="P45" s="146">
        <v>15</v>
      </c>
      <c r="Q45" s="146">
        <v>15</v>
      </c>
      <c r="R45" s="117">
        <v>2</v>
      </c>
      <c r="S45" s="117"/>
      <c r="T45" s="142">
        <v>17</v>
      </c>
      <c r="U45" s="142">
        <v>17</v>
      </c>
      <c r="V45" s="20">
        <v>2</v>
      </c>
      <c r="W45" s="20"/>
      <c r="X45" s="22"/>
      <c r="Y45" s="22"/>
      <c r="Z45" s="138">
        <f t="shared" si="2"/>
        <v>6</v>
      </c>
      <c r="AA45" s="133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16</v>
      </c>
      <c r="I46" s="145">
        <v>16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17</v>
      </c>
      <c r="U46" s="142">
        <v>17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16</v>
      </c>
      <c r="I47" s="145">
        <v>16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17</v>
      </c>
      <c r="U47" s="142">
        <v>17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16</v>
      </c>
      <c r="I48" s="145">
        <v>16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17</v>
      </c>
      <c r="U48" s="142">
        <v>17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16</v>
      </c>
      <c r="I49" s="145">
        <v>16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17</v>
      </c>
      <c r="U49" s="142">
        <v>17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16</v>
      </c>
      <c r="I50" s="145">
        <v>16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17</v>
      </c>
      <c r="U50" s="142">
        <v>17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16</v>
      </c>
      <c r="I51" s="115"/>
      <c r="J51" s="20">
        <v>2</v>
      </c>
      <c r="K51" s="19"/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17</v>
      </c>
      <c r="U51" s="142">
        <v>86</v>
      </c>
      <c r="V51" s="20">
        <v>2</v>
      </c>
      <c r="W51" s="20"/>
      <c r="X51" s="22"/>
      <c r="Y51" s="22"/>
      <c r="Z51" s="138">
        <f t="shared" si="2"/>
        <v>8</v>
      </c>
      <c r="AA51" s="133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/>
      <c r="I52" s="8"/>
      <c r="J52" s="20">
        <v>2</v>
      </c>
      <c r="K52" s="19" t="s">
        <v>158</v>
      </c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158</v>
      </c>
      <c r="X52" s="22"/>
      <c r="Y52" s="22"/>
      <c r="Z52" s="138">
        <f t="shared" si="2"/>
        <v>8</v>
      </c>
      <c r="AA52" s="133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269</v>
      </c>
      <c r="X53" s="22"/>
      <c r="Y53" s="22"/>
      <c r="Z53" s="138">
        <f t="shared" si="2"/>
        <v>8</v>
      </c>
      <c r="AA53" s="133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9</v>
      </c>
      <c r="AA54" s="133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7</v>
      </c>
      <c r="AA55" s="133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17">
        <v>2</v>
      </c>
      <c r="O57" s="20"/>
      <c r="P57" s="8"/>
      <c r="Q57" s="8"/>
      <c r="R57" s="117"/>
      <c r="S57" s="117"/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57">
        <v>37</v>
      </c>
      <c r="R58" s="117"/>
      <c r="S58" s="117"/>
      <c r="T58" s="142">
        <v>86</v>
      </c>
      <c r="U58" s="114"/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14"/>
      <c r="I59" s="8"/>
      <c r="J59" s="20"/>
      <c r="K59" s="19"/>
      <c r="L59" s="8"/>
      <c r="M59" s="8"/>
      <c r="N59" s="20"/>
      <c r="O59" s="20"/>
      <c r="P59" s="157">
        <v>37</v>
      </c>
      <c r="Q59" s="157">
        <v>37</v>
      </c>
      <c r="R59" s="117">
        <v>2</v>
      </c>
      <c r="S59" s="117"/>
      <c r="T59" s="114"/>
      <c r="U59" s="114"/>
      <c r="V59" s="20"/>
      <c r="W59" s="20"/>
      <c r="X59" s="22"/>
      <c r="Y59" s="22"/>
      <c r="Z59" s="138">
        <f t="shared" si="2"/>
        <v>2</v>
      </c>
      <c r="AA59" s="133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14"/>
      <c r="I60" s="8"/>
      <c r="J60" s="20"/>
      <c r="K60" s="19"/>
      <c r="L60" s="8"/>
      <c r="M60" s="8"/>
      <c r="N60" s="20"/>
      <c r="O60" s="20"/>
      <c r="P60" s="157">
        <v>37</v>
      </c>
      <c r="Q60" s="157">
        <v>37</v>
      </c>
      <c r="R60" s="117">
        <v>2</v>
      </c>
      <c r="S60" s="117"/>
      <c r="T60" s="114"/>
      <c r="U60" s="114"/>
      <c r="V60" s="20"/>
      <c r="W60" s="20"/>
      <c r="X60" s="22"/>
      <c r="Y60" s="22"/>
      <c r="Z60" s="138">
        <f t="shared" si="2"/>
        <v>2</v>
      </c>
      <c r="AA60" s="133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14"/>
      <c r="I61" s="9"/>
      <c r="J61" s="20"/>
      <c r="K61" s="19"/>
      <c r="L61" s="8"/>
      <c r="M61" s="8">
        <v>34</v>
      </c>
      <c r="N61" s="20"/>
      <c r="O61" s="20"/>
      <c r="P61" s="157">
        <v>37</v>
      </c>
      <c r="Q61" s="8">
        <v>64</v>
      </c>
      <c r="R61" s="117">
        <v>2</v>
      </c>
      <c r="S61" s="20" t="s">
        <v>160</v>
      </c>
      <c r="T61" s="114"/>
      <c r="U61" s="114"/>
      <c r="V61" s="20"/>
      <c r="W61" s="20"/>
      <c r="X61" s="22"/>
      <c r="Y61" s="22"/>
      <c r="Z61" s="138">
        <f t="shared" si="2"/>
        <v>2</v>
      </c>
      <c r="AA61" s="133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227</v>
      </c>
      <c r="P62" s="8">
        <v>64</v>
      </c>
      <c r="Q62" s="8">
        <v>64</v>
      </c>
      <c r="R62" s="20"/>
      <c r="S62" s="20" t="s">
        <v>290</v>
      </c>
      <c r="T62" s="114"/>
      <c r="U62" s="114"/>
      <c r="V62" s="20"/>
      <c r="W62" s="20"/>
      <c r="X62" s="22"/>
      <c r="Y62" s="22"/>
      <c r="Z62" s="138">
        <f t="shared" si="2"/>
        <v>2</v>
      </c>
      <c r="AA62" s="133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158</v>
      </c>
      <c r="H63" s="9">
        <v>61</v>
      </c>
      <c r="I63" s="9">
        <v>61</v>
      </c>
      <c r="J63" s="20">
        <v>2</v>
      </c>
      <c r="K63" s="19" t="s">
        <v>158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160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8">
        <f t="shared" si="4"/>
        <v>1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7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6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228</v>
      </c>
      <c r="H69" s="197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192">
        <v>76</v>
      </c>
      <c r="Q69" s="145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98</v>
      </c>
      <c r="J70" s="20"/>
      <c r="K70" s="19"/>
      <c r="L70" s="8">
        <v>34</v>
      </c>
      <c r="M70" s="8">
        <v>34</v>
      </c>
      <c r="N70" s="20">
        <v>2</v>
      </c>
      <c r="O70" s="20"/>
      <c r="P70" s="145">
        <v>14</v>
      </c>
      <c r="Q70" s="145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8">
        <f t="shared" si="4"/>
        <v>2</v>
      </c>
      <c r="AC70" s="23">
        <f t="shared" si="5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98</v>
      </c>
      <c r="I71" s="8">
        <v>98</v>
      </c>
      <c r="J71" s="20"/>
      <c r="K71" s="19"/>
      <c r="L71" s="8">
        <v>34</v>
      </c>
      <c r="M71" s="8"/>
      <c r="N71" s="20">
        <v>2</v>
      </c>
      <c r="O71" s="20"/>
      <c r="P71" s="145">
        <v>14</v>
      </c>
      <c r="Q71" s="145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98</v>
      </c>
      <c r="I72" s="8">
        <v>98</v>
      </c>
      <c r="J72" s="20"/>
      <c r="K72" s="19"/>
      <c r="L72" s="8"/>
      <c r="M72" s="8">
        <v>36</v>
      </c>
      <c r="N72" s="20"/>
      <c r="O72" s="20"/>
      <c r="P72" s="145">
        <v>14</v>
      </c>
      <c r="Q72" s="145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98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5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8">
        <f t="shared" si="4"/>
        <v>0</v>
      </c>
      <c r="AC73" s="23">
        <f t="shared" si="5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159</v>
      </c>
      <c r="X77" s="22"/>
      <c r="Y77" s="22"/>
      <c r="Z77" s="138">
        <f t="shared" si="6"/>
        <v>2</v>
      </c>
      <c r="AA77" s="133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159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227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156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8"/>
      <c r="I92" s="142">
        <v>58</v>
      </c>
      <c r="J92" s="20"/>
      <c r="K92" s="19" t="s">
        <v>32</v>
      </c>
      <c r="L92" s="8"/>
      <c r="M92" s="8"/>
      <c r="N92" s="20"/>
      <c r="O92" s="20"/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2">
        <v>58</v>
      </c>
      <c r="I93" s="142">
        <v>58</v>
      </c>
      <c r="J93" s="20">
        <v>1</v>
      </c>
      <c r="K93" s="19" t="s">
        <v>291</v>
      </c>
      <c r="L93" s="8"/>
      <c r="M93" s="8">
        <v>30</v>
      </c>
      <c r="N93" s="20"/>
      <c r="O93" s="20" t="s">
        <v>160</v>
      </c>
      <c r="P93" s="142">
        <v>58</v>
      </c>
      <c r="Q93" s="142">
        <v>58</v>
      </c>
      <c r="R93" s="117">
        <v>1</v>
      </c>
      <c r="S93" s="117" t="s">
        <v>291</v>
      </c>
      <c r="T93" s="8">
        <v>49</v>
      </c>
      <c r="U93" s="8">
        <v>49</v>
      </c>
      <c r="V93" s="20">
        <v>2</v>
      </c>
      <c r="W93" s="20"/>
      <c r="X93" s="22"/>
      <c r="Y93" s="22"/>
      <c r="Z93" s="138">
        <f t="shared" si="6"/>
        <v>4</v>
      </c>
      <c r="AA93" s="133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2">
        <v>58</v>
      </c>
      <c r="I94" s="142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22"/>
      <c r="Y94" s="22"/>
      <c r="Z94" s="138">
        <f t="shared" si="6"/>
        <v>6</v>
      </c>
      <c r="AA94" s="133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2">
        <v>58</v>
      </c>
      <c r="I95" s="142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8">
        <f t="shared" si="6"/>
        <v>6</v>
      </c>
      <c r="AA95" s="133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2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3">
        <v>57</v>
      </c>
      <c r="Q96" s="164">
        <v>57</v>
      </c>
      <c r="R96" s="117"/>
      <c r="S96" s="117" t="s">
        <v>290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8">
        <f t="shared" si="6"/>
        <v>5</v>
      </c>
      <c r="AA96" s="133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22"/>
      <c r="Y97" s="22"/>
      <c r="Z97" s="138">
        <f t="shared" si="6"/>
        <v>4</v>
      </c>
      <c r="AA97" s="133">
        <f t="shared" si="7"/>
        <v>3</v>
      </c>
      <c r="AB97" s="8">
        <f t="shared" si="8"/>
        <v>1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158</v>
      </c>
      <c r="H98" s="14"/>
      <c r="I98" s="8"/>
      <c r="J98" s="20"/>
      <c r="K98" s="19"/>
      <c r="L98" s="8"/>
      <c r="M98" s="8"/>
      <c r="N98" s="20"/>
      <c r="O98" s="20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2</v>
      </c>
      <c r="AA98" s="133">
        <f t="shared" si="7"/>
        <v>2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4"/>
      <c r="I99" s="142">
        <v>74</v>
      </c>
      <c r="J99" s="20"/>
      <c r="K99" s="19"/>
      <c r="L99" s="8"/>
      <c r="M99" s="142">
        <v>74</v>
      </c>
      <c r="N99" s="20"/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0</v>
      </c>
      <c r="AA99" s="133">
        <f t="shared" si="7"/>
        <v>4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1">
        <v>11</v>
      </c>
      <c r="F100" s="20"/>
      <c r="G100" s="19" t="s">
        <v>159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8">
        <f t="shared" si="8"/>
        <v>2</v>
      </c>
      <c r="AC100" s="23">
        <f t="shared" si="9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158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157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158</v>
      </c>
      <c r="L104" s="157">
        <v>33</v>
      </c>
      <c r="M104" s="157">
        <v>33</v>
      </c>
      <c r="N104" s="114">
        <v>1</v>
      </c>
      <c r="O104" s="114" t="s">
        <v>158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8">
        <f t="shared" si="8"/>
        <v>1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269</v>
      </c>
      <c r="X105" s="22"/>
      <c r="Y105" s="22"/>
      <c r="Z105" s="138">
        <f t="shared" si="6"/>
        <v>5</v>
      </c>
      <c r="AA105" s="133">
        <f t="shared" si="7"/>
        <v>4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14"/>
      <c r="R106" s="114">
        <v>2</v>
      </c>
      <c r="S106" s="114"/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3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157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8"/>
      <c r="Q107" s="8"/>
      <c r="R107" s="117"/>
      <c r="S107" s="117"/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3</v>
      </c>
      <c r="AA107" s="133">
        <f t="shared" si="7"/>
        <v>4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8"/>
      <c r="Q108" s="8"/>
      <c r="R108" s="117"/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5</v>
      </c>
      <c r="AA108" s="133">
        <f t="shared" si="7"/>
        <v>4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8"/>
      <c r="Q109" s="142">
        <v>4</v>
      </c>
      <c r="R109" s="117"/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5</v>
      </c>
      <c r="AA109" s="133">
        <f t="shared" si="7"/>
        <v>5</v>
      </c>
      <c r="AB109" s="8">
        <f t="shared" si="8"/>
        <v>2</v>
      </c>
      <c r="AC109" s="23">
        <f t="shared" si="9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/>
      <c r="Z110" s="138">
        <f t="shared" si="6"/>
        <v>9</v>
      </c>
      <c r="AA110" s="133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/>
      <c r="Y111" s="22"/>
      <c r="Z111" s="138">
        <f t="shared" si="6"/>
        <v>8</v>
      </c>
      <c r="AA111" s="133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268</v>
      </c>
      <c r="T114" s="8"/>
      <c r="U114" s="142">
        <v>21</v>
      </c>
      <c r="V114" s="20"/>
      <c r="W114" s="20" t="s">
        <v>160</v>
      </c>
      <c r="X114" s="22"/>
      <c r="Y114" s="22"/>
      <c r="Z114" s="138">
        <f t="shared" si="6"/>
        <v>2</v>
      </c>
      <c r="AA114" s="133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269</v>
      </c>
      <c r="X115" s="22"/>
      <c r="Y115" s="22"/>
      <c r="Z115" s="138">
        <f t="shared" si="6"/>
        <v>8</v>
      </c>
      <c r="AA115" s="133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8">
        <f t="shared" si="10"/>
        <v>2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227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8"/>
      <c r="J120" s="20">
        <v>2</v>
      </c>
      <c r="K120" s="19"/>
      <c r="L120" s="161">
        <v>54</v>
      </c>
      <c r="M120" s="8"/>
      <c r="N120" s="20">
        <v>2</v>
      </c>
      <c r="O120" s="20"/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3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7"/>
      <c r="S121" s="117"/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0</v>
      </c>
      <c r="AA121" s="133">
        <f t="shared" si="7"/>
        <v>3</v>
      </c>
      <c r="AB121" s="8">
        <f t="shared" si="10"/>
        <v>1</v>
      </c>
      <c r="AC121" s="23">
        <f t="shared" si="11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7"/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1</v>
      </c>
      <c r="AA122" s="133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/>
      <c r="J123" s="117"/>
      <c r="K123" s="117"/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7"/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1</v>
      </c>
      <c r="AA123" s="133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158</v>
      </c>
      <c r="H124" s="8"/>
      <c r="I124" s="8"/>
      <c r="J124" s="117"/>
      <c r="K124" s="117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7">
        <v>2</v>
      </c>
      <c r="S124" s="117" t="s">
        <v>158</v>
      </c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/>
      <c r="I125" s="8"/>
      <c r="J125" s="117"/>
      <c r="K125" s="117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7">
        <v>2</v>
      </c>
      <c r="S125" s="117"/>
      <c r="T125" s="142">
        <v>35</v>
      </c>
      <c r="U125" s="142">
        <v>35</v>
      </c>
      <c r="V125" s="117">
        <v>2</v>
      </c>
      <c r="W125" s="117" t="s">
        <v>228</v>
      </c>
      <c r="X125" s="22"/>
      <c r="Y125" s="22"/>
      <c r="Z125" s="138">
        <f t="shared" si="6"/>
        <v>7</v>
      </c>
      <c r="AA125" s="133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/>
      <c r="I126" s="8"/>
      <c r="J126" s="117"/>
      <c r="K126" s="117"/>
      <c r="L126" s="8"/>
      <c r="M126" s="8"/>
      <c r="N126" s="20"/>
      <c r="O126" s="20"/>
      <c r="P126" s="8">
        <v>78</v>
      </c>
      <c r="Q126" s="8">
        <v>78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6</v>
      </c>
      <c r="AA126" s="133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/>
      <c r="I127" s="8"/>
      <c r="J127" s="117"/>
      <c r="K127" s="117"/>
      <c r="L127" s="8"/>
      <c r="M127" s="8"/>
      <c r="N127" s="20"/>
      <c r="O127" s="20"/>
      <c r="P127" s="8">
        <v>78</v>
      </c>
      <c r="Q127" s="8">
        <v>78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6</v>
      </c>
      <c r="AA127" s="133">
        <f t="shared" si="7"/>
        <v>3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6</v>
      </c>
      <c r="AA128" s="133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2</v>
      </c>
      <c r="AA129" s="133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2</v>
      </c>
      <c r="AA130" s="133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5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2">F131+J131+N131+R131+V131</f>
        <v>2</v>
      </c>
      <c r="AA131" s="133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5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7"/>
      <c r="S132" s="117"/>
      <c r="T132" s="8"/>
      <c r="U132" s="8"/>
      <c r="V132" s="117"/>
      <c r="W132" s="117"/>
      <c r="X132" s="22"/>
      <c r="Y132" s="22"/>
      <c r="Z132" s="138">
        <f t="shared" si="12"/>
        <v>0</v>
      </c>
      <c r="AA132" s="133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5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7"/>
      <c r="S133" s="117"/>
      <c r="T133" s="8"/>
      <c r="U133" s="8"/>
      <c r="V133" s="117"/>
      <c r="W133" s="117"/>
      <c r="X133" s="22"/>
      <c r="Y133" s="22"/>
      <c r="Z133" s="138">
        <f t="shared" si="12"/>
        <v>0</v>
      </c>
      <c r="AA133" s="133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2"/>
        <v>0</v>
      </c>
      <c r="AA134" s="133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7"/>
      <c r="S135" s="117"/>
      <c r="T135" s="8">
        <v>22</v>
      </c>
      <c r="U135" s="8">
        <v>22</v>
      </c>
      <c r="V135" s="20">
        <v>2</v>
      </c>
      <c r="W135" s="20" t="s">
        <v>227</v>
      </c>
      <c r="X135" s="22"/>
      <c r="Y135" s="22"/>
      <c r="Z135" s="138">
        <f t="shared" si="12"/>
        <v>2</v>
      </c>
      <c r="AA135" s="133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2"/>
        <v>2</v>
      </c>
      <c r="AA136" s="133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2"/>
        <v>2</v>
      </c>
      <c r="AA137" s="133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2"/>
        <v>2</v>
      </c>
      <c r="AA138" s="133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2"/>
        <v>2</v>
      </c>
      <c r="AA139" s="133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1">
        <v>89</v>
      </c>
      <c r="F140" s="20">
        <v>1</v>
      </c>
      <c r="G140" s="19"/>
      <c r="H140" s="193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160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2"/>
        <v>5</v>
      </c>
      <c r="AA140" s="133">
        <f t="shared" si="13"/>
        <v>4</v>
      </c>
      <c r="AB140" s="8">
        <f t="shared" si="10"/>
        <v>1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2"/>
        <v>7</v>
      </c>
      <c r="AA141" s="133">
        <f t="shared" si="13"/>
        <v>2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2"/>
        <v>4</v>
      </c>
      <c r="AA142" s="133">
        <f t="shared" si="13"/>
        <v>4</v>
      </c>
      <c r="AB142" s="8">
        <f t="shared" si="10"/>
        <v>2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2"/>
        <v>4</v>
      </c>
      <c r="AA143" s="133">
        <f t="shared" si="13"/>
        <v>4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160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2"/>
        <v>4</v>
      </c>
      <c r="AA144" s="133">
        <f t="shared" si="13"/>
        <v>3</v>
      </c>
      <c r="AB144" s="8">
        <f t="shared" si="14"/>
        <v>1</v>
      </c>
      <c r="AC144" s="23">
        <f t="shared" si="15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160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2"/>
        <v>4</v>
      </c>
      <c r="AA145" s="133">
        <f t="shared" si="13"/>
        <v>4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2"/>
        <v>4</v>
      </c>
      <c r="AA146" s="133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2"/>
        <v>6</v>
      </c>
      <c r="AA147" s="133">
        <f t="shared" si="13"/>
        <v>4</v>
      </c>
      <c r="AB147" s="8">
        <f t="shared" si="14"/>
        <v>0</v>
      </c>
      <c r="AC147" s="23">
        <f t="shared" si="15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2"/>
        <v>4</v>
      </c>
      <c r="AA148" s="133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/>
      <c r="V149" s="20"/>
      <c r="W149" s="20"/>
      <c r="X149" s="22"/>
      <c r="Y149" s="22"/>
      <c r="Z149" s="138">
        <f t="shared" si="12"/>
        <v>2</v>
      </c>
      <c r="AA149" s="133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/>
      <c r="U150" s="8"/>
      <c r="V150" s="20"/>
      <c r="W150" s="20"/>
      <c r="X150" s="22"/>
      <c r="Y150" s="22"/>
      <c r="Z150" s="138">
        <f t="shared" si="12"/>
        <v>0</v>
      </c>
      <c r="AA150" s="133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/>
      <c r="U151" s="8"/>
      <c r="V151" s="20"/>
      <c r="W151" s="20"/>
      <c r="X151" s="22"/>
      <c r="Y151" s="22"/>
      <c r="Z151" s="138">
        <f t="shared" si="12"/>
        <v>0</v>
      </c>
      <c r="AA151" s="133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/>
      <c r="U152" s="8"/>
      <c r="V152" s="20"/>
      <c r="W152" s="20"/>
      <c r="X152" s="22"/>
      <c r="Y152" s="22"/>
      <c r="Z152" s="138">
        <f t="shared" si="12"/>
        <v>0</v>
      </c>
      <c r="AA152" s="133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/>
      <c r="U153" s="8"/>
      <c r="V153" s="20"/>
      <c r="W153" s="20"/>
      <c r="X153" s="22"/>
      <c r="Y153" s="22"/>
      <c r="Z153" s="138">
        <f t="shared" si="12"/>
        <v>0</v>
      </c>
      <c r="AA153" s="133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/>
      <c r="U154" s="8"/>
      <c r="V154" s="20"/>
      <c r="W154" s="20"/>
      <c r="X154" s="22"/>
      <c r="Y154" s="22"/>
      <c r="Z154" s="138">
        <f t="shared" si="12"/>
        <v>0</v>
      </c>
      <c r="AA154" s="133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2"/>
        <v>0</v>
      </c>
      <c r="AA155" s="133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2"/>
        <v>0</v>
      </c>
      <c r="AA156" s="133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2"/>
        <v>0</v>
      </c>
      <c r="AA157" s="133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2"/>
        <v>0</v>
      </c>
      <c r="AA158" s="133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2"/>
        <v>0</v>
      </c>
      <c r="AA159" s="133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2"/>
        <v>0</v>
      </c>
      <c r="AA160" s="133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2"/>
        <v>0</v>
      </c>
      <c r="AA161" s="133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161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2"/>
        <v>0</v>
      </c>
      <c r="AA162" s="133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2"/>
        <v>0</v>
      </c>
      <c r="AA163" s="133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2"/>
        <v>0</v>
      </c>
      <c r="AA164" s="133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2"/>
        <v>0</v>
      </c>
      <c r="AA165" s="133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2"/>
        <v>0</v>
      </c>
      <c r="AA166" s="133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2"/>
        <v>0</v>
      </c>
      <c r="AA167" s="133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2"/>
        <v>0</v>
      </c>
      <c r="AA168" s="133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2"/>
        <v>0</v>
      </c>
      <c r="AA169" s="133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2"/>
        <v>0</v>
      </c>
      <c r="AA170" s="133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2"/>
        <v>0</v>
      </c>
      <c r="AA171" s="133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D16:H52 J2:N57 H53:H57 H58:M58 D53:G58 O2:Y33 D59:M115 F9:G15 D9:E13 D15:E15 O37:Y171 O34:S36 T35 V34:Y36 T34:U34 T36:U36 D116:N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46111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tabSelected="1" zoomScaleNormal="100" workbookViewId="0">
      <pane ySplit="1" topLeftCell="A117" activePane="bottomLeft" state="frozen"/>
      <selection pane="bottomLeft" activeCell="V174" sqref="V17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style="213" customWidth="1"/>
    <col min="15" max="15" width="6.54296875" customWidth="1"/>
    <col min="16" max="18" width="6.54296875" style="78" customWidth="1"/>
    <col min="19" max="19" width="6.54296875" style="213" customWidth="1"/>
    <col min="20" max="20" width="6.54296875" style="77" customWidth="1"/>
    <col min="21" max="23" width="6.54296875" style="78" customWidth="1"/>
    <col min="24" max="24" width="6.54296875" style="213" customWidth="1"/>
    <col min="25" max="25" width="6.54296875" customWidth="1"/>
    <col min="26" max="28" width="6.54296875" style="78" customWidth="1"/>
    <col min="29" max="29" width="7.26953125" style="213" customWidth="1"/>
  </cols>
  <sheetData>
    <row r="1" spans="1:29" ht="20.149999999999999" customHeight="1" thickBot="1" x14ac:dyDescent="0.4">
      <c r="A1" s="200" t="str">
        <f>rengøring!A1</f>
        <v>dag</v>
      </c>
      <c r="B1" s="204" t="s">
        <v>116</v>
      </c>
      <c r="C1" s="200" t="s">
        <v>398</v>
      </c>
      <c r="D1" s="201" t="s">
        <v>397</v>
      </c>
      <c r="E1" s="200" t="str">
        <f>rengøring!E1</f>
        <v>V1</v>
      </c>
      <c r="F1" s="202" t="s">
        <v>399</v>
      </c>
      <c r="G1" s="202" t="s">
        <v>400</v>
      </c>
      <c r="H1" s="202" t="s">
        <v>401</v>
      </c>
      <c r="I1" s="200" t="s">
        <v>402</v>
      </c>
      <c r="J1" s="200" t="str">
        <f>rengøring!H1</f>
        <v>V2</v>
      </c>
      <c r="K1" s="202" t="s">
        <v>403</v>
      </c>
      <c r="L1" s="202" t="s">
        <v>406</v>
      </c>
      <c r="M1" s="202" t="s">
        <v>407</v>
      </c>
      <c r="N1" s="211" t="s">
        <v>404</v>
      </c>
      <c r="O1" s="200" t="str">
        <f>rengøring!K1</f>
        <v>V3</v>
      </c>
      <c r="P1" s="202" t="s">
        <v>405</v>
      </c>
      <c r="Q1" s="202" t="s">
        <v>408</v>
      </c>
      <c r="R1" s="202" t="s">
        <v>409</v>
      </c>
      <c r="S1" s="211" t="s">
        <v>410</v>
      </c>
      <c r="T1" s="203" t="str">
        <f>rengøring!N1</f>
        <v>V4</v>
      </c>
      <c r="U1" s="202" t="s">
        <v>411</v>
      </c>
      <c r="V1" s="202" t="s">
        <v>412</v>
      </c>
      <c r="W1" s="202" t="s">
        <v>413</v>
      </c>
      <c r="X1" s="211" t="s">
        <v>414</v>
      </c>
      <c r="Y1" s="200" t="str">
        <f>rengøring!Q1</f>
        <v>V5</v>
      </c>
      <c r="Z1" s="202" t="s">
        <v>415</v>
      </c>
      <c r="AA1" s="202" t="s">
        <v>416</v>
      </c>
      <c r="AB1" s="202" t="s">
        <v>417</v>
      </c>
      <c r="AC1" s="211" t="s">
        <v>418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80" t="str">
        <f>IFERROR(VLOOKUP(E2,Database!$A$2:$L$175,8,FALSE),"-")</f>
        <v>-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IFERROR(VLOOKUP(E2,Database!$A$2:$S$175,19,FALSE),"-")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214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79" t="str">
        <f>IFERROR(VLOOKUP(E3,Database!$A$2:$L$175,8,FALSE),"-")</f>
        <v>-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IFERROR(VLOOKUP(E3,Database!$A$2:$S$175,19,FALSE),"-")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214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79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2" t="str">
        <f>IFERROR(VLOOKUP(E4,Database!$A$2:$S$175,19,FALSE),"-")</f>
        <v>-</v>
      </c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IFERROR(VLOOKUP(E4,Database!$A$2:$S$175,19,FALSE),"-")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214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7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79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2" t="str">
        <f>IFERROR(VLOOKUP(E5,Database!$A$2:$S$175,19,FALSE),"-")</f>
        <v>-</v>
      </c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IFERROR(VLOOKUP(E5,Database!$A$2:$S$175,19,FALSE),"-")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214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5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79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2" t="str">
        <f>IFERROR(VLOOKUP(E6,Database!$A$2:$S$175,19,FALSE),"-")</f>
        <v>N</v>
      </c>
      <c r="J6" s="97">
        <f>IF(AND(D6="Y",booking!H6&lt;&gt;booking!I6,booking!I6&gt;0),booking!I6,"-")</f>
        <v>82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IFERROR(VLOOKUP(E6,Database!$A$2:$S$175,19,FALSE),"-")</f>
        <v>N</v>
      </c>
      <c r="O6" s="97">
        <f>IF(AND(D6="Y",booking!L6&lt;&gt;booking!M6,booking!M6&gt;0),booking!M6,"-")</f>
        <v>68</v>
      </c>
      <c r="P6" s="79">
        <f>IFERROR(VLOOKUP(O6,Database!$A$2:$L$175,8,FALSE),"-")</f>
        <v>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214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7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79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2" t="str">
        <f>IFERROR(VLOOKUP(E7,Database!$A$2:$S$175,19,FALSE),"-")</f>
        <v>-</v>
      </c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IFERROR(VLOOKUP(E7,Database!$A$2:$S$175,19,FALSE),"-")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214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79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2" t="str">
        <f>IFERROR(VLOOKUP(E8,Database!$A$2:$S$175,19,FALSE),"-")</f>
        <v>-</v>
      </c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IFERROR(VLOOKUP(E8,Database!$A$2:$S$175,19,FALSE),"-")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214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79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2" t="str">
        <f>IFERROR(VLOOKUP(E9,Database!$A$2:$S$175,19,FALSE),"-")</f>
        <v>-</v>
      </c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IFERROR(VLOOKUP(E9,Database!$A$2:$S$175,19,FALSE),"-")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214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79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2" t="str">
        <f>IFERROR(VLOOKUP(E10,Database!$A$2:$S$175,19,FALSE),"-")</f>
        <v>-</v>
      </c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IFERROR(VLOOKUP(E10,Database!$A$2:$S$175,19,FALSE),"-")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214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7">
        <v>46148</v>
      </c>
      <c r="C11" s="9"/>
      <c r="D11" s="90" t="str">
        <f>IF(booking!AB11&gt;0,"Y","-")</f>
        <v>Y</v>
      </c>
      <c r="E11" s="96" t="str">
        <f>IF(AND(D11="Y",booking!D11&lt;&gt;booking!E11,booking!E11&gt;0),booking!E11,"-")</f>
        <v>-</v>
      </c>
      <c r="F11" s="79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2" t="str">
        <f>IFERROR(VLOOKUP(E11,Database!$A$2:$S$175,19,FALSE),"-")</f>
        <v>-</v>
      </c>
      <c r="J11" s="97">
        <f>IF(AND(D11="Y",booking!H11&lt;&gt;booking!I12,booking!I12&gt;0),booking!I12,"-")</f>
        <v>80</v>
      </c>
      <c r="K11" s="79">
        <f>IFERROR(VLOOKUP(J11,Database!$A$2:$L$175,8,FALSE),"-")</f>
        <v>0</v>
      </c>
      <c r="L11" s="79" t="str">
        <f>IFERROR(VLOOKUP(J11,Database!$A$2:$L$175,6,FALSE),"-")</f>
        <v>DK</v>
      </c>
      <c r="M11" s="94" t="str">
        <f>IFERROR(VLOOKUP(J11,Database!$A$2:$L$175,9,FALSE),"-")</f>
        <v>db</v>
      </c>
      <c r="N11" s="210" t="str">
        <f>IFERROR(VLOOKUP(E11,Database!$A$2:$S$175,19,FALSE),"-")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214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5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79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2" t="str">
        <f>IFERROR(VLOOKUP(E12,Database!$A$2:$S$175,19,FALSE),"-")</f>
        <v>-</v>
      </c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IFERROR(VLOOKUP(E12,Database!$A$2:$S$175,19,FALSE),"-")</f>
        <v>-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214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7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79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2" t="str">
        <f>IFERROR(VLOOKUP(E13,Database!$A$2:$S$175,19,FALSE),"-")</f>
        <v>-</v>
      </c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IFERROR(VLOOKUP(E13,Database!$A$2:$S$175,19,FALSE),"-")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214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79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2" t="str">
        <f>IFERROR(VLOOKUP(E14,Database!$A$2:$S$175,19,FALSE),"-")</f>
        <v>-</v>
      </c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IFERROR(VLOOKUP(E14,Database!$A$2:$S$175,19,FALSE),"-")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214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79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2" t="str">
        <f>IFERROR(VLOOKUP(E15,Database!$A$2:$S$175,19,FALSE),"-")</f>
        <v>-</v>
      </c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IFERROR(VLOOKUP(E15,Database!$A$2:$S$175,19,FALSE),"-")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214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79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2" t="str">
        <f>IFERROR(VLOOKUP(E16,Database!$A$2:$S$175,19,FALSE),"-")</f>
        <v>-</v>
      </c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IFERROR(VLOOKUP(E16,Database!$A$2:$S$175,19,FALSE),"-")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214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7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79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2" t="str">
        <f>IFERROR(VLOOKUP(E17,Database!$A$2:$S$175,19,FALSE),"-")</f>
        <v>-</v>
      </c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IFERROR(VLOOKUP(E17,Database!$A$2:$S$175,19,FALSE),"-")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214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5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79">
        <f>IFERROR(VLOOKUP(E18,Database!$A$2:$L$175,8,FALSE),"-")</f>
        <v>0</v>
      </c>
      <c r="G18" s="79" t="str">
        <f>IFERROR(VLOOKUP(E18,Database!$A$2:$L$175,6,FALSE),"-")</f>
        <v>DK</v>
      </c>
      <c r="H18" s="94">
        <f>IFERROR(VLOOKUP(E18,Database!$A$2:$L$175,9,FALSE),"-")</f>
        <v>0</v>
      </c>
      <c r="I18" s="112" t="str">
        <f>IFERROR(VLOOKUP(E18,Database!$A$2:$S$175,19,FALSE),"-")</f>
        <v>N</v>
      </c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IFERROR(VLOOKUP(E18,Database!$A$2:$S$175,19,FALSE),"-")</f>
        <v>N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214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7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79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2" t="str">
        <f>IFERROR(VLOOKUP(E19,Database!$A$2:$S$175,19,FALSE),"-")</f>
        <v>-</v>
      </c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IFERROR(VLOOKUP(E19,Database!$A$2:$S$175,19,FALSE),"-")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214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79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2" t="str">
        <f>IFERROR(VLOOKUP(E20,Database!$A$2:$S$175,19,FALSE),"-")</f>
        <v>-</v>
      </c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IFERROR(VLOOKUP(E20,Database!$A$2:$S$175,19,FALSE),"-")</f>
        <v>-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214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79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2" t="str">
        <f>IFERROR(VLOOKUP(E21,Database!$A$2:$S$175,19,FALSE),"-")</f>
        <v>Y</v>
      </c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IFERROR(VLOOKUP(E21,Database!$A$2:$S$175,19,FALSE),"-")</f>
        <v>Y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214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79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2" t="str">
        <f>IFERROR(VLOOKUP(E22,Database!$A$2:$S$175,19,FALSE),"-")</f>
        <v>-</v>
      </c>
      <c r="J22" s="97" t="str">
        <f>IF(AND(D22="Y",booking!H22&lt;&gt;booking!I22,booking!I22&gt;0),booking!I22,"-")</f>
        <v>-</v>
      </c>
      <c r="K22" s="79" t="str">
        <f>IFERROR(VLOOKUP(J22,Database!$A$2:$L$175,8,FALSE),"-")</f>
        <v>-</v>
      </c>
      <c r="L22" s="79" t="str">
        <f>IFERROR(VLOOKUP(J22,Database!$A$2:$L$175,6,FALSE),"-")</f>
        <v>-</v>
      </c>
      <c r="M22" s="94" t="str">
        <f>IFERROR(VLOOKUP(J22,Database!$A$2:$L$175,9,FALSE),"-")</f>
        <v>-</v>
      </c>
      <c r="N22" s="210" t="str">
        <f>IFERROR(VLOOKUP(E22,Database!$A$2:$S$175,19,FALSE),"-")</f>
        <v>-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0</v>
      </c>
      <c r="AA22" s="80" t="str">
        <f>IFERROR(VLOOKUP(Y22,Database!$A$2:$L$175,6,FALSE),"-")</f>
        <v>DK</v>
      </c>
      <c r="AB22" s="93">
        <f>IFERROR(VLOOKUP(Y22,Database!$A$2:$L$175,9,FALSE),"-")</f>
        <v>0</v>
      </c>
      <c r="AC22" s="214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7">
        <v>46160</v>
      </c>
      <c r="C23" s="9"/>
      <c r="D23" s="90" t="str">
        <f>IF(booking!AB23&gt;0,"Y","-")</f>
        <v>-</v>
      </c>
      <c r="E23" s="96" t="str">
        <f>IF(AND(D23="Y",booking!D23&lt;&gt;booking!E23,booking!E23&gt;0),booking!E23,"-")</f>
        <v>-</v>
      </c>
      <c r="F23" s="79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2" t="str">
        <f>IFERROR(VLOOKUP(E23,Database!$A$2:$S$175,19,FALSE),"-")</f>
        <v>-</v>
      </c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IFERROR(VLOOKUP(E23,Database!$A$2:$S$175,19,FALSE),"-")</f>
        <v>-</v>
      </c>
      <c r="O23" s="97" t="str">
        <f>IF(AND(D23="Y",booking!L23&lt;&gt;booking!M23,booking!M23&gt;0),booking!M23,"-")</f>
        <v>-</v>
      </c>
      <c r="P23" s="79" t="str">
        <f>IFERROR(VLOOKUP(O23,Database!$A$2:$L$175,8,FALSE),"-")</f>
        <v>-</v>
      </c>
      <c r="Q23" s="79" t="str">
        <f>IFERROR(VLOOKUP(O23,Database!$A$2:$L$175,6,FALSE),"-")</f>
        <v>-</v>
      </c>
      <c r="R23" s="83" t="str">
        <f>IFERROR(VLOOKUP(O23,Database!$A$2:$L$175,9,FALSE),"-")</f>
        <v>-</v>
      </c>
      <c r="S23" s="210" t="str">
        <f>IFERROR(VLOOKUP(O23,Database!$A$2:$S$175,19,FALSE),"-")</f>
        <v>-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214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5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79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2" t="str">
        <f>IFERROR(VLOOKUP(E24,Database!$A$2:$S$175,19,FALSE),"-")</f>
        <v>-</v>
      </c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IFERROR(VLOOKUP(E24,Database!$A$2:$S$175,19,FALSE),"-")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214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7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79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2" t="str">
        <f>IFERROR(VLOOKUP(E25,Database!$A$2:$S$175,19,FALSE),"-")</f>
        <v>-</v>
      </c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IFERROR(VLOOKUP(E25,Database!$A$2:$S$175,19,FALSE),"-")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214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 t="str">
        <f>IF(AND(D26="Y",booking!D26&lt;&gt;booking!E26,booking!E26&gt;0),booking!E26,"-")</f>
        <v>-</v>
      </c>
      <c r="F26" s="79" t="str">
        <f>IFERROR(VLOOKUP(E26,Database!$A$2:$L$175,8,FALSE),"-")</f>
        <v>-</v>
      </c>
      <c r="G26" s="79" t="str">
        <f>IFERROR(VLOOKUP(E26,Database!$A$2:$L$175,6,FALSE),"-")</f>
        <v>-</v>
      </c>
      <c r="H26" s="94" t="str">
        <f>IFERROR(VLOOKUP(E26,Database!$A$2:$L$175,9,FALSE),"-")</f>
        <v>-</v>
      </c>
      <c r="I26" s="112" t="str">
        <f>IFERROR(VLOOKUP(E26,Database!$A$2:$S$175,19,FALSE),"-")</f>
        <v>-</v>
      </c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IFERROR(VLOOKUP(E26,Database!$A$2:$S$175,19,FALSE),"-")</f>
        <v>-</v>
      </c>
      <c r="O26" s="97">
        <f>IF(AND(D26="Y",booking!L26&lt;&gt;booking!M26,booking!M26&gt;0),booking!M26,"-")</f>
        <v>20</v>
      </c>
      <c r="P26" s="79">
        <f>IFERROR(VLOOKUP(O26,Database!$A$2:$L$175,8,FALSE),"-")</f>
        <v>0</v>
      </c>
      <c r="Q26" s="79" t="str">
        <f>IFERROR(VLOOKUP(O26,Database!$A$2:$L$175,6,FALSE),"-")</f>
        <v>DK</v>
      </c>
      <c r="R26" s="83">
        <f>IFERROR(VLOOKUP(O26,Database!$A$2:$L$175,9,FALSE),"-")</f>
        <v>0</v>
      </c>
      <c r="S26" s="210" t="str">
        <f>IFERROR(VLOOKUP(O26,Database!$A$2:$S$175,19,FALSE),"-")</f>
        <v>YY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214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Y</v>
      </c>
      <c r="E27" s="96">
        <f>IF(AND(D27="Y",booking!D27&lt;&gt;booking!E27,booking!E27&gt;0),booking!E27,"-")</f>
        <v>40</v>
      </c>
      <c r="F27" s="79">
        <f>IFERROR(VLOOKUP(E27,Database!$A$2:$L$175,8,FALSE),"-")</f>
        <v>0</v>
      </c>
      <c r="G27" s="79" t="str">
        <f>IFERROR(VLOOKUP(E27,Database!$A$2:$L$175,6,FALSE),"-")</f>
        <v>DK</v>
      </c>
      <c r="H27" s="94">
        <f>IFERROR(VLOOKUP(E27,Database!$A$2:$L$175,9,FALSE),"-")</f>
        <v>0</v>
      </c>
      <c r="I27" s="112" t="str">
        <f>IFERROR(VLOOKUP(E27,Database!$A$2:$S$175,19,FALSE),"-")</f>
        <v>N</v>
      </c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IFERROR(VLOOKUP(E27,Database!$A$2:$S$175,19,FALSE),"-")</f>
        <v>N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214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79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2" t="str">
        <f>IFERROR(VLOOKUP(E28,Database!$A$2:$S$175,19,FALSE),"-")</f>
        <v>-</v>
      </c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IFERROR(VLOOKUP(E28,Database!$A$2:$S$175,19,FALSE),"-")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214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7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79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2" t="str">
        <f>IFERROR(VLOOKUP(E29,Database!$A$2:$S$175,19,FALSE),"-")</f>
        <v>-</v>
      </c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IFERROR(VLOOKUP(E29,Database!$A$2:$S$175,19,FALSE),"-")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214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5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79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2" t="str">
        <f>IFERROR(VLOOKUP(E30,Database!$A$2:$S$175,19,FALSE),"-")</f>
        <v>-</v>
      </c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IFERROR(VLOOKUP(E30,Database!$A$2:$S$175,19,FALSE),"-")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214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7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79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2" t="str">
        <f>IFERROR(VLOOKUP(E31,Database!$A$2:$S$175,19,FALSE),"-")</f>
        <v>-</v>
      </c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IFERROR(VLOOKUP(E31,Database!$A$2:$S$175,19,FALSE),"-")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214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79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2" t="str">
        <f>IFERROR(VLOOKUP(E32,Database!$A$2:$S$175,19,FALSE),"-")</f>
        <v>-</v>
      </c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IFERROR(VLOOKUP(E32,Database!$A$2:$S$175,19,FALSE),"-")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0</v>
      </c>
      <c r="Q32" s="79" t="str">
        <f>IFERROR(VLOOKUP(O32,Database!$A$2:$L$175,6,FALSE),"-")</f>
        <v>DK</v>
      </c>
      <c r="R32" s="83">
        <f>IFERROR(VLOOKUP(O32,Database!$A$2:$L$175,9,FALSE),"-")</f>
        <v>0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214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79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2" t="str">
        <f>IFERROR(VLOOKUP(E33,Database!$A$2:$S$175,19,FALSE),"-")</f>
        <v>-</v>
      </c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IFERROR(VLOOKUP(E33,Database!$A$2:$S$175,19,FALSE),"-")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214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79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2" t="str">
        <f>IFERROR(VLOOKUP(E34,Database!$A$2:$S$175,19,FALSE),"-")</f>
        <v>-</v>
      </c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IFERROR(VLOOKUP(E34,Database!$A$2:$S$175,19,FALSE),"-")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214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7">
        <v>46172</v>
      </c>
      <c r="C35" s="9"/>
      <c r="D35" s="90" t="str">
        <f>IF(booking!AB35&gt;0,"Y","-")</f>
        <v>Y</v>
      </c>
      <c r="E35" s="96" t="str">
        <f>IF(AND(D35="Y",booking!D35&lt;&gt;booking!E35,booking!E35&gt;0),booking!E35,"-")</f>
        <v>-</v>
      </c>
      <c r="F35" s="79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2" t="str">
        <f>IFERROR(VLOOKUP(E35,Database!$A$2:$S$175,19,FALSE),"-")</f>
        <v>-</v>
      </c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IFERROR(VLOOKUP(E35,Database!$A$2:$S$175,19,FALSE),"-")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>
        <f>IF(AND(D35="Y",booking!P35&lt;&gt;booking!Q35,booking!Q35&gt;0),booking!Q35,"-")</f>
        <v>102</v>
      </c>
      <c r="U35" s="79">
        <f>IFERROR(VLOOKUP(T35,Database!$A$2:$L$175,8,FALSE),"-")</f>
        <v>0</v>
      </c>
      <c r="V35" s="79" t="str">
        <f>IFERROR(VLOOKUP(T35,Database!$A$2:$L$175,6,FALSE),"-")</f>
        <v>DK</v>
      </c>
      <c r="W35" s="83">
        <f>IFERROR(VLOOKUP(T35,Database!$A$2:$L$175,9,FALSE),"-")</f>
        <v>0</v>
      </c>
      <c r="X35" s="210" t="str">
        <f>IFERROR(VLOOKUP(T35,Database!$A$2:$S$175,19,FALSE),"-")</f>
        <v>N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214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5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79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2" t="str">
        <f>IFERROR(VLOOKUP(E36,Database!$A$2:$S$175,19,FALSE),"-")</f>
        <v>-</v>
      </c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IFERROR(VLOOKUP(E36,Database!$A$2:$S$175,19,FALSE),"-")</f>
        <v>-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214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7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79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2" t="str">
        <f>IFERROR(VLOOKUP(E37,Database!$A$2:$S$175,19,FALSE),"-")</f>
        <v>-</v>
      </c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IFERROR(VLOOKUP(E37,Database!$A$2:$S$175,19,FALSE),"-")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214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79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2" t="str">
        <f>IFERROR(VLOOKUP(E38,Database!$A$2:$S$175,19,FALSE),"-")</f>
        <v>-</v>
      </c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IFERROR(VLOOKUP(E38,Database!$A$2:$S$175,19,FALSE),"-")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214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79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2" t="str">
        <f>IFERROR(VLOOKUP(E39,Database!$A$2:$S$175,19,FALSE),"-")</f>
        <v>-</v>
      </c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IFERROR(VLOOKUP(E39,Database!$A$2:$S$175,19,FALSE),"-")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>
        <f>IFERROR(VLOOKUP(O39,Database!$A$2:$L$175,9,FALSE),"-")</f>
        <v>0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214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79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2" t="str">
        <f>IFERROR(VLOOKUP(E40,Database!$A$2:$S$175,19,FALSE),"-")</f>
        <v>-</v>
      </c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IFERROR(VLOOKUP(E40,Database!$A$2:$S$175,19,FALSE),"-")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 t="str">
        <f>IF(AND(D40="Y",booking!P40&lt;&gt;booking!Q40,booking!Q40&gt;0),booking!Q40,"-")</f>
        <v>-</v>
      </c>
      <c r="U40" s="79" t="str">
        <f>IFERROR(VLOOKUP(T40,Database!$A$2:$L$175,8,FALSE),"-")</f>
        <v>-</v>
      </c>
      <c r="V40" s="79" t="str">
        <f>IFERROR(VLOOKUP(T40,Database!$A$2:$L$175,6,FALSE),"-")</f>
        <v>-</v>
      </c>
      <c r="W40" s="83" t="str">
        <f>IFERROR(VLOOKUP(T40,Database!$A$2:$L$175,9,FALSE),"-")</f>
        <v>-</v>
      </c>
      <c r="X40" s="210" t="str">
        <f>IFERROR(VLOOKUP(T40,Database!$A$2:$S$175,19,FALSE),"-")</f>
        <v>-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214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7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79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2" t="str">
        <f>IFERROR(VLOOKUP(E41,Database!$A$2:$S$175,19,FALSE),"-")</f>
        <v>YY</v>
      </c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IFERROR(VLOOKUP(E41,Database!$A$2:$S$175,19,FALSE),"-")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214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5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79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2" t="str">
        <f>IFERROR(VLOOKUP(E42,Database!$A$2:$S$175,19,FALSE),"-")</f>
        <v>-</v>
      </c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IFERROR(VLOOKUP(E42,Database!$A$2:$S$175,19,FALSE),"-")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 t="str">
        <f>IF(AND(D42="Y",booking!T42&lt;&gt;booking!U42,booking!U42&gt;0),booking!U42,"-")</f>
        <v>-</v>
      </c>
      <c r="Z42" s="80" t="str">
        <f>IFERROR(VLOOKUP(Y42,Database!$A$2:$L$175,8,FALSE),"-")</f>
        <v>-</v>
      </c>
      <c r="AA42" s="80" t="str">
        <f>IFERROR(VLOOKUP(Y42,Database!$A$2:$L$175,6,FALSE),"-")</f>
        <v>-</v>
      </c>
      <c r="AB42" s="93" t="str">
        <f>IFERROR(VLOOKUP(Y42,Database!$A$2:$L$175,9,FALSE),"-")</f>
        <v>-</v>
      </c>
      <c r="AC42" s="214" t="str">
        <f>IFERROR(VLOOKUP(Y42,Database!$A$2:$S$175,19,FALSE),"-")</f>
        <v>-</v>
      </c>
    </row>
    <row r="43" spans="1:29" ht="15" customHeight="1" thickBot="1" x14ac:dyDescent="0.4">
      <c r="A43" s="89" t="str">
        <f>rengøring!A43</f>
        <v>søndag</v>
      </c>
      <c r="B43" s="87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79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2" t="str">
        <f>IFERROR(VLOOKUP(E43,Database!$A$2:$S$175,19,FALSE),"-")</f>
        <v>-</v>
      </c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IFERROR(VLOOKUP(E43,Database!$A$2:$S$175,19,FALSE),"-")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214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79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2" t="str">
        <f>IFERROR(VLOOKUP(E44,Database!$A$2:$S$175,19,FALSE),"-")</f>
        <v>-</v>
      </c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210" t="str">
        <f>IFERROR(VLOOKUP(E44,Database!$A$2:$S$175,19,FALSE),"-")</f>
        <v>-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>
        <f>IF(AND(D44="Y",booking!T44&lt;&gt;booking!U44,booking!U44&gt;0),booking!U44,"-")</f>
        <v>17</v>
      </c>
      <c r="Z44" s="80">
        <f>IFERROR(VLOOKUP(Y44,Database!$A$2:$L$175,8,FALSE),"-")</f>
        <v>0</v>
      </c>
      <c r="AA44" s="80" t="str">
        <f>IFERROR(VLOOKUP(Y44,Database!$A$2:$L$175,6,FALSE),"-")</f>
        <v>DK</v>
      </c>
      <c r="AB44" s="93">
        <f>IFERROR(VLOOKUP(Y44,Database!$A$2:$L$175,9,FALSE),"-")</f>
        <v>0</v>
      </c>
      <c r="AC44" s="214" t="str">
        <f>IFERROR(VLOOKUP(Y44,Database!$A$2:$S$175,19,FALSE),"-")</f>
        <v>YY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79">
        <f>IFERROR(VLOOKUP(E45,Database!$A$2:$L$175,8,FALSE),"-")</f>
        <v>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2" t="str">
        <f>IFERROR(VLOOKUP(E45,Database!$A$2:$S$175,19,FALSE),"-")</f>
        <v>YY</v>
      </c>
      <c r="J45" s="97">
        <f>IF(AND(D45="Y",booking!H45&lt;&gt;booking!I45,booking!I45&gt;0),booking!I45,"-")</f>
        <v>16</v>
      </c>
      <c r="K45" s="79">
        <f>IFERROR(VLOOKUP(J45,Database!$A$2:$L$175,8,FALSE),"-")</f>
        <v>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210" t="str">
        <f>IFERROR(VLOOKUP(E45,Database!$A$2:$S$175,19,FALSE),"-")</f>
        <v>YY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 t="str">
        <f>IF(AND(D45="Y",booking!T45&lt;&gt;booking!U45,booking!U45&gt;0),booking!U45,"-")</f>
        <v>-</v>
      </c>
      <c r="Z45" s="80" t="str">
        <f>IFERROR(VLOOKUP(Y45,Database!$A$2:$L$175,8,FALSE),"-")</f>
        <v>-</v>
      </c>
      <c r="AA45" s="80" t="str">
        <f>IFERROR(VLOOKUP(Y45,Database!$A$2:$L$175,6,FALSE),"-")</f>
        <v>-</v>
      </c>
      <c r="AB45" s="93" t="str">
        <f>IFERROR(VLOOKUP(Y45,Database!$A$2:$L$175,9,FALSE),"-")</f>
        <v>-</v>
      </c>
      <c r="AC45" s="214" t="str">
        <f>IFERROR(VLOOKUP(Y45,Database!$A$2:$S$175,19,FALSE),"-")</f>
        <v>-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79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2" t="str">
        <f>IFERROR(VLOOKUP(E46,Database!$A$2:$S$175,19,FALSE),"-")</f>
        <v>-</v>
      </c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IFERROR(VLOOKUP(E46,Database!$A$2:$S$175,19,FALSE),"-")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214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7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79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2" t="str">
        <f>IFERROR(VLOOKUP(E47,Database!$A$2:$S$175,19,FALSE),"-")</f>
        <v>-</v>
      </c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IFERROR(VLOOKUP(E47,Database!$A$2:$S$175,19,FALSE),"-")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214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5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79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2" t="str">
        <f>IFERROR(VLOOKUP(E48,Database!$A$2:$S$175,19,FALSE),"-")</f>
        <v>-</v>
      </c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IFERROR(VLOOKUP(E48,Database!$A$2:$S$175,19,FALSE),"-")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214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7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79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2" t="str">
        <f>IFERROR(VLOOKUP(E49,Database!$A$2:$S$175,19,FALSE),"-")</f>
        <v>-</v>
      </c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IFERROR(VLOOKUP(E49,Database!$A$2:$S$175,19,FALSE),"-")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214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79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2" t="str">
        <f>IFERROR(VLOOKUP(E50,Database!$A$2:$S$175,19,FALSE),"-")</f>
        <v>-</v>
      </c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IFERROR(VLOOKUP(E50,Database!$A$2:$S$175,19,FALSE),"-")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214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79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2" t="str">
        <f>IFERROR(VLOOKUP(E51,Database!$A$2:$S$175,19,FALSE),"-")</f>
        <v>-</v>
      </c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IFERROR(VLOOKUP(E51,Database!$A$2:$S$175,19,FALSE),"-")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214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79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2" t="str">
        <f>IFERROR(VLOOKUP(E52,Database!$A$2:$S$175,19,FALSE),"-")</f>
        <v>-</v>
      </c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IFERROR(VLOOKUP(E52,Database!$A$2:$S$175,19,FALSE),"-")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214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7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79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2" t="str">
        <f>IFERROR(VLOOKUP(E53,Database!$A$2:$S$175,19,FALSE),"-")</f>
        <v>Y</v>
      </c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IFERROR(VLOOKUP(E53,Database!$A$2:$S$175,19,FALSE),"-")</f>
        <v>Y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214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5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79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2" t="str">
        <f>IFERROR(VLOOKUP(E54,Database!$A$2:$S$175,19,FALSE),"-")</f>
        <v>-</v>
      </c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IFERROR(VLOOKUP(E54,Database!$A$2:$S$175,19,FALSE),"-")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214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7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79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2" t="str">
        <f>IFERROR(VLOOKUP(E55,Database!$A$2:$S$175,19,FALSE),"-")</f>
        <v>-</v>
      </c>
      <c r="J55" s="97" t="str">
        <f>IF(AND(D55="Y",booking!H55&lt;&gt;booking!I55,booking!I55&gt;0),booking!I55,"-")</f>
        <v>-</v>
      </c>
      <c r="K55" s="79" t="str">
        <f>IFERROR(VLOOKUP(J55,Database!$A$2:$L$175,8,FALSE),"-")</f>
        <v>-</v>
      </c>
      <c r="L55" s="79" t="str">
        <f>IFERROR(VLOOKUP(J55,Database!$A$2:$L$175,6,FALSE),"-")</f>
        <v>-</v>
      </c>
      <c r="M55" s="94" t="str">
        <f>IFERROR(VLOOKUP(J55,Database!$A$2:$L$175,9,FALSE),"-")</f>
        <v>-</v>
      </c>
      <c r="N55" s="210" t="str">
        <f>IFERROR(VLOOKUP(E55,Database!$A$2:$S$175,19,FALSE),"-")</f>
        <v>-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214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79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2" t="str">
        <f>IFERROR(VLOOKUP(E56,Database!$A$2:$S$175,19,FALSE),"-")</f>
        <v>-</v>
      </c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IFERROR(VLOOKUP(E56,Database!$A$2:$S$175,19,FALSE),"-")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214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79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2" t="str">
        <f>IFERROR(VLOOKUP(E57,Database!$A$2:$S$175,19,FALSE),"-")</f>
        <v>-</v>
      </c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IFERROR(VLOOKUP(E57,Database!$A$2:$S$175,19,FALSE),"-")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214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79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2" t="str">
        <f>IFERROR(VLOOKUP(E58,Database!$A$2:$S$175,19,FALSE),"-")</f>
        <v>-</v>
      </c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210" t="str">
        <f>IFERROR(VLOOKUP(E58,Database!$A$2:$S$175,19,FALSE),"-")</f>
        <v>-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214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7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79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2" t="str">
        <f>IFERROR(VLOOKUP(E59,Database!$A$2:$S$175,19,FALSE),"-")</f>
        <v>-</v>
      </c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IFERROR(VLOOKUP(E59,Database!$A$2:$S$175,19,FALSE),"-")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214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5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79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2" t="str">
        <f>IFERROR(VLOOKUP(E60,Database!$A$2:$S$175,19,FALSE),"-")</f>
        <v>-</v>
      </c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IFERROR(VLOOKUP(E60,Database!$A$2:$S$175,19,FALSE),"-")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214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7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79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2" t="str">
        <f>IFERROR(VLOOKUP(E61,Database!$A$2:$S$175,19,FALSE),"-")</f>
        <v>-</v>
      </c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IFERROR(VLOOKUP(E61,Database!$A$2:$S$175,19,FALSE),"-")</f>
        <v>-</v>
      </c>
      <c r="O61" s="97">
        <f>IF(AND(D61="Y",booking!L61&lt;&gt;booking!M61,booking!M61&gt;0),booking!M61,"-")</f>
        <v>34</v>
      </c>
      <c r="P61" s="79">
        <f>IFERROR(VLOOKUP(O61,Database!$A$2:$L$175,8,FALSE),"-")</f>
        <v>0</v>
      </c>
      <c r="Q61" s="79" t="str">
        <f>IFERROR(VLOOKUP(O61,Database!$A$2:$L$175,6,FALSE),"-")</f>
        <v>D</v>
      </c>
      <c r="R61" s="83">
        <f>IFERROR(VLOOKUP(O61,Database!$A$2:$L$175,9,FALSE),"-")</f>
        <v>0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214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79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2" t="str">
        <f>IFERROR(VLOOKUP(E62,Database!$A$2:$S$175,19,FALSE),"-")</f>
        <v>N</v>
      </c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IFERROR(VLOOKUP(E62,Database!$A$2:$S$175,19,FALSE),"-")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214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79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2" t="str">
        <f>IFERROR(VLOOKUP(E63,Database!$A$2:$S$175,19,FALSE),"-")</f>
        <v>-</v>
      </c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IFERROR(VLOOKUP(E63,Database!$A$2:$S$175,19,FALSE),"-")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214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79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2" t="str">
        <f>IFERROR(VLOOKUP(E64,Database!$A$2:$S$175,19,FALSE),"-")</f>
        <v>-</v>
      </c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IFERROR(VLOOKUP(E64,Database!$A$2:$S$175,19,FALSE),"-")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214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7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79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2" t="str">
        <f>IFERROR(VLOOKUP(E65,Database!$A$2:$S$175,19,FALSE),"-")</f>
        <v>-</v>
      </c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IFERROR(VLOOKUP(E65,Database!$A$2:$S$175,19,FALSE),"-")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214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5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79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2" t="str">
        <f>IFERROR(VLOOKUP(E66,Database!$A$2:$S$175,19,FALSE),"-")</f>
        <v>-</v>
      </c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IFERROR(VLOOKUP(E66,Database!$A$2:$S$175,19,FALSE),"-")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214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7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79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2" t="str">
        <f>IFERROR(VLOOKUP(E67,Database!$A$2:$S$175,19,FALSE),"-")</f>
        <v>-</v>
      </c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IFERROR(VLOOKUP(E67,Database!$A$2:$S$175,19,FALSE),"-")</f>
        <v>-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214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79">
        <f>IFERROR(VLOOKUP(E68,Database!$A$2:$L$175,8,FALSE),"-")</f>
        <v>0</v>
      </c>
      <c r="G68" s="79" t="str">
        <f>IFERROR(VLOOKUP(E68,Database!$A$2:$L$175,6,FALSE),"-")</f>
        <v>S</v>
      </c>
      <c r="H68" s="94">
        <f>IFERROR(VLOOKUP(E68,Database!$A$2:$L$175,9,FALSE),"-")</f>
        <v>0</v>
      </c>
      <c r="I68" s="112" t="str">
        <f>IFERROR(VLOOKUP(E68,Database!$A$2:$S$175,19,FALSE),"-")</f>
        <v>N</v>
      </c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IFERROR(VLOOKUP(E68,Database!$A$2:$S$175,19,FALSE),"-")</f>
        <v>N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214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79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2" t="str">
        <f>IFERROR(VLOOKUP(E69,Database!$A$2:$S$175,19,FALSE),"-")</f>
        <v>-</v>
      </c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IFERROR(VLOOKUP(E69,Database!$A$2:$S$175,19,FALSE),"-")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214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79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2" t="str">
        <f>IFERROR(VLOOKUP(E70,Database!$A$2:$S$175,19,FALSE),"-")</f>
        <v>-</v>
      </c>
      <c r="J70" s="97">
        <f>IF(AND(D70="Y",booking!H70&lt;&gt;booking!I70,booking!I70&gt;0),booking!I70,"-")</f>
        <v>98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IFERROR(VLOOKUP(E70,Database!$A$2:$S$175,19,FALSE),"-")</f>
        <v>-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214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7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79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2" t="str">
        <f>IFERROR(VLOOKUP(E71,Database!$A$2:$S$175,19,FALSE),"-")</f>
        <v>-</v>
      </c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IFERROR(VLOOKUP(E71,Database!$A$2:$S$175,19,FALSE),"-")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214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5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79">
        <f>IFERROR(VLOOKUP(E72,Database!$A$2:$L$175,8,FALSE),"-")</f>
        <v>0</v>
      </c>
      <c r="G72" s="79" t="str">
        <f>IFERROR(VLOOKUP(E72,Database!$A$2:$L$175,6,FALSE),"-")</f>
        <v>DK</v>
      </c>
      <c r="H72" s="94">
        <f>IFERROR(VLOOKUP(E72,Database!$A$2:$L$175,9,FALSE),"-")</f>
        <v>0</v>
      </c>
      <c r="I72" s="112" t="str">
        <f>IFERROR(VLOOKUP(E72,Database!$A$2:$S$175,19,FALSE),"-")</f>
        <v>N</v>
      </c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IFERROR(VLOOKUP(E72,Database!$A$2:$S$175,19,FALSE),"-")</f>
        <v>N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>
        <f>IFERROR(VLOOKUP(O72,Database!$A$2:$L$175,9,FALSE),"-")</f>
        <v>0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214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7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79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2" t="str">
        <f>IFERROR(VLOOKUP(E73,Database!$A$2:$S$175,19,FALSE),"-")</f>
        <v>-</v>
      </c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IFERROR(VLOOKUP(E73,Database!$A$2:$S$175,19,FALSE),"-")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214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79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2" t="str">
        <f>IFERROR(VLOOKUP(E74,Database!$A$2:$S$175,19,FALSE),"-")</f>
        <v>-</v>
      </c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IFERROR(VLOOKUP(E74,Database!$A$2:$S$175,19,FALSE),"-")</f>
        <v>-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214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79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2" t="str">
        <f>IFERROR(VLOOKUP(E75,Database!$A$2:$S$175,19,FALSE),"-")</f>
        <v>N</v>
      </c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IFERROR(VLOOKUP(E75,Database!$A$2:$S$175,19,FALSE),"-")</f>
        <v>N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214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79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2" t="str">
        <f>IFERROR(VLOOKUP(E76,Database!$A$2:$S$175,19,FALSE),"-")</f>
        <v>-</v>
      </c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IFERROR(VLOOKUP(E76,Database!$A$2:$S$175,19,FALSE),"-")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214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7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79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2" t="str">
        <f>IFERROR(VLOOKUP(E77,Database!$A$2:$S$175,19,FALSE),"-")</f>
        <v>-</v>
      </c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IFERROR(VLOOKUP(E77,Database!$A$2:$S$175,19,FALSE),"-")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214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5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79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2" t="str">
        <f>IFERROR(VLOOKUP(E78,Database!$A$2:$S$175,19,FALSE),"-")</f>
        <v>YY</v>
      </c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IFERROR(VLOOKUP(E78,Database!$A$2:$S$175,19,FALSE),"-")</f>
        <v>YY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214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7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79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2" t="str">
        <f>IFERROR(VLOOKUP(E79,Database!$A$2:$S$175,19,FALSE),"-")</f>
        <v>-</v>
      </c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IFERROR(VLOOKUP(E79,Database!$A$2:$S$175,19,FALSE),"-")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214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79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2" t="str">
        <f>IFERROR(VLOOKUP(E80,Database!$A$2:$S$175,19,FALSE),"-")</f>
        <v>-</v>
      </c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IFERROR(VLOOKUP(E80,Database!$A$2:$S$175,19,FALSE),"-")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214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79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2" t="str">
        <f>IFERROR(VLOOKUP(E81,Database!$A$2:$S$175,19,FALSE),"-")</f>
        <v>-</v>
      </c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IFERROR(VLOOKUP(E81,Database!$A$2:$S$175,19,FALSE),"-")</f>
        <v>-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214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79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2" t="str">
        <f>IFERROR(VLOOKUP(E82,Database!$A$2:$S$175,19,FALSE),"-")</f>
        <v>-</v>
      </c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IFERROR(VLOOKUP(E82,Database!$A$2:$S$175,19,FALSE),"-")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214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7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79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2" t="str">
        <f>IFERROR(VLOOKUP(E83,Database!$A$2:$S$175,19,FALSE),"-")</f>
        <v>-</v>
      </c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IFERROR(VLOOKUP(E83,Database!$A$2:$S$175,19,FALSE),"-")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214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5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79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2" t="str">
        <f>IFERROR(VLOOKUP(E84,Database!$A$2:$S$175,19,FALSE),"-")</f>
        <v>-</v>
      </c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IFERROR(VLOOKUP(E84,Database!$A$2:$S$175,19,FALSE),"-")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>
        <f>IFERROR(VLOOKUP(O84,Database!$A$2:$L$175,9,FALSE),"-")</f>
        <v>0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214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7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79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2" t="str">
        <f>IFERROR(VLOOKUP(E85,Database!$A$2:$S$175,19,FALSE),"-")</f>
        <v>-</v>
      </c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IFERROR(VLOOKUP(E85,Database!$A$2:$S$175,19,FALSE),"-")</f>
        <v>-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214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79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2" t="str">
        <f>IFERROR(VLOOKUP(E86,Database!$A$2:$S$175,19,FALSE),"-")</f>
        <v>-</v>
      </c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IFERROR(VLOOKUP(E86,Database!$A$2:$S$175,19,FALSE),"-")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214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79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2" t="str">
        <f>IFERROR(VLOOKUP(E87,Database!$A$2:$S$175,19,FALSE),"-")</f>
        <v>-</v>
      </c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IFERROR(VLOOKUP(E87,Database!$A$2:$S$175,19,FALSE),"-")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214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79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2" t="str">
        <f>IFERROR(VLOOKUP(E88,Database!$A$2:$S$175,19,FALSE),"-")</f>
        <v>-</v>
      </c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IFERROR(VLOOKUP(E88,Database!$A$2:$S$175,19,FALSE),"-")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214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7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79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2" t="str">
        <f>IFERROR(VLOOKUP(E89,Database!$A$2:$S$175,19,FALSE),"-")</f>
        <v>-</v>
      </c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IFERROR(VLOOKUP(E89,Database!$A$2:$S$175,19,FALSE),"-")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214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5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79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2" t="str">
        <f>IFERROR(VLOOKUP(E90,Database!$A$2:$S$175,19,FALSE),"-")</f>
        <v>-</v>
      </c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IFERROR(VLOOKUP(E90,Database!$A$2:$S$175,19,FALSE),"-")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214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7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79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2" t="str">
        <f>IFERROR(VLOOKUP(E91,Database!$A$2:$S$175,19,FALSE),"-")</f>
        <v>-</v>
      </c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IFERROR(VLOOKUP(E91,Database!$A$2:$S$175,19,FALSE),"-")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214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79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2" t="str">
        <f>IFERROR(VLOOKUP(E92,Database!$A$2:$S$175,19,FALSE),"-")</f>
        <v>-</v>
      </c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210" t="str">
        <f>IFERROR(VLOOKUP(E92,Database!$A$2:$S$175,19,FALSE),"-")</f>
        <v>-</v>
      </c>
      <c r="O92" s="97" t="str">
        <f>IF(AND(D92="Y",booking!L92&lt;&gt;booking!M92,booking!M92&gt;0),booking!M92,"-")</f>
        <v>-</v>
      </c>
      <c r="P92" s="79" t="str">
        <f>IFERROR(VLOOKUP(O92,Database!$A$2:$L$175,8,FALSE),"-")</f>
        <v>-</v>
      </c>
      <c r="Q92" s="79" t="str">
        <f>IFERROR(VLOOKUP(O92,Database!$A$2:$L$175,6,FALSE),"-")</f>
        <v>-</v>
      </c>
      <c r="R92" s="83" t="str">
        <f>IFERROR(VLOOKUP(O92,Database!$A$2:$L$175,9,FALSE),"-")</f>
        <v>-</v>
      </c>
      <c r="S92" s="210" t="str">
        <f>IFERROR(VLOOKUP(O92,Database!$A$2:$S$175,19,FALSE),"-")</f>
        <v>-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214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79">
        <f>IFERROR(VLOOKUP(E93,Database!$A$2:$L$175,8,FALSE),"-")</f>
        <v>0</v>
      </c>
      <c r="G93" s="79" t="str">
        <f>IFERROR(VLOOKUP(E93,Database!$A$2:$L$175,6,FALSE),"-")</f>
        <v>DK</v>
      </c>
      <c r="H93" s="94">
        <f>IFERROR(VLOOKUP(E93,Database!$A$2:$L$175,9,FALSE),"-")</f>
        <v>0</v>
      </c>
      <c r="I93" s="112" t="str">
        <f>IFERROR(VLOOKUP(E93,Database!$A$2:$S$175,19,FALSE),"-")</f>
        <v>N</v>
      </c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210" t="str">
        <f>IFERROR(VLOOKUP(E93,Database!$A$2:$S$175,19,FALSE),"-")</f>
        <v>N</v>
      </c>
      <c r="O93" s="97">
        <f>IF(AND(D93="Y",booking!L93&lt;&gt;booking!M93,booking!M93&gt;0),booking!M93,"-")</f>
        <v>30</v>
      </c>
      <c r="P93" s="79">
        <f>IFERROR(VLOOKUP(O93,Database!$A$2:$L$175,8,FALSE),"-")</f>
        <v>0</v>
      </c>
      <c r="Q93" s="79" t="str">
        <f>IFERROR(VLOOKUP(O93,Database!$A$2:$L$175,6,FALSE),"-")</f>
        <v>DK</v>
      </c>
      <c r="R93" s="83">
        <f>IFERROR(VLOOKUP(O93,Database!$A$2:$L$175,9,FALSE),"-")</f>
        <v>0</v>
      </c>
      <c r="S93" s="210" t="str">
        <f>IFERROR(VLOOKUP(O93,Database!$A$2:$S$175,19,FALSE),"-")</f>
        <v>Y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214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79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2" t="str">
        <f>IFERROR(VLOOKUP(E94,Database!$A$2:$S$175,19,FALSE),"-")</f>
        <v>-</v>
      </c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IFERROR(VLOOKUP(E94,Database!$A$2:$S$175,19,FALSE),"-")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214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7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79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2" t="str">
        <f>IFERROR(VLOOKUP(E95,Database!$A$2:$S$175,19,FALSE),"-")</f>
        <v>-</v>
      </c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IFERROR(VLOOKUP(E95,Database!$A$2:$S$175,19,FALSE),"-")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214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5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79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2" t="str">
        <f>IFERROR(VLOOKUP(E96,Database!$A$2:$S$175,19,FALSE),"-")</f>
        <v>-</v>
      </c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IFERROR(VLOOKUP(E96,Database!$A$2:$S$175,19,FALSE),"-")</f>
        <v>-</v>
      </c>
      <c r="O96" s="97" t="str">
        <f>IF(AND(D96="Y",booking!L96&lt;&gt;booking!M96,booking!M96&gt;0),booking!M96,"-")</f>
        <v>-</v>
      </c>
      <c r="P96" s="79" t="str">
        <f>IFERROR(VLOOKUP(O96,Database!$A$2:$L$175,8,FALSE),"-")</f>
        <v>-</v>
      </c>
      <c r="Q96" s="79" t="str">
        <f>IFERROR(VLOOKUP(O96,Database!$A$2:$L$175,6,FALSE),"-")</f>
        <v>-</v>
      </c>
      <c r="R96" s="83" t="str">
        <f>IFERROR(VLOOKUP(O96,Database!$A$2:$L$175,9,FALSE),"-")</f>
        <v>-</v>
      </c>
      <c r="S96" s="210" t="str">
        <f>IFERROR(VLOOKUP(O96,Database!$A$2:$S$175,19,FALSE),"-")</f>
        <v>-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214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7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79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2" t="str">
        <f>IFERROR(VLOOKUP(E97,Database!$A$2:$S$175,19,FALSE),"-")</f>
        <v>N</v>
      </c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IFERROR(VLOOKUP(E97,Database!$A$2:$S$175,19,FALSE),"-")</f>
        <v>N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214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79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2" t="str">
        <f>IFERROR(VLOOKUP(E98,Database!$A$2:$S$175,19,FALSE),"-")</f>
        <v>-</v>
      </c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IFERROR(VLOOKUP(E98,Database!$A$2:$S$175,19,FALSE),"-")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214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79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2" t="str">
        <f>IFERROR(VLOOKUP(E99,Database!$A$2:$S$175,19,FALSE),"-")</f>
        <v>-</v>
      </c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IFERROR(VLOOKUP(E99,Database!$A$2:$S$175,19,FALSE),"-")</f>
        <v>-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214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79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2" t="str">
        <f>IFERROR(VLOOKUP(E100,Database!$A$2:$S$175,19,FALSE),"-")</f>
        <v>N</v>
      </c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IFERROR(VLOOKUP(E100,Database!$A$2:$S$175,19,FALSE),"-")</f>
        <v>N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>
        <f>IFERROR(VLOOKUP(Y100,Database!$A$2:$L$175,9,FALSE),"-")</f>
        <v>0</v>
      </c>
      <c r="AC100" s="214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7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79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2" t="str">
        <f>IFERROR(VLOOKUP(E101,Database!$A$2:$S$175,19,FALSE),"-")</f>
        <v>-</v>
      </c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IFERROR(VLOOKUP(E101,Database!$A$2:$S$175,19,FALSE),"-")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214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5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79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2" t="str">
        <f>IFERROR(VLOOKUP(E102,Database!$A$2:$S$175,19,FALSE),"-")</f>
        <v>-</v>
      </c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IFERROR(VLOOKUP(E102,Database!$A$2:$S$175,19,FALSE),"-")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214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7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79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2" t="str">
        <f>IFERROR(VLOOKUP(E103,Database!$A$2:$S$175,19,FALSE),"-")</f>
        <v>-</v>
      </c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IFERROR(VLOOKUP(E103,Database!$A$2:$S$175,19,FALSE),"-")</f>
        <v>-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214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79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2" t="str">
        <f>IFERROR(VLOOKUP(E104,Database!$A$2:$S$175,19,FALSE),"-")</f>
        <v>-</v>
      </c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IFERROR(VLOOKUP(E104,Database!$A$2:$S$175,19,FALSE),"-")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214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79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2" t="str">
        <f>IFERROR(VLOOKUP(E105,Database!$A$2:$S$175,19,FALSE),"-")</f>
        <v>-</v>
      </c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IFERROR(VLOOKUP(E105,Database!$A$2:$S$175,19,FALSE),"-")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214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79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2" t="str">
        <f>IFERROR(VLOOKUP(E106,Database!$A$2:$S$175,19,FALSE),"-")</f>
        <v>-</v>
      </c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IFERROR(VLOOKUP(E106,Database!$A$2:$S$175,19,FALSE),"-")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 t="str">
        <f>IF(AND(D106="Y",booking!P106&lt;&gt;booking!Q106,booking!Q106&gt;0),booking!Q106,"-")</f>
        <v>-</v>
      </c>
      <c r="U106" s="79" t="str">
        <f>IFERROR(VLOOKUP(T106,Database!$A$2:$L$175,8,FALSE),"-")</f>
        <v>-</v>
      </c>
      <c r="V106" s="79" t="str">
        <f>IFERROR(VLOOKUP(T106,Database!$A$2:$L$175,6,FALSE),"-")</f>
        <v>-</v>
      </c>
      <c r="W106" s="83" t="str">
        <f>IFERROR(VLOOKUP(T106,Database!$A$2:$L$175,9,FALSE),"-")</f>
        <v>-</v>
      </c>
      <c r="X106" s="210" t="str">
        <f>IFERROR(VLOOKUP(T106,Database!$A$2:$S$175,19,FALSE),"-")</f>
        <v>-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214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7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79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2" t="str">
        <f>IFERROR(VLOOKUP(E107,Database!$A$2:$S$175,19,FALSE),"-")</f>
        <v>N</v>
      </c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IFERROR(VLOOKUP(E107,Database!$A$2:$S$175,19,FALSE),"-")</f>
        <v>N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214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5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79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2" t="str">
        <f>IFERROR(VLOOKUP(E108,Database!$A$2:$S$175,19,FALSE),"-")</f>
        <v>-</v>
      </c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IFERROR(VLOOKUP(E108,Database!$A$2:$S$175,19,FALSE),"-")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214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7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79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2" t="str">
        <f>IFERROR(VLOOKUP(E109,Database!$A$2:$S$175,19,FALSE),"-")</f>
        <v>-</v>
      </c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IFERROR(VLOOKUP(E109,Database!$A$2:$S$175,19,FALSE),"-")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214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79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2" t="str">
        <f>IFERROR(VLOOKUP(E110,Database!$A$2:$S$175,19,FALSE),"-")</f>
        <v>-</v>
      </c>
      <c r="J110" s="97">
        <f>IF(AND(D110="Y",booking!H110&lt;&gt;booking!I110,booking!I110&gt;0),booking!I110,"-")</f>
        <v>46</v>
      </c>
      <c r="K110" s="79">
        <f>IFERROR(VLOOKUP(J110,Database!$A$2:$L$175,8,FALSE),"-")</f>
        <v>0</v>
      </c>
      <c r="L110" s="79" t="str">
        <f>IFERROR(VLOOKUP(J110,Database!$A$2:$L$175,6,FALSE),"-")</f>
        <v>DK</v>
      </c>
      <c r="M110" s="94">
        <f>IFERROR(VLOOKUP(J110,Database!$A$2:$L$175,9,FALSE),"-")</f>
        <v>0</v>
      </c>
      <c r="N110" s="210" t="str">
        <f>IFERROR(VLOOKUP(E110,Database!$A$2:$S$175,19,FALSE),"-")</f>
        <v>-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214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79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2" t="str">
        <f>IFERROR(VLOOKUP(E111,Database!$A$2:$S$175,19,FALSE),"-")</f>
        <v>-</v>
      </c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IFERROR(VLOOKUP(E111,Database!$A$2:$S$175,19,FALSE),"-")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214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79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2" t="str">
        <f>IFERROR(VLOOKUP(E112,Database!$A$2:$S$175,19,FALSE),"-")</f>
        <v>-</v>
      </c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IFERROR(VLOOKUP(E112,Database!$A$2:$S$175,19,FALSE),"-")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214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7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79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2" t="str">
        <f>IFERROR(VLOOKUP(E113,Database!$A$2:$S$175,19,FALSE),"-")</f>
        <v>-</v>
      </c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IFERROR(VLOOKUP(E113,Database!$A$2:$S$175,19,FALSE),"-")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214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5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79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2" t="str">
        <f>IFERROR(VLOOKUP(E114,Database!$A$2:$S$175,19,FALSE),"-")</f>
        <v>N</v>
      </c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IFERROR(VLOOKUP(E114,Database!$A$2:$S$175,19,FALSE),"-")</f>
        <v>N</v>
      </c>
      <c r="O114" s="97">
        <f>IF(AND(D114="Y",booking!L114&lt;&gt;booking!M114,booking!M114&gt;0),booking!M114,"-")</f>
        <v>52</v>
      </c>
      <c r="P114" s="79">
        <f>IFERROR(VLOOKUP(O114,Database!$A$2:$L$175,8,FALSE),"-")</f>
        <v>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214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7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79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2" t="str">
        <f>IFERROR(VLOOKUP(E115,Database!$A$2:$S$175,19,FALSE),"-")</f>
        <v>-</v>
      </c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IFERROR(VLOOKUP(E115,Database!$A$2:$S$175,19,FALSE),"-")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214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79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2" t="str">
        <f>IFERROR(VLOOKUP(E116,Database!$A$2:$S$175,19,FALSE),"-")</f>
        <v>-</v>
      </c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IFERROR(VLOOKUP(E116,Database!$A$2:$S$175,19,FALSE),"-")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214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79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2" t="str">
        <f>IFERROR(VLOOKUP(E117,Database!$A$2:$S$175,19,FALSE),"-")</f>
        <v>-</v>
      </c>
      <c r="J117" s="97">
        <f>IF(AND(D117="Y",booking!H117&lt;&gt;booking!I117,booking!I117&gt;0),booking!I117,"-")</f>
        <v>54</v>
      </c>
      <c r="K117" s="79">
        <f>IFERROR(VLOOKUP(J117,Database!$A$2:$L$175,8,FALSE),"-")</f>
        <v>0</v>
      </c>
      <c r="L117" s="79" t="str">
        <f>IFERROR(VLOOKUP(J117,Database!$A$2:$L$175,6,FALSE),"-")</f>
        <v>DK</v>
      </c>
      <c r="M117" s="94">
        <f>IFERROR(VLOOKUP(J117,Database!$A$2:$L$175,9,FALSE),"-")</f>
        <v>0</v>
      </c>
      <c r="N117" s="210" t="str">
        <f>IFERROR(VLOOKUP(E117,Database!$A$2:$S$175,19,FALSE),"-")</f>
        <v>-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214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79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2" t="str">
        <f>IFERROR(VLOOKUP(E118,Database!$A$2:$S$175,19,FALSE),"-")</f>
        <v>-</v>
      </c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IFERROR(VLOOKUP(E118,Database!$A$2:$S$175,19,FALSE),"-")</f>
        <v>-</v>
      </c>
      <c r="O118" s="97">
        <f>IF(AND(D118="Y",booking!L118&lt;&gt;booking!M118,booking!M118&gt;0),booking!M118,"-")</f>
        <v>54</v>
      </c>
      <c r="P118" s="79">
        <f>IFERROR(VLOOKUP(O118,Database!$A$2:$L$175,8,FALSE),"-")</f>
        <v>0</v>
      </c>
      <c r="Q118" s="79" t="str">
        <f>IFERROR(VLOOKUP(O118,Database!$A$2:$L$175,6,FALSE),"-")</f>
        <v>DK</v>
      </c>
      <c r="R118" s="83">
        <f>IFERROR(VLOOKUP(O118,Database!$A$2:$L$175,9,FALSE),"-")</f>
        <v>0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214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7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79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2" t="str">
        <f>IFERROR(VLOOKUP(E119,Database!$A$2:$S$175,19,FALSE),"-")</f>
        <v>N</v>
      </c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IFERROR(VLOOKUP(E119,Database!$A$2:$S$175,19,FALSE),"-")</f>
        <v>N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214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5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79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2" t="str">
        <f>IFERROR(VLOOKUP(E120,Database!$A$2:$S$175,19,FALSE),"-")</f>
        <v>-</v>
      </c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0" t="str">
        <f>IFERROR(VLOOKUP(E120,Database!$A$2:$S$175,19,FALSE),"-")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0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214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7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79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2" t="str">
        <f>IFERROR(VLOOKUP(E121,Database!$A$2:$S$175,19,FALSE),"-")</f>
        <v>-</v>
      </c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IFERROR(VLOOKUP(E121,Database!$A$2:$S$175,19,FALSE),"-")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0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0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214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79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2" t="str">
        <f>IFERROR(VLOOKUP(E122,Database!$A$2:$S$175,19,FALSE),"-")</f>
        <v>-</v>
      </c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IFERROR(VLOOKUP(E122,Database!$A$2:$S$175,19,FALSE),"-")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214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79">
        <f>IFERROR(VLOOKUP(E123,Database!$A$2:$L$175,8,FALSE),"-")</f>
        <v>0</v>
      </c>
      <c r="G123" s="79" t="str">
        <f>IFERROR(VLOOKUP(E123,Database!$A$2:$L$175,6,FALSE),"-")</f>
        <v>D</v>
      </c>
      <c r="H123" s="94">
        <f>IFERROR(VLOOKUP(E123,Database!$A$2:$L$175,9,FALSE),"-")</f>
        <v>0</v>
      </c>
      <c r="I123" s="112" t="str">
        <f>IFERROR(VLOOKUP(E123,Database!$A$2:$S$175,19,FALSE),"-")</f>
        <v>N</v>
      </c>
      <c r="J123" s="97" t="str">
        <f>IF(AND(D123="Y",booking!H123&lt;&gt;booking!I123,booking!I123&gt;0),booking!I123,"-")</f>
        <v>-</v>
      </c>
      <c r="K123" s="79" t="str">
        <f>IFERROR(VLOOKUP(J123,Database!$A$2:$L$175,8,FALSE),"-")</f>
        <v>-</v>
      </c>
      <c r="L123" s="79" t="str">
        <f>IFERROR(VLOOKUP(J123,Database!$A$2:$L$175,6,FALSE),"-")</f>
        <v>-</v>
      </c>
      <c r="M123" s="94" t="str">
        <f>IFERROR(VLOOKUP(J123,Database!$A$2:$L$175,9,FALSE),"-")</f>
        <v>-</v>
      </c>
      <c r="N123" s="210" t="str">
        <f>IFERROR(VLOOKUP(E123,Database!$A$2:$S$175,19,FALSE),"-")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0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>
        <f>IFERROR(VLOOKUP(T123,Database!$A$2:$L$175,9,FALSE),"-")</f>
        <v>0</v>
      </c>
      <c r="X123" s="210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214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79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2" t="str">
        <f>IFERROR(VLOOKUP(E124,Database!$A$2:$S$175,19,FALSE),"-")</f>
        <v>-</v>
      </c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IFERROR(VLOOKUP(E124,Database!$A$2:$S$175,19,FALSE),"-")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>
        <f>IFERROR(VLOOKUP(Y124,Database!$A$2:$L$175,9,FALSE),"-")</f>
        <v>0</v>
      </c>
      <c r="AC124" s="214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7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79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2" t="str">
        <f>IFERROR(VLOOKUP(E125,Database!$A$2:$S$175,19,FALSE),"-")</f>
        <v>-</v>
      </c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IFERROR(VLOOKUP(E125,Database!$A$2:$S$175,19,FALSE),"-")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214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5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79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2" t="str">
        <f>IFERROR(VLOOKUP(E126,Database!$A$2:$S$175,19,FALSE),"-")</f>
        <v>-</v>
      </c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IFERROR(VLOOKUP(E126,Database!$A$2:$S$175,19,FALSE),"-")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214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7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79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2" t="str">
        <f>IFERROR(VLOOKUP(E127,Database!$A$2:$S$175,19,FALSE),"-")</f>
        <v>-</v>
      </c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IFERROR(VLOOKUP(E127,Database!$A$2:$S$175,19,FALSE),"-")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214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79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2" t="str">
        <f>IFERROR(VLOOKUP(E128,Database!$A$2:$S$175,19,FALSE),"-")</f>
        <v>-</v>
      </c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IFERROR(VLOOKUP(E128,Database!$A$2:$S$175,19,FALSE),"-")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214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79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2" t="str">
        <f>IFERROR(VLOOKUP(E129,Database!$A$2:$S$175,19,FALSE),"-")</f>
        <v>-</v>
      </c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IFERROR(VLOOKUP(E129,Database!$A$2:$S$175,19,FALSE),"-")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214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79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2" t="str">
        <f>IFERROR(VLOOKUP(E130,Database!$A$2:$S$175,19,FALSE),"-")</f>
        <v>-</v>
      </c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IFERROR(VLOOKUP(E130,Database!$A$2:$S$175,19,FALSE),"-")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214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7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79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2" t="str">
        <f>IFERROR(VLOOKUP(E131,Database!$A$2:$S$175,19,FALSE),"-")</f>
        <v>-</v>
      </c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IFERROR(VLOOKUP(E131,Database!$A$2:$S$175,19,FALSE),"-")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214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5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79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2" t="str">
        <f>IFERROR(VLOOKUP(E132,Database!$A$2:$S$175,19,FALSE),"-")</f>
        <v>-</v>
      </c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IFERROR(VLOOKUP(E132,Database!$A$2:$S$175,19,FALSE),"-")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 t="str">
        <f>IF(AND(D132="Y",booking!P132&lt;&gt;booking!Q132,booking!Q132&gt;0),booking!Q132,"-")</f>
        <v>-</v>
      </c>
      <c r="U132" s="79" t="str">
        <f>IFERROR(VLOOKUP(T132,Database!$A$2:$L$175,8,FALSE),"-")</f>
        <v>-</v>
      </c>
      <c r="V132" s="79" t="str">
        <f>IFERROR(VLOOKUP(T132,Database!$A$2:$L$175,6,FALSE),"-")</f>
        <v>-</v>
      </c>
      <c r="W132" s="83" t="str">
        <f>IFERROR(VLOOKUP(T132,Database!$A$2:$L$175,9,FALSE),"-")</f>
        <v>-</v>
      </c>
      <c r="X132" s="210" t="str">
        <f>IFERROR(VLOOKUP(T132,Database!$A$2:$S$175,19,FALSE),"-")</f>
        <v>-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214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7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79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2" t="str">
        <f>IFERROR(VLOOKUP(E133,Database!$A$2:$S$175,19,FALSE),"-")</f>
        <v>-</v>
      </c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IFERROR(VLOOKUP(E133,Database!$A$2:$S$175,19,FALSE),"-")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214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79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2" t="str">
        <f>IFERROR(VLOOKUP(E134,Database!$A$2:$S$175,19,FALSE),"-")</f>
        <v>-</v>
      </c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IFERROR(VLOOKUP(E134,Database!$A$2:$S$175,19,FALSE),"-")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214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79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2" t="str">
        <f>IFERROR(VLOOKUP(E135,Database!$A$2:$S$175,19,FALSE),"-")</f>
        <v>-</v>
      </c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IFERROR(VLOOKUP(E135,Database!$A$2:$S$175,19,FALSE),"-")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 t="str">
        <f>IF(AND(D135="Y",booking!P135&lt;&gt;booking!Q135,booking!Q135&gt;0),booking!Q135,"-")</f>
        <v>-</v>
      </c>
      <c r="U135" s="79" t="str">
        <f>IFERROR(VLOOKUP(T135,Database!$A$2:$L$175,8,FALSE),"-")</f>
        <v>-</v>
      </c>
      <c r="V135" s="79" t="str">
        <f>IFERROR(VLOOKUP(T135,Database!$A$2:$L$175,6,FALSE),"-")</f>
        <v>-</v>
      </c>
      <c r="W135" s="83" t="str">
        <f>IFERROR(VLOOKUP(T135,Database!$A$2:$L$175,9,FALSE),"-")</f>
        <v>-</v>
      </c>
      <c r="X135" s="210" t="str">
        <f>IFERROR(VLOOKUP(T135,Database!$A$2:$S$175,19,FALSE),"-")</f>
        <v>-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214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79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2" t="str">
        <f>IFERROR(VLOOKUP(E136,Database!$A$2:$S$175,19,FALSE),"-")</f>
        <v>-</v>
      </c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IFERROR(VLOOKUP(E136,Database!$A$2:$S$175,19,FALSE),"-")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214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7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79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2" t="str">
        <f>IFERROR(VLOOKUP(E137,Database!$A$2:$S$175,19,FALSE),"-")</f>
        <v>-</v>
      </c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IFERROR(VLOOKUP(E137,Database!$A$2:$S$175,19,FALSE),"-")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214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5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79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2" t="str">
        <f>IFERROR(VLOOKUP(E138,Database!$A$2:$S$175,19,FALSE),"-")</f>
        <v>-</v>
      </c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IFERROR(VLOOKUP(E138,Database!$A$2:$S$175,19,FALSE),"-")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214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7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79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2" t="str">
        <f>IFERROR(VLOOKUP(E139,Database!$A$2:$S$175,19,FALSE),"-")</f>
        <v>N</v>
      </c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IFERROR(VLOOKUP(E139,Database!$A$2:$S$175,19,FALSE),"-")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214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79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2" t="str">
        <f>IFERROR(VLOOKUP(E140,Database!$A$2:$S$175,19,FALSE),"-")</f>
        <v>-</v>
      </c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IFERROR(VLOOKUP(E140,Database!$A$2:$S$175,19,FALSE),"-")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Enk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214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79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2" t="str">
        <f>IFERROR(VLOOKUP(E141,Database!$A$2:$S$175,19,FALSE),"-")</f>
        <v>-</v>
      </c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IFERROR(VLOOKUP(E141,Database!$A$2:$S$175,19,FALSE),"-")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214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79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2" t="str">
        <f>IFERROR(VLOOKUP(E142,Database!$A$2:$S$175,19,FALSE),"-")</f>
        <v>N</v>
      </c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IFERROR(VLOOKUP(E142,Database!$A$2:$S$175,19,FALSE),"-")</f>
        <v>N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Enk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214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7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79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2" t="str">
        <f>IFERROR(VLOOKUP(E143,Database!$A$2:$S$175,19,FALSE),"-")</f>
        <v>-</v>
      </c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IFERROR(VLOOKUP(E143,Database!$A$2:$S$175,19,FALSE),"-")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214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5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79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2" t="str">
        <f>IFERROR(VLOOKUP(E144,Database!$A$2:$S$175,19,FALSE),"-")</f>
        <v>-</v>
      </c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IFERROR(VLOOKUP(E144,Database!$A$2:$S$175,19,FALSE),"-")</f>
        <v>-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214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7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79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2" t="str">
        <f>IFERROR(VLOOKUP(E145,Database!$A$2:$S$175,19,FALSE),"-")</f>
        <v>N</v>
      </c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IFERROR(VLOOKUP(E145,Database!$A$2:$S$175,19,FALSE),"-")</f>
        <v>N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214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79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2" t="str">
        <f>IFERROR(VLOOKUP(E146,Database!$A$2:$S$175,19,FALSE),"-")</f>
        <v>-</v>
      </c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IFERROR(VLOOKUP(E146,Database!$A$2:$S$175,19,FALSE),"-")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214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79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2" t="str">
        <f>IFERROR(VLOOKUP(E147,Database!$A$2:$S$175,19,FALSE),"-")</f>
        <v>-</v>
      </c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IFERROR(VLOOKUP(E147,Database!$A$2:$S$175,19,FALSE),"-")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214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79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2" t="str">
        <f>IFERROR(VLOOKUP(E148,Database!$A$2:$S$175,19,FALSE),"-")</f>
        <v>-</v>
      </c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IFERROR(VLOOKUP(E148,Database!$A$2:$S$175,19,FALSE),"-")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214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7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79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2" t="str">
        <f>IFERROR(VLOOKUP(E149,Database!$A$2:$S$175,19,FALSE),"-")</f>
        <v>-</v>
      </c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IFERROR(VLOOKUP(E149,Database!$A$2:$S$175,19,FALSE),"-")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214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5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79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2" t="str">
        <f>IFERROR(VLOOKUP(E150,Database!$A$2:$S$175,19,FALSE),"-")</f>
        <v>-</v>
      </c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IFERROR(VLOOKUP(E150,Database!$A$2:$S$175,19,FALSE),"-")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214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7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79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2" t="str">
        <f>IFERROR(VLOOKUP(E151,Database!$A$2:$S$175,19,FALSE),"-")</f>
        <v>-</v>
      </c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IFERROR(VLOOKUP(E151,Database!$A$2:$S$175,19,FALSE),"-")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214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79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2" t="str">
        <f>IFERROR(VLOOKUP(E152,Database!$A$2:$S$175,19,FALSE),"-")</f>
        <v>-</v>
      </c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IFERROR(VLOOKUP(E152,Database!$A$2:$S$175,19,FALSE),"-")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214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79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2" t="str">
        <f>IFERROR(VLOOKUP(E153,Database!$A$2:$S$175,19,FALSE),"-")</f>
        <v>-</v>
      </c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IFERROR(VLOOKUP(E153,Database!$A$2:$S$175,19,FALSE),"-")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214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79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2" t="str">
        <f>IFERROR(VLOOKUP(E154,Database!$A$2:$S$175,19,FALSE),"-")</f>
        <v>-</v>
      </c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IFERROR(VLOOKUP(E154,Database!$A$2:$S$175,19,FALSE),"-")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214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7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79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2" t="str">
        <f>IFERROR(VLOOKUP(E155,Database!$A$2:$S$175,19,FALSE),"-")</f>
        <v>-</v>
      </c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IFERROR(VLOOKUP(E155,Database!$A$2:$S$175,19,FALSE),"-")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214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5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79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2" t="str">
        <f>IFERROR(VLOOKUP(E156,Database!$A$2:$S$175,19,FALSE),"-")</f>
        <v>-</v>
      </c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IFERROR(VLOOKUP(E156,Database!$A$2:$S$175,19,FALSE),"-")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214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7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79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2" t="str">
        <f>IFERROR(VLOOKUP(E157,Database!$A$2:$S$175,19,FALSE),"-")</f>
        <v>-</v>
      </c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IFERROR(VLOOKUP(E157,Database!$A$2:$S$175,19,FALSE),"-")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214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79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2" t="str">
        <f>IFERROR(VLOOKUP(E158,Database!$A$2:$S$175,19,FALSE),"-")</f>
        <v>-</v>
      </c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IFERROR(VLOOKUP(E158,Database!$A$2:$S$175,19,FALSE),"-")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214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79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2" t="str">
        <f>IFERROR(VLOOKUP(E159,Database!$A$2:$S$175,19,FALSE),"-")</f>
        <v>-</v>
      </c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IFERROR(VLOOKUP(E159,Database!$A$2:$S$175,19,FALSE),"-")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214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79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2" t="str">
        <f>IFERROR(VLOOKUP(E160,Database!$A$2:$S$175,19,FALSE),"-")</f>
        <v>-</v>
      </c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IFERROR(VLOOKUP(E160,Database!$A$2:$S$175,19,FALSE),"-")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214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7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79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2" t="str">
        <f>IFERROR(VLOOKUP(E161,Database!$A$2:$S$175,19,FALSE),"-")</f>
        <v>-</v>
      </c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IFERROR(VLOOKUP(E161,Database!$A$2:$S$175,19,FALSE),"-")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214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5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79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2" t="str">
        <f>IFERROR(VLOOKUP(E162,Database!$A$2:$S$175,19,FALSE),"-")</f>
        <v>-</v>
      </c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IFERROR(VLOOKUP(E162,Database!$A$2:$S$175,19,FALSE),"-")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214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7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79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2" t="str">
        <f>IFERROR(VLOOKUP(E163,Database!$A$2:$S$175,19,FALSE),"-")</f>
        <v>-</v>
      </c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IFERROR(VLOOKUP(E163,Database!$A$2:$S$175,19,FALSE),"-")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214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79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2" t="str">
        <f>IFERROR(VLOOKUP(E164,Database!$A$2:$S$175,19,FALSE),"-")</f>
        <v>-</v>
      </c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IFERROR(VLOOKUP(E164,Database!$A$2:$S$175,19,FALSE),"-")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214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79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2" t="str">
        <f>IFERROR(VLOOKUP(E165,Database!$A$2:$S$175,19,FALSE),"-")</f>
        <v>-</v>
      </c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IFERROR(VLOOKUP(E165,Database!$A$2:$S$175,19,FALSE),"-")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214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79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2" t="str">
        <f>IFERROR(VLOOKUP(E166,Database!$A$2:$S$175,19,FALSE),"-")</f>
        <v>-</v>
      </c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IFERROR(VLOOKUP(E166,Database!$A$2:$S$175,19,FALSE),"-")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214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7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79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2" t="str">
        <f>IFERROR(VLOOKUP(E167,Database!$A$2:$S$175,19,FALSE),"-")</f>
        <v>-</v>
      </c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IFERROR(VLOOKUP(E167,Database!$A$2:$S$175,19,FALSE),"-")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214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5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79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2" t="str">
        <f>IFERROR(VLOOKUP(E168,Database!$A$2:$S$175,19,FALSE),"-")</f>
        <v>-</v>
      </c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IFERROR(VLOOKUP(E168,Database!$A$2:$S$175,19,FALSE),"-")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214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7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79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2" t="str">
        <f>IFERROR(VLOOKUP(E169,Database!$A$2:$S$175,19,FALSE),"-")</f>
        <v>-</v>
      </c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IFERROR(VLOOKUP(E169,Database!$A$2:$S$175,19,FALSE),"-")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214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79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2" t="str">
        <f>IFERROR(VLOOKUP(E170,Database!$A$2:$S$175,19,FALSE),"-")</f>
        <v>-</v>
      </c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IFERROR(VLOOKUP(E170,Database!$A$2:$S$175,19,FALSE),"-")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214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81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112" t="str">
        <f>IFERROR(VLOOKUP(E171,Database!$A$2:$S$175,19,FALSE),"-")</f>
        <v>-</v>
      </c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IFERROR(VLOOKUP(E171,Database!$A$2:$S$175,19,FALSE),"-")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214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1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1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1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1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1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1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1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1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1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1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1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1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12"/>
      <c r="O176" s="2"/>
      <c r="P176" s="1"/>
      <c r="Q176" s="1"/>
      <c r="R176" s="1"/>
      <c r="S176" s="212"/>
      <c r="T176" s="17"/>
      <c r="U176" s="1"/>
      <c r="V176" s="1"/>
      <c r="W176" s="1"/>
      <c r="X176" s="21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 r:id="rId1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138</v>
      </c>
      <c r="B1" s="2" t="s">
        <v>117</v>
      </c>
      <c r="C1" s="2" t="s">
        <v>139</v>
      </c>
      <c r="D1" t="s">
        <v>140</v>
      </c>
      <c r="E1" s="2" t="s">
        <v>141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 t="str">
        <f>Database!Q99</f>
        <v>N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2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138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235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bc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1</v>
      </c>
      <c r="G99">
        <f t="shared" si="5"/>
        <v>3</v>
      </c>
      <c r="I99">
        <f t="shared" si="6"/>
        <v>0</v>
      </c>
      <c r="J99">
        <f t="shared" si="7"/>
        <v>3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142</v>
      </c>
      <c r="C1" s="101" t="s">
        <v>143</v>
      </c>
      <c r="D1" s="102" t="s">
        <v>144</v>
      </c>
      <c r="E1" s="99" t="s">
        <v>145</v>
      </c>
      <c r="F1" s="102" t="s">
        <v>146</v>
      </c>
      <c r="G1" s="99" t="s">
        <v>147</v>
      </c>
      <c r="H1" s="102" t="s">
        <v>148</v>
      </c>
      <c r="I1" s="99" t="s">
        <v>149</v>
      </c>
      <c r="J1" s="102" t="s">
        <v>150</v>
      </c>
      <c r="K1" s="99" t="s">
        <v>151</v>
      </c>
      <c r="L1" s="102" t="s">
        <v>152</v>
      </c>
      <c r="M1" s="99" t="s">
        <v>153</v>
      </c>
    </row>
    <row r="2" spans="1:13" x14ac:dyDescent="0.35">
      <c r="A2" s="5">
        <f>booking!C2</f>
        <v>46139</v>
      </c>
      <c r="B2" s="130" t="str">
        <f>IF(booking!D2&gt;0,"oc","va")</f>
        <v>va</v>
      </c>
      <c r="C2" s="131" t="str">
        <f>IF(booking!E2&gt;0,"oc","va")</f>
        <v>va</v>
      </c>
      <c r="D2" s="130" t="str">
        <f>IF(booking!H2&gt;0,"oc","va")</f>
        <v>va</v>
      </c>
      <c r="E2" s="131" t="str">
        <f>IF(booking!I2&gt;0,"oc","va")</f>
        <v>va</v>
      </c>
      <c r="F2" s="130" t="str">
        <f>IF(booking!L2&gt;0,"oc","va")</f>
        <v>va</v>
      </c>
      <c r="G2" s="131" t="str">
        <f>IF(booking!M2&gt;0,"oc","va")</f>
        <v>va</v>
      </c>
      <c r="H2" s="130" t="str">
        <f>IF(booking!P2&gt;0,"oc","va")</f>
        <v>va</v>
      </c>
      <c r="I2" s="131" t="str">
        <f>IF(booking!Q2&gt;0,"oc","va")</f>
        <v>va</v>
      </c>
      <c r="J2" s="130" t="str">
        <f>IF(booking!T2&gt;0,"oc","va")</f>
        <v>va</v>
      </c>
      <c r="K2" s="131" t="str">
        <f>IF(booking!U2&gt;0,"oc","va")</f>
        <v>va</v>
      </c>
      <c r="L2" s="130" t="str">
        <f>IF(booking!X2&gt;0,"oc","va")</f>
        <v>va</v>
      </c>
      <c r="M2" s="131" t="str">
        <f>IF(booking!Y2&gt;0,"oc","va")</f>
        <v>va</v>
      </c>
    </row>
    <row r="3" spans="1:13" x14ac:dyDescent="0.35">
      <c r="A3" s="5">
        <f>booking!C3</f>
        <v>46140</v>
      </c>
      <c r="B3" s="130" t="str">
        <f>IF(booking!D3&gt;0,"oc","va")</f>
        <v>va</v>
      </c>
      <c r="C3" s="131" t="str">
        <f>IF(booking!E3&gt;0,"oc","va")</f>
        <v>va</v>
      </c>
      <c r="D3" s="130" t="str">
        <f>IF(booking!H3&gt;0,"oc","va")</f>
        <v>va</v>
      </c>
      <c r="E3" s="131" t="str">
        <f>IF(booking!I3&gt;0,"oc","va")</f>
        <v>va</v>
      </c>
      <c r="F3" s="130" t="str">
        <f>IF(booking!L3&gt;0,"oc","va")</f>
        <v>va</v>
      </c>
      <c r="G3" s="131" t="str">
        <f>IF(booking!M3&gt;0,"oc","va")</f>
        <v>va</v>
      </c>
      <c r="H3" s="130" t="str">
        <f>IF(booking!P3&gt;0,"oc","va")</f>
        <v>va</v>
      </c>
      <c r="I3" s="131" t="str">
        <f>IF(booking!Q3&gt;0,"oc","va")</f>
        <v>va</v>
      </c>
      <c r="J3" s="130" t="str">
        <f>IF(booking!T3&gt;0,"oc","va")</f>
        <v>va</v>
      </c>
      <c r="K3" s="131" t="str">
        <f>IF(booking!U3&gt;0,"oc","va")</f>
        <v>va</v>
      </c>
      <c r="L3" s="130" t="str">
        <f>IF(booking!X3&gt;0,"oc","va")</f>
        <v>va</v>
      </c>
      <c r="M3" s="131" t="str">
        <f>IF(booking!Y3&gt;0,"oc","va")</f>
        <v>va</v>
      </c>
    </row>
    <row r="4" spans="1:13" x14ac:dyDescent="0.35">
      <c r="A4" s="5">
        <f>booking!C4</f>
        <v>46141</v>
      </c>
      <c r="B4" s="130" t="str">
        <f>IF(booking!D4&gt;0,"oc","va")</f>
        <v>va</v>
      </c>
      <c r="C4" s="131" t="str">
        <f>IF(booking!E4&gt;0,"oc","va")</f>
        <v>va</v>
      </c>
      <c r="D4" s="130" t="str">
        <f>IF(booking!H4&gt;0,"oc","va")</f>
        <v>va</v>
      </c>
      <c r="E4" s="131" t="str">
        <f>IF(booking!I4&gt;0,"oc","va")</f>
        <v>va</v>
      </c>
      <c r="F4" s="130" t="str">
        <f>IF(booking!L4&gt;0,"oc","va")</f>
        <v>va</v>
      </c>
      <c r="G4" s="131" t="str">
        <f>IF(booking!M4&gt;0,"oc","va")</f>
        <v>va</v>
      </c>
      <c r="H4" s="130" t="str">
        <f>IF(booking!P4&gt;0,"oc","va")</f>
        <v>va</v>
      </c>
      <c r="I4" s="131" t="str">
        <f>IF(booking!Q4&gt;0,"oc","va")</f>
        <v>va</v>
      </c>
      <c r="J4" s="130" t="str">
        <f>IF(booking!T4&gt;0,"oc","va")</f>
        <v>va</v>
      </c>
      <c r="K4" s="131" t="str">
        <f>IF(booking!U4&gt;0,"oc","va")</f>
        <v>va</v>
      </c>
      <c r="L4" s="130" t="str">
        <f>IF(booking!X4&gt;0,"oc","va")</f>
        <v>va</v>
      </c>
      <c r="M4" s="131" t="str">
        <f>IF(booking!Y4&gt;0,"oc","va")</f>
        <v>va</v>
      </c>
    </row>
    <row r="5" spans="1:13" x14ac:dyDescent="0.35">
      <c r="A5" s="5">
        <f>booking!C5</f>
        <v>46142</v>
      </c>
      <c r="B5" s="130" t="str">
        <f>IF(booking!D5&gt;0,"oc","va")</f>
        <v>va</v>
      </c>
      <c r="C5" s="131" t="str">
        <f>IF(booking!E5&gt;0,"oc","va")</f>
        <v>va</v>
      </c>
      <c r="D5" s="130" t="str">
        <f>IF(booking!H5&gt;0,"oc","va")</f>
        <v>va</v>
      </c>
      <c r="E5" s="131" t="str">
        <f>IF(booking!I5&gt;0,"oc","va")</f>
        <v>va</v>
      </c>
      <c r="F5" s="130" t="str">
        <f>IF(booking!L5&gt;0,"oc","va")</f>
        <v>va</v>
      </c>
      <c r="G5" s="131" t="str">
        <f>IF(booking!M5&gt;0,"oc","va")</f>
        <v>va</v>
      </c>
      <c r="H5" s="130" t="str">
        <f>IF(booking!P5&gt;0,"oc","va")</f>
        <v>va</v>
      </c>
      <c r="I5" s="131" t="str">
        <f>IF(booking!Q5&gt;0,"oc","va")</f>
        <v>va</v>
      </c>
      <c r="J5" s="130" t="str">
        <f>IF(booking!T5&gt;0,"oc","va")</f>
        <v>va</v>
      </c>
      <c r="K5" s="131" t="str">
        <f>IF(booking!U5&gt;0,"oc","va")</f>
        <v>va</v>
      </c>
      <c r="L5" s="130" t="str">
        <f>IF(booking!X5&gt;0,"oc","va")</f>
        <v>va</v>
      </c>
      <c r="M5" s="131" t="str">
        <f>IF(booking!Y5&gt;0,"oc","va")</f>
        <v>va</v>
      </c>
    </row>
    <row r="6" spans="1:13" x14ac:dyDescent="0.35">
      <c r="A6" s="5">
        <f>booking!C6</f>
        <v>46143</v>
      </c>
      <c r="B6" s="130" t="str">
        <f>IF(booking!D6&gt;0,"oc","va")</f>
        <v>va</v>
      </c>
      <c r="C6" s="131" t="str">
        <f>IF(booking!E6&gt;0,"oc","va")</f>
        <v>oc</v>
      </c>
      <c r="D6" s="130" t="str">
        <f>IF(booking!H6&gt;0,"oc","va")</f>
        <v>va</v>
      </c>
      <c r="E6" s="131" t="str">
        <f>IF(booking!I6&gt;0,"oc","va")</f>
        <v>oc</v>
      </c>
      <c r="F6" s="130" t="str">
        <f>IF(booking!L6&gt;0,"oc","va")</f>
        <v>va</v>
      </c>
      <c r="G6" s="131" t="str">
        <f>IF(booking!M6&gt;0,"oc","va")</f>
        <v>oc</v>
      </c>
      <c r="H6" s="130" t="str">
        <f>IF(booking!P6&gt;0,"oc","va")</f>
        <v>va</v>
      </c>
      <c r="I6" s="131" t="str">
        <f>IF(booking!Q6&gt;0,"oc","va")</f>
        <v>oc</v>
      </c>
      <c r="J6" s="130" t="str">
        <f>IF(booking!T6&gt;0,"oc","va")</f>
        <v>va</v>
      </c>
      <c r="K6" s="131" t="str">
        <f>IF(booking!U6&gt;0,"oc","va")</f>
        <v>oc</v>
      </c>
      <c r="L6" s="130" t="str">
        <f>IF(booking!X6&gt;0,"oc","va")</f>
        <v>va</v>
      </c>
      <c r="M6" s="131" t="str">
        <f>IF(booking!Y6&gt;0,"oc","va")</f>
        <v>va</v>
      </c>
    </row>
    <row r="7" spans="1:13" x14ac:dyDescent="0.35">
      <c r="A7" s="5">
        <f>booking!C7</f>
        <v>46144</v>
      </c>
      <c r="B7" s="130" t="str">
        <f>IF(booking!D7&gt;0,"oc","va")</f>
        <v>oc</v>
      </c>
      <c r="C7" s="131" t="str">
        <f>IF(booking!E7&gt;0,"oc","va")</f>
        <v>oc</v>
      </c>
      <c r="D7" s="130" t="str">
        <f>IF(booking!H7&gt;0,"oc","va")</f>
        <v>oc</v>
      </c>
      <c r="E7" s="131" t="str">
        <f>IF(booking!I7&gt;0,"oc","va")</f>
        <v>oc</v>
      </c>
      <c r="F7" s="130" t="str">
        <f>IF(booking!L7&gt;0,"oc","va")</f>
        <v>oc</v>
      </c>
      <c r="G7" s="131" t="str">
        <f>IF(booking!M7&gt;0,"oc","va")</f>
        <v>oc</v>
      </c>
      <c r="H7" s="130" t="str">
        <f>IF(booking!P7&gt;0,"oc","va")</f>
        <v>oc</v>
      </c>
      <c r="I7" s="131" t="str">
        <f>IF(booking!Q7&gt;0,"oc","va")</f>
        <v>oc</v>
      </c>
      <c r="J7" s="130" t="str">
        <f>IF(booking!T7&gt;0,"oc","va")</f>
        <v>oc</v>
      </c>
      <c r="K7" s="131" t="str">
        <f>IF(booking!U7&gt;0,"oc","va")</f>
        <v>oc</v>
      </c>
      <c r="L7" s="130" t="str">
        <f>IF(booking!X7&gt;0,"oc","va")</f>
        <v>va</v>
      </c>
      <c r="M7" s="131" t="str">
        <f>IF(booking!Y7&gt;0,"oc","va")</f>
        <v>va</v>
      </c>
    </row>
    <row r="8" spans="1:13" x14ac:dyDescent="0.35">
      <c r="A8" s="5">
        <f>booking!C8</f>
        <v>46145</v>
      </c>
      <c r="B8" s="130" t="str">
        <f>IF(booking!D8&gt;0,"oc","va")</f>
        <v>oc</v>
      </c>
      <c r="C8" s="131" t="str">
        <f>IF(booking!E8&gt;0,"oc","va")</f>
        <v>va</v>
      </c>
      <c r="D8" s="130" t="str">
        <f>IF(booking!H8&gt;0,"oc","va")</f>
        <v>oc</v>
      </c>
      <c r="E8" s="131" t="str">
        <f>IF(booking!I8&gt;0,"oc","va")</f>
        <v>va</v>
      </c>
      <c r="F8" s="130" t="str">
        <f>IF(booking!L8&gt;0,"oc","va")</f>
        <v>oc</v>
      </c>
      <c r="G8" s="131" t="str">
        <f>IF(booking!M8&gt;0,"oc","va")</f>
        <v>va</v>
      </c>
      <c r="H8" s="130" t="str">
        <f>IF(booking!P8&gt;0,"oc","va")</f>
        <v>oc</v>
      </c>
      <c r="I8" s="131" t="str">
        <f>IF(booking!Q8&gt;0,"oc","va")</f>
        <v>oc</v>
      </c>
      <c r="J8" s="130" t="str">
        <f>IF(booking!T8&gt;0,"oc","va")</f>
        <v>oc</v>
      </c>
      <c r="K8" s="131" t="str">
        <f>IF(booking!U8&gt;0,"oc","va")</f>
        <v>va</v>
      </c>
      <c r="L8" s="130" t="str">
        <f>IF(booking!X8&gt;0,"oc","va")</f>
        <v>va</v>
      </c>
      <c r="M8" s="131" t="str">
        <f>IF(booking!Y8&gt;0,"oc","va")</f>
        <v>va</v>
      </c>
    </row>
    <row r="9" spans="1:13" x14ac:dyDescent="0.35">
      <c r="A9" s="5">
        <f>booking!C9</f>
        <v>46146</v>
      </c>
      <c r="B9" s="130" t="str">
        <f>IF(booking!D9&gt;0,"oc","va")</f>
        <v>va</v>
      </c>
      <c r="C9" s="131" t="str">
        <f>IF(booking!E9&gt;0,"oc","va")</f>
        <v>va</v>
      </c>
      <c r="D9" s="130" t="str">
        <f>IF(booking!H9&gt;0,"oc","va")</f>
        <v>va</v>
      </c>
      <c r="E9" s="131" t="str">
        <f>IF(booking!I9&gt;0,"oc","va")</f>
        <v>va</v>
      </c>
      <c r="F9" s="130" t="str">
        <f>IF(booking!L9&gt;0,"oc","va")</f>
        <v>va</v>
      </c>
      <c r="G9" s="131" t="str">
        <f>IF(booking!M9&gt;0,"oc","va")</f>
        <v>va</v>
      </c>
      <c r="H9" s="130" t="str">
        <f>IF(booking!P9&gt;0,"oc","va")</f>
        <v>oc</v>
      </c>
      <c r="I9" s="131" t="str">
        <f>IF(booking!Q9&gt;0,"oc","va")</f>
        <v>oc</v>
      </c>
      <c r="J9" s="130" t="str">
        <f>IF(booking!T9&gt;0,"oc","va")</f>
        <v>va</v>
      </c>
      <c r="K9" s="131" t="str">
        <f>IF(booking!U9&gt;0,"oc","va")</f>
        <v>va</v>
      </c>
      <c r="L9" s="130" t="str">
        <f>IF(booking!X9&gt;0,"oc","va")</f>
        <v>va</v>
      </c>
      <c r="M9" s="131" t="str">
        <f>IF(booking!Y9&gt;0,"oc","va")</f>
        <v>va</v>
      </c>
    </row>
    <row r="10" spans="1:13" x14ac:dyDescent="0.35">
      <c r="A10" s="5">
        <f>booking!C10</f>
        <v>46147</v>
      </c>
      <c r="B10" s="130" t="str">
        <f>IF(booking!D10&gt;0,"oc","va")</f>
        <v>va</v>
      </c>
      <c r="C10" s="131" t="str">
        <f>IF(booking!E10&gt;0,"oc","va")</f>
        <v>va</v>
      </c>
      <c r="D10" s="130" t="str">
        <f>IF(booking!H10&gt;0,"oc","va")</f>
        <v>va</v>
      </c>
      <c r="E10" s="131" t="str">
        <f>IF(booking!I11&gt;0,"oc","va")</f>
        <v>va</v>
      </c>
      <c r="F10" s="130" t="str">
        <f>IF(booking!L10&gt;0,"oc","va")</f>
        <v>va</v>
      </c>
      <c r="G10" s="131" t="str">
        <f>IF(booking!M10&gt;0,"oc","va")</f>
        <v>va</v>
      </c>
      <c r="H10" s="130" t="str">
        <f>IF(booking!P10&gt;0,"oc","va")</f>
        <v>oc</v>
      </c>
      <c r="I10" s="131" t="str">
        <f>IF(booking!Q10&gt;0,"oc","va")</f>
        <v>oc</v>
      </c>
      <c r="J10" s="130" t="str">
        <f>IF(booking!T10&gt;0,"oc","va")</f>
        <v>va</v>
      </c>
      <c r="K10" s="131" t="str">
        <f>IF(booking!U10&gt;0,"oc","va")</f>
        <v>va</v>
      </c>
      <c r="L10" s="130" t="str">
        <f>IF(booking!X10&gt;0,"oc","va")</f>
        <v>va</v>
      </c>
      <c r="M10" s="131" t="str">
        <f>IF(booking!Y10&gt;0,"oc","va")</f>
        <v>va</v>
      </c>
    </row>
    <row r="11" spans="1:13" x14ac:dyDescent="0.35">
      <c r="A11" s="5">
        <f>booking!C11</f>
        <v>46148</v>
      </c>
      <c r="B11" s="130" t="str">
        <f>IF(booking!D11&gt;0,"oc","va")</f>
        <v>va</v>
      </c>
      <c r="C11" s="131" t="str">
        <f>IF(booking!E11&gt;0,"oc","va")</f>
        <v>va</v>
      </c>
      <c r="D11" s="130" t="str">
        <f>IF(booking!H11&gt;0,"oc","va")</f>
        <v>va</v>
      </c>
      <c r="E11" s="131" t="e">
        <f>IF(booking!#REF!&gt;0,"oc","va")</f>
        <v>#REF!</v>
      </c>
      <c r="F11" s="130" t="str">
        <f>IF(booking!L11&gt;0,"oc","va")</f>
        <v>va</v>
      </c>
      <c r="G11" s="131" t="str">
        <f>IF(booking!M11&gt;0,"oc","va")</f>
        <v>va</v>
      </c>
      <c r="H11" s="130" t="str">
        <f>IF(booking!P11&gt;0,"oc","va")</f>
        <v>oc</v>
      </c>
      <c r="I11" s="131" t="str">
        <f>IF(booking!Q11&gt;0,"oc","va")</f>
        <v>oc</v>
      </c>
      <c r="J11" s="130" t="str">
        <f>IF(booking!T11&gt;0,"oc","va")</f>
        <v>va</v>
      </c>
      <c r="K11" s="131" t="str">
        <f>IF(booking!U11&gt;0,"oc","va")</f>
        <v>va</v>
      </c>
      <c r="L11" s="130" t="str">
        <f>IF(booking!X11&gt;0,"oc","va")</f>
        <v>va</v>
      </c>
      <c r="M11" s="131" t="str">
        <f>IF(booking!Y11&gt;0,"oc","va")</f>
        <v>va</v>
      </c>
    </row>
    <row r="12" spans="1:13" x14ac:dyDescent="0.35">
      <c r="A12" s="5">
        <f>booking!C12</f>
        <v>46149</v>
      </c>
      <c r="B12" s="130" t="str">
        <f>IF(booking!D12&gt;0,"oc","va")</f>
        <v>va</v>
      </c>
      <c r="C12" s="131" t="str">
        <f>IF(booking!E12&gt;0,"oc","va")</f>
        <v>va</v>
      </c>
      <c r="D12" s="130" t="str">
        <f>IF(booking!H12&gt;0,"oc","va")</f>
        <v>va</v>
      </c>
      <c r="E12" s="131" t="str">
        <f>IF(booking!I12&gt;0,"oc","va")</f>
        <v>oc</v>
      </c>
      <c r="F12" s="130" t="str">
        <f>IF(booking!L12&gt;0,"oc","va")</f>
        <v>va</v>
      </c>
      <c r="G12" s="131" t="str">
        <f>IF(booking!M12&gt;0,"oc","va")</f>
        <v>oc</v>
      </c>
      <c r="H12" s="130" t="str">
        <f>IF(booking!P12&gt;0,"oc","va")</f>
        <v>oc</v>
      </c>
      <c r="I12" s="131" t="str">
        <f>IF(booking!Q12&gt;0,"oc","va")</f>
        <v>oc</v>
      </c>
      <c r="J12" s="130" t="str">
        <f>IF(booking!T12&gt;0,"oc","va")</f>
        <v>va</v>
      </c>
      <c r="K12" s="131" t="str">
        <f>IF(booking!U12&gt;0,"oc","va")</f>
        <v>va</v>
      </c>
      <c r="L12" s="130" t="str">
        <f>IF(booking!X12&gt;0,"oc","va")</f>
        <v>va</v>
      </c>
      <c r="M12" s="131" t="str">
        <f>IF(booking!Y12&gt;0,"oc","va")</f>
        <v>va</v>
      </c>
    </row>
    <row r="13" spans="1:13" x14ac:dyDescent="0.35">
      <c r="A13" s="5">
        <f>booking!C13</f>
        <v>46150</v>
      </c>
      <c r="B13" s="130" t="str">
        <f>IF(booking!D13&gt;0,"oc","va")</f>
        <v>va</v>
      </c>
      <c r="C13" s="131" t="str">
        <f>IF(booking!E13&gt;0,"oc","va")</f>
        <v>va</v>
      </c>
      <c r="D13" s="130" t="str">
        <f>IF(booking!H13&gt;0,"oc","va")</f>
        <v>oc</v>
      </c>
      <c r="E13" s="131" t="str">
        <f>IF(booking!I13&gt;0,"oc","va")</f>
        <v>oc</v>
      </c>
      <c r="F13" s="130" t="str">
        <f>IF(booking!L13&gt;0,"oc","va")</f>
        <v>oc</v>
      </c>
      <c r="G13" s="131" t="str">
        <f>IF(booking!M13&gt;0,"oc","va")</f>
        <v>oc</v>
      </c>
      <c r="H13" s="130" t="str">
        <f>IF(booking!P13&gt;0,"oc","va")</f>
        <v>oc</v>
      </c>
      <c r="I13" s="131" t="str">
        <f>IF(booking!Q13&gt;0,"oc","va")</f>
        <v>oc</v>
      </c>
      <c r="J13" s="130" t="str">
        <f>IF(booking!T13&gt;0,"oc","va")</f>
        <v>va</v>
      </c>
      <c r="K13" s="131" t="str">
        <f>IF(booking!U13&gt;0,"oc","va")</f>
        <v>va</v>
      </c>
      <c r="L13" s="130" t="str">
        <f>IF(booking!X13&gt;0,"oc","va")</f>
        <v>va</v>
      </c>
      <c r="M13" s="131" t="str">
        <f>IF(booking!Y13&gt;0,"oc","va")</f>
        <v>va</v>
      </c>
    </row>
    <row r="14" spans="1:13" x14ac:dyDescent="0.35">
      <c r="A14" s="5">
        <f>booking!C14</f>
        <v>46151</v>
      </c>
      <c r="B14" s="130" t="e">
        <f>IF(booking!#REF!&gt;0,"oc","va")</f>
        <v>#REF!</v>
      </c>
      <c r="C14" s="131" t="str">
        <f>IF(booking!D14&gt;0,"oc","va")</f>
        <v>va</v>
      </c>
      <c r="D14" s="130" t="str">
        <f>IF(booking!H14&gt;0,"oc","va")</f>
        <v>oc</v>
      </c>
      <c r="E14" s="131" t="str">
        <f>IF(booking!I14&gt;0,"oc","va")</f>
        <v>oc</v>
      </c>
      <c r="F14" s="130" t="str">
        <f>IF(booking!L14&gt;0,"oc","va")</f>
        <v>oc</v>
      </c>
      <c r="G14" s="131" t="str">
        <f>IF(booking!M14&gt;0,"oc","va")</f>
        <v>oc</v>
      </c>
      <c r="H14" s="130" t="str">
        <f>IF(booking!P14&gt;0,"oc","va")</f>
        <v>oc</v>
      </c>
      <c r="I14" s="131" t="str">
        <f>IF(booking!Q14&gt;0,"oc","va")</f>
        <v>oc</v>
      </c>
      <c r="J14" s="130" t="str">
        <f>IF(booking!T14&gt;0,"oc","va")</f>
        <v>va</v>
      </c>
      <c r="K14" s="131" t="str">
        <f>IF(booking!U14&gt;0,"oc","va")</f>
        <v>va</v>
      </c>
      <c r="L14" s="130" t="str">
        <f>IF(booking!X14&gt;0,"oc","va")</f>
        <v>va</v>
      </c>
      <c r="M14" s="131" t="str">
        <f>IF(booking!Y14&gt;0,"oc","va")</f>
        <v>va</v>
      </c>
    </row>
    <row r="15" spans="1:13" x14ac:dyDescent="0.35">
      <c r="A15" s="5">
        <f>booking!C15</f>
        <v>46152</v>
      </c>
      <c r="B15" s="130" t="str">
        <f>IF(booking!D15&gt;0,"oc","va")</f>
        <v>va</v>
      </c>
      <c r="C15" s="131" t="str">
        <f>IF(booking!E15&gt;0,"oc","va")</f>
        <v>va</v>
      </c>
      <c r="D15" s="130" t="str">
        <f>IF(booking!H15&gt;0,"oc","va")</f>
        <v>oc</v>
      </c>
      <c r="E15" s="131" t="str">
        <f>IF(booking!I15&gt;0,"oc","va")</f>
        <v>va</v>
      </c>
      <c r="F15" s="130" t="str">
        <f>IF(booking!L15&gt;0,"oc","va")</f>
        <v>oc</v>
      </c>
      <c r="G15" s="131" t="str">
        <f>IF(booking!M15&gt;0,"oc","va")</f>
        <v>va</v>
      </c>
      <c r="H15" s="130" t="str">
        <f>IF(booking!P15&gt;0,"oc","va")</f>
        <v>oc</v>
      </c>
      <c r="I15" s="131" t="str">
        <f>IF(booking!Q15&gt;0,"oc","va")</f>
        <v>va</v>
      </c>
      <c r="J15" s="130" t="str">
        <f>IF(booking!T15&gt;0,"oc","va")</f>
        <v>va</v>
      </c>
      <c r="K15" s="131" t="str">
        <f>IF(booking!U15&gt;0,"oc","va")</f>
        <v>va</v>
      </c>
      <c r="L15" s="130" t="str">
        <f>IF(booking!X15&gt;0,"oc","va")</f>
        <v>va</v>
      </c>
      <c r="M15" s="131" t="str">
        <f>IF(booking!Y15&gt;0,"oc","va")</f>
        <v>va</v>
      </c>
    </row>
    <row r="16" spans="1:13" x14ac:dyDescent="0.35">
      <c r="A16" s="5">
        <f>booking!C16</f>
        <v>46153</v>
      </c>
      <c r="B16" s="130" t="str">
        <f>IF(booking!D16&gt;0,"oc","va")</f>
        <v>va</v>
      </c>
      <c r="C16" s="131" t="str">
        <f>IF(booking!E16&gt;0,"oc","va")</f>
        <v>va</v>
      </c>
      <c r="D16" s="130" t="str">
        <f>IF(booking!H16&gt;0,"oc","va")</f>
        <v>va</v>
      </c>
      <c r="E16" s="131" t="str">
        <f>IF(booking!I16&gt;0,"oc","va")</f>
        <v>va</v>
      </c>
      <c r="F16" s="130" t="str">
        <f>IF(booking!L16&gt;0,"oc","va")</f>
        <v>va</v>
      </c>
      <c r="G16" s="131" t="str">
        <f>IF(booking!M16&gt;0,"oc","va")</f>
        <v>va</v>
      </c>
      <c r="H16" s="130" t="str">
        <f>IF(booking!P16&gt;0,"oc","va")</f>
        <v>va</v>
      </c>
      <c r="I16" s="131" t="str">
        <f>IF(booking!Q16&gt;0,"oc","va")</f>
        <v>va</v>
      </c>
      <c r="J16" s="130" t="str">
        <f>IF(booking!T16&gt;0,"oc","va")</f>
        <v>va</v>
      </c>
      <c r="K16" s="131" t="str">
        <f>IF(booking!U16&gt;0,"oc","va")</f>
        <v>oc</v>
      </c>
      <c r="L16" s="130" t="str">
        <f>IF(booking!X16&gt;0,"oc","va")</f>
        <v>va</v>
      </c>
      <c r="M16" s="131" t="str">
        <f>IF(booking!Y16&gt;0,"oc","va")</f>
        <v>va</v>
      </c>
    </row>
    <row r="17" spans="1:13" x14ac:dyDescent="0.35">
      <c r="A17" s="5">
        <f>booking!C17</f>
        <v>46154</v>
      </c>
      <c r="B17" s="130" t="str">
        <f>IF(booking!D17&gt;0,"oc","va")</f>
        <v>va</v>
      </c>
      <c r="C17" s="131" t="str">
        <f>IF(booking!E17&gt;0,"oc","va")</f>
        <v>va</v>
      </c>
      <c r="D17" s="130" t="str">
        <f>IF(booking!H17&gt;0,"oc","va")</f>
        <v>va</v>
      </c>
      <c r="E17" s="131" t="str">
        <f>IF(booking!I17&gt;0,"oc","va")</f>
        <v>va</v>
      </c>
      <c r="F17" s="130" t="str">
        <f>IF(booking!L17&gt;0,"oc","va")</f>
        <v>va</v>
      </c>
      <c r="G17" s="131" t="str">
        <f>IF(booking!M17&gt;0,"oc","va")</f>
        <v>va</v>
      </c>
      <c r="H17" s="130" t="str">
        <f>IF(booking!P17&gt;0,"oc","va")</f>
        <v>va</v>
      </c>
      <c r="I17" s="131" t="str">
        <f>IF(booking!Q17&gt;0,"oc","va")</f>
        <v>va</v>
      </c>
      <c r="J17" s="130" t="str">
        <f>IF(booking!T17&gt;0,"oc","va")</f>
        <v>oc</v>
      </c>
      <c r="K17" s="131" t="str">
        <f>IF(booking!U17&gt;0,"oc","va")</f>
        <v>oc</v>
      </c>
      <c r="L17" s="130" t="str">
        <f>IF(booking!X17&gt;0,"oc","va")</f>
        <v>va</v>
      </c>
      <c r="M17" s="131" t="str">
        <f>IF(booking!Y17&gt;0,"oc","va")</f>
        <v>va</v>
      </c>
    </row>
    <row r="18" spans="1:13" x14ac:dyDescent="0.35">
      <c r="A18" s="5">
        <f>booking!C18</f>
        <v>46155</v>
      </c>
      <c r="B18" s="130" t="str">
        <f>IF(booking!D18&gt;0,"oc","va")</f>
        <v>va</v>
      </c>
      <c r="C18" s="131" t="str">
        <f>IF(booking!E18&gt;0,"oc","va")</f>
        <v>oc</v>
      </c>
      <c r="D18" s="130" t="str">
        <f>IF(booking!H18&gt;0,"oc","va")</f>
        <v>va</v>
      </c>
      <c r="E18" s="131" t="str">
        <f>IF(booking!I18&gt;0,"oc","va")</f>
        <v>va</v>
      </c>
      <c r="F18" s="130" t="str">
        <f>IF(booking!L18&gt;0,"oc","va")</f>
        <v>va</v>
      </c>
      <c r="G18" s="131" t="str">
        <f>IF(booking!M18&gt;0,"oc","va")</f>
        <v>va</v>
      </c>
      <c r="H18" s="130" t="str">
        <f>IF(booking!P18&gt;0,"oc","va")</f>
        <v>va</v>
      </c>
      <c r="I18" s="131" t="str">
        <f>IF(booking!Q18&gt;0,"oc","va")</f>
        <v>va</v>
      </c>
      <c r="J18" s="130" t="str">
        <f>IF(booking!T18&gt;0,"oc","va")</f>
        <v>oc</v>
      </c>
      <c r="K18" s="131" t="str">
        <f>IF(booking!U18&gt;0,"oc","va")</f>
        <v>va</v>
      </c>
      <c r="L18" s="130" t="str">
        <f>IF(booking!X18&gt;0,"oc","va")</f>
        <v>va</v>
      </c>
      <c r="M18" s="131" t="str">
        <f>IF(booking!Y18&gt;0,"oc","va")</f>
        <v>va</v>
      </c>
    </row>
    <row r="19" spans="1:13" x14ac:dyDescent="0.35">
      <c r="A19" s="5">
        <f>booking!C19</f>
        <v>46156</v>
      </c>
      <c r="B19" s="130" t="str">
        <f>IF(booking!D19&gt;0,"oc","va")</f>
        <v>oc</v>
      </c>
      <c r="C19" s="131" t="str">
        <f>IF(booking!E19&gt;0,"oc","va")</f>
        <v>oc</v>
      </c>
      <c r="D19" s="130" t="str">
        <f>IF(booking!H19&gt;0,"oc","va")</f>
        <v>va</v>
      </c>
      <c r="E19" s="131" t="str">
        <f>IF(booking!I19&gt;0,"oc","va")</f>
        <v>va</v>
      </c>
      <c r="F19" s="130" t="str">
        <f>IF(booking!L19&gt;0,"oc","va")</f>
        <v>va</v>
      </c>
      <c r="G19" s="131" t="str">
        <f>IF(booking!M19&gt;0,"oc","va")</f>
        <v>oc</v>
      </c>
      <c r="H19" s="130" t="str">
        <f>IF(booking!P19&gt;0,"oc","va")</f>
        <v>va</v>
      </c>
      <c r="I19" s="131" t="str">
        <f>IF(booking!Q19&gt;0,"oc","va")</f>
        <v>oc</v>
      </c>
      <c r="J19" s="130" t="str">
        <f>IF(booking!T19&gt;0,"oc","va")</f>
        <v>va</v>
      </c>
      <c r="K19" s="131" t="str">
        <f>IF(booking!U19&gt;0,"oc","va")</f>
        <v>oc</v>
      </c>
      <c r="L19" s="130" t="str">
        <f>IF(booking!X19&gt;0,"oc","va")</f>
        <v>va</v>
      </c>
      <c r="M19" s="131" t="str">
        <f>IF(booking!Y19&gt;0,"oc","va")</f>
        <v>va</v>
      </c>
    </row>
    <row r="20" spans="1:13" x14ac:dyDescent="0.35">
      <c r="A20" s="5">
        <f>booking!C20</f>
        <v>46157</v>
      </c>
      <c r="B20" s="130" t="str">
        <f>IF(booking!D20&gt;0,"oc","va")</f>
        <v>oc</v>
      </c>
      <c r="C20" s="131" t="str">
        <f>IF(booking!E20&gt;0,"oc","va")</f>
        <v>oc</v>
      </c>
      <c r="D20" s="130" t="str">
        <f>IF(booking!H20&gt;0,"oc","va")</f>
        <v>va</v>
      </c>
      <c r="E20" s="131" t="str">
        <f>IF(booking!I20&gt;0,"oc","va")</f>
        <v>oc</v>
      </c>
      <c r="F20" s="130" t="str">
        <f>IF(booking!L20&gt;0,"oc","va")</f>
        <v>oc</v>
      </c>
      <c r="G20" s="131" t="str">
        <f>IF(booking!M20&gt;0,"oc","va")</f>
        <v>oc</v>
      </c>
      <c r="H20" s="130" t="str">
        <f>IF(booking!P20&gt;0,"oc","va")</f>
        <v>oc</v>
      </c>
      <c r="I20" s="131" t="str">
        <f>IF(booking!Q20&gt;0,"oc","va")</f>
        <v>oc</v>
      </c>
      <c r="J20" s="130" t="str">
        <f>IF(booking!T20&gt;0,"oc","va")</f>
        <v>oc</v>
      </c>
      <c r="K20" s="131" t="str">
        <f>IF(booking!U20&gt;0,"oc","va")</f>
        <v>oc</v>
      </c>
      <c r="L20" s="130" t="str">
        <f>IF(booking!X20&gt;0,"oc","va")</f>
        <v>va</v>
      </c>
      <c r="M20" s="131" t="str">
        <f>IF(booking!Y20&gt;0,"oc","va")</f>
        <v>va</v>
      </c>
    </row>
    <row r="21" spans="1:13" x14ac:dyDescent="0.35">
      <c r="A21" s="5">
        <f>booking!C21</f>
        <v>46158</v>
      </c>
      <c r="B21" s="130" t="str">
        <f>IF(booking!D21&gt;0,"oc","va")</f>
        <v>oc</v>
      </c>
      <c r="C21" s="131" t="str">
        <f>IF(booking!E21&gt;0,"oc","va")</f>
        <v>oc</v>
      </c>
      <c r="D21" s="130" t="str">
        <f>IF(booking!H21&gt;0,"oc","va")</f>
        <v>oc</v>
      </c>
      <c r="E21" s="131" t="str">
        <f>IF(booking!I21&gt;0,"oc","va")</f>
        <v>oc</v>
      </c>
      <c r="F21" s="130" t="str">
        <f>IF(booking!L21&gt;0,"oc","va")</f>
        <v>oc</v>
      </c>
      <c r="G21" s="131" t="str">
        <f>IF(booking!M21&gt;0,"oc","va")</f>
        <v>oc</v>
      </c>
      <c r="H21" s="130" t="str">
        <f>IF(booking!P21&gt;0,"oc","va")</f>
        <v>oc</v>
      </c>
      <c r="I21" s="131" t="str">
        <f>IF(booking!Q21&gt;0,"oc","va")</f>
        <v>oc</v>
      </c>
      <c r="J21" s="130" t="str">
        <f>IF(booking!T21&gt;0,"oc","va")</f>
        <v>oc</v>
      </c>
      <c r="K21" s="131" t="str">
        <f>IF(booking!U21&gt;0,"oc","va")</f>
        <v>oc</v>
      </c>
      <c r="L21" s="130" t="str">
        <f>IF(booking!X21&gt;0,"oc","va")</f>
        <v>va</v>
      </c>
      <c r="M21" s="131" t="str">
        <f>IF(booking!Y21&gt;0,"oc","va")</f>
        <v>va</v>
      </c>
    </row>
    <row r="22" spans="1:13" x14ac:dyDescent="0.35">
      <c r="A22" s="5">
        <f>booking!C22</f>
        <v>46159</v>
      </c>
      <c r="B22" s="130" t="str">
        <f>IF(booking!D22&gt;0,"oc","va")</f>
        <v>oc</v>
      </c>
      <c r="C22" s="131" t="str">
        <f>IF(booking!E22&gt;0,"oc","va")</f>
        <v>oc</v>
      </c>
      <c r="D22" s="130" t="str">
        <f>IF(booking!H22&gt;0,"oc","va")</f>
        <v>oc</v>
      </c>
      <c r="E22" s="131" t="str">
        <f>IF(booking!I22&gt;0,"oc","va")</f>
        <v>va</v>
      </c>
      <c r="F22" s="130" t="str">
        <f>IF(booking!L22&gt;0,"oc","va")</f>
        <v>oc</v>
      </c>
      <c r="G22" s="131" t="str">
        <f>IF(booking!M22&gt;0,"oc","va")</f>
        <v>va</v>
      </c>
      <c r="H22" s="130" t="str">
        <f>IF(booking!P22&gt;0,"oc","va")</f>
        <v>oc</v>
      </c>
      <c r="I22" s="131" t="str">
        <f>IF(booking!Q22&gt;0,"oc","va")</f>
        <v>oc</v>
      </c>
      <c r="J22" s="130" t="str">
        <f>IF(booking!T22&gt;0,"oc","va")</f>
        <v>oc</v>
      </c>
      <c r="K22" s="131" t="str">
        <f>IF(booking!U22&gt;0,"oc","va")</f>
        <v>oc</v>
      </c>
      <c r="L22" s="130" t="str">
        <f>IF(booking!X22&gt;0,"oc","va")</f>
        <v>va</v>
      </c>
      <c r="M22" s="131" t="str">
        <f>IF(booking!Y22&gt;0,"oc","va")</f>
        <v>va</v>
      </c>
    </row>
    <row r="23" spans="1:13" x14ac:dyDescent="0.35">
      <c r="A23" s="5">
        <f>booking!C23</f>
        <v>46160</v>
      </c>
      <c r="B23" s="130" t="str">
        <f>IF(booking!D23&gt;0,"oc","va")</f>
        <v>oc</v>
      </c>
      <c r="C23" s="131" t="str">
        <f>IF(booking!E23&gt;0,"oc","va")</f>
        <v>oc</v>
      </c>
      <c r="D23" s="130" t="str">
        <f>IF(booking!H23&gt;0,"oc","va")</f>
        <v>va</v>
      </c>
      <c r="E23" s="131" t="str">
        <f>IF(booking!I23&gt;0,"oc","va")</f>
        <v>va</v>
      </c>
      <c r="F23" s="130" t="str">
        <f>IF(booking!L23&gt;0,"oc","va")</f>
        <v>va</v>
      </c>
      <c r="G23" s="131" t="str">
        <f>IF(booking!M23&gt;0,"oc","va")</f>
        <v>va</v>
      </c>
      <c r="H23" s="130" t="str">
        <f>IF(booking!P23&gt;0,"oc","va")</f>
        <v>oc</v>
      </c>
      <c r="I23" s="131" t="str">
        <f>IF(booking!Q23&gt;0,"oc","va")</f>
        <v>oc</v>
      </c>
      <c r="J23" s="130" t="str">
        <f>IF(booking!T23&gt;0,"oc","va")</f>
        <v>oc</v>
      </c>
      <c r="K23" s="131" t="str">
        <f>IF(booking!U23&gt;0,"oc","va")</f>
        <v>oc</v>
      </c>
      <c r="L23" s="130" t="str">
        <f>IF(booking!X23&gt;0,"oc","va")</f>
        <v>va</v>
      </c>
      <c r="M23" s="131" t="str">
        <f>IF(booking!Y23&gt;0,"oc","va")</f>
        <v>va</v>
      </c>
    </row>
    <row r="24" spans="1:13" x14ac:dyDescent="0.35">
      <c r="A24" s="5">
        <f>booking!C24</f>
        <v>46161</v>
      </c>
      <c r="B24" s="130" t="str">
        <f>IF(booking!D24&gt;0,"oc","va")</f>
        <v>oc</v>
      </c>
      <c r="C24" s="131" t="str">
        <f>IF(booking!E24&gt;0,"oc","va")</f>
        <v>oc</v>
      </c>
      <c r="D24" s="130" t="str">
        <f>IF(booking!H24&gt;0,"oc","va")</f>
        <v>va</v>
      </c>
      <c r="E24" s="131" t="str">
        <f>IF(booking!I24&gt;0,"oc","va")</f>
        <v>va</v>
      </c>
      <c r="F24" s="130" t="str">
        <f>IF(booking!L24&gt;0,"oc","va")</f>
        <v>va</v>
      </c>
      <c r="G24" s="131" t="str">
        <f>IF(booking!M24&gt;0,"oc","va")</f>
        <v>va</v>
      </c>
      <c r="H24" s="130" t="str">
        <f>IF(booking!P24&gt;0,"oc","va")</f>
        <v>oc</v>
      </c>
      <c r="I24" s="131" t="str">
        <f>IF(booking!Q24&gt;0,"oc","va")</f>
        <v>oc</v>
      </c>
      <c r="J24" s="130" t="str">
        <f>IF(booking!T24&gt;0,"oc","va")</f>
        <v>oc</v>
      </c>
      <c r="K24" s="131" t="str">
        <f>IF(booking!U24&gt;0,"oc","va")</f>
        <v>oc</v>
      </c>
      <c r="L24" s="130" t="str">
        <f>IF(booking!X24&gt;0,"oc","va")</f>
        <v>va</v>
      </c>
      <c r="M24" s="131" t="str">
        <f>IF(booking!Y24&gt;0,"oc","va")</f>
        <v>va</v>
      </c>
    </row>
    <row r="25" spans="1:13" x14ac:dyDescent="0.35">
      <c r="A25" s="5">
        <f>booking!C25</f>
        <v>46162</v>
      </c>
      <c r="B25" s="130" t="str">
        <f>IF(booking!D25&gt;0,"oc","va")</f>
        <v>oc</v>
      </c>
      <c r="C25" s="131" t="str">
        <f>IF(booking!E25&gt;0,"oc","va")</f>
        <v>oc</v>
      </c>
      <c r="D25" s="130" t="str">
        <f>IF(booking!H25&gt;0,"oc","va")</f>
        <v>va</v>
      </c>
      <c r="E25" s="131" t="str">
        <f>IF(booking!I25&gt;0,"oc","va")</f>
        <v>va</v>
      </c>
      <c r="F25" s="130" t="str">
        <f>IF(booking!L25&gt;0,"oc","va")</f>
        <v>va</v>
      </c>
      <c r="G25" s="131" t="str">
        <f>IF(booking!M25&gt;0,"oc","va")</f>
        <v>va</v>
      </c>
      <c r="H25" s="130" t="str">
        <f>IF(booking!P25&gt;0,"oc","va")</f>
        <v>oc</v>
      </c>
      <c r="I25" s="131" t="str">
        <f>IF(booking!Q25&gt;0,"oc","va")</f>
        <v>oc</v>
      </c>
      <c r="J25" s="130" t="str">
        <f>IF(booking!T25&gt;0,"oc","va")</f>
        <v>oc</v>
      </c>
      <c r="K25" s="131" t="str">
        <f>IF(booking!U25&gt;0,"oc","va")</f>
        <v>oc</v>
      </c>
      <c r="L25" s="130" t="str">
        <f>IF(booking!X25&gt;0,"oc","va")</f>
        <v>va</v>
      </c>
      <c r="M25" s="131" t="str">
        <f>IF(booking!Y25&gt;0,"oc","va")</f>
        <v>va</v>
      </c>
    </row>
    <row r="26" spans="1:13" x14ac:dyDescent="0.35">
      <c r="A26" s="5">
        <f>booking!C26</f>
        <v>46163</v>
      </c>
      <c r="B26" s="130" t="str">
        <f>IF(booking!D26&gt;0,"oc","va")</f>
        <v>oc</v>
      </c>
      <c r="C26" s="131" t="str">
        <f>IF(booking!E26&gt;0,"oc","va")</f>
        <v>va</v>
      </c>
      <c r="D26" s="130" t="str">
        <f>IF(booking!H26&gt;0,"oc","va")</f>
        <v>va</v>
      </c>
      <c r="E26" s="131" t="str">
        <f>IF(booking!I26&gt;0,"oc","va")</f>
        <v>oc</v>
      </c>
      <c r="F26" s="130" t="str">
        <f>IF(booking!L26&gt;0,"oc","va")</f>
        <v>va</v>
      </c>
      <c r="G26" s="131" t="str">
        <f>IF(booking!M26&gt;0,"oc","va")</f>
        <v>oc</v>
      </c>
      <c r="H26" s="130" t="str">
        <f>IF(booking!P26&gt;0,"oc","va")</f>
        <v>oc</v>
      </c>
      <c r="I26" s="131" t="str">
        <f>IF(booking!Q26&gt;0,"oc","va")</f>
        <v>oc</v>
      </c>
      <c r="J26" s="130" t="str">
        <f>IF(booking!T26&gt;0,"oc","va")</f>
        <v>oc</v>
      </c>
      <c r="K26" s="131" t="str">
        <f>IF(booking!U26&gt;0,"oc","va")</f>
        <v>oc</v>
      </c>
      <c r="L26" s="130" t="str">
        <f>IF(booking!X26&gt;0,"oc","va")</f>
        <v>va</v>
      </c>
      <c r="M26" s="131" t="str">
        <f>IF(booking!Y26&gt;0,"oc","va")</f>
        <v>va</v>
      </c>
    </row>
    <row r="27" spans="1:13" x14ac:dyDescent="0.35">
      <c r="A27" s="5">
        <f>booking!C27</f>
        <v>46164</v>
      </c>
      <c r="B27" s="130" t="str">
        <f>IF(booking!D27&gt;0,"oc","va")</f>
        <v>va</v>
      </c>
      <c r="C27" s="131" t="str">
        <f>IF(booking!E27&gt;0,"oc","va")</f>
        <v>oc</v>
      </c>
      <c r="D27" s="130" t="str">
        <f>IF(booking!H27&gt;0,"oc","va")</f>
        <v>oc</v>
      </c>
      <c r="E27" s="131" t="str">
        <f>IF(booking!I27&gt;0,"oc","va")</f>
        <v>oc</v>
      </c>
      <c r="F27" s="130" t="str">
        <f>IF(booking!L27&gt;0,"oc","va")</f>
        <v>oc</v>
      </c>
      <c r="G27" s="131" t="str">
        <f>IF(booking!M27&gt;0,"oc","va")</f>
        <v>oc</v>
      </c>
      <c r="H27" s="130" t="str">
        <f>IF(booking!P27&gt;0,"oc","va")</f>
        <v>oc</v>
      </c>
      <c r="I27" s="131" t="str">
        <f>IF(booking!Q27&gt;0,"oc","va")</f>
        <v>oc</v>
      </c>
      <c r="J27" s="130" t="str">
        <f>IF(booking!T27&gt;0,"oc","va")</f>
        <v>oc</v>
      </c>
      <c r="K27" s="131" t="str">
        <f>IF(booking!U27&gt;0,"oc","va")</f>
        <v>oc</v>
      </c>
      <c r="L27" s="130" t="str">
        <f>IF(booking!X27&gt;0,"oc","va")</f>
        <v>va</v>
      </c>
      <c r="M27" s="131" t="str">
        <f>IF(booking!Y27&gt;0,"oc","va")</f>
        <v>va</v>
      </c>
    </row>
    <row r="28" spans="1:13" x14ac:dyDescent="0.35">
      <c r="A28" s="5">
        <f>booking!C28</f>
        <v>46165</v>
      </c>
      <c r="B28" s="130" t="str">
        <f>IF(booking!D28&gt;0,"oc","va")</f>
        <v>oc</v>
      </c>
      <c r="C28" s="131" t="str">
        <f>IF(booking!E28&gt;0,"oc","va")</f>
        <v>oc</v>
      </c>
      <c r="D28" s="130" t="str">
        <f>IF(booking!H28&gt;0,"oc","va")</f>
        <v>oc</v>
      </c>
      <c r="E28" s="131" t="str">
        <f>IF(booking!I28&gt;0,"oc","va")</f>
        <v>oc</v>
      </c>
      <c r="F28" s="130" t="str">
        <f>IF(booking!L28&gt;0,"oc","va")</f>
        <v>oc</v>
      </c>
      <c r="G28" s="131" t="str">
        <f>IF(booking!M28&gt;0,"oc","va")</f>
        <v>oc</v>
      </c>
      <c r="H28" s="130" t="str">
        <f>IF(booking!P28&gt;0,"oc","va")</f>
        <v>oc</v>
      </c>
      <c r="I28" s="131" t="str">
        <f>IF(booking!Q28&gt;0,"oc","va")</f>
        <v>oc</v>
      </c>
      <c r="J28" s="130" t="str">
        <f>IF(booking!T28&gt;0,"oc","va")</f>
        <v>oc</v>
      </c>
      <c r="K28" s="131" t="str">
        <f>IF(booking!U28&gt;0,"oc","va")</f>
        <v>oc</v>
      </c>
      <c r="L28" s="130" t="str">
        <f>IF(booking!X28&gt;0,"oc","va")</f>
        <v>va</v>
      </c>
      <c r="M28" s="131" t="str">
        <f>IF(booking!Y28&gt;0,"oc","va")</f>
        <v>va</v>
      </c>
    </row>
    <row r="29" spans="1:13" x14ac:dyDescent="0.35">
      <c r="A29" s="5">
        <f>booking!C29</f>
        <v>46166</v>
      </c>
      <c r="B29" s="130" t="str">
        <f>IF(booking!D29&gt;0,"oc","va")</f>
        <v>oc</v>
      </c>
      <c r="C29" s="131" t="str">
        <f>IF(booking!E29&gt;0,"oc","va")</f>
        <v>oc</v>
      </c>
      <c r="D29" s="130" t="str">
        <f>IF(booking!H29&gt;0,"oc","va")</f>
        <v>oc</v>
      </c>
      <c r="E29" s="131" t="str">
        <f>IF(booking!I29&gt;0,"oc","va")</f>
        <v>oc</v>
      </c>
      <c r="F29" s="130" t="str">
        <f>IF(booking!L29&gt;0,"oc","va")</f>
        <v>oc</v>
      </c>
      <c r="G29" s="131" t="str">
        <f>IF(booking!M29&gt;0,"oc","va")</f>
        <v>oc</v>
      </c>
      <c r="H29" s="130" t="str">
        <f>IF(booking!P29&gt;0,"oc","va")</f>
        <v>oc</v>
      </c>
      <c r="I29" s="131" t="str">
        <f>IF(booking!Q29&gt;0,"oc","va")</f>
        <v>oc</v>
      </c>
      <c r="J29" s="130" t="str">
        <f>IF(booking!T29&gt;0,"oc","va")</f>
        <v>oc</v>
      </c>
      <c r="K29" s="131" t="str">
        <f>IF(booking!U29&gt;0,"oc","va")</f>
        <v>va</v>
      </c>
      <c r="L29" s="130" t="str">
        <f>IF(booking!X29&gt;0,"oc","va")</f>
        <v>va</v>
      </c>
      <c r="M29" s="131" t="str">
        <f>IF(booking!Y29&gt;0,"oc","va")</f>
        <v>va</v>
      </c>
    </row>
    <row r="30" spans="1:13" x14ac:dyDescent="0.35">
      <c r="A30" s="5">
        <f>booking!C30</f>
        <v>46167</v>
      </c>
      <c r="B30" s="130" t="str">
        <f>IF(booking!D30&gt;0,"oc","va")</f>
        <v>oc</v>
      </c>
      <c r="C30" s="131" t="str">
        <f>IF(booking!E30&gt;0,"oc","va")</f>
        <v>va</v>
      </c>
      <c r="D30" s="130" t="str">
        <f>IF(booking!H30&gt;0,"oc","va")</f>
        <v>oc</v>
      </c>
      <c r="E30" s="131" t="str">
        <f>IF(booking!I30&gt;0,"oc","va")</f>
        <v>va</v>
      </c>
      <c r="F30" s="130" t="str">
        <f>IF(booking!L30&gt;0,"oc","va")</f>
        <v>oc</v>
      </c>
      <c r="G30" s="131" t="str">
        <f>IF(booking!M30&gt;0,"oc","va")</f>
        <v>va</v>
      </c>
      <c r="H30" s="130" t="str">
        <f>IF(booking!P30&gt;0,"oc","va")</f>
        <v>oc</v>
      </c>
      <c r="I30" s="131" t="str">
        <f>IF(booking!Q30&gt;0,"oc","va")</f>
        <v>va</v>
      </c>
      <c r="J30" s="130" t="str">
        <f>IF(booking!T30&gt;0,"oc","va")</f>
        <v>va</v>
      </c>
      <c r="K30" s="131" t="str">
        <f>IF(booking!U30&gt;0,"oc","va")</f>
        <v>va</v>
      </c>
      <c r="L30" s="130" t="str">
        <f>IF(booking!X30&gt;0,"oc","va")</f>
        <v>va</v>
      </c>
      <c r="M30" s="131" t="str">
        <f>IF(booking!Y30&gt;0,"oc","va")</f>
        <v>va</v>
      </c>
    </row>
    <row r="31" spans="1:13" x14ac:dyDescent="0.35">
      <c r="A31" s="5">
        <f>booking!C31</f>
        <v>46168</v>
      </c>
      <c r="B31" s="130" t="str">
        <f>IF(booking!D31&gt;0,"oc","va")</f>
        <v>va</v>
      </c>
      <c r="C31" s="131" t="str">
        <f>IF(booking!E31&gt;0,"oc","va")</f>
        <v>va</v>
      </c>
      <c r="D31" s="130" t="str">
        <f>IF(booking!H31&gt;0,"oc","va")</f>
        <v>va</v>
      </c>
      <c r="E31" s="131" t="str">
        <f>IF(booking!I31&gt;0,"oc","va")</f>
        <v>va</v>
      </c>
      <c r="F31" s="130" t="str">
        <f>IF(booking!L31&gt;0,"oc","va")</f>
        <v>va</v>
      </c>
      <c r="G31" s="131" t="str">
        <f>IF(booking!M31&gt;0,"oc","va")</f>
        <v>va</v>
      </c>
      <c r="H31" s="130" t="str">
        <f>IF(booking!P31&gt;0,"oc","va")</f>
        <v>va</v>
      </c>
      <c r="I31" s="131" t="str">
        <f>IF(booking!Q31&gt;0,"oc","va")</f>
        <v>va</v>
      </c>
      <c r="J31" s="130" t="str">
        <f>IF(booking!T31&gt;0,"oc","va")</f>
        <v>va</v>
      </c>
      <c r="K31" s="131" t="str">
        <f>IF(booking!U31&gt;0,"oc","va")</f>
        <v>va</v>
      </c>
      <c r="L31" s="130" t="str">
        <f>IF(booking!X31&gt;0,"oc","va")</f>
        <v>va</v>
      </c>
      <c r="M31" s="131" t="str">
        <f>IF(booking!Y31&gt;0,"oc","va")</f>
        <v>va</v>
      </c>
    </row>
    <row r="32" spans="1:13" x14ac:dyDescent="0.35">
      <c r="A32" s="5">
        <f>booking!C32</f>
        <v>46169</v>
      </c>
      <c r="B32" s="130" t="str">
        <f>IF(booking!D32&gt;0,"oc","va")</f>
        <v>va</v>
      </c>
      <c r="C32" s="131" t="str">
        <f>IF(booking!E32&gt;0,"oc","va")</f>
        <v>va</v>
      </c>
      <c r="D32" s="130" t="str">
        <f>IF(booking!H32&gt;0,"oc","va")</f>
        <v>va</v>
      </c>
      <c r="E32" s="131" t="str">
        <f>IF(booking!I32&gt;0,"oc","va")</f>
        <v>va</v>
      </c>
      <c r="F32" s="130" t="str">
        <f>IF(booking!L32&gt;0,"oc","va")</f>
        <v>va</v>
      </c>
      <c r="G32" s="131" t="str">
        <f>IF(booking!M32&gt;0,"oc","va")</f>
        <v>oc</v>
      </c>
      <c r="H32" s="130" t="str">
        <f>IF(booking!P32&gt;0,"oc","va")</f>
        <v>va</v>
      </c>
      <c r="I32" s="131" t="str">
        <f>IF(booking!Q32&gt;0,"oc","va")</f>
        <v>va</v>
      </c>
      <c r="J32" s="130" t="str">
        <f>IF(booking!T32&gt;0,"oc","va")</f>
        <v>va</v>
      </c>
      <c r="K32" s="131" t="str">
        <f>IF(booking!U32&gt;0,"oc","va")</f>
        <v>va</v>
      </c>
      <c r="L32" s="130" t="str">
        <f>IF(booking!X32&gt;0,"oc","va")</f>
        <v>va</v>
      </c>
      <c r="M32" s="131" t="str">
        <f>IF(booking!Y32&gt;0,"oc","va")</f>
        <v>va</v>
      </c>
    </row>
    <row r="33" spans="1:13" x14ac:dyDescent="0.35">
      <c r="A33" s="5">
        <f>booking!C33</f>
        <v>46170</v>
      </c>
      <c r="B33" s="130" t="str">
        <f>IF(booking!D33&gt;0,"oc","va")</f>
        <v>va</v>
      </c>
      <c r="C33" s="131" t="str">
        <f>IF(booking!E33&gt;0,"oc","va")</f>
        <v>va</v>
      </c>
      <c r="D33" s="130" t="str">
        <f>IF(booking!H33&gt;0,"oc","va")</f>
        <v>va</v>
      </c>
      <c r="E33" s="131" t="str">
        <f>IF(booking!I33&gt;0,"oc","va")</f>
        <v>va</v>
      </c>
      <c r="F33" s="130" t="str">
        <f>IF(booking!L33&gt;0,"oc","va")</f>
        <v>oc</v>
      </c>
      <c r="G33" s="131" t="str">
        <f>IF(booking!M33&gt;0,"oc","va")</f>
        <v>oc</v>
      </c>
      <c r="H33" s="130" t="str">
        <f>IF(booking!P33&gt;0,"oc","va")</f>
        <v>va</v>
      </c>
      <c r="I33" s="131" t="str">
        <f>IF(booking!Q33&gt;0,"oc","va")</f>
        <v>va</v>
      </c>
      <c r="J33" s="130" t="str">
        <f>IF(booking!T33&gt;0,"oc","va")</f>
        <v>va</v>
      </c>
      <c r="K33" s="131" t="str">
        <f>IF(booking!U33&gt;0,"oc","va")</f>
        <v>va</v>
      </c>
      <c r="L33" s="130" t="str">
        <f>IF(booking!X33&gt;0,"oc","va")</f>
        <v>va</v>
      </c>
      <c r="M33" s="131" t="str">
        <f>IF(booking!Y33&gt;0,"oc","va")</f>
        <v>va</v>
      </c>
    </row>
    <row r="34" spans="1:13" x14ac:dyDescent="0.35">
      <c r="A34" s="5">
        <f>booking!C34</f>
        <v>46171</v>
      </c>
      <c r="B34" s="130" t="str">
        <f>IF(booking!D34&gt;0,"oc","va")</f>
        <v>va</v>
      </c>
      <c r="C34" s="131" t="str">
        <f>IF(booking!E34&gt;0,"oc","va")</f>
        <v>va</v>
      </c>
      <c r="D34" s="130" t="str">
        <f>IF(booking!H34&gt;0,"oc","va")</f>
        <v>va</v>
      </c>
      <c r="E34" s="131" t="str">
        <f>IF(booking!I34&gt;0,"oc","va")</f>
        <v>va</v>
      </c>
      <c r="F34" s="130" t="str">
        <f>IF(booking!L34&gt;0,"oc","va")</f>
        <v>oc</v>
      </c>
      <c r="G34" s="131" t="str">
        <f>IF(booking!M34&gt;0,"oc","va")</f>
        <v>oc</v>
      </c>
      <c r="H34" s="130" t="str">
        <f>IF(booking!P34&gt;0,"oc","va")</f>
        <v>va</v>
      </c>
      <c r="I34" s="131" t="str">
        <f>IF(booking!Q34&gt;0,"oc","va")</f>
        <v>va</v>
      </c>
      <c r="J34" s="130" t="str">
        <f>IF(booking!T34&gt;0,"oc","va")</f>
        <v>va</v>
      </c>
      <c r="K34" s="131" t="str">
        <f>IF(booking!U34&gt;0,"oc","va")</f>
        <v>oc</v>
      </c>
      <c r="L34" s="130" t="str">
        <f>IF(booking!X34&gt;0,"oc","va")</f>
        <v>va</v>
      </c>
      <c r="M34" s="131" t="str">
        <f>IF(booking!Y34&gt;0,"oc","va")</f>
        <v>va</v>
      </c>
    </row>
    <row r="35" spans="1:13" x14ac:dyDescent="0.35">
      <c r="A35" s="5">
        <f>booking!C35</f>
        <v>46172</v>
      </c>
      <c r="B35" s="130" t="str">
        <f>IF(booking!D35&gt;0,"oc","va")</f>
        <v>va</v>
      </c>
      <c r="C35" s="131" t="str">
        <f>IF(booking!E35&gt;0,"oc","va")</f>
        <v>va</v>
      </c>
      <c r="D35" s="130" t="str">
        <f>IF(booking!H35&gt;0,"oc","va")</f>
        <v>va</v>
      </c>
      <c r="E35" s="131" t="str">
        <f>IF(booking!I35&gt;0,"oc","va")</f>
        <v>va</v>
      </c>
      <c r="F35" s="130" t="str">
        <f>IF(booking!L35&gt;0,"oc","va")</f>
        <v>oc</v>
      </c>
      <c r="G35" s="131" t="str">
        <f>IF(booking!M35&gt;0,"oc","va")</f>
        <v>oc</v>
      </c>
      <c r="H35" s="130" t="str">
        <f>IF(booking!P35&gt;0,"oc","va")</f>
        <v>va</v>
      </c>
      <c r="I35" s="131" t="str">
        <f>IF(booking!Q35&gt;0,"oc","va")</f>
        <v>oc</v>
      </c>
      <c r="J35" s="130" t="str">
        <f>IF(booking!T35&gt;0,"oc","va")</f>
        <v>oc</v>
      </c>
      <c r="K35" s="131" t="str">
        <f>IF(booking!U35&gt;0,"oc","va")</f>
        <v>oc</v>
      </c>
      <c r="L35" s="130" t="str">
        <f>IF(booking!X35&gt;0,"oc","va")</f>
        <v>va</v>
      </c>
      <c r="M35" s="131" t="str">
        <f>IF(booking!Y35&gt;0,"oc","va")</f>
        <v>va</v>
      </c>
    </row>
    <row r="36" spans="1:13" x14ac:dyDescent="0.35">
      <c r="A36" s="5">
        <f>booking!C36</f>
        <v>46173</v>
      </c>
      <c r="B36" s="130" t="str">
        <f>IF(booking!D36&gt;0,"oc","va")</f>
        <v>va</v>
      </c>
      <c r="C36" s="131" t="str">
        <f>IF(booking!E36&gt;0,"oc","va")</f>
        <v>va</v>
      </c>
      <c r="D36" s="130" t="str">
        <f>IF(booking!H36&gt;0,"oc","va")</f>
        <v>va</v>
      </c>
      <c r="E36" s="131" t="str">
        <f>IF(booking!I36&gt;0,"oc","va")</f>
        <v>oc</v>
      </c>
      <c r="F36" s="130" t="str">
        <f>IF(booking!L36&gt;0,"oc","va")</f>
        <v>oc</v>
      </c>
      <c r="G36" s="131" t="str">
        <f>IF(booking!M36&gt;0,"oc","va")</f>
        <v>oc</v>
      </c>
      <c r="H36" s="130" t="str">
        <f>IF(booking!P36&gt;0,"oc","va")</f>
        <v>oc</v>
      </c>
      <c r="I36" s="131" t="str">
        <f>IF(booking!Q36&gt;0,"oc","va")</f>
        <v>oc</v>
      </c>
      <c r="J36" s="130" t="str">
        <f>IF(booking!T36&gt;0,"oc","va")</f>
        <v>oc</v>
      </c>
      <c r="K36" s="131" t="str">
        <f>IF(booking!U36&gt;0,"oc","va")</f>
        <v>va</v>
      </c>
      <c r="L36" s="130" t="str">
        <f>IF(booking!X36&gt;0,"oc","va")</f>
        <v>va</v>
      </c>
      <c r="M36" s="131" t="str">
        <f>IF(booking!Y36&gt;0,"oc","va")</f>
        <v>va</v>
      </c>
    </row>
    <row r="37" spans="1:13" x14ac:dyDescent="0.35">
      <c r="A37" s="5">
        <f>booking!C37</f>
        <v>46174</v>
      </c>
      <c r="B37" s="130" t="str">
        <f>IF(booking!D37&gt;0,"oc","va")</f>
        <v>va</v>
      </c>
      <c r="C37" s="131" t="str">
        <f>IF(booking!E37&gt;0,"oc","va")</f>
        <v>va</v>
      </c>
      <c r="D37" s="130" t="str">
        <f>IF(booking!H37&gt;0,"oc","va")</f>
        <v>oc</v>
      </c>
      <c r="E37" s="131" t="str">
        <f>IF(booking!I37&gt;0,"oc","va")</f>
        <v>oc</v>
      </c>
      <c r="F37" s="130" t="str">
        <f>IF(booking!L37&gt;0,"oc","va")</f>
        <v>oc</v>
      </c>
      <c r="G37" s="131" t="str">
        <f>IF(booking!M37&gt;0,"oc","va")</f>
        <v>va</v>
      </c>
      <c r="H37" s="130" t="str">
        <f>IF(booking!P37&gt;0,"oc","va")</f>
        <v>oc</v>
      </c>
      <c r="I37" s="131" t="str">
        <f>IF(booking!Q37&gt;0,"oc","va")</f>
        <v>va</v>
      </c>
      <c r="J37" s="130" t="str">
        <f>IF(booking!T37&gt;0,"oc","va")</f>
        <v>va</v>
      </c>
      <c r="K37" s="131" t="str">
        <f>IF(booking!U37&gt;0,"oc","va")</f>
        <v>va</v>
      </c>
      <c r="L37" s="130" t="str">
        <f>IF(booking!X37&gt;0,"oc","va")</f>
        <v>va</v>
      </c>
      <c r="M37" s="131" t="str">
        <f>IF(booking!Y37&gt;0,"oc","va")</f>
        <v>va</v>
      </c>
    </row>
    <row r="38" spans="1:13" x14ac:dyDescent="0.35">
      <c r="A38" s="5">
        <f>booking!C38</f>
        <v>46175</v>
      </c>
      <c r="B38" s="130" t="str">
        <f>IF(booking!D38&gt;0,"oc","va")</f>
        <v>va</v>
      </c>
      <c r="C38" s="131" t="str">
        <f>IF(booking!E38&gt;0,"oc","va")</f>
        <v>va</v>
      </c>
      <c r="D38" s="130" t="str">
        <f>IF(booking!H38&gt;0,"oc","va")</f>
        <v>oc</v>
      </c>
      <c r="E38" s="131" t="str">
        <f>IF(booking!I38&gt;0,"oc","va")</f>
        <v>oc</v>
      </c>
      <c r="F38" s="130" t="str">
        <f>IF(booking!L38&gt;0,"oc","va")</f>
        <v>va</v>
      </c>
      <c r="G38" s="131" t="str">
        <f>IF(booking!M38&gt;0,"oc","va")</f>
        <v>va</v>
      </c>
      <c r="H38" s="130" t="str">
        <f>IF(booking!P38&gt;0,"oc","va")</f>
        <v>va</v>
      </c>
      <c r="I38" s="131" t="str">
        <f>IF(booking!Q38&gt;0,"oc","va")</f>
        <v>va</v>
      </c>
      <c r="J38" s="130" t="str">
        <f>IF(booking!T38&gt;0,"oc","va")</f>
        <v>va</v>
      </c>
      <c r="K38" s="131" t="str">
        <f>IF(booking!U38&gt;0,"oc","va")</f>
        <v>oc</v>
      </c>
      <c r="L38" s="130" t="str">
        <f>IF(booking!X38&gt;0,"oc","va")</f>
        <v>va</v>
      </c>
      <c r="M38" s="131" t="str">
        <f>IF(booking!Y38&gt;0,"oc","va")</f>
        <v>va</v>
      </c>
    </row>
    <row r="39" spans="1:13" x14ac:dyDescent="0.35">
      <c r="A39" s="5">
        <f>booking!C39</f>
        <v>46176</v>
      </c>
      <c r="B39" s="130" t="str">
        <f>IF(booking!D39&gt;0,"oc","va")</f>
        <v>va</v>
      </c>
      <c r="C39" s="131" t="str">
        <f>IF(booking!E39&gt;0,"oc","va")</f>
        <v>va</v>
      </c>
      <c r="D39" s="130" t="str">
        <f>IF(booking!H39&gt;0,"oc","va")</f>
        <v>oc</v>
      </c>
      <c r="E39" s="131" t="str">
        <f>IF(booking!I39&gt;0,"oc","va")</f>
        <v>oc</v>
      </c>
      <c r="F39" s="130" t="str">
        <f>IF(booking!L39&gt;0,"oc","va")</f>
        <v>va</v>
      </c>
      <c r="G39" s="131" t="str">
        <f>IF(booking!M39&gt;0,"oc","va")</f>
        <v>oc</v>
      </c>
      <c r="H39" s="130" t="str">
        <f>IF(booking!P39&gt;0,"oc","va")</f>
        <v>va</v>
      </c>
      <c r="I39" s="131" t="str">
        <f>IF(booking!Q39&gt;0,"oc","va")</f>
        <v>va</v>
      </c>
      <c r="J39" s="130" t="str">
        <f>IF(booking!T39&gt;0,"oc","va")</f>
        <v>oc</v>
      </c>
      <c r="K39" s="131" t="str">
        <f>IF(booking!U39&gt;0,"oc","va")</f>
        <v>oc</v>
      </c>
      <c r="L39" s="130" t="str">
        <f>IF(booking!X39&gt;0,"oc","va")</f>
        <v>va</v>
      </c>
      <c r="M39" s="131" t="str">
        <f>IF(booking!Y39&gt;0,"oc","va")</f>
        <v>va</v>
      </c>
    </row>
    <row r="40" spans="1:13" x14ac:dyDescent="0.35">
      <c r="A40" s="5">
        <f>booking!C40</f>
        <v>46177</v>
      </c>
      <c r="B40" s="130" t="str">
        <f>IF(booking!D40&gt;0,"oc","va")</f>
        <v>va</v>
      </c>
      <c r="C40" s="131" t="str">
        <f>IF(booking!E40&gt;0,"oc","va")</f>
        <v>va</v>
      </c>
      <c r="D40" s="130" t="str">
        <f>IF(booking!H40&gt;0,"oc","va")</f>
        <v>oc</v>
      </c>
      <c r="E40" s="131" t="str">
        <f>IF(booking!I40&gt;0,"oc","va")</f>
        <v>oc</v>
      </c>
      <c r="F40" s="130" t="str">
        <f>IF(booking!L40&gt;0,"oc","va")</f>
        <v>oc</v>
      </c>
      <c r="G40" s="131" t="str">
        <f>IF(booking!M40&gt;0,"oc","va")</f>
        <v>oc</v>
      </c>
      <c r="H40" s="130" t="str">
        <f>IF(booking!P40&gt;0,"oc","va")</f>
        <v>va</v>
      </c>
      <c r="I40" s="131" t="str">
        <f>IF(booking!Q40&gt;0,"oc","va")</f>
        <v>va</v>
      </c>
      <c r="J40" s="130" t="str">
        <f>IF(booking!T40&gt;0,"oc","va")</f>
        <v>oc</v>
      </c>
      <c r="K40" s="131" t="str">
        <f>IF(booking!U40&gt;0,"oc","va")</f>
        <v>oc</v>
      </c>
      <c r="L40" s="130" t="str">
        <f>IF(booking!X40&gt;0,"oc","va")</f>
        <v>va</v>
      </c>
      <c r="M40" s="131" t="str">
        <f>IF(booking!Y40&gt;0,"oc","va")</f>
        <v>va</v>
      </c>
    </row>
    <row r="41" spans="1:13" x14ac:dyDescent="0.35">
      <c r="A41" s="5">
        <f>booking!C41</f>
        <v>46178</v>
      </c>
      <c r="B41" s="130" t="str">
        <f>IF(booking!D41&gt;0,"oc","va")</f>
        <v>va</v>
      </c>
      <c r="C41" s="131" t="str">
        <f>IF(booking!E41&gt;0,"oc","va")</f>
        <v>oc</v>
      </c>
      <c r="D41" s="130" t="str">
        <f>IF(booking!H41&gt;0,"oc","va")</f>
        <v>oc</v>
      </c>
      <c r="E41" s="131" t="str">
        <f>IF(booking!I41&gt;0,"oc","va")</f>
        <v>oc</v>
      </c>
      <c r="F41" s="130" t="str">
        <f>IF(booking!L41&gt;0,"oc","va")</f>
        <v>oc</v>
      </c>
      <c r="G41" s="131" t="str">
        <f>IF(booking!M41&gt;0,"oc","va")</f>
        <v>oc</v>
      </c>
      <c r="H41" s="130" t="str">
        <f>IF(booking!P41&gt;0,"oc","va")</f>
        <v>va</v>
      </c>
      <c r="I41" s="131" t="str">
        <f>IF(booking!Q41&gt;0,"oc","va")</f>
        <v>va</v>
      </c>
      <c r="J41" s="130" t="str">
        <f>IF(booking!T41&gt;0,"oc","va")</f>
        <v>oc</v>
      </c>
      <c r="K41" s="131" t="str">
        <f>IF(booking!U41&gt;0,"oc","va")</f>
        <v>oc</v>
      </c>
      <c r="L41" s="130" t="str">
        <f>IF(booking!X41&gt;0,"oc","va")</f>
        <v>va</v>
      </c>
      <c r="M41" s="131" t="str">
        <f>IF(booking!Y41&gt;0,"oc","va")</f>
        <v>va</v>
      </c>
    </row>
    <row r="42" spans="1:13" x14ac:dyDescent="0.35">
      <c r="A42" s="5">
        <f>booking!C42</f>
        <v>46179</v>
      </c>
      <c r="B42" s="130" t="str">
        <f>IF(booking!D42&gt;0,"oc","va")</f>
        <v>oc</v>
      </c>
      <c r="C42" s="131" t="str">
        <f>IF(booking!E42&gt;0,"oc","va")</f>
        <v>oc</v>
      </c>
      <c r="D42" s="130" t="str">
        <f>IF(booking!H42&gt;0,"oc","va")</f>
        <v>oc</v>
      </c>
      <c r="E42" s="131" t="str">
        <f>IF(booking!I42&gt;0,"oc","va")</f>
        <v>oc</v>
      </c>
      <c r="F42" s="130" t="str">
        <f>IF(booking!L42&gt;0,"oc","va")</f>
        <v>oc</v>
      </c>
      <c r="G42" s="131" t="str">
        <f>IF(booking!M42&gt;0,"oc","va")</f>
        <v>oc</v>
      </c>
      <c r="H42" s="130" t="str">
        <f>IF(booking!P42&gt;0,"oc","va")</f>
        <v>va</v>
      </c>
      <c r="I42" s="131" t="str">
        <f>IF(booking!Q42&gt;0,"oc","va")</f>
        <v>va</v>
      </c>
      <c r="J42" s="130" t="str">
        <f>IF(booking!T42&gt;0,"oc","va")</f>
        <v>oc</v>
      </c>
      <c r="K42" s="131" t="str">
        <f>IF(booking!U42&gt;0,"oc","va")</f>
        <v>va</v>
      </c>
      <c r="L42" s="130" t="str">
        <f>IF(booking!X42&gt;0,"oc","va")</f>
        <v>va</v>
      </c>
      <c r="M42" s="131" t="str">
        <f>IF(booking!Y42&gt;0,"oc","va")</f>
        <v>va</v>
      </c>
    </row>
    <row r="43" spans="1:13" x14ac:dyDescent="0.35">
      <c r="A43" s="5">
        <f>booking!C43</f>
        <v>46180</v>
      </c>
      <c r="B43" s="130" t="str">
        <f>IF(booking!D43&gt;0,"oc","va")</f>
        <v>oc</v>
      </c>
      <c r="C43" s="131" t="str">
        <f>IF(booking!E43&gt;0,"oc","va")</f>
        <v>va</v>
      </c>
      <c r="D43" s="130" t="str">
        <f>IF(booking!H43&gt;0,"oc","va")</f>
        <v>oc</v>
      </c>
      <c r="E43" s="131" t="str">
        <f>IF(booking!I43&gt;0,"oc","va")</f>
        <v>va</v>
      </c>
      <c r="F43" s="130" t="str">
        <f>IF(booking!L43&gt;0,"oc","va")</f>
        <v>oc</v>
      </c>
      <c r="G43" s="131" t="str">
        <f>IF(booking!M43&gt;0,"oc","va")</f>
        <v>oc</v>
      </c>
      <c r="H43" s="130" t="str">
        <f>IF(booking!P43&gt;0,"oc","va")</f>
        <v>va</v>
      </c>
      <c r="I43" s="131" t="str">
        <f>IF(booking!Q43&gt;0,"oc","va")</f>
        <v>va</v>
      </c>
      <c r="J43" s="130" t="str">
        <f>IF(booking!T43&gt;0,"oc","va")</f>
        <v>va</v>
      </c>
      <c r="K43" s="131" t="str">
        <f>IF(booking!U43&gt;0,"oc","va")</f>
        <v>va</v>
      </c>
      <c r="L43" s="130" t="str">
        <f>IF(booking!X43&gt;0,"oc","va")</f>
        <v>va</v>
      </c>
      <c r="M43" s="131" t="str">
        <f>IF(booking!Y43&gt;0,"oc","va")</f>
        <v>va</v>
      </c>
    </row>
    <row r="44" spans="1:13" x14ac:dyDescent="0.35">
      <c r="A44" s="5">
        <f>booking!C44</f>
        <v>46181</v>
      </c>
      <c r="B44" s="130" t="str">
        <f>IF(booking!D44&gt;0,"oc","va")</f>
        <v>va</v>
      </c>
      <c r="C44" s="131" t="str">
        <f>IF(booking!E44&gt;0,"oc","va")</f>
        <v>va</v>
      </c>
      <c r="D44" s="130" t="str">
        <f>IF(booking!H44&gt;0,"oc","va")</f>
        <v>va</v>
      </c>
      <c r="E44" s="131" t="str">
        <f>IF(booking!I44&gt;0,"oc","va")</f>
        <v>va</v>
      </c>
      <c r="F44" s="130" t="str">
        <f>IF(booking!L44&gt;0,"oc","va")</f>
        <v>oc</v>
      </c>
      <c r="G44" s="131" t="str">
        <f>IF(booking!M44&gt;0,"oc","va")</f>
        <v>oc</v>
      </c>
      <c r="H44" s="130" t="str">
        <f>IF(booking!P44&gt;0,"oc","va")</f>
        <v>va</v>
      </c>
      <c r="I44" s="131" t="str">
        <f>IF(booking!Q44&gt;0,"oc","va")</f>
        <v>oc</v>
      </c>
      <c r="J44" s="130" t="str">
        <f>IF(booking!T44&gt;0,"oc","va")</f>
        <v>va</v>
      </c>
      <c r="K44" s="131" t="str">
        <f>IF(booking!U44&gt;0,"oc","va")</f>
        <v>oc</v>
      </c>
      <c r="L44" s="130" t="str">
        <f>IF(booking!X44&gt;0,"oc","va")</f>
        <v>va</v>
      </c>
      <c r="M44" s="131" t="str">
        <f>IF(booking!Y44&gt;0,"oc","va")</f>
        <v>va</v>
      </c>
    </row>
    <row r="45" spans="1:13" x14ac:dyDescent="0.35">
      <c r="A45" s="5">
        <f>booking!C45</f>
        <v>46182</v>
      </c>
      <c r="B45" s="130" t="str">
        <f>IF(booking!D45&gt;0,"oc","va")</f>
        <v>va</v>
      </c>
      <c r="C45" s="131" t="str">
        <f>IF(booking!E45&gt;0,"oc","va")</f>
        <v>oc</v>
      </c>
      <c r="D45" s="130" t="str">
        <f>IF(booking!H45&gt;0,"oc","va")</f>
        <v>va</v>
      </c>
      <c r="E45" s="131" t="str">
        <f>IF(booking!I45&gt;0,"oc","va")</f>
        <v>oc</v>
      </c>
      <c r="F45" s="130" t="str">
        <f>IF(booking!L45&gt;0,"oc","va")</f>
        <v>oc</v>
      </c>
      <c r="G45" s="131" t="str">
        <f>IF(booking!M45&gt;0,"oc","va")</f>
        <v>oc</v>
      </c>
      <c r="H45" s="130" t="str">
        <f>IF(booking!P45&gt;0,"oc","va")</f>
        <v>oc</v>
      </c>
      <c r="I45" s="131" t="str">
        <f>IF(booking!Q45&gt;0,"oc","va")</f>
        <v>oc</v>
      </c>
      <c r="J45" s="130" t="str">
        <f>IF(booking!T45&gt;0,"oc","va")</f>
        <v>oc</v>
      </c>
      <c r="K45" s="131" t="str">
        <f>IF(booking!U45&gt;0,"oc","va")</f>
        <v>oc</v>
      </c>
      <c r="L45" s="130" t="str">
        <f>IF(booking!X45&gt;0,"oc","va")</f>
        <v>va</v>
      </c>
      <c r="M45" s="131" t="str">
        <f>IF(booking!Y45&gt;0,"oc","va")</f>
        <v>va</v>
      </c>
    </row>
    <row r="46" spans="1:13" x14ac:dyDescent="0.35">
      <c r="A46" s="5">
        <f>booking!C46</f>
        <v>46183</v>
      </c>
      <c r="B46" s="130" t="str">
        <f>IF(booking!D46&gt;0,"oc","va")</f>
        <v>oc</v>
      </c>
      <c r="C46" s="131" t="str">
        <f>IF(booking!E46&gt;0,"oc","va")</f>
        <v>oc</v>
      </c>
      <c r="D46" s="130" t="str">
        <f>IF(booking!H46&gt;0,"oc","va")</f>
        <v>oc</v>
      </c>
      <c r="E46" s="131" t="str">
        <f>IF(booking!I46&gt;0,"oc","va")</f>
        <v>oc</v>
      </c>
      <c r="F46" s="130" t="str">
        <f>IF(booking!L46&gt;0,"oc","va")</f>
        <v>oc</v>
      </c>
      <c r="G46" s="131" t="str">
        <f>IF(booking!M46&gt;0,"oc","va")</f>
        <v>oc</v>
      </c>
      <c r="H46" s="130" t="str">
        <f>IF(booking!P46&gt;0,"oc","va")</f>
        <v>oc</v>
      </c>
      <c r="I46" s="131" t="str">
        <f>IF(booking!Q46&gt;0,"oc","va")</f>
        <v>oc</v>
      </c>
      <c r="J46" s="130" t="str">
        <f>IF(booking!T46&gt;0,"oc","va")</f>
        <v>oc</v>
      </c>
      <c r="K46" s="131" t="str">
        <f>IF(booking!U46&gt;0,"oc","va")</f>
        <v>oc</v>
      </c>
      <c r="L46" s="130" t="str">
        <f>IF(booking!X46&gt;0,"oc","va")</f>
        <v>va</v>
      </c>
      <c r="M46" s="131" t="str">
        <f>IF(booking!Y46&gt;0,"oc","va")</f>
        <v>va</v>
      </c>
    </row>
    <row r="47" spans="1:13" x14ac:dyDescent="0.35">
      <c r="A47" s="5">
        <f>booking!C47</f>
        <v>46184</v>
      </c>
      <c r="B47" s="130" t="str">
        <f>IF(booking!D47&gt;0,"oc","va")</f>
        <v>oc</v>
      </c>
      <c r="C47" s="131" t="str">
        <f>IF(booking!E47&gt;0,"oc","va")</f>
        <v>oc</v>
      </c>
      <c r="D47" s="130" t="str">
        <f>IF(booking!H47&gt;0,"oc","va")</f>
        <v>oc</v>
      </c>
      <c r="E47" s="131" t="str">
        <f>IF(booking!I47&gt;0,"oc","va")</f>
        <v>oc</v>
      </c>
      <c r="F47" s="130" t="str">
        <f>IF(booking!L47&gt;0,"oc","va")</f>
        <v>oc</v>
      </c>
      <c r="G47" s="131" t="str">
        <f>IF(booking!M47&gt;0,"oc","va")</f>
        <v>oc</v>
      </c>
      <c r="H47" s="130" t="str">
        <f>IF(booking!P47&gt;0,"oc","va")</f>
        <v>oc</v>
      </c>
      <c r="I47" s="131" t="str">
        <f>IF(booking!Q47&gt;0,"oc","va")</f>
        <v>oc</v>
      </c>
      <c r="J47" s="130" t="str">
        <f>IF(booking!T47&gt;0,"oc","va")</f>
        <v>oc</v>
      </c>
      <c r="K47" s="131" t="str">
        <f>IF(booking!U47&gt;0,"oc","va")</f>
        <v>oc</v>
      </c>
      <c r="L47" s="130" t="str">
        <f>IF(booking!X47&gt;0,"oc","va")</f>
        <v>va</v>
      </c>
      <c r="M47" s="131" t="str">
        <f>IF(booking!Y47&gt;0,"oc","va")</f>
        <v>va</v>
      </c>
    </row>
    <row r="48" spans="1:13" x14ac:dyDescent="0.35">
      <c r="A48" s="5">
        <f>booking!C48</f>
        <v>46185</v>
      </c>
      <c r="B48" s="130" t="str">
        <f>IF(booking!D48&gt;0,"oc","va")</f>
        <v>oc</v>
      </c>
      <c r="C48" s="131" t="str">
        <f>IF(booking!E48&gt;0,"oc","va")</f>
        <v>oc</v>
      </c>
      <c r="D48" s="130" t="str">
        <f>IF(booking!H48&gt;0,"oc","va")</f>
        <v>oc</v>
      </c>
      <c r="E48" s="131" t="str">
        <f>IF(booking!I48&gt;0,"oc","va")</f>
        <v>oc</v>
      </c>
      <c r="F48" s="130" t="str">
        <f>IF(booking!L48&gt;0,"oc","va")</f>
        <v>oc</v>
      </c>
      <c r="G48" s="131" t="str">
        <f>IF(booking!M48&gt;0,"oc","va")</f>
        <v>oc</v>
      </c>
      <c r="H48" s="130" t="str">
        <f>IF(booking!P48&gt;0,"oc","va")</f>
        <v>oc</v>
      </c>
      <c r="I48" s="131" t="str">
        <f>IF(booking!Q48&gt;0,"oc","va")</f>
        <v>oc</v>
      </c>
      <c r="J48" s="130" t="str">
        <f>IF(booking!T48&gt;0,"oc","va")</f>
        <v>oc</v>
      </c>
      <c r="K48" s="131" t="str">
        <f>IF(booking!U48&gt;0,"oc","va")</f>
        <v>oc</v>
      </c>
      <c r="L48" s="130" t="str">
        <f>IF(booking!X48&gt;0,"oc","va")</f>
        <v>va</v>
      </c>
      <c r="M48" s="131" t="str">
        <f>IF(booking!Y48&gt;0,"oc","va")</f>
        <v>va</v>
      </c>
    </row>
    <row r="49" spans="1:13" x14ac:dyDescent="0.35">
      <c r="A49" s="5">
        <f>booking!C49</f>
        <v>46186</v>
      </c>
      <c r="B49" s="130" t="str">
        <f>IF(booking!D49&gt;0,"oc","va")</f>
        <v>oc</v>
      </c>
      <c r="C49" s="131" t="str">
        <f>IF(booking!E49&gt;0,"oc","va")</f>
        <v>oc</v>
      </c>
      <c r="D49" s="130" t="str">
        <f>IF(booking!H49&gt;0,"oc","va")</f>
        <v>oc</v>
      </c>
      <c r="E49" s="131" t="str">
        <f>IF(booking!I49&gt;0,"oc","va")</f>
        <v>oc</v>
      </c>
      <c r="F49" s="130" t="str">
        <f>IF(booking!L49&gt;0,"oc","va")</f>
        <v>oc</v>
      </c>
      <c r="G49" s="131" t="str">
        <f>IF(booking!M49&gt;0,"oc","va")</f>
        <v>oc</v>
      </c>
      <c r="H49" s="130" t="str">
        <f>IF(booking!P49&gt;0,"oc","va")</f>
        <v>oc</v>
      </c>
      <c r="I49" s="131" t="str">
        <f>IF(booking!Q49&gt;0,"oc","va")</f>
        <v>oc</v>
      </c>
      <c r="J49" s="130" t="str">
        <f>IF(booking!T49&gt;0,"oc","va")</f>
        <v>oc</v>
      </c>
      <c r="K49" s="131" t="str">
        <f>IF(booking!U49&gt;0,"oc","va")</f>
        <v>oc</v>
      </c>
      <c r="L49" s="130" t="str">
        <f>IF(booking!X49&gt;0,"oc","va")</f>
        <v>va</v>
      </c>
      <c r="M49" s="131" t="str">
        <f>IF(booking!Y49&gt;0,"oc","va")</f>
        <v>va</v>
      </c>
    </row>
    <row r="50" spans="1:13" x14ac:dyDescent="0.35">
      <c r="A50" s="5">
        <f>booking!C50</f>
        <v>46187</v>
      </c>
      <c r="B50" s="130" t="str">
        <f>IF(booking!D50&gt;0,"oc","va")</f>
        <v>oc</v>
      </c>
      <c r="C50" s="131" t="str">
        <f>IF(booking!E50&gt;0,"oc","va")</f>
        <v>oc</v>
      </c>
      <c r="D50" s="130" t="str">
        <f>IF(booking!H50&gt;0,"oc","va")</f>
        <v>oc</v>
      </c>
      <c r="E50" s="131" t="str">
        <f>IF(booking!I50&gt;0,"oc","va")</f>
        <v>oc</v>
      </c>
      <c r="F50" s="130" t="str">
        <f>IF(booking!L50&gt;0,"oc","va")</f>
        <v>oc</v>
      </c>
      <c r="G50" s="131" t="str">
        <f>IF(booking!M50&gt;0,"oc","va")</f>
        <v>oc</v>
      </c>
      <c r="H50" s="130" t="str">
        <f>IF(booking!P50&gt;0,"oc","va")</f>
        <v>oc</v>
      </c>
      <c r="I50" s="131" t="str">
        <f>IF(booking!Q50&gt;0,"oc","va")</f>
        <v>oc</v>
      </c>
      <c r="J50" s="130" t="str">
        <f>IF(booking!T50&gt;0,"oc","va")</f>
        <v>oc</v>
      </c>
      <c r="K50" s="131" t="str">
        <f>IF(booking!U50&gt;0,"oc","va")</f>
        <v>oc</v>
      </c>
      <c r="L50" s="130" t="str">
        <f>IF(booking!X50&gt;0,"oc","va")</f>
        <v>va</v>
      </c>
      <c r="M50" s="131" t="str">
        <f>IF(booking!Y50&gt;0,"oc","va")</f>
        <v>va</v>
      </c>
    </row>
    <row r="51" spans="1:13" x14ac:dyDescent="0.35">
      <c r="A51" s="5">
        <f>booking!C51</f>
        <v>46188</v>
      </c>
      <c r="B51" s="130" t="str">
        <f>IF(booking!D51&gt;0,"oc","va")</f>
        <v>oc</v>
      </c>
      <c r="C51" s="131" t="str">
        <f>IF(booking!E51&gt;0,"oc","va")</f>
        <v>va</v>
      </c>
      <c r="D51" s="130" t="str">
        <f>IF(booking!H51&gt;0,"oc","va")</f>
        <v>oc</v>
      </c>
      <c r="E51" s="131" t="str">
        <f>IF(booking!I51&gt;0,"oc","va")</f>
        <v>va</v>
      </c>
      <c r="F51" s="130" t="str">
        <f>IF(booking!L51&gt;0,"oc","va")</f>
        <v>oc</v>
      </c>
      <c r="G51" s="131" t="str">
        <f>IF(booking!M51&gt;0,"oc","va")</f>
        <v>oc</v>
      </c>
      <c r="H51" s="130" t="str">
        <f>IF(booking!P51&gt;0,"oc","va")</f>
        <v>oc</v>
      </c>
      <c r="I51" s="131" t="str">
        <f>IF(booking!Q51&gt;0,"oc","va")</f>
        <v>oc</v>
      </c>
      <c r="J51" s="130" t="str">
        <f>IF(booking!T51&gt;0,"oc","va")</f>
        <v>oc</v>
      </c>
      <c r="K51" s="131" t="str">
        <f>IF(booking!U51&gt;0,"oc","va")</f>
        <v>oc</v>
      </c>
      <c r="L51" s="130" t="str">
        <f>IF(booking!X51&gt;0,"oc","va")</f>
        <v>va</v>
      </c>
      <c r="M51" s="131" t="str">
        <f>IF(booking!Y51&gt;0,"oc","va")</f>
        <v>va</v>
      </c>
    </row>
    <row r="52" spans="1:13" x14ac:dyDescent="0.35">
      <c r="A52" s="5">
        <f>booking!C52</f>
        <v>46189</v>
      </c>
      <c r="B52" s="130" t="str">
        <f>IF(booking!D52&gt;0,"oc","va")</f>
        <v>va</v>
      </c>
      <c r="C52" s="131" t="str">
        <f>IF(booking!E52&gt;0,"oc","va")</f>
        <v>va</v>
      </c>
      <c r="D52" s="130" t="str">
        <f>IF(booking!H52&gt;0,"oc","va")</f>
        <v>va</v>
      </c>
      <c r="E52" s="131" t="str">
        <f>IF(booking!I52&gt;0,"oc","va")</f>
        <v>va</v>
      </c>
      <c r="F52" s="130" t="str">
        <f>IF(booking!L52&gt;0,"oc","va")</f>
        <v>oc</v>
      </c>
      <c r="G52" s="131" t="str">
        <f>IF(booking!M52&gt;0,"oc","va")</f>
        <v>oc</v>
      </c>
      <c r="H52" s="130" t="str">
        <f>IF(booking!P52&gt;0,"oc","va")</f>
        <v>oc</v>
      </c>
      <c r="I52" s="131" t="str">
        <f>IF(booking!Q52&gt;0,"oc","va")</f>
        <v>oc</v>
      </c>
      <c r="J52" s="130" t="str">
        <f>IF(booking!T52&gt;0,"oc","va")</f>
        <v>oc</v>
      </c>
      <c r="K52" s="131" t="str">
        <f>IF(booking!U52&gt;0,"oc","va")</f>
        <v>oc</v>
      </c>
      <c r="L52" s="130" t="str">
        <f>IF(booking!X52&gt;0,"oc","va")</f>
        <v>va</v>
      </c>
      <c r="M52" s="131" t="str">
        <f>IF(booking!Y52&gt;0,"oc","va")</f>
        <v>va</v>
      </c>
    </row>
    <row r="53" spans="1:13" x14ac:dyDescent="0.35">
      <c r="A53" s="5">
        <f>booking!C53</f>
        <v>46190</v>
      </c>
      <c r="B53" s="130" t="str">
        <f>IF(booking!D53&gt;0,"oc","va")</f>
        <v>va</v>
      </c>
      <c r="C53" s="131" t="str">
        <f>IF(booking!E53&gt;0,"oc","va")</f>
        <v>oc</v>
      </c>
      <c r="D53" s="130" t="str">
        <f>IF(booking!H53&gt;0,"oc","va")</f>
        <v>va</v>
      </c>
      <c r="E53" s="131" t="str">
        <f>IF(booking!I53&gt;0,"oc","va")</f>
        <v>va</v>
      </c>
      <c r="F53" s="130" t="str">
        <f>IF(booking!L53&gt;0,"oc","va")</f>
        <v>oc</v>
      </c>
      <c r="G53" s="131" t="str">
        <f>IF(booking!M53&gt;0,"oc","va")</f>
        <v>oc</v>
      </c>
      <c r="H53" s="130" t="str">
        <f>IF(booking!P53&gt;0,"oc","va")</f>
        <v>oc</v>
      </c>
      <c r="I53" s="131" t="str">
        <f>IF(booking!Q53&gt;0,"oc","va")</f>
        <v>oc</v>
      </c>
      <c r="J53" s="130" t="str">
        <f>IF(booking!T53&gt;0,"oc","va")</f>
        <v>oc</v>
      </c>
      <c r="K53" s="131" t="str">
        <f>IF(booking!U53&gt;0,"oc","va")</f>
        <v>oc</v>
      </c>
      <c r="L53" s="130" t="str">
        <f>IF(booking!X53&gt;0,"oc","va")</f>
        <v>va</v>
      </c>
      <c r="M53" s="131" t="str">
        <f>IF(booking!Y53&gt;0,"oc","va")</f>
        <v>va</v>
      </c>
    </row>
    <row r="54" spans="1:13" x14ac:dyDescent="0.35">
      <c r="A54" s="5">
        <f>booking!C54</f>
        <v>46191</v>
      </c>
      <c r="B54" s="130" t="str">
        <f>IF(booking!D54&gt;0,"oc","va")</f>
        <v>oc</v>
      </c>
      <c r="C54" s="131" t="str">
        <f>IF(booking!E54&gt;0,"oc","va")</f>
        <v>oc</v>
      </c>
      <c r="D54" s="130" t="str">
        <f>IF(booking!H54&gt;0,"oc","va")</f>
        <v>va</v>
      </c>
      <c r="E54" s="131" t="str">
        <f>IF(booking!I54&gt;0,"oc","va")</f>
        <v>va</v>
      </c>
      <c r="F54" s="130" t="str">
        <f>IF(booking!L54&gt;0,"oc","va")</f>
        <v>oc</v>
      </c>
      <c r="G54" s="131" t="str">
        <f>IF(booking!M54&gt;0,"oc","va")</f>
        <v>va</v>
      </c>
      <c r="H54" s="130" t="str">
        <f>IF(booking!P54&gt;0,"oc","va")</f>
        <v>oc</v>
      </c>
      <c r="I54" s="131" t="str">
        <f>IF(booking!Q54&gt;0,"oc","va")</f>
        <v>oc</v>
      </c>
      <c r="J54" s="130" t="str">
        <f>IF(booking!T54&gt;0,"oc","va")</f>
        <v>oc</v>
      </c>
      <c r="K54" s="131" t="str">
        <f>IF(booking!U54&gt;0,"oc","va")</f>
        <v>oc</v>
      </c>
      <c r="L54" s="130" t="str">
        <f>IF(booking!X54&gt;0,"oc","va")</f>
        <v>va</v>
      </c>
      <c r="M54" s="131" t="str">
        <f>IF(booking!Y54&gt;0,"oc","va")</f>
        <v>va</v>
      </c>
    </row>
    <row r="55" spans="1:13" x14ac:dyDescent="0.35">
      <c r="A55" s="5">
        <f>booking!C55</f>
        <v>46192</v>
      </c>
      <c r="B55" s="130" t="str">
        <f>IF(booking!D55&gt;0,"oc","va")</f>
        <v>oc</v>
      </c>
      <c r="C55" s="131" t="str">
        <f>IF(booking!E55&gt;0,"oc","va")</f>
        <v>oc</v>
      </c>
      <c r="D55" s="130" t="str">
        <f>IF(booking!H55&gt;0,"oc","va")</f>
        <v>va</v>
      </c>
      <c r="E55" s="131" t="str">
        <f>IF(booking!I55&gt;0,"oc","va")</f>
        <v>va</v>
      </c>
      <c r="F55" s="130" t="str">
        <f>IF(booking!L55&gt;0,"oc","va")</f>
        <v>va</v>
      </c>
      <c r="G55" s="131" t="str">
        <f>IF(booking!M55&gt;0,"oc","va")</f>
        <v>oc</v>
      </c>
      <c r="H55" s="130" t="str">
        <f>IF(booking!P55&gt;0,"oc","va")</f>
        <v>oc</v>
      </c>
      <c r="I55" s="131" t="str">
        <f>IF(booking!Q55&gt;0,"oc","va")</f>
        <v>oc</v>
      </c>
      <c r="J55" s="130" t="str">
        <f>IF(booking!T55&gt;0,"oc","va")</f>
        <v>oc</v>
      </c>
      <c r="K55" s="131" t="str">
        <f>IF(booking!U55&gt;0,"oc","va")</f>
        <v>oc</v>
      </c>
      <c r="L55" s="130" t="str">
        <f>IF(booking!X55&gt;0,"oc","va")</f>
        <v>va</v>
      </c>
      <c r="M55" s="131" t="str">
        <f>IF(booking!Y55&gt;0,"oc","va")</f>
        <v>va</v>
      </c>
    </row>
    <row r="56" spans="1:13" x14ac:dyDescent="0.35">
      <c r="A56" s="5">
        <f>booking!C56</f>
        <v>46193</v>
      </c>
      <c r="B56" s="130" t="str">
        <f>IF(booking!D56&gt;0,"oc","va")</f>
        <v>oc</v>
      </c>
      <c r="C56" s="131" t="str">
        <f>IF(booking!E56&gt;0,"oc","va")</f>
        <v>oc</v>
      </c>
      <c r="D56" s="130" t="str">
        <f>IF(booking!H56&gt;0,"oc","va")</f>
        <v>va</v>
      </c>
      <c r="E56" s="131" t="str">
        <f>IF(booking!I56&gt;0,"oc","va")</f>
        <v>va</v>
      </c>
      <c r="F56" s="130" t="str">
        <f>IF(booking!L56&gt;0,"oc","va")</f>
        <v>oc</v>
      </c>
      <c r="G56" s="131" t="str">
        <f>IF(booking!M56&gt;0,"oc","va")</f>
        <v>oc</v>
      </c>
      <c r="H56" s="130" t="str">
        <f>IF(booking!P56&gt;0,"oc","va")</f>
        <v>oc</v>
      </c>
      <c r="I56" s="131" t="str">
        <f>IF(booking!Q56&gt;0,"oc","va")</f>
        <v>va</v>
      </c>
      <c r="J56" s="130" t="str">
        <f>IF(booking!T56&gt;0,"oc","va")</f>
        <v>oc</v>
      </c>
      <c r="K56" s="131" t="str">
        <f>IF(booking!U56&gt;0,"oc","va")</f>
        <v>oc</v>
      </c>
      <c r="L56" s="130" t="str">
        <f>IF(booking!X56&gt;0,"oc","va")</f>
        <v>va</v>
      </c>
      <c r="M56" s="131" t="str">
        <f>IF(booking!Y56&gt;0,"oc","va")</f>
        <v>va</v>
      </c>
    </row>
    <row r="57" spans="1:13" x14ac:dyDescent="0.35">
      <c r="A57" s="5">
        <f>booking!C57</f>
        <v>46194</v>
      </c>
      <c r="B57" s="130" t="str">
        <f>IF(booking!D57&gt;0,"oc","va")</f>
        <v>oc</v>
      </c>
      <c r="C57" s="131" t="str">
        <f>IF(booking!E57&gt;0,"oc","va")</f>
        <v>oc</v>
      </c>
      <c r="D57" s="130" t="str">
        <f>IF(booking!H57&gt;0,"oc","va")</f>
        <v>va</v>
      </c>
      <c r="E57" s="131" t="str">
        <f>IF(booking!I57&gt;0,"oc","va")</f>
        <v>va</v>
      </c>
      <c r="F57" s="130" t="str">
        <f>IF(booking!L57&gt;0,"oc","va")</f>
        <v>oc</v>
      </c>
      <c r="G57" s="131" t="str">
        <f>IF(booking!M57&gt;0,"oc","va")</f>
        <v>va</v>
      </c>
      <c r="H57" s="130" t="str">
        <f>IF(booking!P57&gt;0,"oc","va")</f>
        <v>va</v>
      </c>
      <c r="I57" s="131" t="str">
        <f>IF(booking!Q57&gt;0,"oc","va")</f>
        <v>va</v>
      </c>
      <c r="J57" s="130" t="str">
        <f>IF(booking!T57&gt;0,"oc","va")</f>
        <v>oc</v>
      </c>
      <c r="K57" s="131" t="str">
        <f>IF(booking!U57&gt;0,"oc","va")</f>
        <v>oc</v>
      </c>
      <c r="L57" s="130" t="str">
        <f>IF(booking!X57&gt;0,"oc","va")</f>
        <v>va</v>
      </c>
      <c r="M57" s="131" t="str">
        <f>IF(booking!Y57&gt;0,"oc","va")</f>
        <v>va</v>
      </c>
    </row>
    <row r="58" spans="1:13" x14ac:dyDescent="0.35">
      <c r="A58" s="5">
        <f>booking!C58</f>
        <v>46195</v>
      </c>
      <c r="B58" s="130" t="str">
        <f>IF(booking!D58&gt;0,"oc","va")</f>
        <v>oc</v>
      </c>
      <c r="C58" s="131" t="str">
        <f>IF(booking!E58&gt;0,"oc","va")</f>
        <v>va</v>
      </c>
      <c r="D58" s="130" t="str">
        <f>IF(booking!H58&gt;0,"oc","va")</f>
        <v>va</v>
      </c>
      <c r="E58" s="131" t="str">
        <f>IF(booking!I58&gt;0,"oc","va")</f>
        <v>va</v>
      </c>
      <c r="F58" s="130" t="str">
        <f>IF(booking!L58&gt;0,"oc","va")</f>
        <v>va</v>
      </c>
      <c r="G58" s="131" t="str">
        <f>IF(booking!M58&gt;0,"oc","va")</f>
        <v>va</v>
      </c>
      <c r="H58" s="130" t="str">
        <f>IF(booking!P58&gt;0,"oc","va")</f>
        <v>va</v>
      </c>
      <c r="I58" s="131" t="str">
        <f>IF(booking!Q58&gt;0,"oc","va")</f>
        <v>oc</v>
      </c>
      <c r="J58" s="130" t="str">
        <f>IF(booking!T58&gt;0,"oc","va")</f>
        <v>oc</v>
      </c>
      <c r="K58" s="131" t="str">
        <f>IF(booking!U58&gt;0,"oc","va")</f>
        <v>va</v>
      </c>
      <c r="L58" s="130" t="str">
        <f>IF(booking!X58&gt;0,"oc","va")</f>
        <v>va</v>
      </c>
      <c r="M58" s="131" t="str">
        <f>IF(booking!Y58&gt;0,"oc","va")</f>
        <v>va</v>
      </c>
    </row>
    <row r="59" spans="1:13" x14ac:dyDescent="0.35">
      <c r="A59" s="5">
        <f>booking!C59</f>
        <v>46196</v>
      </c>
      <c r="B59" s="130" t="str">
        <f>IF(booking!D59&gt;0,"oc","va")</f>
        <v>va</v>
      </c>
      <c r="C59" s="131" t="str">
        <f>IF(booking!E59&gt;0,"oc","va")</f>
        <v>va</v>
      </c>
      <c r="D59" s="130" t="str">
        <f>IF(booking!H59&gt;0,"oc","va")</f>
        <v>va</v>
      </c>
      <c r="E59" s="131" t="str">
        <f>IF(booking!I59&gt;0,"oc","va")</f>
        <v>va</v>
      </c>
      <c r="F59" s="130" t="str">
        <f>IF(booking!L59&gt;0,"oc","va")</f>
        <v>va</v>
      </c>
      <c r="G59" s="131" t="str">
        <f>IF(booking!M59&gt;0,"oc","va")</f>
        <v>va</v>
      </c>
      <c r="H59" s="130" t="str">
        <f>IF(booking!P59&gt;0,"oc","va")</f>
        <v>oc</v>
      </c>
      <c r="I59" s="131" t="str">
        <f>IF(booking!Q59&gt;0,"oc","va")</f>
        <v>oc</v>
      </c>
      <c r="J59" s="130" t="str">
        <f>IF(booking!T59&gt;0,"oc","va")</f>
        <v>va</v>
      </c>
      <c r="K59" s="131" t="str">
        <f>IF(booking!U59&gt;0,"oc","va")</f>
        <v>va</v>
      </c>
      <c r="L59" s="130" t="str">
        <f>IF(booking!X59&gt;0,"oc","va")</f>
        <v>va</v>
      </c>
      <c r="M59" s="131" t="str">
        <f>IF(booking!Y59&gt;0,"oc","va")</f>
        <v>va</v>
      </c>
    </row>
    <row r="60" spans="1:13" x14ac:dyDescent="0.35">
      <c r="A60" s="5">
        <f>booking!C60</f>
        <v>46197</v>
      </c>
      <c r="B60" s="130" t="str">
        <f>IF(booking!D60&gt;0,"oc","va")</f>
        <v>va</v>
      </c>
      <c r="C60" s="131" t="str">
        <f>IF(booking!E60&gt;0,"oc","va")</f>
        <v>va</v>
      </c>
      <c r="D60" s="130" t="str">
        <f>IF(booking!H60&gt;0,"oc","va")</f>
        <v>va</v>
      </c>
      <c r="E60" s="131" t="str">
        <f>IF(booking!I60&gt;0,"oc","va")</f>
        <v>va</v>
      </c>
      <c r="F60" s="130" t="str">
        <f>IF(booking!L60&gt;0,"oc","va")</f>
        <v>va</v>
      </c>
      <c r="G60" s="131" t="str">
        <f>IF(booking!M60&gt;0,"oc","va")</f>
        <v>va</v>
      </c>
      <c r="H60" s="130" t="str">
        <f>IF(booking!P60&gt;0,"oc","va")</f>
        <v>oc</v>
      </c>
      <c r="I60" s="131" t="str">
        <f>IF(booking!Q60&gt;0,"oc","va")</f>
        <v>oc</v>
      </c>
      <c r="J60" s="130" t="str">
        <f>IF(booking!T60&gt;0,"oc","va")</f>
        <v>va</v>
      </c>
      <c r="K60" s="131" t="str">
        <f>IF(booking!U60&gt;0,"oc","va")</f>
        <v>va</v>
      </c>
      <c r="L60" s="130" t="str">
        <f>IF(booking!X60&gt;0,"oc","va")</f>
        <v>va</v>
      </c>
      <c r="M60" s="131" t="str">
        <f>IF(booking!Y60&gt;0,"oc","va")</f>
        <v>va</v>
      </c>
    </row>
    <row r="61" spans="1:13" x14ac:dyDescent="0.35">
      <c r="A61" s="5">
        <f>booking!C61</f>
        <v>46198</v>
      </c>
      <c r="B61" s="130" t="str">
        <f>IF(booking!D61&gt;0,"oc","va")</f>
        <v>va</v>
      </c>
      <c r="C61" s="131" t="str">
        <f>IF(booking!E61&gt;0,"oc","va")</f>
        <v>va</v>
      </c>
      <c r="D61" s="130" t="str">
        <f>IF(booking!H61&gt;0,"oc","va")</f>
        <v>va</v>
      </c>
      <c r="E61" s="131" t="str">
        <f>IF(booking!I61&gt;0,"oc","va")</f>
        <v>va</v>
      </c>
      <c r="F61" s="130" t="str">
        <f>IF(booking!L61&gt;0,"oc","va")</f>
        <v>va</v>
      </c>
      <c r="G61" s="131" t="str">
        <f>IF(booking!M61&gt;0,"oc","va")</f>
        <v>oc</v>
      </c>
      <c r="H61" s="130" t="str">
        <f>IF(booking!P61&gt;0,"oc","va")</f>
        <v>oc</v>
      </c>
      <c r="I61" s="131" t="str">
        <f>IF(booking!Q61&gt;0,"oc","va")</f>
        <v>oc</v>
      </c>
      <c r="J61" s="130" t="str">
        <f>IF(booking!T61&gt;0,"oc","va")</f>
        <v>va</v>
      </c>
      <c r="K61" s="131" t="str">
        <f>IF(booking!U61&gt;0,"oc","va")</f>
        <v>va</v>
      </c>
      <c r="L61" s="130" t="str">
        <f>IF(booking!X61&gt;0,"oc","va")</f>
        <v>va</v>
      </c>
      <c r="M61" s="131" t="str">
        <f>IF(booking!Y61&gt;0,"oc","va")</f>
        <v>va</v>
      </c>
    </row>
    <row r="62" spans="1:13" x14ac:dyDescent="0.35">
      <c r="A62" s="5">
        <f>booking!C62</f>
        <v>46199</v>
      </c>
      <c r="B62" s="130" t="str">
        <f>IF(booking!D62&gt;0,"oc","va")</f>
        <v>va</v>
      </c>
      <c r="C62" s="131" t="str">
        <f>IF(booking!E62&gt;0,"oc","va")</f>
        <v>oc</v>
      </c>
      <c r="D62" s="130" t="str">
        <f>IF(booking!H62&gt;0,"oc","va")</f>
        <v>va</v>
      </c>
      <c r="E62" s="131" t="str">
        <f>IF(booking!I62&gt;0,"oc","va")</f>
        <v>oc</v>
      </c>
      <c r="F62" s="130" t="str">
        <f>IF(booking!L62&gt;0,"oc","va")</f>
        <v>oc</v>
      </c>
      <c r="G62" s="131" t="str">
        <f>IF(booking!M62&gt;0,"oc","va")</f>
        <v>oc</v>
      </c>
      <c r="H62" s="130" t="str">
        <f>IF(booking!P62&gt;0,"oc","va")</f>
        <v>oc</v>
      </c>
      <c r="I62" s="131" t="str">
        <f>IF(booking!Q62&gt;0,"oc","va")</f>
        <v>oc</v>
      </c>
      <c r="J62" s="130" t="str">
        <f>IF(booking!T62&gt;0,"oc","va")</f>
        <v>va</v>
      </c>
      <c r="K62" s="131" t="str">
        <f>IF(booking!U62&gt;0,"oc","va")</f>
        <v>va</v>
      </c>
      <c r="L62" s="130" t="str">
        <f>IF(booking!X62&gt;0,"oc","va")</f>
        <v>va</v>
      </c>
      <c r="M62" s="131" t="str">
        <f>IF(booking!Y62&gt;0,"oc","va")</f>
        <v>va</v>
      </c>
    </row>
    <row r="63" spans="1:13" x14ac:dyDescent="0.35">
      <c r="A63" s="5">
        <f>booking!C63</f>
        <v>46200</v>
      </c>
      <c r="B63" s="130" t="str">
        <f>IF(booking!D63&gt;0,"oc","va")</f>
        <v>oc</v>
      </c>
      <c r="C63" s="131" t="str">
        <f>IF(booking!E63&gt;0,"oc","va")</f>
        <v>oc</v>
      </c>
      <c r="D63" s="130" t="str">
        <f>IF(booking!H63&gt;0,"oc","va")</f>
        <v>oc</v>
      </c>
      <c r="E63" s="131" t="str">
        <f>IF(booking!I63&gt;0,"oc","va")</f>
        <v>oc</v>
      </c>
      <c r="F63" s="130" t="str">
        <f>IF(booking!L63&gt;0,"oc","va")</f>
        <v>oc</v>
      </c>
      <c r="G63" s="131" t="str">
        <f>IF(booking!M63&gt;0,"oc","va")</f>
        <v>oc</v>
      </c>
      <c r="H63" s="130" t="str">
        <f>IF(booking!P63&gt;0,"oc","va")</f>
        <v>oc</v>
      </c>
      <c r="I63" s="131" t="str">
        <f>IF(booking!Q63&gt;0,"oc","va")</f>
        <v>oc</v>
      </c>
      <c r="J63" s="130" t="str">
        <f>IF(booking!T63&gt;0,"oc","va")</f>
        <v>va</v>
      </c>
      <c r="K63" s="131" t="str">
        <f>IF(booking!U63&gt;0,"oc","va")</f>
        <v>oc</v>
      </c>
      <c r="L63" s="130" t="str">
        <f>IF(booking!X63&gt;0,"oc","va")</f>
        <v>va</v>
      </c>
      <c r="M63" s="131" t="str">
        <f>IF(booking!Y63&gt;0,"oc","va")</f>
        <v>va</v>
      </c>
    </row>
    <row r="64" spans="1:13" x14ac:dyDescent="0.35">
      <c r="A64" s="5">
        <f>booking!C64</f>
        <v>46201</v>
      </c>
      <c r="B64" s="130" t="str">
        <f>IF(booking!D64&gt;0,"oc","va")</f>
        <v>oc</v>
      </c>
      <c r="C64" s="131" t="str">
        <f>IF(booking!E64&gt;0,"oc","va")</f>
        <v>oc</v>
      </c>
      <c r="D64" s="130" t="str">
        <f>IF(booking!H64&gt;0,"oc","va")</f>
        <v>oc</v>
      </c>
      <c r="E64" s="131" t="str">
        <f>IF(booking!I64&gt;0,"oc","va")</f>
        <v>oc</v>
      </c>
      <c r="F64" s="130" t="str">
        <f>IF(booking!L64&gt;0,"oc","va")</f>
        <v>oc</v>
      </c>
      <c r="G64" s="131" t="str">
        <f>IF(booking!M64&gt;0,"oc","va")</f>
        <v>oc</v>
      </c>
      <c r="H64" s="130" t="str">
        <f>IF(booking!P64&gt;0,"oc","va")</f>
        <v>oc</v>
      </c>
      <c r="I64" s="131" t="str">
        <f>IF(booking!Q64&gt;0,"oc","va")</f>
        <v>va</v>
      </c>
      <c r="J64" s="130" t="str">
        <f>IF(booking!T64&gt;0,"oc","va")</f>
        <v>oc</v>
      </c>
      <c r="K64" s="131" t="str">
        <f>IF(booking!U64&gt;0,"oc","va")</f>
        <v>oc</v>
      </c>
      <c r="L64" s="130" t="str">
        <f>IF(booking!X64&gt;0,"oc","va")</f>
        <v>va</v>
      </c>
      <c r="M64" s="131" t="str">
        <f>IF(booking!Y64&gt;0,"oc","va")</f>
        <v>va</v>
      </c>
    </row>
    <row r="65" spans="1:13" x14ac:dyDescent="0.35">
      <c r="A65" s="5">
        <f>booking!C65</f>
        <v>46202</v>
      </c>
      <c r="B65" s="130" t="str">
        <f>IF(booking!D65&gt;0,"oc","va")</f>
        <v>oc</v>
      </c>
      <c r="C65" s="131" t="str">
        <f>IF(booking!E65&gt;0,"oc","va")</f>
        <v>va</v>
      </c>
      <c r="D65" s="130" t="str">
        <f>IF(booking!H65&gt;0,"oc","va")</f>
        <v>oc</v>
      </c>
      <c r="E65" s="131" t="str">
        <f>IF(booking!I65&gt;0,"oc","va")</f>
        <v>va</v>
      </c>
      <c r="F65" s="130" t="str">
        <f>IF(booking!L65&gt;0,"oc","va")</f>
        <v>oc</v>
      </c>
      <c r="G65" s="131" t="str">
        <f>IF(booking!M65&gt;0,"oc","va")</f>
        <v>oc</v>
      </c>
      <c r="H65" s="130" t="str">
        <f>IF(booking!P65&gt;0,"oc","va")</f>
        <v>va</v>
      </c>
      <c r="I65" s="131" t="str">
        <f>IF(booking!Q65&gt;0,"oc","va")</f>
        <v>oc</v>
      </c>
      <c r="J65" s="130" t="str">
        <f>IF(booking!T65&gt;0,"oc","va")</f>
        <v>oc</v>
      </c>
      <c r="K65" s="131" t="str">
        <f>IF(booking!U65&gt;0,"oc","va")</f>
        <v>oc</v>
      </c>
      <c r="L65" s="130" t="str">
        <f>IF(booking!X65&gt;0,"oc","va")</f>
        <v>va</v>
      </c>
      <c r="M65" s="131" t="str">
        <f>IF(booking!Y65&gt;0,"oc","va")</f>
        <v>va</v>
      </c>
    </row>
    <row r="66" spans="1:13" x14ac:dyDescent="0.35">
      <c r="A66" s="5">
        <f>booking!C66</f>
        <v>46203</v>
      </c>
      <c r="B66" s="130" t="str">
        <f>IF(booking!D66&gt;0,"oc","va")</f>
        <v>va</v>
      </c>
      <c r="C66" s="131" t="str">
        <f>IF(booking!E66&gt;0,"oc","va")</f>
        <v>va</v>
      </c>
      <c r="D66" s="130" t="str">
        <f>IF(booking!H66&gt;0,"oc","va")</f>
        <v>va</v>
      </c>
      <c r="E66" s="131" t="str">
        <f>IF(booking!I66&gt;0,"oc","va")</f>
        <v>va</v>
      </c>
      <c r="F66" s="130" t="str">
        <f>IF(booking!L66&gt;0,"oc","va")</f>
        <v>oc</v>
      </c>
      <c r="G66" s="131" t="str">
        <f>IF(booking!M66&gt;0,"oc","va")</f>
        <v>oc</v>
      </c>
      <c r="H66" s="130" t="str">
        <f>IF(booking!P66&gt;0,"oc","va")</f>
        <v>oc</v>
      </c>
      <c r="I66" s="131" t="str">
        <f>IF(booking!Q66&gt;0,"oc","va")</f>
        <v>oc</v>
      </c>
      <c r="J66" s="130" t="str">
        <f>IF(booking!T66&gt;0,"oc","va")</f>
        <v>oc</v>
      </c>
      <c r="K66" s="131" t="str">
        <f>IF(booking!U66&gt;0,"oc","va")</f>
        <v>oc</v>
      </c>
      <c r="L66" s="130" t="str">
        <f>IF(booking!X66&gt;0,"oc","va")</f>
        <v>va</v>
      </c>
      <c r="M66" s="131" t="str">
        <f>IF(booking!Y66&gt;0,"oc","va")</f>
        <v>va</v>
      </c>
    </row>
    <row r="67" spans="1:13" x14ac:dyDescent="0.35">
      <c r="A67" s="5">
        <f>booking!C67</f>
        <v>46204</v>
      </c>
      <c r="B67" s="130" t="str">
        <f>IF(booking!D67&gt;0,"oc","va")</f>
        <v>va</v>
      </c>
      <c r="C67" s="131" t="str">
        <f>IF(booking!E67&gt;0,"oc","va")</f>
        <v>va</v>
      </c>
      <c r="D67" s="130" t="str">
        <f>IF(booking!H67&gt;0,"oc","va")</f>
        <v>va</v>
      </c>
      <c r="E67" s="131" t="str">
        <f>IF(booking!I67&gt;0,"oc","va")</f>
        <v>oc</v>
      </c>
      <c r="F67" s="130" t="str">
        <f>IF(booking!L67&gt;0,"oc","va")</f>
        <v>oc</v>
      </c>
      <c r="G67" s="131" t="str">
        <f>IF(booking!M67&gt;0,"oc","va")</f>
        <v>oc</v>
      </c>
      <c r="H67" s="130" t="str">
        <f>IF(booking!P67&gt;0,"oc","va")</f>
        <v>oc</v>
      </c>
      <c r="I67" s="131" t="str">
        <f>IF(booking!Q67&gt;0,"oc","va")</f>
        <v>oc</v>
      </c>
      <c r="J67" s="130" t="str">
        <f>IF(booking!T67&gt;0,"oc","va")</f>
        <v>oc</v>
      </c>
      <c r="K67" s="131" t="str">
        <f>IF(booking!U67&gt;0,"oc","va")</f>
        <v>oc</v>
      </c>
      <c r="L67" s="130" t="str">
        <f>IF(booking!X67&gt;0,"oc","va")</f>
        <v>va</v>
      </c>
      <c r="M67" s="131" t="str">
        <f>IF(booking!Y67&gt;0,"oc","va")</f>
        <v>va</v>
      </c>
    </row>
    <row r="68" spans="1:13" x14ac:dyDescent="0.35">
      <c r="A68" s="5">
        <f>booking!C68</f>
        <v>46205</v>
      </c>
      <c r="B68" s="130" t="str">
        <f>IF(booking!D68&gt;0,"oc","va")</f>
        <v>va</v>
      </c>
      <c r="C68" s="131" t="str">
        <f>IF(booking!E68&gt;0,"oc","va")</f>
        <v>oc</v>
      </c>
      <c r="D68" s="130" t="str">
        <f>IF(booking!H68&gt;0,"oc","va")</f>
        <v>oc</v>
      </c>
      <c r="E68" s="131" t="str">
        <f>IF(booking!I68&gt;0,"oc","va")</f>
        <v>oc</v>
      </c>
      <c r="F68" s="130" t="str">
        <f>IF(booking!L68&gt;0,"oc","va")</f>
        <v>oc</v>
      </c>
      <c r="G68" s="131" t="str">
        <f>IF(booking!M68&gt;0,"oc","va")</f>
        <v>oc</v>
      </c>
      <c r="H68" s="130" t="str">
        <f>IF(booking!P68&gt;0,"oc","va")</f>
        <v>oc</v>
      </c>
      <c r="I68" s="131" t="str">
        <f>IF(booking!Q68&gt;0,"oc","va")</f>
        <v>oc</v>
      </c>
      <c r="J68" s="130" t="str">
        <f>IF(booking!T68&gt;0,"oc","va")</f>
        <v>oc</v>
      </c>
      <c r="K68" s="131" t="str">
        <f>IF(booking!U68&gt;0,"oc","va")</f>
        <v>oc</v>
      </c>
      <c r="L68" s="130" t="str">
        <f>IF(booking!X68&gt;0,"oc","va")</f>
        <v>va</v>
      </c>
      <c r="M68" s="131" t="str">
        <f>IF(booking!Y68&gt;0,"oc","va")</f>
        <v>va</v>
      </c>
    </row>
    <row r="69" spans="1:13" x14ac:dyDescent="0.35">
      <c r="A69" s="5">
        <f>booking!C69</f>
        <v>46206</v>
      </c>
      <c r="B69" s="130" t="str">
        <f>IF(booking!D69&gt;0,"oc","va")</f>
        <v>oc</v>
      </c>
      <c r="C69" s="131" t="str">
        <f>IF(booking!E69&gt;0,"oc","va")</f>
        <v>oc</v>
      </c>
      <c r="D69" s="130" t="str">
        <f>IF(booking!H69&gt;0,"oc","va")</f>
        <v>oc</v>
      </c>
      <c r="E69" s="131" t="str">
        <f>IF(booking!I69&gt;0,"oc","va")</f>
        <v>oc</v>
      </c>
      <c r="F69" s="130" t="str">
        <f>IF(booking!L69&gt;0,"oc","va")</f>
        <v>oc</v>
      </c>
      <c r="G69" s="131" t="str">
        <f>IF(booking!M69&gt;0,"oc","va")</f>
        <v>oc</v>
      </c>
      <c r="H69" s="130" t="str">
        <f>IF(booking!P69&gt;0,"oc","va")</f>
        <v>oc</v>
      </c>
      <c r="I69" s="131" t="str">
        <f>IF(booking!Q69&gt;0,"oc","va")</f>
        <v>oc</v>
      </c>
      <c r="J69" s="130" t="str">
        <f>IF(booking!T69&gt;0,"oc","va")</f>
        <v>oc</v>
      </c>
      <c r="K69" s="131" t="str">
        <f>IF(booking!U69&gt;0,"oc","va")</f>
        <v>oc</v>
      </c>
      <c r="L69" s="130" t="str">
        <f>IF(booking!X69&gt;0,"oc","va")</f>
        <v>va</v>
      </c>
      <c r="M69" s="131" t="str">
        <f>IF(booking!Y69&gt;0,"oc","va")</f>
        <v>va</v>
      </c>
    </row>
    <row r="70" spans="1:13" x14ac:dyDescent="0.35">
      <c r="A70" s="5">
        <f>booking!C70</f>
        <v>46207</v>
      </c>
      <c r="B70" s="130" t="str">
        <f>IF(booking!D70&gt;0,"oc","va")</f>
        <v>oc</v>
      </c>
      <c r="C70" s="131" t="str">
        <f>IF(booking!E70&gt;0,"oc","va")</f>
        <v>oc</v>
      </c>
      <c r="D70" s="130" t="str">
        <f>IF(booking!H70&gt;0,"oc","va")</f>
        <v>oc</v>
      </c>
      <c r="E70" s="131" t="str">
        <f>IF(booking!I70&gt;0,"oc","va")</f>
        <v>oc</v>
      </c>
      <c r="F70" s="130" t="str">
        <f>IF(booking!L70&gt;0,"oc","va")</f>
        <v>oc</v>
      </c>
      <c r="G70" s="131" t="str">
        <f>IF(booking!M70&gt;0,"oc","va")</f>
        <v>oc</v>
      </c>
      <c r="H70" s="130" t="str">
        <f>IF(booking!P70&gt;0,"oc","va")</f>
        <v>oc</v>
      </c>
      <c r="I70" s="131" t="str">
        <f>IF(booking!Q70&gt;0,"oc","va")</f>
        <v>oc</v>
      </c>
      <c r="J70" s="130" t="str">
        <f>IF(booking!T70&gt;0,"oc","va")</f>
        <v>oc</v>
      </c>
      <c r="K70" s="131" t="str">
        <f>IF(booking!U70&gt;0,"oc","va")</f>
        <v>oc</v>
      </c>
      <c r="L70" s="130" t="str">
        <f>IF(booking!X70&gt;0,"oc","va")</f>
        <v>va</v>
      </c>
      <c r="M70" s="131" t="str">
        <f>IF(booking!Y70&gt;0,"oc","va")</f>
        <v>va</v>
      </c>
    </row>
    <row r="71" spans="1:13" x14ac:dyDescent="0.35">
      <c r="A71" s="5">
        <f>booking!C71</f>
        <v>46208</v>
      </c>
      <c r="B71" s="130" t="str">
        <f>IF(booking!D71&gt;0,"oc","va")</f>
        <v>oc</v>
      </c>
      <c r="C71" s="131" t="str">
        <f>IF(booking!E71&gt;0,"oc","va")</f>
        <v>va</v>
      </c>
      <c r="D71" s="130" t="str">
        <f>IF(booking!H71&gt;0,"oc","va")</f>
        <v>oc</v>
      </c>
      <c r="E71" s="131" t="str">
        <f>IF(booking!I71&gt;0,"oc","va")</f>
        <v>oc</v>
      </c>
      <c r="F71" s="130" t="str">
        <f>IF(booking!L71&gt;0,"oc","va")</f>
        <v>oc</v>
      </c>
      <c r="G71" s="131" t="str">
        <f>IF(booking!M71&gt;0,"oc","va")</f>
        <v>va</v>
      </c>
      <c r="H71" s="130" t="str">
        <f>IF(booking!P71&gt;0,"oc","va")</f>
        <v>oc</v>
      </c>
      <c r="I71" s="131" t="str">
        <f>IF(booking!Q71&gt;0,"oc","va")</f>
        <v>oc</v>
      </c>
      <c r="J71" s="130" t="str">
        <f>IF(booking!T71&gt;0,"oc","va")</f>
        <v>oc</v>
      </c>
      <c r="K71" s="131" t="str">
        <f>IF(booking!U71&gt;0,"oc","va")</f>
        <v>oc</v>
      </c>
      <c r="L71" s="130" t="str">
        <f>IF(booking!X71&gt;0,"oc","va")</f>
        <v>va</v>
      </c>
      <c r="M71" s="131" t="str">
        <f>IF(booking!Y71&gt;0,"oc","va")</f>
        <v>va</v>
      </c>
    </row>
    <row r="72" spans="1:13" x14ac:dyDescent="0.35">
      <c r="A72" s="5">
        <f>booking!C72</f>
        <v>46209</v>
      </c>
      <c r="B72" s="130" t="str">
        <f>IF(booking!D72&gt;0,"oc","va")</f>
        <v>va</v>
      </c>
      <c r="C72" s="131" t="str">
        <f>IF(booking!E72&gt;0,"oc","va")</f>
        <v>oc</v>
      </c>
      <c r="D72" s="130" t="str">
        <f>IF(booking!H72&gt;0,"oc","va")</f>
        <v>oc</v>
      </c>
      <c r="E72" s="131" t="str">
        <f>IF(booking!I72&gt;0,"oc","va")</f>
        <v>oc</v>
      </c>
      <c r="F72" s="130" t="str">
        <f>IF(booking!L72&gt;0,"oc","va")</f>
        <v>va</v>
      </c>
      <c r="G72" s="131" t="str">
        <f>IF(booking!M72&gt;0,"oc","va")</f>
        <v>oc</v>
      </c>
      <c r="H72" s="130" t="str">
        <f>IF(booking!P72&gt;0,"oc","va")</f>
        <v>oc</v>
      </c>
      <c r="I72" s="131" t="str">
        <f>IF(booking!Q72&gt;0,"oc","va")</f>
        <v>oc</v>
      </c>
      <c r="J72" s="130" t="str">
        <f>IF(booking!T72&gt;0,"oc","va")</f>
        <v>oc</v>
      </c>
      <c r="K72" s="131" t="str">
        <f>IF(booking!U72&gt;0,"oc","va")</f>
        <v>oc</v>
      </c>
      <c r="L72" s="130" t="str">
        <f>IF(booking!X72&gt;0,"oc","va")</f>
        <v>va</v>
      </c>
      <c r="M72" s="131" t="str">
        <f>IF(booking!Y72&gt;0,"oc","va")</f>
        <v>va</v>
      </c>
    </row>
    <row r="73" spans="1:13" x14ac:dyDescent="0.35">
      <c r="A73" s="5">
        <f>booking!C73</f>
        <v>46210</v>
      </c>
      <c r="B73" s="130" t="str">
        <f>IF(booking!D73&gt;0,"oc","va")</f>
        <v>oc</v>
      </c>
      <c r="C73" s="131" t="str">
        <f>IF(booking!E73&gt;0,"oc","va")</f>
        <v>oc</v>
      </c>
      <c r="D73" s="130" t="str">
        <f>IF(booking!H73&gt;0,"oc","va")</f>
        <v>oc</v>
      </c>
      <c r="E73" s="131" t="str">
        <f>IF(booking!I73&gt;0,"oc","va")</f>
        <v>va</v>
      </c>
      <c r="F73" s="130" t="str">
        <f>IF(booking!L73&gt;0,"oc","va")</f>
        <v>oc</v>
      </c>
      <c r="G73" s="131" t="str">
        <f>IF(booking!M73&gt;0,"oc","va")</f>
        <v>oc</v>
      </c>
      <c r="H73" s="130" t="str">
        <f>IF(booking!P73&gt;0,"oc","va")</f>
        <v>oc</v>
      </c>
      <c r="I73" s="131" t="str">
        <f>IF(booking!Q73&gt;0,"oc","va")</f>
        <v>oc</v>
      </c>
      <c r="J73" s="130" t="str">
        <f>IF(booking!T73&gt;0,"oc","va")</f>
        <v>oc</v>
      </c>
      <c r="K73" s="131" t="str">
        <f>IF(booking!U73&gt;0,"oc","va")</f>
        <v>oc</v>
      </c>
      <c r="L73" s="130" t="str">
        <f>IF(booking!X73&gt;0,"oc","va")</f>
        <v>va</v>
      </c>
      <c r="M73" s="131" t="str">
        <f>IF(booking!Y73&gt;0,"oc","va")</f>
        <v>va</v>
      </c>
    </row>
    <row r="74" spans="1:13" x14ac:dyDescent="0.35">
      <c r="A74" s="5">
        <f>booking!C74</f>
        <v>46211</v>
      </c>
      <c r="B74" s="130" t="str">
        <f>IF(booking!D74&gt;0,"oc","va")</f>
        <v>oc</v>
      </c>
      <c r="C74" s="131" t="str">
        <f>IF(booking!E74&gt;0,"oc","va")</f>
        <v>oc</v>
      </c>
      <c r="D74" s="130" t="str">
        <f>IF(booking!H74&gt;0,"oc","va")</f>
        <v>va</v>
      </c>
      <c r="E74" s="131" t="str">
        <f>IF(booking!I74&gt;0,"oc","va")</f>
        <v>oc</v>
      </c>
      <c r="F74" s="130" t="str">
        <f>IF(booking!L74&gt;0,"oc","va")</f>
        <v>oc</v>
      </c>
      <c r="G74" s="131" t="str">
        <f>IF(booking!M74&gt;0,"oc","va")</f>
        <v>oc</v>
      </c>
      <c r="H74" s="130" t="str">
        <f>IF(booking!P74&gt;0,"oc","va")</f>
        <v>oc</v>
      </c>
      <c r="I74" s="131" t="str">
        <f>IF(booking!Q74&gt;0,"oc","va")</f>
        <v>oc</v>
      </c>
      <c r="J74" s="130" t="str">
        <f>IF(booking!T74&gt;0,"oc","va")</f>
        <v>oc</v>
      </c>
      <c r="K74" s="131" t="str">
        <f>IF(booking!U74&gt;0,"oc","va")</f>
        <v>oc</v>
      </c>
      <c r="L74" s="130" t="str">
        <f>IF(booking!X74&gt;0,"oc","va")</f>
        <v>va</v>
      </c>
      <c r="M74" s="131" t="str">
        <f>IF(booking!Y74&gt;0,"oc","va")</f>
        <v>va</v>
      </c>
    </row>
    <row r="75" spans="1:13" x14ac:dyDescent="0.35">
      <c r="A75" s="5">
        <f>booking!C75</f>
        <v>46212</v>
      </c>
      <c r="B75" s="130" t="str">
        <f>IF(booking!D75&gt;0,"oc","va")</f>
        <v>oc</v>
      </c>
      <c r="C75" s="131" t="str">
        <f>IF(booking!E75&gt;0,"oc","va")</f>
        <v>oc</v>
      </c>
      <c r="D75" s="130" t="str">
        <f>IF(booking!H75&gt;0,"oc","va")</f>
        <v>oc</v>
      </c>
      <c r="E75" s="131" t="str">
        <f>IF(booking!I75&gt;0,"oc","va")</f>
        <v>oc</v>
      </c>
      <c r="F75" s="130" t="str">
        <f>IF(booking!L75&gt;0,"oc","va")</f>
        <v>oc</v>
      </c>
      <c r="G75" s="131" t="str">
        <f>IF(booking!M75&gt;0,"oc","va")</f>
        <v>oc</v>
      </c>
      <c r="H75" s="130" t="str">
        <f>IF(booking!P75&gt;0,"oc","va")</f>
        <v>oc</v>
      </c>
      <c r="I75" s="131" t="str">
        <f>IF(booking!Q75&gt;0,"oc","va")</f>
        <v>oc</v>
      </c>
      <c r="J75" s="130" t="str">
        <f>IF(booking!T75&gt;0,"oc","va")</f>
        <v>oc</v>
      </c>
      <c r="K75" s="131" t="str">
        <f>IF(booking!U75&gt;0,"oc","va")</f>
        <v>oc</v>
      </c>
      <c r="L75" s="130" t="str">
        <f>IF(booking!X75&gt;0,"oc","va")</f>
        <v>va</v>
      </c>
      <c r="M75" s="131" t="str">
        <f>IF(booking!Y75&gt;0,"oc","va")</f>
        <v>va</v>
      </c>
    </row>
    <row r="76" spans="1:13" x14ac:dyDescent="0.35">
      <c r="A76" s="5">
        <f>booking!C76</f>
        <v>46213</v>
      </c>
      <c r="B76" s="130" t="str">
        <f>IF(booking!D76&gt;0,"oc","va")</f>
        <v>oc</v>
      </c>
      <c r="C76" s="131" t="str">
        <f>IF(booking!E76&gt;0,"oc","va")</f>
        <v>oc</v>
      </c>
      <c r="D76" s="130" t="str">
        <f>IF(booking!H76&gt;0,"oc","va")</f>
        <v>oc</v>
      </c>
      <c r="E76" s="131" t="str">
        <f>IF(booking!I76&gt;0,"oc","va")</f>
        <v>oc</v>
      </c>
      <c r="F76" s="130" t="str">
        <f>IF(booking!L76&gt;0,"oc","va")</f>
        <v>oc</v>
      </c>
      <c r="G76" s="131" t="str">
        <f>IF(booking!M76&gt;0,"oc","va")</f>
        <v>oc</v>
      </c>
      <c r="H76" s="130" t="str">
        <f>IF(booking!P76&gt;0,"oc","va")</f>
        <v>oc</v>
      </c>
      <c r="I76" s="131" t="str">
        <f>IF(booking!Q76&gt;0,"oc","va")</f>
        <v>va</v>
      </c>
      <c r="J76" s="130" t="str">
        <f>IF(booking!T76&gt;0,"oc","va")</f>
        <v>oc</v>
      </c>
      <c r="K76" s="131" t="str">
        <f>IF(booking!U76&gt;0,"oc","va")</f>
        <v>oc</v>
      </c>
      <c r="L76" s="130" t="str">
        <f>IF(booking!X76&gt;0,"oc","va")</f>
        <v>va</v>
      </c>
      <c r="M76" s="131" t="str">
        <f>IF(booking!Y76&gt;0,"oc","va")</f>
        <v>va</v>
      </c>
    </row>
    <row r="77" spans="1:13" x14ac:dyDescent="0.35">
      <c r="A77" s="5">
        <f>booking!C77</f>
        <v>46214</v>
      </c>
      <c r="B77" s="130" t="str">
        <f>IF(booking!D77&gt;0,"oc","va")</f>
        <v>oc</v>
      </c>
      <c r="C77" s="131" t="str">
        <f>IF(booking!E77&gt;0,"oc","va")</f>
        <v>oc</v>
      </c>
      <c r="D77" s="130" t="str">
        <f>IF(booking!H77&gt;0,"oc","va")</f>
        <v>oc</v>
      </c>
      <c r="E77" s="131" t="str">
        <f>IF(booking!I77&gt;0,"oc","va")</f>
        <v>oc</v>
      </c>
      <c r="F77" s="130" t="str">
        <f>IF(booking!L77&gt;0,"oc","va")</f>
        <v>oc</v>
      </c>
      <c r="G77" s="131" t="str">
        <f>IF(booking!M77&gt;0,"oc","va")</f>
        <v>oc</v>
      </c>
      <c r="H77" s="130" t="str">
        <f>IF(booking!P77&gt;0,"oc","va")</f>
        <v>va</v>
      </c>
      <c r="I77" s="131" t="str">
        <f>IF(booking!Q77&gt;0,"oc","va")</f>
        <v>oc</v>
      </c>
      <c r="J77" s="130" t="str">
        <f>IF(booking!T77&gt;0,"oc","va")</f>
        <v>oc</v>
      </c>
      <c r="K77" s="131" t="str">
        <f>IF(booking!U77&gt;0,"oc","va")</f>
        <v>oc</v>
      </c>
      <c r="L77" s="130" t="str">
        <f>IF(booking!X77&gt;0,"oc","va")</f>
        <v>va</v>
      </c>
      <c r="M77" s="131" t="str">
        <f>IF(booking!Y77&gt;0,"oc","va")</f>
        <v>va</v>
      </c>
    </row>
    <row r="78" spans="1:13" x14ac:dyDescent="0.35">
      <c r="A78" s="5">
        <f>booking!C78</f>
        <v>46215</v>
      </c>
      <c r="B78" s="130" t="str">
        <f>IF(booking!D78&gt;0,"oc","va")</f>
        <v>oc</v>
      </c>
      <c r="C78" s="131" t="str">
        <f>IF(booking!E78&gt;0,"oc","va")</f>
        <v>oc</v>
      </c>
      <c r="D78" s="130" t="str">
        <f>IF(booking!H78&gt;0,"oc","va")</f>
        <v>oc</v>
      </c>
      <c r="E78" s="131" t="str">
        <f>IF(booking!I78&gt;0,"oc","va")</f>
        <v>oc</v>
      </c>
      <c r="F78" s="130" t="str">
        <f>IF(booking!L78&gt;0,"oc","va")</f>
        <v>oc</v>
      </c>
      <c r="G78" s="131" t="str">
        <f>IF(booking!M78&gt;0,"oc","va")</f>
        <v>oc</v>
      </c>
      <c r="H78" s="130" t="str">
        <f>IF(booking!P78&gt;0,"oc","va")</f>
        <v>oc</v>
      </c>
      <c r="I78" s="131" t="str">
        <f>IF(booking!Q78&gt;0,"oc","va")</f>
        <v>oc</v>
      </c>
      <c r="J78" s="130" t="str">
        <f>IF(booking!T78&gt;0,"oc","va")</f>
        <v>oc</v>
      </c>
      <c r="K78" s="131" t="str">
        <f>IF(booking!U78&gt;0,"oc","va")</f>
        <v>oc</v>
      </c>
      <c r="L78" s="130" t="str">
        <f>IF(booking!X78&gt;0,"oc","va")</f>
        <v>va</v>
      </c>
      <c r="M78" s="131" t="str">
        <f>IF(booking!Y78&gt;0,"oc","va")</f>
        <v>va</v>
      </c>
    </row>
    <row r="79" spans="1:13" x14ac:dyDescent="0.35">
      <c r="A79" s="5">
        <f>booking!C79</f>
        <v>46216</v>
      </c>
      <c r="B79" s="130" t="str">
        <f>IF(booking!D79&gt;0,"oc","va")</f>
        <v>oc</v>
      </c>
      <c r="C79" s="131" t="str">
        <f>IF(booking!E79&gt;0,"oc","va")</f>
        <v>oc</v>
      </c>
      <c r="D79" s="130" t="str">
        <f>IF(booking!H79&gt;0,"oc","va")</f>
        <v>oc</v>
      </c>
      <c r="E79" s="131" t="str">
        <f>IF(booking!I79&gt;0,"oc","va")</f>
        <v>oc</v>
      </c>
      <c r="F79" s="130" t="str">
        <f>IF(booking!L79&gt;0,"oc","va")</f>
        <v>oc</v>
      </c>
      <c r="G79" s="131" t="str">
        <f>IF(booking!M79&gt;0,"oc","va")</f>
        <v>oc</v>
      </c>
      <c r="H79" s="130" t="str">
        <f>IF(booking!P79&gt;0,"oc","va")</f>
        <v>oc</v>
      </c>
      <c r="I79" s="131" t="str">
        <f>IF(booking!Q79&gt;0,"oc","va")</f>
        <v>oc</v>
      </c>
      <c r="J79" s="130" t="str">
        <f>IF(booking!T79&gt;0,"oc","va")</f>
        <v>oc</v>
      </c>
      <c r="K79" s="131" t="str">
        <f>IF(booking!U79&gt;0,"oc","va")</f>
        <v>oc</v>
      </c>
      <c r="L79" s="130" t="str">
        <f>IF(booking!X79&gt;0,"oc","va")</f>
        <v>va</v>
      </c>
      <c r="M79" s="131" t="str">
        <f>IF(booking!Y79&gt;0,"oc","va")</f>
        <v>va</v>
      </c>
    </row>
    <row r="80" spans="1:13" x14ac:dyDescent="0.35">
      <c r="A80" s="5">
        <f>booking!C80</f>
        <v>46217</v>
      </c>
      <c r="B80" s="130" t="str">
        <f>IF(booking!D80&gt;0,"oc","va")</f>
        <v>oc</v>
      </c>
      <c r="C80" s="131" t="str">
        <f>IF(booking!E80&gt;0,"oc","va")</f>
        <v>oc</v>
      </c>
      <c r="D80" s="130" t="str">
        <f>IF(booking!H80&gt;0,"oc","va")</f>
        <v>oc</v>
      </c>
      <c r="E80" s="131" t="str">
        <f>IF(booking!I80&gt;0,"oc","va")</f>
        <v>oc</v>
      </c>
      <c r="F80" s="130" t="str">
        <f>IF(booking!L80&gt;0,"oc","va")</f>
        <v>oc</v>
      </c>
      <c r="G80" s="131" t="str">
        <f>IF(booking!M80&gt;0,"oc","va")</f>
        <v>oc</v>
      </c>
      <c r="H80" s="130" t="str">
        <f>IF(booking!P80&gt;0,"oc","va")</f>
        <v>oc</v>
      </c>
      <c r="I80" s="131" t="str">
        <f>IF(booking!Q80&gt;0,"oc","va")</f>
        <v>oc</v>
      </c>
      <c r="J80" s="130" t="str">
        <f>IF(booking!T80&gt;0,"oc","va")</f>
        <v>oc</v>
      </c>
      <c r="K80" s="131" t="str">
        <f>IF(booking!U80&gt;0,"oc","va")</f>
        <v>oc</v>
      </c>
      <c r="L80" s="130" t="str">
        <f>IF(booking!X80&gt;0,"oc","va")</f>
        <v>va</v>
      </c>
      <c r="M80" s="131" t="str">
        <f>IF(booking!Y80&gt;0,"oc","va")</f>
        <v>va</v>
      </c>
    </row>
    <row r="81" spans="1:13" x14ac:dyDescent="0.35">
      <c r="A81" s="5">
        <f>booking!C81</f>
        <v>46218</v>
      </c>
      <c r="B81" s="130" t="str">
        <f>IF(booking!D81&gt;0,"oc","va")</f>
        <v>oc</v>
      </c>
      <c r="C81" s="131" t="str">
        <f>IF(booking!E81&gt;0,"oc","va")</f>
        <v>oc</v>
      </c>
      <c r="D81" s="130" t="str">
        <f>IF(booking!H81&gt;0,"oc","va")</f>
        <v>oc</v>
      </c>
      <c r="E81" s="131" t="str">
        <f>IF(booking!I81&gt;0,"oc","va")</f>
        <v>oc</v>
      </c>
      <c r="F81" s="130" t="str">
        <f>IF(booking!L81&gt;0,"oc","va")</f>
        <v>oc</v>
      </c>
      <c r="G81" s="131" t="str">
        <f>IF(booking!M81&gt;0,"oc","va")</f>
        <v>oc</v>
      </c>
      <c r="H81" s="130" t="str">
        <f>IF(booking!P81&gt;0,"oc","va")</f>
        <v>oc</v>
      </c>
      <c r="I81" s="131" t="str">
        <f>IF(booking!Q81&gt;0,"oc","va")</f>
        <v>oc</v>
      </c>
      <c r="J81" s="130" t="str">
        <f>IF(booking!T81&gt;0,"oc","va")</f>
        <v>oc</v>
      </c>
      <c r="K81" s="131" t="str">
        <f>IF(booking!U81&gt;0,"oc","va")</f>
        <v>oc</v>
      </c>
      <c r="L81" s="130" t="str">
        <f>IF(booking!X81&gt;0,"oc","va")</f>
        <v>va</v>
      </c>
      <c r="M81" s="131" t="str">
        <f>IF(booking!Y81&gt;0,"oc","va")</f>
        <v>va</v>
      </c>
    </row>
    <row r="82" spans="1:13" x14ac:dyDescent="0.35">
      <c r="A82" s="5">
        <f>booking!C82</f>
        <v>46219</v>
      </c>
      <c r="B82" s="130" t="str">
        <f>IF(booking!D82&gt;0,"oc","va")</f>
        <v>oc</v>
      </c>
      <c r="C82" s="131" t="str">
        <f>IF(booking!E82&gt;0,"oc","va")</f>
        <v>oc</v>
      </c>
      <c r="D82" s="130" t="str">
        <f>IF(booking!H82&gt;0,"oc","va")</f>
        <v>oc</v>
      </c>
      <c r="E82" s="131" t="str">
        <f>IF(booking!I82&gt;0,"oc","va")</f>
        <v>oc</v>
      </c>
      <c r="F82" s="130" t="str">
        <f>IF(booking!L82&gt;0,"oc","va")</f>
        <v>oc</v>
      </c>
      <c r="G82" s="131" t="str">
        <f>IF(booking!M82&gt;0,"oc","va")</f>
        <v>va</v>
      </c>
      <c r="H82" s="130" t="str">
        <f>IF(booking!P82&gt;0,"oc","va")</f>
        <v>oc</v>
      </c>
      <c r="I82" s="131" t="str">
        <f>IF(booking!Q82&gt;0,"oc","va")</f>
        <v>oc</v>
      </c>
      <c r="J82" s="130" t="str">
        <f>IF(booking!T82&gt;0,"oc","va")</f>
        <v>oc</v>
      </c>
      <c r="K82" s="131" t="str">
        <f>IF(booking!U82&gt;0,"oc","va")</f>
        <v>oc</v>
      </c>
      <c r="L82" s="130" t="str">
        <f>IF(booking!X82&gt;0,"oc","va")</f>
        <v>va</v>
      </c>
      <c r="M82" s="131" t="str">
        <f>IF(booking!Y82&gt;0,"oc","va")</f>
        <v>va</v>
      </c>
    </row>
    <row r="83" spans="1:13" x14ac:dyDescent="0.35">
      <c r="A83" s="5">
        <f>booking!C83</f>
        <v>46220</v>
      </c>
      <c r="B83" s="130" t="str">
        <f>IF(booking!D83&gt;0,"oc","va")</f>
        <v>oc</v>
      </c>
      <c r="C83" s="131" t="str">
        <f>IF(booking!E83&gt;0,"oc","va")</f>
        <v>oc</v>
      </c>
      <c r="D83" s="130" t="str">
        <f>IF(booking!H83&gt;0,"oc","va")</f>
        <v>oc</v>
      </c>
      <c r="E83" s="131" t="str">
        <f>IF(booking!I83&gt;0,"oc","va")</f>
        <v>oc</v>
      </c>
      <c r="F83" s="130" t="str">
        <f>IF(booking!L83&gt;0,"oc","va")</f>
        <v>va</v>
      </c>
      <c r="G83" s="131" t="str">
        <f>IF(booking!M83&gt;0,"oc","va")</f>
        <v>va</v>
      </c>
      <c r="H83" s="130" t="str">
        <f>IF(booking!P83&gt;0,"oc","va")</f>
        <v>oc</v>
      </c>
      <c r="I83" s="131" t="str">
        <f>IF(booking!Q83&gt;0,"oc","va")</f>
        <v>oc</v>
      </c>
      <c r="J83" s="130" t="str">
        <f>IF(booking!T83&gt;0,"oc","va")</f>
        <v>oc</v>
      </c>
      <c r="K83" s="131" t="str">
        <f>IF(booking!U83&gt;0,"oc","va")</f>
        <v>oc</v>
      </c>
      <c r="L83" s="130" t="str">
        <f>IF(booking!X83&gt;0,"oc","va")</f>
        <v>va</v>
      </c>
      <c r="M83" s="131" t="str">
        <f>IF(booking!Y83&gt;0,"oc","va")</f>
        <v>va</v>
      </c>
    </row>
    <row r="84" spans="1:13" x14ac:dyDescent="0.35">
      <c r="A84" s="5">
        <f>booking!C84</f>
        <v>46221</v>
      </c>
      <c r="B84" s="130" t="str">
        <f>IF(booking!D84&gt;0,"oc","va")</f>
        <v>oc</v>
      </c>
      <c r="C84" s="131" t="str">
        <f>IF(booking!E84&gt;0,"oc","va")</f>
        <v>oc</v>
      </c>
      <c r="D84" s="130" t="str">
        <f>IF(booking!H84&gt;0,"oc","va")</f>
        <v>oc</v>
      </c>
      <c r="E84" s="131" t="str">
        <f>IF(booking!I84&gt;0,"oc","va")</f>
        <v>va</v>
      </c>
      <c r="F84" s="130" t="str">
        <f>IF(booking!L84&gt;0,"oc","va")</f>
        <v>va</v>
      </c>
      <c r="G84" s="131" t="str">
        <f>IF(booking!M84&gt;0,"oc","va")</f>
        <v>oc</v>
      </c>
      <c r="H84" s="130" t="str">
        <f>IF(booking!P84&gt;0,"oc","va")</f>
        <v>oc</v>
      </c>
      <c r="I84" s="131" t="str">
        <f>IF(booking!Q84&gt;0,"oc","va")</f>
        <v>oc</v>
      </c>
      <c r="J84" s="130" t="str">
        <f>IF(booking!T84&gt;0,"oc","va")</f>
        <v>oc</v>
      </c>
      <c r="K84" s="131" t="str">
        <f>IF(booking!U84&gt;0,"oc","va")</f>
        <v>oc</v>
      </c>
      <c r="L84" s="130" t="str">
        <f>IF(booking!X84&gt;0,"oc","va")</f>
        <v>va</v>
      </c>
      <c r="M84" s="131" t="str">
        <f>IF(booking!Y84&gt;0,"oc","va")</f>
        <v>va</v>
      </c>
    </row>
    <row r="85" spans="1:13" x14ac:dyDescent="0.35">
      <c r="A85" s="5">
        <f>booking!C85</f>
        <v>46222</v>
      </c>
      <c r="B85" s="130" t="str">
        <f>IF(booking!D85&gt;0,"oc","va")</f>
        <v>oc</v>
      </c>
      <c r="C85" s="131" t="str">
        <f>IF(booking!E85&gt;0,"oc","va")</f>
        <v>oc</v>
      </c>
      <c r="D85" s="130" t="str">
        <f>IF(booking!H85&gt;0,"oc","va")</f>
        <v>va</v>
      </c>
      <c r="E85" s="131" t="str">
        <f>IF(booking!I85&gt;0,"oc","va")</f>
        <v>oc</v>
      </c>
      <c r="F85" s="130" t="str">
        <f>IF(booking!L85&gt;0,"oc","va")</f>
        <v>oc</v>
      </c>
      <c r="G85" s="131" t="str">
        <f>IF(booking!M85&gt;0,"oc","va")</f>
        <v>oc</v>
      </c>
      <c r="H85" s="130" t="str">
        <f>IF(booking!P85&gt;0,"oc","va")</f>
        <v>oc</v>
      </c>
      <c r="I85" s="131" t="str">
        <f>IF(booking!Q85&gt;0,"oc","va")</f>
        <v>oc</v>
      </c>
      <c r="J85" s="130" t="str">
        <f>IF(booking!T85&gt;0,"oc","va")</f>
        <v>oc</v>
      </c>
      <c r="K85" s="131" t="str">
        <f>IF(booking!U85&gt;0,"oc","va")</f>
        <v>oc</v>
      </c>
      <c r="L85" s="130" t="str">
        <f>IF(booking!X85&gt;0,"oc","va")</f>
        <v>va</v>
      </c>
      <c r="M85" s="131" t="str">
        <f>IF(booking!Y85&gt;0,"oc","va")</f>
        <v>va</v>
      </c>
    </row>
    <row r="86" spans="1:13" x14ac:dyDescent="0.35">
      <c r="A86" s="5">
        <f>booking!C86</f>
        <v>46223</v>
      </c>
      <c r="B86" s="130" t="str">
        <f>IF(booking!D86&gt;0,"oc","va")</f>
        <v>oc</v>
      </c>
      <c r="C86" s="131" t="str">
        <f>IF(booking!E86&gt;0,"oc","va")</f>
        <v>oc</v>
      </c>
      <c r="D86" s="130" t="str">
        <f>IF(booking!H86&gt;0,"oc","va")</f>
        <v>oc</v>
      </c>
      <c r="E86" s="131" t="str">
        <f>IF(booking!I86&gt;0,"oc","va")</f>
        <v>oc</v>
      </c>
      <c r="F86" s="130" t="str">
        <f>IF(booking!L86&gt;0,"oc","va")</f>
        <v>oc</v>
      </c>
      <c r="G86" s="131" t="str">
        <f>IF(booking!M86&gt;0,"oc","va")</f>
        <v>oc</v>
      </c>
      <c r="H86" s="130" t="str">
        <f>IF(booking!P86&gt;0,"oc","va")</f>
        <v>oc</v>
      </c>
      <c r="I86" s="131" t="str">
        <f>IF(booking!Q86&gt;0,"oc","va")</f>
        <v>oc</v>
      </c>
      <c r="J86" s="130" t="str">
        <f>IF(booking!T86&gt;0,"oc","va")</f>
        <v>oc</v>
      </c>
      <c r="K86" s="131" t="str">
        <f>IF(booking!U86&gt;0,"oc","va")</f>
        <v>oc</v>
      </c>
      <c r="L86" s="130" t="str">
        <f>IF(booking!X86&gt;0,"oc","va")</f>
        <v>va</v>
      </c>
      <c r="M86" s="131" t="str">
        <f>IF(booking!Y86&gt;0,"oc","va")</f>
        <v>va</v>
      </c>
    </row>
    <row r="87" spans="1:13" x14ac:dyDescent="0.35">
      <c r="A87" s="5">
        <f>booking!C87</f>
        <v>46224</v>
      </c>
      <c r="B87" s="130" t="str">
        <f>IF(booking!D87&gt;0,"oc","va")</f>
        <v>oc</v>
      </c>
      <c r="C87" s="131" t="str">
        <f>IF(booking!E87&gt;0,"oc","va")</f>
        <v>oc</v>
      </c>
      <c r="D87" s="130" t="str">
        <f>IF(booking!H87&gt;0,"oc","va")</f>
        <v>oc</v>
      </c>
      <c r="E87" s="131" t="str">
        <f>IF(booking!I87&gt;0,"oc","va")</f>
        <v>oc</v>
      </c>
      <c r="F87" s="130" t="str">
        <f>IF(booking!L87&gt;0,"oc","va")</f>
        <v>oc</v>
      </c>
      <c r="G87" s="131" t="str">
        <f>IF(booking!M87&gt;0,"oc","va")</f>
        <v>oc</v>
      </c>
      <c r="H87" s="130" t="str">
        <f>IF(booking!P87&gt;0,"oc","va")</f>
        <v>oc</v>
      </c>
      <c r="I87" s="131" t="str">
        <f>IF(booking!Q87&gt;0,"oc","va")</f>
        <v>oc</v>
      </c>
      <c r="J87" s="130" t="str">
        <f>IF(booking!T87&gt;0,"oc","va")</f>
        <v>oc</v>
      </c>
      <c r="K87" s="131" t="str">
        <f>IF(booking!U87&gt;0,"oc","va")</f>
        <v>oc</v>
      </c>
      <c r="L87" s="130" t="str">
        <f>IF(booking!X87&gt;0,"oc","va")</f>
        <v>va</v>
      </c>
      <c r="M87" s="131" t="str">
        <f>IF(booking!Y87&gt;0,"oc","va")</f>
        <v>va</v>
      </c>
    </row>
    <row r="88" spans="1:13" x14ac:dyDescent="0.35">
      <c r="A88" s="5">
        <f>booking!C88</f>
        <v>46225</v>
      </c>
      <c r="B88" s="130" t="str">
        <f>IF(booking!D88&gt;0,"oc","va")</f>
        <v>oc</v>
      </c>
      <c r="C88" s="131" t="str">
        <f>IF(booking!E88&gt;0,"oc","va")</f>
        <v>oc</v>
      </c>
      <c r="D88" s="130" t="str">
        <f>IF(booking!H88&gt;0,"oc","va")</f>
        <v>oc</v>
      </c>
      <c r="E88" s="131" t="str">
        <f>IF(booking!I88&gt;0,"oc","va")</f>
        <v>oc</v>
      </c>
      <c r="F88" s="130" t="str">
        <f>IF(booking!L88&gt;0,"oc","va")</f>
        <v>oc</v>
      </c>
      <c r="G88" s="131" t="str">
        <f>IF(booking!M88&gt;0,"oc","va")</f>
        <v>oc</v>
      </c>
      <c r="H88" s="130" t="str">
        <f>IF(booking!P88&gt;0,"oc","va")</f>
        <v>oc</v>
      </c>
      <c r="I88" s="131" t="str">
        <f>IF(booking!Q88&gt;0,"oc","va")</f>
        <v>oc</v>
      </c>
      <c r="J88" s="130" t="str">
        <f>IF(booking!T88&gt;0,"oc","va")</f>
        <v>oc</v>
      </c>
      <c r="K88" s="131" t="str">
        <f>IF(booking!U88&gt;0,"oc","va")</f>
        <v>oc</v>
      </c>
      <c r="L88" s="130" t="str">
        <f>IF(booking!X88&gt;0,"oc","va")</f>
        <v>va</v>
      </c>
      <c r="M88" s="131" t="str">
        <f>IF(booking!Y88&gt;0,"oc","va")</f>
        <v>va</v>
      </c>
    </row>
    <row r="89" spans="1:13" x14ac:dyDescent="0.35">
      <c r="A89" s="5">
        <f>booking!C89</f>
        <v>46226</v>
      </c>
      <c r="B89" s="130" t="str">
        <f>IF(booking!D89&gt;0,"oc","va")</f>
        <v>oc</v>
      </c>
      <c r="C89" s="131" t="str">
        <f>IF(booking!E89&gt;0,"oc","va")</f>
        <v>oc</v>
      </c>
      <c r="D89" s="130" t="str">
        <f>IF(booking!H89&gt;0,"oc","va")</f>
        <v>oc</v>
      </c>
      <c r="E89" s="131" t="str">
        <f>IF(booking!I89&gt;0,"oc","va")</f>
        <v>oc</v>
      </c>
      <c r="F89" s="130" t="str">
        <f>IF(booking!L89&gt;0,"oc","va")</f>
        <v>oc</v>
      </c>
      <c r="G89" s="131" t="str">
        <f>IF(booking!M89&gt;0,"oc","va")</f>
        <v>oc</v>
      </c>
      <c r="H89" s="130" t="str">
        <f>IF(booking!P89&gt;0,"oc","va")</f>
        <v>oc</v>
      </c>
      <c r="I89" s="131" t="str">
        <f>IF(booking!Q89&gt;0,"oc","va")</f>
        <v>oc</v>
      </c>
      <c r="J89" s="130" t="str">
        <f>IF(booking!T89&gt;0,"oc","va")</f>
        <v>oc</v>
      </c>
      <c r="K89" s="131" t="str">
        <f>IF(booking!U89&gt;0,"oc","va")</f>
        <v>oc</v>
      </c>
      <c r="L89" s="130" t="str">
        <f>IF(booking!X89&gt;0,"oc","va")</f>
        <v>va</v>
      </c>
      <c r="M89" s="131" t="str">
        <f>IF(booking!Y89&gt;0,"oc","va")</f>
        <v>va</v>
      </c>
    </row>
    <row r="90" spans="1:13" x14ac:dyDescent="0.35">
      <c r="A90" s="5">
        <f>booking!C90</f>
        <v>46227</v>
      </c>
      <c r="B90" s="130" t="str">
        <f>IF(booking!D90&gt;0,"oc","va")</f>
        <v>oc</v>
      </c>
      <c r="C90" s="131" t="str">
        <f>IF(booking!E90&gt;0,"oc","va")</f>
        <v>oc</v>
      </c>
      <c r="D90" s="130" t="str">
        <f>IF(booking!H90&gt;0,"oc","va")</f>
        <v>oc</v>
      </c>
      <c r="E90" s="131" t="str">
        <f>IF(booking!I90&gt;0,"oc","va")</f>
        <v>va</v>
      </c>
      <c r="F90" s="130" t="str">
        <f>IF(booking!L90&gt;0,"oc","va")</f>
        <v>oc</v>
      </c>
      <c r="G90" s="131" t="str">
        <f>IF(booking!M90&gt;0,"oc","va")</f>
        <v>oc</v>
      </c>
      <c r="H90" s="130" t="str">
        <f>IF(booking!P90&gt;0,"oc","va")</f>
        <v>oc</v>
      </c>
      <c r="I90" s="131" t="str">
        <f>IF(booking!Q90&gt;0,"oc","va")</f>
        <v>oc</v>
      </c>
      <c r="J90" s="130" t="str">
        <f>IF(booking!T90&gt;0,"oc","va")</f>
        <v>oc</v>
      </c>
      <c r="K90" s="131" t="str">
        <f>IF(booking!U90&gt;0,"oc","va")</f>
        <v>oc</v>
      </c>
      <c r="L90" s="130" t="str">
        <f>IF(booking!X90&gt;0,"oc","va")</f>
        <v>va</v>
      </c>
      <c r="M90" s="131" t="str">
        <f>IF(booking!Y90&gt;0,"oc","va")</f>
        <v>va</v>
      </c>
    </row>
    <row r="91" spans="1:13" x14ac:dyDescent="0.35">
      <c r="A91" s="5">
        <f>booking!C91</f>
        <v>46228</v>
      </c>
      <c r="B91" s="130" t="str">
        <f>IF(booking!D91&gt;0,"oc","va")</f>
        <v>oc</v>
      </c>
      <c r="C91" s="131" t="str">
        <f>IF(booking!E91&gt;0,"oc","va")</f>
        <v>oc</v>
      </c>
      <c r="D91" s="130" t="str">
        <f>IF(booking!H91&gt;0,"oc","va")</f>
        <v>va</v>
      </c>
      <c r="E91" s="131" t="str">
        <f>IF(booking!I91&gt;0,"oc","va")</f>
        <v>va</v>
      </c>
      <c r="F91" s="130" t="str">
        <f>IF(booking!L91&gt;0,"oc","va")</f>
        <v>oc</v>
      </c>
      <c r="G91" s="131" t="str">
        <f>IF(booking!M91&gt;0,"oc","va")</f>
        <v>va</v>
      </c>
      <c r="H91" s="130" t="str">
        <f>IF(booking!P91&gt;0,"oc","va")</f>
        <v>oc</v>
      </c>
      <c r="I91" s="131" t="str">
        <f>IF(booking!Q91&gt;0,"oc","va")</f>
        <v>va</v>
      </c>
      <c r="J91" s="130" t="str">
        <f>IF(booking!T91&gt;0,"oc","va")</f>
        <v>oc</v>
      </c>
      <c r="K91" s="131" t="str">
        <f>IF(booking!U91&gt;0,"oc","va")</f>
        <v>oc</v>
      </c>
      <c r="L91" s="130" t="str">
        <f>IF(booking!X91&gt;0,"oc","va")</f>
        <v>va</v>
      </c>
      <c r="M91" s="131" t="str">
        <f>IF(booking!Y91&gt;0,"oc","va")</f>
        <v>va</v>
      </c>
    </row>
    <row r="92" spans="1:13" x14ac:dyDescent="0.35">
      <c r="A92" s="5">
        <f>booking!C92</f>
        <v>46229</v>
      </c>
      <c r="B92" s="130" t="str">
        <f>IF(booking!D92&gt;0,"oc","va")</f>
        <v>oc</v>
      </c>
      <c r="C92" s="131" t="str">
        <f>IF(booking!E92&gt;0,"oc","va")</f>
        <v>va</v>
      </c>
      <c r="D92" s="130" t="str">
        <f>IF(booking!H92&gt;0,"oc","va")</f>
        <v>va</v>
      </c>
      <c r="E92" s="131" t="str">
        <f>IF(booking!I92&gt;0,"oc","va")</f>
        <v>oc</v>
      </c>
      <c r="F92" s="130" t="str">
        <f>IF(booking!L92&gt;0,"oc","va")</f>
        <v>va</v>
      </c>
      <c r="G92" s="131" t="str">
        <f>IF(booking!M92&gt;0,"oc","va")</f>
        <v>va</v>
      </c>
      <c r="H92" s="130" t="str">
        <f>IF(booking!P92&gt;0,"oc","va")</f>
        <v>va</v>
      </c>
      <c r="I92" s="131" t="str">
        <f>IF(booking!Q92&gt;0,"oc","va")</f>
        <v>oc</v>
      </c>
      <c r="J92" s="130" t="str">
        <f>IF(booking!T92&gt;0,"oc","va")</f>
        <v>oc</v>
      </c>
      <c r="K92" s="131" t="str">
        <f>IF(booking!U92&gt;0,"oc","va")</f>
        <v>oc</v>
      </c>
      <c r="L92" s="130" t="str">
        <f>IF(booking!X92&gt;0,"oc","va")</f>
        <v>va</v>
      </c>
      <c r="M92" s="131" t="str">
        <f>IF(booking!Y92&gt;0,"oc","va")</f>
        <v>va</v>
      </c>
    </row>
    <row r="93" spans="1:13" x14ac:dyDescent="0.35">
      <c r="A93" s="5">
        <f>booking!C93</f>
        <v>46230</v>
      </c>
      <c r="B93" s="130" t="str">
        <f>IF(booking!D93&gt;0,"oc","va")</f>
        <v>va</v>
      </c>
      <c r="C93" s="131" t="str">
        <f>IF(booking!E93&gt;0,"oc","va")</f>
        <v>oc</v>
      </c>
      <c r="D93" s="130" t="str">
        <f>IF(booking!H93&gt;0,"oc","va")</f>
        <v>oc</v>
      </c>
      <c r="E93" s="131" t="str">
        <f>IF(booking!I93&gt;0,"oc","va")</f>
        <v>oc</v>
      </c>
      <c r="F93" s="130" t="str">
        <f>IF(booking!L93&gt;0,"oc","va")</f>
        <v>va</v>
      </c>
      <c r="G93" s="131" t="str">
        <f>IF(booking!M93&gt;0,"oc","va")</f>
        <v>oc</v>
      </c>
      <c r="H93" s="130" t="str">
        <f>IF(booking!P93&gt;0,"oc","va")</f>
        <v>oc</v>
      </c>
      <c r="I93" s="131" t="str">
        <f>IF(booking!Q93&gt;0,"oc","va")</f>
        <v>oc</v>
      </c>
      <c r="J93" s="130" t="str">
        <f>IF(booking!T93&gt;0,"oc","va")</f>
        <v>oc</v>
      </c>
      <c r="K93" s="131" t="str">
        <f>IF(booking!U93&gt;0,"oc","va")</f>
        <v>oc</v>
      </c>
      <c r="L93" s="130" t="str">
        <f>IF(booking!X93&gt;0,"oc","va")</f>
        <v>va</v>
      </c>
      <c r="M93" s="131" t="str">
        <f>IF(booking!Y93&gt;0,"oc","va")</f>
        <v>va</v>
      </c>
    </row>
    <row r="94" spans="1:13" x14ac:dyDescent="0.35">
      <c r="A94" s="5">
        <f>booking!C94</f>
        <v>46231</v>
      </c>
      <c r="B94" s="130" t="str">
        <f>IF(booking!D94&gt;0,"oc","va")</f>
        <v>oc</v>
      </c>
      <c r="C94" s="131" t="str">
        <f>IF(booking!E94&gt;0,"oc","va")</f>
        <v>oc</v>
      </c>
      <c r="D94" s="130" t="str">
        <f>IF(booking!H94&gt;0,"oc","va")</f>
        <v>oc</v>
      </c>
      <c r="E94" s="131" t="str">
        <f>IF(booking!I94&gt;0,"oc","va")</f>
        <v>oc</v>
      </c>
      <c r="F94" s="130" t="str">
        <f>IF(booking!L94&gt;0,"oc","va")</f>
        <v>oc</v>
      </c>
      <c r="G94" s="131" t="str">
        <f>IF(booking!M94&gt;0,"oc","va")</f>
        <v>oc</v>
      </c>
      <c r="H94" s="130" t="str">
        <f>IF(booking!P94&gt;0,"oc","va")</f>
        <v>oc</v>
      </c>
      <c r="I94" s="131" t="str">
        <f>IF(booking!Q94&gt;0,"oc","va")</f>
        <v>oc</v>
      </c>
      <c r="J94" s="130" t="str">
        <f>IF(booking!T94&gt;0,"oc","va")</f>
        <v>oc</v>
      </c>
      <c r="K94" s="131" t="str">
        <f>IF(booking!U94&gt;0,"oc","va")</f>
        <v>oc</v>
      </c>
      <c r="L94" s="130" t="str">
        <f>IF(booking!X94&gt;0,"oc","va")</f>
        <v>va</v>
      </c>
      <c r="M94" s="131" t="str">
        <f>IF(booking!Y94&gt;0,"oc","va")</f>
        <v>va</v>
      </c>
    </row>
    <row r="95" spans="1:13" x14ac:dyDescent="0.35">
      <c r="A95" s="5">
        <f>booking!C95</f>
        <v>46232</v>
      </c>
      <c r="B95" s="130" t="str">
        <f>IF(booking!D95&gt;0,"oc","va")</f>
        <v>oc</v>
      </c>
      <c r="C95" s="131" t="str">
        <f>IF(booking!E95&gt;0,"oc","va")</f>
        <v>oc</v>
      </c>
      <c r="D95" s="130" t="str">
        <f>IF(booking!H95&gt;0,"oc","va")</f>
        <v>oc</v>
      </c>
      <c r="E95" s="131" t="str">
        <f>IF(booking!I95&gt;0,"oc","va")</f>
        <v>oc</v>
      </c>
      <c r="F95" s="130" t="str">
        <f>IF(booking!L95&gt;0,"oc","va")</f>
        <v>oc</v>
      </c>
      <c r="G95" s="131" t="str">
        <f>IF(booking!M95&gt;0,"oc","va")</f>
        <v>oc</v>
      </c>
      <c r="H95" s="130" t="str">
        <f>IF(booking!P95&gt;0,"oc","va")</f>
        <v>oc</v>
      </c>
      <c r="I95" s="131" t="str">
        <f>IF(booking!Q95&gt;0,"oc","va")</f>
        <v>oc</v>
      </c>
      <c r="J95" s="130" t="str">
        <f>IF(booking!T95&gt;0,"oc","va")</f>
        <v>oc</v>
      </c>
      <c r="K95" s="131" t="str">
        <f>IF(booking!U95&gt;0,"oc","va")</f>
        <v>oc</v>
      </c>
      <c r="L95" s="130" t="str">
        <f>IF(booking!X95&gt;0,"oc","va")</f>
        <v>va</v>
      </c>
      <c r="M95" s="131" t="str">
        <f>IF(booking!Y95&gt;0,"oc","va")</f>
        <v>oc</v>
      </c>
    </row>
    <row r="96" spans="1:13" x14ac:dyDescent="0.35">
      <c r="A96" s="5">
        <f>booking!C96</f>
        <v>46233</v>
      </c>
      <c r="B96" s="130" t="str">
        <f>IF(booking!D96&gt;0,"oc","va")</f>
        <v>oc</v>
      </c>
      <c r="C96" s="131" t="str">
        <f>IF(booking!E96&gt;0,"oc","va")</f>
        <v>oc</v>
      </c>
      <c r="D96" s="130" t="str">
        <f>IF(booking!H96&gt;0,"oc","va")</f>
        <v>oc</v>
      </c>
      <c r="E96" s="131" t="str">
        <f>IF(booking!I96&gt;0,"oc","va")</f>
        <v>va</v>
      </c>
      <c r="F96" s="130" t="str">
        <f>IF(booking!L96&gt;0,"oc","va")</f>
        <v>oc</v>
      </c>
      <c r="G96" s="131" t="str">
        <f>IF(booking!M96&gt;0,"oc","va")</f>
        <v>oc</v>
      </c>
      <c r="H96" s="130" t="str">
        <f>IF(booking!P96&gt;0,"oc","va")</f>
        <v>oc</v>
      </c>
      <c r="I96" s="131" t="str">
        <f>IF(booking!Q96&gt;0,"oc","va")</f>
        <v>oc</v>
      </c>
      <c r="J96" s="130" t="str">
        <f>IF(booking!T96&gt;0,"oc","va")</f>
        <v>oc</v>
      </c>
      <c r="K96" s="131" t="str">
        <f>IF(booking!U96&gt;0,"oc","va")</f>
        <v>oc</v>
      </c>
      <c r="L96" s="130" t="str">
        <f>IF(booking!X96&gt;0,"oc","va")</f>
        <v>oc</v>
      </c>
      <c r="M96" s="131" t="str">
        <f>IF(booking!Y96&gt;0,"oc","va")</f>
        <v>va</v>
      </c>
    </row>
    <row r="97" spans="1:13" x14ac:dyDescent="0.35">
      <c r="A97" s="5">
        <f>booking!C97</f>
        <v>46234</v>
      </c>
      <c r="B97" s="130" t="str">
        <f>IF(booking!D97&gt;0,"oc","va")</f>
        <v>oc</v>
      </c>
      <c r="C97" s="131" t="str">
        <f>IF(booking!E97&gt;0,"oc","va")</f>
        <v>oc</v>
      </c>
      <c r="D97" s="130" t="str">
        <f>IF(booking!H97&gt;0,"oc","va")</f>
        <v>va</v>
      </c>
      <c r="E97" s="131" t="str">
        <f>IF(booking!I97&gt;0,"oc","va")</f>
        <v>va</v>
      </c>
      <c r="F97" s="130" t="str">
        <f>IF(booking!L97&gt;0,"oc","va")</f>
        <v>oc</v>
      </c>
      <c r="G97" s="131" t="str">
        <f>IF(booking!M97&gt;0,"oc","va")</f>
        <v>va</v>
      </c>
      <c r="H97" s="130" t="str">
        <f>IF(booking!P97&gt;0,"oc","va")</f>
        <v>oc</v>
      </c>
      <c r="I97" s="131" t="str">
        <f>IF(booking!Q97&gt;0,"oc","va")</f>
        <v>oc</v>
      </c>
      <c r="J97" s="130" t="str">
        <f>IF(booking!T97&gt;0,"oc","va")</f>
        <v>oc</v>
      </c>
      <c r="K97" s="131" t="str">
        <f>IF(booking!U97&gt;0,"oc","va")</f>
        <v>oc</v>
      </c>
      <c r="L97" s="130" t="str">
        <f>IF(booking!X97&gt;0,"oc","va")</f>
        <v>va</v>
      </c>
      <c r="M97" s="131" t="str">
        <f>IF(booking!Y97&gt;0,"oc","va")</f>
        <v>va</v>
      </c>
    </row>
    <row r="98" spans="1:13" x14ac:dyDescent="0.35">
      <c r="A98" s="5">
        <f>booking!C98</f>
        <v>46235</v>
      </c>
      <c r="B98" s="130" t="str">
        <f>IF(booking!D98&gt;0,"oc","va")</f>
        <v>oc</v>
      </c>
      <c r="C98" s="131" t="str">
        <f>IF(booking!E98&gt;0,"oc","va")</f>
        <v>oc</v>
      </c>
      <c r="D98" s="130" t="str">
        <f>IF(booking!H98&gt;0,"oc","va")</f>
        <v>va</v>
      </c>
      <c r="E98" s="131" t="str">
        <f>IF(booking!I98&gt;0,"oc","va")</f>
        <v>va</v>
      </c>
      <c r="F98" s="130" t="str">
        <f>IF(booking!L98&gt;0,"oc","va")</f>
        <v>va</v>
      </c>
      <c r="G98" s="131" t="str">
        <f>IF(booking!M98&gt;0,"oc","va")</f>
        <v>va</v>
      </c>
      <c r="H98" s="130" t="str">
        <f>IF(booking!P98&gt;0,"oc","va")</f>
        <v>oc</v>
      </c>
      <c r="I98" s="131" t="str">
        <f>IF(booking!Q98&gt;0,"oc","va")</f>
        <v>oc</v>
      </c>
      <c r="J98" s="130" t="str">
        <f>IF(booking!T98&gt;0,"oc","va")</f>
        <v>oc</v>
      </c>
      <c r="K98" s="131" t="str">
        <f>IF(booking!U98&gt;0,"oc","va")</f>
        <v>va</v>
      </c>
      <c r="L98" s="130" t="str">
        <f>IF(booking!X98&gt;0,"oc","va")</f>
        <v>va</v>
      </c>
      <c r="M98" s="131" t="str">
        <f>IF(booking!Y98&gt;0,"oc","va")</f>
        <v>va</v>
      </c>
    </row>
    <row r="99" spans="1:13" x14ac:dyDescent="0.35">
      <c r="A99" s="5">
        <f>booking!C99</f>
        <v>46236</v>
      </c>
      <c r="B99" s="130" t="str">
        <f>IF(booking!D99&gt;0,"oc","va")</f>
        <v>oc</v>
      </c>
      <c r="C99" s="131" t="str">
        <f>IF(booking!E99&gt;0,"oc","va")</f>
        <v>oc</v>
      </c>
      <c r="D99" s="130" t="str">
        <f>IF(booking!H99&gt;0,"oc","va")</f>
        <v>va</v>
      </c>
      <c r="E99" s="131" t="str">
        <f>IF(booking!I99&gt;0,"oc","va")</f>
        <v>oc</v>
      </c>
      <c r="F99" s="130" t="str">
        <f>IF(booking!L99&gt;0,"oc","va")</f>
        <v>va</v>
      </c>
      <c r="G99" s="131" t="str">
        <f>IF(booking!M99&gt;0,"oc","va")</f>
        <v>oc</v>
      </c>
      <c r="H99" s="130" t="str">
        <f>IF(booking!P99&gt;0,"oc","va")</f>
        <v>oc</v>
      </c>
      <c r="I99" s="131" t="str">
        <f>IF(booking!Q99&gt;0,"oc","va")</f>
        <v>oc</v>
      </c>
      <c r="J99" s="130" t="str">
        <f>IF(booking!T99&gt;0,"oc","va")</f>
        <v>va</v>
      </c>
      <c r="K99" s="131" t="str">
        <f>IF(booking!U99&gt;0,"oc","va")</f>
        <v>va</v>
      </c>
      <c r="L99" s="130" t="str">
        <f>IF(booking!X99&gt;0,"oc","va")</f>
        <v>va</v>
      </c>
      <c r="M99" s="131" t="str">
        <f>IF(booking!Y99&gt;0,"oc","va")</f>
        <v>va</v>
      </c>
    </row>
    <row r="100" spans="1:13" x14ac:dyDescent="0.35">
      <c r="A100" s="5">
        <f>booking!C100</f>
        <v>46237</v>
      </c>
      <c r="B100" s="130" t="str">
        <f>IF(booking!D100&gt;0,"oc","va")</f>
        <v>oc</v>
      </c>
      <c r="C100" s="131" t="str">
        <f>IF(booking!E100&gt;0,"oc","va")</f>
        <v>oc</v>
      </c>
      <c r="D100" s="130" t="str">
        <f>IF(booking!H100&gt;0,"oc","va")</f>
        <v>oc</v>
      </c>
      <c r="E100" s="131" t="str">
        <f>IF(booking!I100&gt;0,"oc","va")</f>
        <v>oc</v>
      </c>
      <c r="F100" s="130" t="str">
        <f>IF(booking!L100&gt;0,"oc","va")</f>
        <v>oc</v>
      </c>
      <c r="G100" s="131" t="str">
        <f>IF(booking!M100&gt;0,"oc","va")</f>
        <v>oc</v>
      </c>
      <c r="H100" s="130" t="str">
        <f>IF(booking!P100&gt;0,"oc","va")</f>
        <v>oc</v>
      </c>
      <c r="I100" s="131" t="str">
        <f>IF(booking!Q100&gt;0,"oc","va")</f>
        <v>oc</v>
      </c>
      <c r="J100" s="130" t="str">
        <f>IF(booking!T100&gt;0,"oc","va")</f>
        <v>va</v>
      </c>
      <c r="K100" s="131" t="str">
        <f>IF(booking!U100&gt;0,"oc","va")</f>
        <v>oc</v>
      </c>
      <c r="L100" s="130" t="str">
        <f>IF(booking!X100&gt;0,"oc","va")</f>
        <v>va</v>
      </c>
      <c r="M100" s="131" t="str">
        <f>IF(booking!Y100&gt;0,"oc","va")</f>
        <v>va</v>
      </c>
    </row>
    <row r="101" spans="1:13" x14ac:dyDescent="0.35">
      <c r="A101" s="5">
        <f>booking!C101</f>
        <v>46238</v>
      </c>
      <c r="B101" s="130" t="str">
        <f>IF(booking!D101&gt;0,"oc","va")</f>
        <v>oc</v>
      </c>
      <c r="C101" s="131" t="str">
        <f>IF(booking!E101&gt;0,"oc","va")</f>
        <v>oc</v>
      </c>
      <c r="D101" s="130" t="str">
        <f>IF(booking!H101&gt;0,"oc","va")</f>
        <v>oc</v>
      </c>
      <c r="E101" s="131" t="str">
        <f>IF(booking!I101&gt;0,"oc","va")</f>
        <v>oc</v>
      </c>
      <c r="F101" s="130" t="str">
        <f>IF(booking!L101&gt;0,"oc","va")</f>
        <v>oc</v>
      </c>
      <c r="G101" s="131" t="str">
        <f>IF(booking!M101&gt;0,"oc","va")</f>
        <v>oc</v>
      </c>
      <c r="H101" s="130" t="str">
        <f>IF(booking!P101&gt;0,"oc","va")</f>
        <v>oc</v>
      </c>
      <c r="I101" s="131" t="str">
        <f>IF(booking!Q101&gt;0,"oc","va")</f>
        <v>va</v>
      </c>
      <c r="J101" s="130" t="str">
        <f>IF(booking!T101&gt;0,"oc","va")</f>
        <v>oc</v>
      </c>
      <c r="K101" s="131" t="str">
        <f>IF(booking!U101&gt;0,"oc","va")</f>
        <v>oc</v>
      </c>
      <c r="L101" s="130" t="str">
        <f>IF(booking!X101&gt;0,"oc","va")</f>
        <v>va</v>
      </c>
      <c r="M101" s="131" t="str">
        <f>IF(booking!Y101&gt;0,"oc","va")</f>
        <v>va</v>
      </c>
    </row>
    <row r="102" spans="1:13" x14ac:dyDescent="0.35">
      <c r="A102" s="5">
        <f>booking!C102</f>
        <v>46239</v>
      </c>
      <c r="B102" s="130" t="str">
        <f>IF(booking!D102&gt;0,"oc","va")</f>
        <v>oc</v>
      </c>
      <c r="C102" s="131" t="str">
        <f>IF(booking!E102&gt;0,"oc","va")</f>
        <v>oc</v>
      </c>
      <c r="D102" s="130" t="str">
        <f>IF(booking!H102&gt;0,"oc","va")</f>
        <v>oc</v>
      </c>
      <c r="E102" s="131" t="str">
        <f>IF(booking!I102&gt;0,"oc","va")</f>
        <v>oc</v>
      </c>
      <c r="F102" s="130" t="str">
        <f>IF(booking!L102&gt;0,"oc","va")</f>
        <v>oc</v>
      </c>
      <c r="G102" s="131" t="str">
        <f>IF(booking!M102&gt;0,"oc","va")</f>
        <v>oc</v>
      </c>
      <c r="H102" s="130" t="str">
        <f>IF(booking!P102&gt;0,"oc","va")</f>
        <v>va</v>
      </c>
      <c r="I102" s="131" t="str">
        <f>IF(booking!Q102&gt;0,"oc","va")</f>
        <v>va</v>
      </c>
      <c r="J102" s="130" t="str">
        <f>IF(booking!T102&gt;0,"oc","va")</f>
        <v>oc</v>
      </c>
      <c r="K102" s="131" t="str">
        <f>IF(booking!U102&gt;0,"oc","va")</f>
        <v>oc</v>
      </c>
      <c r="L102" s="130" t="str">
        <f>IF(booking!X102&gt;0,"oc","va")</f>
        <v>va</v>
      </c>
      <c r="M102" s="131" t="str">
        <f>IF(booking!Y102&gt;0,"oc","va")</f>
        <v>va</v>
      </c>
    </row>
    <row r="103" spans="1:13" x14ac:dyDescent="0.35">
      <c r="A103" s="5">
        <f>booking!C103</f>
        <v>46240</v>
      </c>
      <c r="B103" s="130" t="str">
        <f>IF(booking!D103&gt;0,"oc","va")</f>
        <v>oc</v>
      </c>
      <c r="C103" s="131" t="str">
        <f>IF(booking!E103&gt;0,"oc","va")</f>
        <v>oc</v>
      </c>
      <c r="D103" s="130" t="str">
        <f>IF(booking!H103&gt;0,"oc","va")</f>
        <v>oc</v>
      </c>
      <c r="E103" s="131" t="str">
        <f>IF(booking!I103&gt;0,"oc","va")</f>
        <v>oc</v>
      </c>
      <c r="F103" s="130" t="str">
        <f>IF(booking!L103&gt;0,"oc","va")</f>
        <v>oc</v>
      </c>
      <c r="G103" s="131" t="str">
        <f>IF(booking!M103&gt;0,"oc","va")</f>
        <v>oc</v>
      </c>
      <c r="H103" s="130" t="str">
        <f>IF(booking!P103&gt;0,"oc","va")</f>
        <v>va</v>
      </c>
      <c r="I103" s="131" t="str">
        <f>IF(booking!Q103&gt;0,"oc","va")</f>
        <v>oc</v>
      </c>
      <c r="J103" s="130" t="str">
        <f>IF(booking!T103&gt;0,"oc","va")</f>
        <v>oc</v>
      </c>
      <c r="K103" s="131" t="str">
        <f>IF(booking!U103&gt;0,"oc","va")</f>
        <v>oc</v>
      </c>
      <c r="L103" s="130" t="str">
        <f>IF(booking!X103&gt;0,"oc","va")</f>
        <v>va</v>
      </c>
      <c r="M103" s="131" t="str">
        <f>IF(booking!Y103&gt;0,"oc","va")</f>
        <v>va</v>
      </c>
    </row>
    <row r="104" spans="1:13" x14ac:dyDescent="0.35">
      <c r="A104" s="5">
        <f>booking!C104</f>
        <v>46241</v>
      </c>
      <c r="B104" s="130" t="str">
        <f>IF(booking!D104&gt;0,"oc","va")</f>
        <v>oc</v>
      </c>
      <c r="C104" s="131" t="str">
        <f>IF(booking!E104&gt;0,"oc","va")</f>
        <v>oc</v>
      </c>
      <c r="D104" s="130" t="str">
        <f>IF(booking!H104&gt;0,"oc","va")</f>
        <v>oc</v>
      </c>
      <c r="E104" s="131" t="str">
        <f>IF(booking!I104&gt;0,"oc","va")</f>
        <v>oc</v>
      </c>
      <c r="F104" s="130" t="str">
        <f>IF(booking!L104&gt;0,"oc","va")</f>
        <v>oc</v>
      </c>
      <c r="G104" s="131" t="str">
        <f>IF(booking!M104&gt;0,"oc","va")</f>
        <v>oc</v>
      </c>
      <c r="H104" s="130" t="str">
        <f>IF(booking!P104&gt;0,"oc","va")</f>
        <v>oc</v>
      </c>
      <c r="I104" s="131" t="str">
        <f>IF(booking!Q104&gt;0,"oc","va")</f>
        <v>oc</v>
      </c>
      <c r="J104" s="130" t="str">
        <f>IF(booking!T104&gt;0,"oc","va")</f>
        <v>oc</v>
      </c>
      <c r="K104" s="131" t="str">
        <f>IF(booking!U104&gt;0,"oc","va")</f>
        <v>oc</v>
      </c>
      <c r="L104" s="130" t="str">
        <f>IF(booking!X104&gt;0,"oc","va")</f>
        <v>va</v>
      </c>
      <c r="M104" s="131" t="str">
        <f>IF(booking!Y104&gt;0,"oc","va")</f>
        <v>va</v>
      </c>
    </row>
    <row r="105" spans="1:13" x14ac:dyDescent="0.35">
      <c r="A105" s="5">
        <f>booking!C105</f>
        <v>46242</v>
      </c>
      <c r="B105" s="130" t="str">
        <f>IF(booking!D105&gt;0,"oc","va")</f>
        <v>oc</v>
      </c>
      <c r="C105" s="131" t="str">
        <f>IF(booking!E105&gt;0,"oc","va")</f>
        <v>va</v>
      </c>
      <c r="D105" s="130" t="str">
        <f>IF(booking!H105&gt;0,"oc","va")</f>
        <v>oc</v>
      </c>
      <c r="E105" s="131" t="str">
        <f>IF(booking!I105&gt;0,"oc","va")</f>
        <v>oc</v>
      </c>
      <c r="F105" s="130" t="str">
        <f>IF(booking!L105&gt;0,"oc","va")</f>
        <v>oc</v>
      </c>
      <c r="G105" s="131" t="str">
        <f>IF(booking!M105&gt;0,"oc","va")</f>
        <v>oc</v>
      </c>
      <c r="H105" s="130" t="str">
        <f>IF(booking!P105&gt;0,"oc","va")</f>
        <v>oc</v>
      </c>
      <c r="I105" s="131" t="str">
        <f>IF(booking!Q105&gt;0,"oc","va")</f>
        <v>oc</v>
      </c>
      <c r="J105" s="130" t="str">
        <f>IF(booking!T105&gt;0,"oc","va")</f>
        <v>oc</v>
      </c>
      <c r="K105" s="131" t="str">
        <f>IF(booking!U105&gt;0,"oc","va")</f>
        <v>oc</v>
      </c>
      <c r="L105" s="130" t="str">
        <f>IF(booking!X105&gt;0,"oc","va")</f>
        <v>va</v>
      </c>
      <c r="M105" s="131" t="str">
        <f>IF(booking!Y105&gt;0,"oc","va")</f>
        <v>va</v>
      </c>
    </row>
    <row r="106" spans="1:13" x14ac:dyDescent="0.35">
      <c r="A106" s="5">
        <f>booking!C106</f>
        <v>46243</v>
      </c>
      <c r="B106" s="130" t="str">
        <f>IF(booking!D106&gt;0,"oc","va")</f>
        <v>va</v>
      </c>
      <c r="C106" s="131" t="str">
        <f>IF(booking!E106&gt;0,"oc","va")</f>
        <v>va</v>
      </c>
      <c r="D106" s="130" t="str">
        <f>IF(booking!H106&gt;0,"oc","va")</f>
        <v>oc</v>
      </c>
      <c r="E106" s="131" t="str">
        <f>IF(booking!I106&gt;0,"oc","va")</f>
        <v>oc</v>
      </c>
      <c r="F106" s="130" t="str">
        <f>IF(booking!L106&gt;0,"oc","va")</f>
        <v>oc</v>
      </c>
      <c r="G106" s="131" t="str">
        <f>IF(booking!M106&gt;0,"oc","va")</f>
        <v>oc</v>
      </c>
      <c r="H106" s="130" t="str">
        <f>IF(booking!P106&gt;0,"oc","va")</f>
        <v>oc</v>
      </c>
      <c r="I106" s="131" t="str">
        <f>IF(booking!Q106&gt;0,"oc","va")</f>
        <v>va</v>
      </c>
      <c r="J106" s="130" t="str">
        <f>IF(booking!T106&gt;0,"oc","va")</f>
        <v>oc</v>
      </c>
      <c r="K106" s="131" t="str">
        <f>IF(booking!U106&gt;0,"oc","va")</f>
        <v>oc</v>
      </c>
      <c r="L106" s="130" t="str">
        <f>IF(booking!X106&gt;0,"oc","va")</f>
        <v>va</v>
      </c>
      <c r="M106" s="131" t="str">
        <f>IF(booking!Y106&gt;0,"oc","va")</f>
        <v>va</v>
      </c>
    </row>
    <row r="107" spans="1:13" x14ac:dyDescent="0.35">
      <c r="A107" s="5">
        <f>booking!C107</f>
        <v>46244</v>
      </c>
      <c r="B107" s="130" t="str">
        <f>IF(booking!D107&gt;0,"oc","va")</f>
        <v>va</v>
      </c>
      <c r="C107" s="131" t="str">
        <f>IF(booking!E107&gt;0,"oc","va")</f>
        <v>oc</v>
      </c>
      <c r="D107" s="130" t="str">
        <f>IF(booking!H107&gt;0,"oc","va")</f>
        <v>oc</v>
      </c>
      <c r="E107" s="131" t="str">
        <f>IF(booking!I107&gt;0,"oc","va")</f>
        <v>oc</v>
      </c>
      <c r="F107" s="130" t="str">
        <f>IF(booking!L107&gt;0,"oc","va")</f>
        <v>oc</v>
      </c>
      <c r="G107" s="131" t="str">
        <f>IF(booking!M107&gt;0,"oc","va")</f>
        <v>oc</v>
      </c>
      <c r="H107" s="130" t="str">
        <f>IF(booking!P107&gt;0,"oc","va")</f>
        <v>va</v>
      </c>
      <c r="I107" s="131" t="str">
        <f>IF(booking!Q107&gt;0,"oc","va")</f>
        <v>va</v>
      </c>
      <c r="J107" s="130" t="str">
        <f>IF(booking!T107&gt;0,"oc","va")</f>
        <v>oc</v>
      </c>
      <c r="K107" s="131" t="str">
        <f>IF(booking!U107&gt;0,"oc","va")</f>
        <v>oc</v>
      </c>
      <c r="L107" s="130" t="str">
        <f>IF(booking!X107&gt;0,"oc","va")</f>
        <v>va</v>
      </c>
      <c r="M107" s="131" t="str">
        <f>IF(booking!Y107&gt;0,"oc","va")</f>
        <v>va</v>
      </c>
    </row>
    <row r="108" spans="1:13" x14ac:dyDescent="0.35">
      <c r="A108" s="5">
        <f>booking!C108</f>
        <v>46245</v>
      </c>
      <c r="B108" s="130" t="str">
        <f>IF(booking!D108&gt;0,"oc","va")</f>
        <v>oc</v>
      </c>
      <c r="C108" s="131" t="str">
        <f>IF(booking!E108&gt;0,"oc","va")</f>
        <v>oc</v>
      </c>
      <c r="D108" s="130" t="str">
        <f>IF(booking!H108&gt;0,"oc","va")</f>
        <v>oc</v>
      </c>
      <c r="E108" s="131" t="str">
        <f>IF(booking!I108&gt;0,"oc","va")</f>
        <v>oc</v>
      </c>
      <c r="F108" s="130" t="str">
        <f>IF(booking!L108&gt;0,"oc","va")</f>
        <v>oc</v>
      </c>
      <c r="G108" s="131" t="str">
        <f>IF(booking!M108&gt;0,"oc","va")</f>
        <v>oc</v>
      </c>
      <c r="H108" s="130" t="str">
        <f>IF(booking!P108&gt;0,"oc","va")</f>
        <v>va</v>
      </c>
      <c r="I108" s="131" t="str">
        <f>IF(booking!Q108&gt;0,"oc","va")</f>
        <v>va</v>
      </c>
      <c r="J108" s="130" t="str">
        <f>IF(booking!T108&gt;0,"oc","va")</f>
        <v>oc</v>
      </c>
      <c r="K108" s="131" t="str">
        <f>IF(booking!U108&gt;0,"oc","va")</f>
        <v>oc</v>
      </c>
      <c r="L108" s="130" t="str">
        <f>IF(booking!X108&gt;0,"oc","va")</f>
        <v>va</v>
      </c>
      <c r="M108" s="131" t="str">
        <f>IF(booking!Y108&gt;0,"oc","va")</f>
        <v>va</v>
      </c>
    </row>
    <row r="109" spans="1:13" x14ac:dyDescent="0.35">
      <c r="A109" s="5">
        <f>booking!C109</f>
        <v>46246</v>
      </c>
      <c r="B109" s="130" t="str">
        <f>IF(booking!D109&gt;0,"oc","va")</f>
        <v>oc</v>
      </c>
      <c r="C109" s="131" t="str">
        <f>IF(booking!E109&gt;0,"oc","va")</f>
        <v>oc</v>
      </c>
      <c r="D109" s="130" t="str">
        <f>IF(booking!H109&gt;0,"oc","va")</f>
        <v>oc</v>
      </c>
      <c r="E109" s="131" t="str">
        <f>IF(booking!I109&gt;0,"oc","va")</f>
        <v>oc</v>
      </c>
      <c r="F109" s="130" t="str">
        <f>IF(booking!L109&gt;0,"oc","va")</f>
        <v>oc</v>
      </c>
      <c r="G109" s="131" t="str">
        <f>IF(booking!M109&gt;0,"oc","va")</f>
        <v>oc</v>
      </c>
      <c r="H109" s="130" t="str">
        <f>IF(booking!P109&gt;0,"oc","va")</f>
        <v>va</v>
      </c>
      <c r="I109" s="131" t="str">
        <f>IF(booking!Q109&gt;0,"oc","va")</f>
        <v>oc</v>
      </c>
      <c r="J109" s="130" t="str">
        <f>IF(booking!T109&gt;0,"oc","va")</f>
        <v>oc</v>
      </c>
      <c r="K109" s="131" t="str">
        <f>IF(booking!U109&gt;0,"oc","va")</f>
        <v>oc</v>
      </c>
      <c r="L109" s="130" t="str">
        <f>IF(booking!X109&gt;0,"oc","va")</f>
        <v>va</v>
      </c>
      <c r="M109" s="131" t="str">
        <f>IF(booking!Y109&gt;0,"oc","va")</f>
        <v>va</v>
      </c>
    </row>
    <row r="110" spans="1:13" x14ac:dyDescent="0.35">
      <c r="A110" s="5">
        <f>booking!C110</f>
        <v>46247</v>
      </c>
      <c r="B110" s="130" t="str">
        <f>IF(booking!D110&gt;0,"oc","va")</f>
        <v>oc</v>
      </c>
      <c r="C110" s="131" t="str">
        <f>IF(booking!E110&gt;0,"oc","va")</f>
        <v>oc</v>
      </c>
      <c r="D110" s="130" t="str">
        <f>IF(booking!H110&gt;0,"oc","va")</f>
        <v>oc</v>
      </c>
      <c r="E110" s="131" t="str">
        <f>IF(booking!I110&gt;0,"oc","va")</f>
        <v>oc</v>
      </c>
      <c r="F110" s="130" t="str">
        <f>IF(booking!L110&gt;0,"oc","va")</f>
        <v>oc</v>
      </c>
      <c r="G110" s="131" t="str">
        <f>IF(booking!M110&gt;0,"oc","va")</f>
        <v>oc</v>
      </c>
      <c r="H110" s="130" t="str">
        <f>IF(booking!P110&gt;0,"oc","va")</f>
        <v>oc</v>
      </c>
      <c r="I110" s="131" t="str">
        <f>IF(booking!Q110&gt;0,"oc","va")</f>
        <v>oc</v>
      </c>
      <c r="J110" s="130" t="str">
        <f>IF(booking!T110&gt;0,"oc","va")</f>
        <v>oc</v>
      </c>
      <c r="K110" s="131" t="str">
        <f>IF(booking!U110&gt;0,"oc","va")</f>
        <v>oc</v>
      </c>
      <c r="L110" s="130" t="str">
        <f>IF(booking!X110&gt;0,"oc","va")</f>
        <v>va</v>
      </c>
      <c r="M110" s="131" t="str">
        <f>IF(booking!Y110&gt;0,"oc","va")</f>
        <v>va</v>
      </c>
    </row>
    <row r="111" spans="1:13" x14ac:dyDescent="0.35">
      <c r="A111" s="5">
        <f>booking!C111</f>
        <v>46248</v>
      </c>
      <c r="B111" s="130" t="str">
        <f>IF(booking!D111&gt;0,"oc","va")</f>
        <v>oc</v>
      </c>
      <c r="C111" s="131" t="str">
        <f>IF(booking!E111&gt;0,"oc","va")</f>
        <v>va</v>
      </c>
      <c r="D111" s="130" t="str">
        <f>IF(booking!H111&gt;0,"oc","va")</f>
        <v>oc</v>
      </c>
      <c r="E111" s="131" t="str">
        <f>IF(booking!I111&gt;0,"oc","va")</f>
        <v>oc</v>
      </c>
      <c r="F111" s="130" t="str">
        <f>IF(booking!L111&gt;0,"oc","va")</f>
        <v>oc</v>
      </c>
      <c r="G111" s="131" t="str">
        <f>IF(booking!M111&gt;0,"oc","va")</f>
        <v>oc</v>
      </c>
      <c r="H111" s="130" t="str">
        <f>IF(booking!P111&gt;0,"oc","va")</f>
        <v>oc</v>
      </c>
      <c r="I111" s="131" t="str">
        <f>IF(booking!Q111&gt;0,"oc","va")</f>
        <v>oc</v>
      </c>
      <c r="J111" s="130" t="str">
        <f>IF(booking!T111&gt;0,"oc","va")</f>
        <v>oc</v>
      </c>
      <c r="K111" s="131" t="str">
        <f>IF(booking!U111&gt;0,"oc","va")</f>
        <v>oc</v>
      </c>
      <c r="L111" s="130" t="str">
        <f>IF(booking!X111&gt;0,"oc","va")</f>
        <v>va</v>
      </c>
      <c r="M111" s="131" t="str">
        <f>IF(booking!Y111&gt;0,"oc","va")</f>
        <v>va</v>
      </c>
    </row>
    <row r="112" spans="1:13" x14ac:dyDescent="0.35">
      <c r="A112" s="5">
        <f>booking!C112</f>
        <v>46249</v>
      </c>
      <c r="B112" s="130" t="str">
        <f>IF(booking!D112&gt;0,"oc","va")</f>
        <v>va</v>
      </c>
      <c r="C112" s="131" t="str">
        <f>IF(booking!E112&gt;0,"oc","va")</f>
        <v>va</v>
      </c>
      <c r="D112" s="130" t="str">
        <f>IF(booking!H112&gt;0,"oc","va")</f>
        <v>oc</v>
      </c>
      <c r="E112" s="131" t="str">
        <f>IF(booking!I112&gt;0,"oc","va")</f>
        <v>oc</v>
      </c>
      <c r="F112" s="130" t="str">
        <f>IF(booking!L112&gt;0,"oc","va")</f>
        <v>oc</v>
      </c>
      <c r="G112" s="131" t="str">
        <f>IF(booking!M112&gt;0,"oc","va")</f>
        <v>oc</v>
      </c>
      <c r="H112" s="130" t="str">
        <f>IF(booking!P112&gt;0,"oc","va")</f>
        <v>oc</v>
      </c>
      <c r="I112" s="131" t="str">
        <f>IF(booking!Q112&gt;0,"oc","va")</f>
        <v>oc</v>
      </c>
      <c r="J112" s="130" t="str">
        <f>IF(booking!T112&gt;0,"oc","va")</f>
        <v>oc</v>
      </c>
      <c r="K112" s="131" t="str">
        <f>IF(booking!U112&gt;0,"oc","va")</f>
        <v>oc</v>
      </c>
      <c r="L112" s="130" t="str">
        <f>IF(booking!X112&gt;0,"oc","va")</f>
        <v>va</v>
      </c>
      <c r="M112" s="131" t="str">
        <f>IF(booking!Y112&gt;0,"oc","va")</f>
        <v>va</v>
      </c>
    </row>
    <row r="113" spans="1:13" x14ac:dyDescent="0.35">
      <c r="A113" s="5">
        <f>booking!C113</f>
        <v>46250</v>
      </c>
      <c r="B113" s="130" t="str">
        <f>IF(booking!D113&gt;0,"oc","va")</f>
        <v>va</v>
      </c>
      <c r="C113" s="131" t="str">
        <f>IF(booking!E113&gt;0,"oc","va")</f>
        <v>va</v>
      </c>
      <c r="D113" s="130" t="str">
        <f>IF(booking!H113&gt;0,"oc","va")</f>
        <v>oc</v>
      </c>
      <c r="E113" s="131" t="str">
        <f>IF(booking!I113&gt;0,"oc","va")</f>
        <v>oc</v>
      </c>
      <c r="F113" s="130" t="str">
        <f>IF(booking!L113&gt;0,"oc","va")</f>
        <v>oc</v>
      </c>
      <c r="G113" s="131" t="str">
        <f>IF(booking!M113&gt;0,"oc","va")</f>
        <v>va</v>
      </c>
      <c r="H113" s="130" t="str">
        <f>IF(booking!P113&gt;0,"oc","va")</f>
        <v>oc</v>
      </c>
      <c r="I113" s="131" t="str">
        <f>IF(booking!Q113&gt;0,"oc","va")</f>
        <v>oc</v>
      </c>
      <c r="J113" s="130" t="str">
        <f>IF(booking!T113&gt;0,"oc","va")</f>
        <v>oc</v>
      </c>
      <c r="K113" s="131" t="str">
        <f>IF(booking!U113&gt;0,"oc","va")</f>
        <v>va</v>
      </c>
      <c r="L113" s="130" t="str">
        <f>IF(booking!X113&gt;0,"oc","va")</f>
        <v>va</v>
      </c>
      <c r="M113" s="131" t="str">
        <f>IF(booking!Y113&gt;0,"oc","va")</f>
        <v>va</v>
      </c>
    </row>
    <row r="114" spans="1:13" x14ac:dyDescent="0.35">
      <c r="A114" s="5">
        <f>booking!C114</f>
        <v>46251</v>
      </c>
      <c r="B114" s="130" t="str">
        <f>IF(booking!D114&gt;0,"oc","va")</f>
        <v>va</v>
      </c>
      <c r="C114" s="131" t="str">
        <f>IF(booking!E114&gt;0,"oc","va")</f>
        <v>oc</v>
      </c>
      <c r="D114" s="130" t="str">
        <f>IF(booking!H114&gt;0,"oc","va")</f>
        <v>oc</v>
      </c>
      <c r="E114" s="131" t="str">
        <f>IF(booking!I114&gt;0,"oc","va")</f>
        <v>oc</v>
      </c>
      <c r="F114" s="130" t="str">
        <f>IF(booking!L114&gt;0,"oc","va")</f>
        <v>va</v>
      </c>
      <c r="G114" s="131" t="str">
        <f>IF(booking!M114&gt;0,"oc","va")</f>
        <v>oc</v>
      </c>
      <c r="H114" s="130" t="str">
        <f>IF(booking!P114&gt;0,"oc","va")</f>
        <v>oc</v>
      </c>
      <c r="I114" s="131" t="str">
        <f>IF(booking!Q114&gt;0,"oc","va")</f>
        <v>oc</v>
      </c>
      <c r="J114" s="130" t="str">
        <f>IF(booking!T114&gt;0,"oc","va")</f>
        <v>va</v>
      </c>
      <c r="K114" s="131" t="str">
        <f>IF(booking!U114&gt;0,"oc","va")</f>
        <v>oc</v>
      </c>
      <c r="L114" s="130" t="str">
        <f>IF(booking!X114&gt;0,"oc","va")</f>
        <v>va</v>
      </c>
      <c r="M114" s="131" t="str">
        <f>IF(booking!Y114&gt;0,"oc","va")</f>
        <v>va</v>
      </c>
    </row>
    <row r="115" spans="1:13" x14ac:dyDescent="0.35">
      <c r="A115" s="5">
        <f>booking!C115</f>
        <v>46252</v>
      </c>
      <c r="B115" s="130" t="str">
        <f>IF(booking!D115&gt;0,"oc","va")</f>
        <v>oc</v>
      </c>
      <c r="C115" s="131" t="str">
        <f>IF(booking!E115&gt;0,"oc","va")</f>
        <v>oc</v>
      </c>
      <c r="D115" s="130" t="str">
        <f>IF(booking!H115&gt;0,"oc","va")</f>
        <v>oc</v>
      </c>
      <c r="E115" s="131" t="str">
        <f>IF(booking!I115&gt;0,"oc","va")</f>
        <v>va</v>
      </c>
      <c r="F115" s="130" t="str">
        <f>IF(booking!L115&gt;0,"oc","va")</f>
        <v>oc</v>
      </c>
      <c r="G115" s="131" t="str">
        <f>IF(booking!M115&gt;0,"oc","va")</f>
        <v>oc</v>
      </c>
      <c r="H115" s="130" t="str">
        <f>IF(booking!P115&gt;0,"oc","va")</f>
        <v>oc</v>
      </c>
      <c r="I115" s="131" t="str">
        <f>IF(booking!Q115&gt;0,"oc","va")</f>
        <v>oc</v>
      </c>
      <c r="J115" s="130" t="str">
        <f>IF(booking!T115&gt;0,"oc","va")</f>
        <v>oc</v>
      </c>
      <c r="K115" s="131" t="str">
        <f>IF(booking!U115&gt;0,"oc","va")</f>
        <v>oc</v>
      </c>
      <c r="L115" s="130" t="str">
        <f>IF(booking!X115&gt;0,"oc","va")</f>
        <v>va</v>
      </c>
      <c r="M115" s="131" t="str">
        <f>IF(booking!Y115&gt;0,"oc","va")</f>
        <v>va</v>
      </c>
    </row>
    <row r="116" spans="1:13" x14ac:dyDescent="0.35">
      <c r="A116" s="5">
        <f>booking!C116</f>
        <v>46253</v>
      </c>
      <c r="B116" s="130" t="str">
        <f>IF(booking!D116&gt;0,"oc","va")</f>
        <v>oc</v>
      </c>
      <c r="C116" s="131" t="str">
        <f>IF(booking!E116&gt;0,"oc","va")</f>
        <v>oc</v>
      </c>
      <c r="D116" s="130" t="str">
        <f>IF(booking!H116&gt;0,"oc","va")</f>
        <v>va</v>
      </c>
      <c r="E116" s="131" t="str">
        <f>IF(booking!I116&gt;0,"oc","va")</f>
        <v>va</v>
      </c>
      <c r="F116" s="130" t="str">
        <f>IF(booking!L116&gt;0,"oc","va")</f>
        <v>oc</v>
      </c>
      <c r="G116" s="131" t="str">
        <f>IF(booking!M116&gt;0,"oc","va")</f>
        <v>oc</v>
      </c>
      <c r="H116" s="130" t="str">
        <f>IF(booking!P116&gt;0,"oc","va")</f>
        <v>oc</v>
      </c>
      <c r="I116" s="131" t="str">
        <f>IF(booking!Q116&gt;0,"oc","va")</f>
        <v>oc</v>
      </c>
      <c r="J116" s="130" t="str">
        <f>IF(booking!T116&gt;0,"oc","va")</f>
        <v>oc</v>
      </c>
      <c r="K116" s="131" t="str">
        <f>IF(booking!U116&gt;0,"oc","va")</f>
        <v>oc</v>
      </c>
      <c r="L116" s="130" t="str">
        <f>IF(booking!X116&gt;0,"oc","va")</f>
        <v>va</v>
      </c>
      <c r="M116" s="131" t="str">
        <f>IF(booking!Y116&gt;0,"oc","va")</f>
        <v>va</v>
      </c>
    </row>
    <row r="117" spans="1:13" x14ac:dyDescent="0.35">
      <c r="A117" s="5">
        <f>booking!C117</f>
        <v>46254</v>
      </c>
      <c r="B117" s="130" t="str">
        <f>IF(booking!D117&gt;0,"oc","va")</f>
        <v>oc</v>
      </c>
      <c r="C117" s="131" t="str">
        <f>IF(booking!E117&gt;0,"oc","va")</f>
        <v>oc</v>
      </c>
      <c r="D117" s="130" t="str">
        <f>IF(booking!H117&gt;0,"oc","va")</f>
        <v>va</v>
      </c>
      <c r="E117" s="131" t="str">
        <f>IF(booking!I117&gt;0,"oc","va")</f>
        <v>oc</v>
      </c>
      <c r="F117" s="130" t="str">
        <f>IF(booking!L117&gt;0,"oc","va")</f>
        <v>oc</v>
      </c>
      <c r="G117" s="131" t="str">
        <f>IF(booking!M117&gt;0,"oc","va")</f>
        <v>oc</v>
      </c>
      <c r="H117" s="130" t="str">
        <f>IF(booking!P117&gt;0,"oc","va")</f>
        <v>oc</v>
      </c>
      <c r="I117" s="131" t="str">
        <f>IF(booking!Q117&gt;0,"oc","va")</f>
        <v>oc</v>
      </c>
      <c r="J117" s="130" t="str">
        <f>IF(booking!T117&gt;0,"oc","va")</f>
        <v>oc</v>
      </c>
      <c r="K117" s="131" t="str">
        <f>IF(booking!U117&gt;0,"oc","va")</f>
        <v>oc</v>
      </c>
      <c r="L117" s="130" t="str">
        <f>IF(booking!X117&gt;0,"oc","va")</f>
        <v>va</v>
      </c>
      <c r="M117" s="131" t="str">
        <f>IF(booking!Y117&gt;0,"oc","va")</f>
        <v>oc</v>
      </c>
    </row>
    <row r="118" spans="1:13" x14ac:dyDescent="0.35">
      <c r="A118" s="5">
        <f>booking!C118</f>
        <v>46255</v>
      </c>
      <c r="B118" s="130" t="str">
        <f>IF(booking!D118&gt;0,"oc","va")</f>
        <v>oc</v>
      </c>
      <c r="C118" s="131" t="str">
        <f>IF(booking!E118&gt;0,"oc","va")</f>
        <v>va</v>
      </c>
      <c r="D118" s="130" t="str">
        <f>IF(booking!H118&gt;0,"oc","va")</f>
        <v>oc</v>
      </c>
      <c r="E118" s="131" t="str">
        <f>IF(booking!I118&gt;0,"oc","va")</f>
        <v>oc</v>
      </c>
      <c r="F118" s="130" t="str">
        <f>IF(booking!L118&gt;0,"oc","va")</f>
        <v>oc</v>
      </c>
      <c r="G118" s="131" t="str">
        <f>IF(booking!M118&gt;0,"oc","va")</f>
        <v>oc</v>
      </c>
      <c r="H118" s="130" t="str">
        <f>IF(booking!P118&gt;0,"oc","va")</f>
        <v>oc</v>
      </c>
      <c r="I118" s="131" t="str">
        <f>IF(booking!Q118&gt;0,"oc","va")</f>
        <v>oc</v>
      </c>
      <c r="J118" s="130" t="str">
        <f>IF(booking!T118&gt;0,"oc","va")</f>
        <v>oc</v>
      </c>
      <c r="K118" s="131" t="str">
        <f>IF(booking!U118&gt;0,"oc","va")</f>
        <v>oc</v>
      </c>
      <c r="L118" s="130" t="str">
        <f>IF(booking!X118&gt;0,"oc","va")</f>
        <v>oc</v>
      </c>
      <c r="M118" s="131" t="str">
        <f>IF(booking!Y118&gt;0,"oc","va")</f>
        <v>va</v>
      </c>
    </row>
    <row r="119" spans="1:13" x14ac:dyDescent="0.35">
      <c r="A119" s="5">
        <f>booking!C119</f>
        <v>46256</v>
      </c>
      <c r="B119" s="130" t="str">
        <f>IF(booking!D119&gt;0,"oc","va")</f>
        <v>va</v>
      </c>
      <c r="C119" s="131" t="str">
        <f>IF(booking!E119&gt;0,"oc","va")</f>
        <v>oc</v>
      </c>
      <c r="D119" s="130" t="str">
        <f>IF(booking!H119&gt;0,"oc","va")</f>
        <v>oc</v>
      </c>
      <c r="E119" s="131" t="str">
        <f>IF(booking!I119&gt;0,"oc","va")</f>
        <v>oc</v>
      </c>
      <c r="F119" s="130" t="str">
        <f>IF(booking!L119&gt;0,"oc","va")</f>
        <v>oc</v>
      </c>
      <c r="G119" s="131" t="str">
        <f>IF(booking!M119&gt;0,"oc","va")</f>
        <v>oc</v>
      </c>
      <c r="H119" s="130" t="str">
        <f>IF(booking!P119&gt;0,"oc","va")</f>
        <v>oc</v>
      </c>
      <c r="I119" s="131" t="str">
        <f>IF(booking!Q119&gt;0,"oc","va")</f>
        <v>oc</v>
      </c>
      <c r="J119" s="130" t="str">
        <f>IF(booking!T119&gt;0,"oc","va")</f>
        <v>oc</v>
      </c>
      <c r="K119" s="131" t="str">
        <f>IF(booking!U119&gt;0,"oc","va")</f>
        <v>oc</v>
      </c>
      <c r="L119" s="130" t="str">
        <f>IF(booking!X119&gt;0,"oc","va")</f>
        <v>va</v>
      </c>
      <c r="M119" s="131" t="str">
        <f>IF(booking!Y119&gt;0,"oc","va")</f>
        <v>va</v>
      </c>
    </row>
    <row r="120" spans="1:13" x14ac:dyDescent="0.35">
      <c r="A120" s="5">
        <f>booking!C120</f>
        <v>46257</v>
      </c>
      <c r="B120" s="130" t="str">
        <f>IF(booking!D120&gt;0,"oc","va")</f>
        <v>oc</v>
      </c>
      <c r="C120" s="131" t="str">
        <f>IF(booking!E120&gt;0,"oc","va")</f>
        <v>oc</v>
      </c>
      <c r="D120" s="130" t="str">
        <f>IF(booking!H120&gt;0,"oc","va")</f>
        <v>oc</v>
      </c>
      <c r="E120" s="131" t="str">
        <f>IF(booking!I120&gt;0,"oc","va")</f>
        <v>va</v>
      </c>
      <c r="F120" s="130" t="str">
        <f>IF(booking!L120&gt;0,"oc","va")</f>
        <v>oc</v>
      </c>
      <c r="G120" s="131" t="str">
        <f>IF(booking!M120&gt;0,"oc","va")</f>
        <v>va</v>
      </c>
      <c r="H120" s="130" t="str">
        <f>IF(booking!P120&gt;0,"oc","va")</f>
        <v>oc</v>
      </c>
      <c r="I120" s="131" t="str">
        <f>IF(booking!Q120&gt;0,"oc","va")</f>
        <v>oc</v>
      </c>
      <c r="J120" s="130" t="str">
        <f>IF(booking!T120&gt;0,"oc","va")</f>
        <v>oc</v>
      </c>
      <c r="K120" s="131" t="str">
        <f>IF(booking!U120&gt;0,"oc","va")</f>
        <v>oc</v>
      </c>
      <c r="L120" s="130" t="str">
        <f>IF(booking!X120&gt;0,"oc","va")</f>
        <v>va</v>
      </c>
      <c r="M120" s="131" t="str">
        <f>IF(booking!Y120&gt;0,"oc","va")</f>
        <v>va</v>
      </c>
    </row>
    <row r="121" spans="1:13" x14ac:dyDescent="0.35">
      <c r="A121" s="5">
        <f>booking!C121</f>
        <v>46258</v>
      </c>
      <c r="B121" s="130" t="str">
        <f>IF(booking!D121&gt;0,"oc","va")</f>
        <v>oc</v>
      </c>
      <c r="C121" s="131" t="str">
        <f>IF(booking!E121&gt;0,"oc","va")</f>
        <v>oc</v>
      </c>
      <c r="D121" s="130" t="str">
        <f>IF(booking!H121&gt;0,"oc","va")</f>
        <v>va</v>
      </c>
      <c r="E121" s="131" t="str">
        <f>IF(booking!I121&gt;0,"oc","va")</f>
        <v>va</v>
      </c>
      <c r="F121" s="130" t="str">
        <f>IF(booking!L121&gt;0,"oc","va")</f>
        <v>va</v>
      </c>
      <c r="G121" s="131" t="str">
        <f>IF(booking!M121&gt;0,"oc","va")</f>
        <v>oc</v>
      </c>
      <c r="H121" s="130" t="str">
        <f>IF(booking!P121&gt;0,"oc","va")</f>
        <v>oc</v>
      </c>
      <c r="I121" s="131" t="str">
        <f>IF(booking!Q121&gt;0,"oc","va")</f>
        <v>va</v>
      </c>
      <c r="J121" s="130" t="str">
        <f>IF(booking!T121&gt;0,"oc","va")</f>
        <v>oc</v>
      </c>
      <c r="K121" s="131" t="str">
        <f>IF(booking!U121&gt;0,"oc","va")</f>
        <v>oc</v>
      </c>
      <c r="L121" s="130" t="str">
        <f>IF(booking!X121&gt;0,"oc","va")</f>
        <v>va</v>
      </c>
      <c r="M121" s="131" t="str">
        <f>IF(booking!Y121&gt;0,"oc","va")</f>
        <v>va</v>
      </c>
    </row>
    <row r="122" spans="1:13" x14ac:dyDescent="0.35">
      <c r="A122" s="5">
        <f>booking!C122</f>
        <v>46259</v>
      </c>
      <c r="B122" s="130" t="str">
        <f>IF(booking!D122&gt;0,"oc","va")</f>
        <v>oc</v>
      </c>
      <c r="C122" s="131" t="str">
        <f>IF(booking!E122&gt;0,"oc","va")</f>
        <v>va</v>
      </c>
      <c r="D122" s="130" t="str">
        <f>IF(booking!H122&gt;0,"oc","va")</f>
        <v>va</v>
      </c>
      <c r="E122" s="131" t="str">
        <f>IF(booking!I122&gt;0,"oc","va")</f>
        <v>va</v>
      </c>
      <c r="F122" s="130" t="str">
        <f>IF(booking!L122&gt;0,"oc","va")</f>
        <v>oc</v>
      </c>
      <c r="G122" s="131" t="str">
        <f>IF(booking!M122&gt;0,"oc","va")</f>
        <v>oc</v>
      </c>
      <c r="H122" s="130" t="str">
        <f>IF(booking!P122&gt;0,"oc","va")</f>
        <v>va</v>
      </c>
      <c r="I122" s="131" t="str">
        <f>IF(booking!Q122&gt;0,"oc","va")</f>
        <v>va</v>
      </c>
      <c r="J122" s="130" t="str">
        <f>IF(booking!T122&gt;0,"oc","va")</f>
        <v>oc</v>
      </c>
      <c r="K122" s="131" t="str">
        <f>IF(booking!U122&gt;0,"oc","va")</f>
        <v>oc</v>
      </c>
      <c r="L122" s="130" t="str">
        <f>IF(booking!X122&gt;0,"oc","va")</f>
        <v>va</v>
      </c>
      <c r="M122" s="131" t="str">
        <f>IF(booking!Y122&gt;0,"oc","va")</f>
        <v>va</v>
      </c>
    </row>
    <row r="123" spans="1:13" x14ac:dyDescent="0.35">
      <c r="A123" s="5">
        <f>booking!C123</f>
        <v>46260</v>
      </c>
      <c r="B123" s="130" t="str">
        <f>IF(booking!D123&gt;0,"oc","va")</f>
        <v>va</v>
      </c>
      <c r="C123" s="131" t="str">
        <f>IF(booking!E123&gt;0,"oc","va")</f>
        <v>oc</v>
      </c>
      <c r="D123" s="130" t="str">
        <f>IF(booking!H123&gt;0,"oc","va")</f>
        <v>va</v>
      </c>
      <c r="E123" s="131" t="str">
        <f>IF(booking!I123&gt;0,"oc","va")</f>
        <v>va</v>
      </c>
      <c r="F123" s="130" t="str">
        <f>IF(booking!L123&gt;0,"oc","va")</f>
        <v>oc</v>
      </c>
      <c r="G123" s="131" t="str">
        <f>IF(booking!M123&gt;0,"oc","va")</f>
        <v>oc</v>
      </c>
      <c r="H123" s="130" t="str">
        <f>IF(booking!P123&gt;0,"oc","va")</f>
        <v>va</v>
      </c>
      <c r="I123" s="131" t="str">
        <f>IF(booking!Q123&gt;0,"oc","va")</f>
        <v>oc</v>
      </c>
      <c r="J123" s="130" t="str">
        <f>IF(booking!T123&gt;0,"oc","va")</f>
        <v>oc</v>
      </c>
      <c r="K123" s="131" t="str">
        <f>IF(booking!U123&gt;0,"oc","va")</f>
        <v>oc</v>
      </c>
      <c r="L123" s="130" t="str">
        <f>IF(booking!X123&gt;0,"oc","va")</f>
        <v>va</v>
      </c>
      <c r="M123" s="131" t="str">
        <f>IF(booking!Y123&gt;0,"oc","va")</f>
        <v>va</v>
      </c>
    </row>
    <row r="124" spans="1:13" x14ac:dyDescent="0.35">
      <c r="A124" s="5">
        <f>booking!C124</f>
        <v>46261</v>
      </c>
      <c r="B124" s="130" t="str">
        <f>IF(booking!D124&gt;0,"oc","va")</f>
        <v>oc</v>
      </c>
      <c r="C124" s="131" t="str">
        <f>IF(booking!E124&gt;0,"oc","va")</f>
        <v>oc</v>
      </c>
      <c r="D124" s="130" t="str">
        <f>IF(booking!H124&gt;0,"oc","va")</f>
        <v>va</v>
      </c>
      <c r="E124" s="131" t="str">
        <f>IF(booking!I124&gt;0,"oc","va")</f>
        <v>va</v>
      </c>
      <c r="F124" s="130" t="str">
        <f>IF(booking!L124&gt;0,"oc","va")</f>
        <v>oc</v>
      </c>
      <c r="G124" s="131" t="str">
        <f>IF(booking!M124&gt;0,"oc","va")</f>
        <v>oc</v>
      </c>
      <c r="H124" s="130" t="str">
        <f>IF(booking!P124&gt;0,"oc","va")</f>
        <v>oc</v>
      </c>
      <c r="I124" s="131" t="str">
        <f>IF(booking!Q124&gt;0,"oc","va")</f>
        <v>oc</v>
      </c>
      <c r="J124" s="130" t="str">
        <f>IF(booking!T124&gt;0,"oc","va")</f>
        <v>oc</v>
      </c>
      <c r="K124" s="131" t="str">
        <f>IF(booking!U124&gt;0,"oc","va")</f>
        <v>oc</v>
      </c>
      <c r="L124" s="130" t="str">
        <f>IF(booking!X124&gt;0,"oc","va")</f>
        <v>va</v>
      </c>
      <c r="M124" s="131" t="str">
        <f>IF(booking!Y124&gt;0,"oc","va")</f>
        <v>va</v>
      </c>
    </row>
    <row r="125" spans="1:13" x14ac:dyDescent="0.35">
      <c r="A125" s="5">
        <f>booking!C125</f>
        <v>46262</v>
      </c>
      <c r="B125" s="130" t="str">
        <f>IF(booking!D125&gt;0,"oc","va")</f>
        <v>oc</v>
      </c>
      <c r="C125" s="131" t="str">
        <f>IF(booking!E125&gt;0,"oc","va")</f>
        <v>oc</v>
      </c>
      <c r="D125" s="130" t="str">
        <f>IF(booking!H125&gt;0,"oc","va")</f>
        <v>va</v>
      </c>
      <c r="E125" s="131" t="str">
        <f>IF(booking!I125&gt;0,"oc","va")</f>
        <v>va</v>
      </c>
      <c r="F125" s="130" t="str">
        <f>IF(booking!L125&gt;0,"oc","va")</f>
        <v>oc</v>
      </c>
      <c r="G125" s="131" t="str">
        <f>IF(booking!M125&gt;0,"oc","va")</f>
        <v>va</v>
      </c>
      <c r="H125" s="130" t="str">
        <f>IF(booking!P125&gt;0,"oc","va")</f>
        <v>oc</v>
      </c>
      <c r="I125" s="131" t="str">
        <f>IF(booking!Q125&gt;0,"oc","va")</f>
        <v>oc</v>
      </c>
      <c r="J125" s="130" t="str">
        <f>IF(booking!T125&gt;0,"oc","va")</f>
        <v>oc</v>
      </c>
      <c r="K125" s="131" t="str">
        <f>IF(booking!U125&gt;0,"oc","va")</f>
        <v>oc</v>
      </c>
      <c r="L125" s="130" t="str">
        <f>IF(booking!X125&gt;0,"oc","va")</f>
        <v>va</v>
      </c>
      <c r="M125" s="131" t="str">
        <f>IF(booking!Y125&gt;0,"oc","va")</f>
        <v>va</v>
      </c>
    </row>
    <row r="126" spans="1:13" x14ac:dyDescent="0.35">
      <c r="A126" s="5">
        <f>booking!C126</f>
        <v>46263</v>
      </c>
      <c r="B126" s="130" t="str">
        <f>IF(booking!D126&gt;0,"oc","va")</f>
        <v>oc</v>
      </c>
      <c r="C126" s="131" t="str">
        <f>IF(booking!E126&gt;0,"oc","va")</f>
        <v>oc</v>
      </c>
      <c r="D126" s="130" t="str">
        <f>IF(booking!H126&gt;0,"oc","va")</f>
        <v>va</v>
      </c>
      <c r="E126" s="131" t="str">
        <f>IF(booking!I126&gt;0,"oc","va")</f>
        <v>va</v>
      </c>
      <c r="F126" s="130" t="str">
        <f>IF(booking!L126&gt;0,"oc","va")</f>
        <v>va</v>
      </c>
      <c r="G126" s="131" t="str">
        <f>IF(booking!M126&gt;0,"oc","va")</f>
        <v>va</v>
      </c>
      <c r="H126" s="130" t="str">
        <f>IF(booking!P126&gt;0,"oc","va")</f>
        <v>oc</v>
      </c>
      <c r="I126" s="131" t="str">
        <f>IF(booking!Q126&gt;0,"oc","va")</f>
        <v>oc</v>
      </c>
      <c r="J126" s="130" t="str">
        <f>IF(booking!T126&gt;0,"oc","va")</f>
        <v>oc</v>
      </c>
      <c r="K126" s="131" t="str">
        <f>IF(booking!U126&gt;0,"oc","va")</f>
        <v>oc</v>
      </c>
      <c r="L126" s="130" t="str">
        <f>IF(booking!X126&gt;0,"oc","va")</f>
        <v>va</v>
      </c>
      <c r="M126" s="131" t="str">
        <f>IF(booking!Y126&gt;0,"oc","va")</f>
        <v>va</v>
      </c>
    </row>
    <row r="127" spans="1:13" x14ac:dyDescent="0.35">
      <c r="A127" s="5">
        <f>booking!C127</f>
        <v>46264</v>
      </c>
      <c r="B127" s="130" t="str">
        <f>IF(booking!D127&gt;0,"oc","va")</f>
        <v>oc</v>
      </c>
      <c r="C127" s="131" t="str">
        <f>IF(booking!E127&gt;0,"oc","va")</f>
        <v>oc</v>
      </c>
      <c r="D127" s="130" t="str">
        <f>IF(booking!H127&gt;0,"oc","va")</f>
        <v>va</v>
      </c>
      <c r="E127" s="131" t="str">
        <f>IF(booking!I127&gt;0,"oc","va")</f>
        <v>va</v>
      </c>
      <c r="F127" s="130" t="str">
        <f>IF(booking!L127&gt;0,"oc","va")</f>
        <v>va</v>
      </c>
      <c r="G127" s="131" t="str">
        <f>IF(booking!M127&gt;0,"oc","va")</f>
        <v>va</v>
      </c>
      <c r="H127" s="130" t="str">
        <f>IF(booking!P127&gt;0,"oc","va")</f>
        <v>oc</v>
      </c>
      <c r="I127" s="131" t="str">
        <f>IF(booking!Q127&gt;0,"oc","va")</f>
        <v>oc</v>
      </c>
      <c r="J127" s="130" t="str">
        <f>IF(booking!T127&gt;0,"oc","va")</f>
        <v>oc</v>
      </c>
      <c r="K127" s="131" t="str">
        <f>IF(booking!U127&gt;0,"oc","va")</f>
        <v>oc</v>
      </c>
      <c r="L127" s="130" t="str">
        <f>IF(booking!X127&gt;0,"oc","va")</f>
        <v>va</v>
      </c>
      <c r="M127" s="131" t="str">
        <f>IF(booking!Y127&gt;0,"oc","va")</f>
        <v>va</v>
      </c>
    </row>
    <row r="128" spans="1:13" x14ac:dyDescent="0.35">
      <c r="A128" s="5">
        <f>booking!C128</f>
        <v>46265</v>
      </c>
      <c r="B128" s="130" t="str">
        <f>IF(booking!D128&gt;0,"oc","va")</f>
        <v>oc</v>
      </c>
      <c r="C128" s="131" t="str">
        <f>IF(booking!E128&gt;0,"oc","va")</f>
        <v>va</v>
      </c>
      <c r="D128" s="130" t="str">
        <f>IF(booking!H128&gt;0,"oc","va")</f>
        <v>va</v>
      </c>
      <c r="E128" s="131" t="str">
        <f>IF(booking!I128&gt;0,"oc","va")</f>
        <v>va</v>
      </c>
      <c r="F128" s="130" t="str">
        <f>IF(booking!L128&gt;0,"oc","va")</f>
        <v>va</v>
      </c>
      <c r="G128" s="131" t="str">
        <f>IF(booking!M128&gt;0,"oc","va")</f>
        <v>va</v>
      </c>
      <c r="H128" s="130" t="str">
        <f>IF(booking!P128&gt;0,"oc","va")</f>
        <v>oc</v>
      </c>
      <c r="I128" s="131" t="str">
        <f>IF(booking!Q128&gt;0,"oc","va")</f>
        <v>oc</v>
      </c>
      <c r="J128" s="130" t="str">
        <f>IF(booking!T128&gt;0,"oc","va")</f>
        <v>oc</v>
      </c>
      <c r="K128" s="131" t="str">
        <f>IF(booking!U128&gt;0,"oc","va")</f>
        <v>va</v>
      </c>
      <c r="L128" s="130" t="str">
        <f>IF(booking!X128&gt;0,"oc","va")</f>
        <v>va</v>
      </c>
      <c r="M128" s="131" t="str">
        <f>IF(booking!Y128&gt;0,"oc","va")</f>
        <v>va</v>
      </c>
    </row>
    <row r="129" spans="1:13" x14ac:dyDescent="0.35">
      <c r="A129" s="5">
        <f>booking!C129</f>
        <v>46266</v>
      </c>
      <c r="B129" s="130" t="str">
        <f>IF(booking!D129&gt;0,"oc","va")</f>
        <v>va</v>
      </c>
      <c r="C129" s="131" t="str">
        <f>IF(booking!E129&gt;0,"oc","va")</f>
        <v>va</v>
      </c>
      <c r="D129" s="130" t="str">
        <f>IF(booking!H129&gt;0,"oc","va")</f>
        <v>va</v>
      </c>
      <c r="E129" s="131" t="str">
        <f>IF(booking!I129&gt;0,"oc","va")</f>
        <v>va</v>
      </c>
      <c r="F129" s="130" t="str">
        <f>IF(booking!L129&gt;0,"oc","va")</f>
        <v>va</v>
      </c>
      <c r="G129" s="131" t="str">
        <f>IF(booking!M129&gt;0,"oc","va")</f>
        <v>va</v>
      </c>
      <c r="H129" s="130" t="str">
        <f>IF(booking!P129&gt;0,"oc","va")</f>
        <v>oc</v>
      </c>
      <c r="I129" s="131" t="str">
        <f>IF(booking!Q129&gt;0,"oc","va")</f>
        <v>oc</v>
      </c>
      <c r="J129" s="130" t="str">
        <f>IF(booking!T129&gt;0,"oc","va")</f>
        <v>va</v>
      </c>
      <c r="K129" s="131" t="str">
        <f>IF(booking!U129&gt;0,"oc","va")</f>
        <v>va</v>
      </c>
      <c r="L129" s="130" t="str">
        <f>IF(booking!X129&gt;0,"oc","va")</f>
        <v>va</v>
      </c>
      <c r="M129" s="131" t="str">
        <f>IF(booking!Y129&gt;0,"oc","va")</f>
        <v>va</v>
      </c>
    </row>
    <row r="130" spans="1:13" x14ac:dyDescent="0.35">
      <c r="A130" s="5">
        <f>booking!C130</f>
        <v>46267</v>
      </c>
      <c r="B130" s="130" t="str">
        <f>IF(booking!D130&gt;0,"oc","va")</f>
        <v>va</v>
      </c>
      <c r="C130" s="131" t="str">
        <f>IF(booking!E130&gt;0,"oc","va")</f>
        <v>va</v>
      </c>
      <c r="D130" s="130" t="str">
        <f>IF(booking!H130&gt;0,"oc","va")</f>
        <v>va</v>
      </c>
      <c r="E130" s="131" t="str">
        <f>IF(booking!I130&gt;0,"oc","va")</f>
        <v>va</v>
      </c>
      <c r="F130" s="130" t="str">
        <f>IF(booking!L130&gt;0,"oc","va")</f>
        <v>va</v>
      </c>
      <c r="G130" s="131" t="str">
        <f>IF(booking!M130&gt;0,"oc","va")</f>
        <v>va</v>
      </c>
      <c r="H130" s="130" t="str">
        <f>IF(booking!P130&gt;0,"oc","va")</f>
        <v>oc</v>
      </c>
      <c r="I130" s="131" t="str">
        <f>IF(booking!Q130&gt;0,"oc","va")</f>
        <v>oc</v>
      </c>
      <c r="J130" s="130" t="str">
        <f>IF(booking!T130&gt;0,"oc","va")</f>
        <v>va</v>
      </c>
      <c r="K130" s="131" t="str">
        <f>IF(booking!U130&gt;0,"oc","va")</f>
        <v>va</v>
      </c>
      <c r="L130" s="130" t="str">
        <f>IF(booking!X130&gt;0,"oc","va")</f>
        <v>va</v>
      </c>
      <c r="M130" s="131" t="str">
        <f>IF(booking!Y130&gt;0,"oc","va")</f>
        <v>va</v>
      </c>
    </row>
    <row r="131" spans="1:13" x14ac:dyDescent="0.35">
      <c r="A131" s="5">
        <f>booking!C131</f>
        <v>46268</v>
      </c>
      <c r="B131" s="130" t="str">
        <f>IF(booking!D131&gt;0,"oc","va")</f>
        <v>va</v>
      </c>
      <c r="C131" s="131" t="str">
        <f>IF(booking!E131&gt;0,"oc","va")</f>
        <v>va</v>
      </c>
      <c r="D131" s="130" t="str">
        <f>IF(booking!H131&gt;0,"oc","va")</f>
        <v>va</v>
      </c>
      <c r="E131" s="131" t="str">
        <f>IF(booking!I131&gt;0,"oc","va")</f>
        <v>va</v>
      </c>
      <c r="F131" s="130" t="str">
        <f>IF(booking!L131&gt;0,"oc","va")</f>
        <v>va</v>
      </c>
      <c r="G131" s="131" t="str">
        <f>IF(booking!M131&gt;0,"oc","va")</f>
        <v>va</v>
      </c>
      <c r="H131" s="130" t="str">
        <f>IF(booking!P131&gt;0,"oc","va")</f>
        <v>oc</v>
      </c>
      <c r="I131" s="131" t="str">
        <f>IF(booking!Q131&gt;0,"oc","va")</f>
        <v>va</v>
      </c>
      <c r="J131" s="130" t="str">
        <f>IF(booking!T131&gt;0,"oc","va")</f>
        <v>va</v>
      </c>
      <c r="K131" s="131" t="str">
        <f>IF(booking!U131&gt;0,"oc","va")</f>
        <v>va</v>
      </c>
      <c r="L131" s="130" t="str">
        <f>IF(booking!X131&gt;0,"oc","va")</f>
        <v>va</v>
      </c>
      <c r="M131" s="131" t="str">
        <f>IF(booking!Y131&gt;0,"oc","va")</f>
        <v>va</v>
      </c>
    </row>
    <row r="132" spans="1:13" x14ac:dyDescent="0.35">
      <c r="A132" s="5">
        <f>booking!C132</f>
        <v>46269</v>
      </c>
      <c r="B132" s="130" t="str">
        <f>IF(booking!D132&gt;0,"oc","va")</f>
        <v>va</v>
      </c>
      <c r="C132" s="131" t="str">
        <f>IF(booking!E132&gt;0,"oc","va")</f>
        <v>va</v>
      </c>
      <c r="D132" s="130" t="str">
        <f>IF(booking!H132&gt;0,"oc","va")</f>
        <v>va</v>
      </c>
      <c r="E132" s="131" t="str">
        <f>IF(booking!I132&gt;0,"oc","va")</f>
        <v>va</v>
      </c>
      <c r="F132" s="130" t="str">
        <f>IF(booking!L132&gt;0,"oc","va")</f>
        <v>va</v>
      </c>
      <c r="G132" s="131" t="str">
        <f>IF(booking!M132&gt;0,"oc","va")</f>
        <v>va</v>
      </c>
      <c r="H132" s="130" t="str">
        <f>IF(booking!P132&gt;0,"oc","va")</f>
        <v>va</v>
      </c>
      <c r="I132" s="131" t="str">
        <f>IF(booking!Q132&gt;0,"oc","va")</f>
        <v>va</v>
      </c>
      <c r="J132" s="130" t="str">
        <f>IF(booking!T132&gt;0,"oc","va")</f>
        <v>va</v>
      </c>
      <c r="K132" s="131" t="str">
        <f>IF(booking!U132&gt;0,"oc","va")</f>
        <v>va</v>
      </c>
      <c r="L132" s="130" t="str">
        <f>IF(booking!X132&gt;0,"oc","va")</f>
        <v>va</v>
      </c>
      <c r="M132" s="131" t="str">
        <f>IF(booking!Y132&gt;0,"oc","va")</f>
        <v>va</v>
      </c>
    </row>
    <row r="133" spans="1:13" x14ac:dyDescent="0.35">
      <c r="A133" s="5">
        <f>booking!C133</f>
        <v>46270</v>
      </c>
      <c r="B133" s="130" t="str">
        <f>IF(booking!D133&gt;0,"oc","va")</f>
        <v>va</v>
      </c>
      <c r="C133" s="131" t="str">
        <f>IF(booking!E133&gt;0,"oc","va")</f>
        <v>va</v>
      </c>
      <c r="D133" s="130" t="str">
        <f>IF(booking!H133&gt;0,"oc","va")</f>
        <v>va</v>
      </c>
      <c r="E133" s="131" t="str">
        <f>IF(booking!I133&gt;0,"oc","va")</f>
        <v>va</v>
      </c>
      <c r="F133" s="130" t="str">
        <f>IF(booking!L133&gt;0,"oc","va")</f>
        <v>va</v>
      </c>
      <c r="G133" s="131" t="str">
        <f>IF(booking!M133&gt;0,"oc","va")</f>
        <v>va</v>
      </c>
      <c r="H133" s="130" t="str">
        <f>IF(booking!P133&gt;0,"oc","va")</f>
        <v>va</v>
      </c>
      <c r="I133" s="131" t="str">
        <f>IF(booking!Q133&gt;0,"oc","va")</f>
        <v>va</v>
      </c>
      <c r="J133" s="130" t="str">
        <f>IF(booking!T133&gt;0,"oc","va")</f>
        <v>va</v>
      </c>
      <c r="K133" s="131" t="str">
        <f>IF(booking!U133&gt;0,"oc","va")</f>
        <v>va</v>
      </c>
      <c r="L133" s="130" t="str">
        <f>IF(booking!X133&gt;0,"oc","va")</f>
        <v>va</v>
      </c>
      <c r="M133" s="131" t="str">
        <f>IF(booking!Y133&gt;0,"oc","va")</f>
        <v>va</v>
      </c>
    </row>
    <row r="134" spans="1:13" x14ac:dyDescent="0.35">
      <c r="A134" s="5">
        <f>booking!C134</f>
        <v>46271</v>
      </c>
      <c r="B134" s="130" t="str">
        <f>IF(booking!D134&gt;0,"oc","va")</f>
        <v>va</v>
      </c>
      <c r="C134" s="131" t="str">
        <f>IF(booking!E134&gt;0,"oc","va")</f>
        <v>va</v>
      </c>
      <c r="D134" s="130" t="str">
        <f>IF(booking!H134&gt;0,"oc","va")</f>
        <v>va</v>
      </c>
      <c r="E134" s="131" t="str">
        <f>IF(booking!I134&gt;0,"oc","va")</f>
        <v>va</v>
      </c>
      <c r="F134" s="130" t="str">
        <f>IF(booking!L134&gt;0,"oc","va")</f>
        <v>va</v>
      </c>
      <c r="G134" s="131" t="str">
        <f>IF(booking!M134&gt;0,"oc","va")</f>
        <v>va</v>
      </c>
      <c r="H134" s="130" t="str">
        <f>IF(booking!P134&gt;0,"oc","va")</f>
        <v>va</v>
      </c>
      <c r="I134" s="131" t="str">
        <f>IF(booking!Q134&gt;0,"oc","va")</f>
        <v>va</v>
      </c>
      <c r="J134" s="130" t="str">
        <f>IF(booking!T134&gt;0,"oc","va")</f>
        <v>va</v>
      </c>
      <c r="K134" s="131" t="str">
        <f>IF(booking!U134&gt;0,"oc","va")</f>
        <v>oc</v>
      </c>
      <c r="L134" s="130" t="str">
        <f>IF(booking!X134&gt;0,"oc","va")</f>
        <v>va</v>
      </c>
      <c r="M134" s="131" t="str">
        <f>IF(booking!Y134&gt;0,"oc","va")</f>
        <v>va</v>
      </c>
    </row>
    <row r="135" spans="1:13" x14ac:dyDescent="0.35">
      <c r="A135" s="5">
        <f>booking!C135</f>
        <v>46272</v>
      </c>
      <c r="B135" s="130" t="str">
        <f>IF(booking!D135&gt;0,"oc","va")</f>
        <v>va</v>
      </c>
      <c r="C135" s="131" t="str">
        <f>IF(booking!E135&gt;0,"oc","va")</f>
        <v>va</v>
      </c>
      <c r="D135" s="130" t="str">
        <f>IF(booking!H135&gt;0,"oc","va")</f>
        <v>va</v>
      </c>
      <c r="E135" s="131" t="str">
        <f>IF(booking!I135&gt;0,"oc","va")</f>
        <v>va</v>
      </c>
      <c r="F135" s="130" t="str">
        <f>IF(booking!L135&gt;0,"oc","va")</f>
        <v>va</v>
      </c>
      <c r="G135" s="131" t="str">
        <f>IF(booking!M135&gt;0,"oc","va")</f>
        <v>va</v>
      </c>
      <c r="H135" s="130" t="str">
        <f>IF(booking!P135&gt;0,"oc","va")</f>
        <v>va</v>
      </c>
      <c r="I135" s="131" t="str">
        <f>IF(booking!Q135&gt;0,"oc","va")</f>
        <v>va</v>
      </c>
      <c r="J135" s="130" t="str">
        <f>IF(booking!T135&gt;0,"oc","va")</f>
        <v>oc</v>
      </c>
      <c r="K135" s="131" t="str">
        <f>IF(booking!U135&gt;0,"oc","va")</f>
        <v>oc</v>
      </c>
      <c r="L135" s="130" t="str">
        <f>IF(booking!X135&gt;0,"oc","va")</f>
        <v>va</v>
      </c>
      <c r="M135" s="131" t="str">
        <f>IF(booking!Y135&gt;0,"oc","va")</f>
        <v>va</v>
      </c>
    </row>
    <row r="136" spans="1:13" x14ac:dyDescent="0.35">
      <c r="A136" s="5">
        <f>booking!C136</f>
        <v>46273</v>
      </c>
      <c r="B136" s="130" t="str">
        <f>IF(booking!D136&gt;0,"oc","va")</f>
        <v>va</v>
      </c>
      <c r="C136" s="131" t="str">
        <f>IF(booking!E136&gt;0,"oc","va")</f>
        <v>va</v>
      </c>
      <c r="D136" s="130" t="str">
        <f>IF(booking!H136&gt;0,"oc","va")</f>
        <v>va</v>
      </c>
      <c r="E136" s="131" t="str">
        <f>IF(booking!I136&gt;0,"oc","va")</f>
        <v>va</v>
      </c>
      <c r="F136" s="130" t="str">
        <f>IF(booking!L136&gt;0,"oc","va")</f>
        <v>va</v>
      </c>
      <c r="G136" s="131" t="str">
        <f>IF(booking!M136&gt;0,"oc","va")</f>
        <v>va</v>
      </c>
      <c r="H136" s="130" t="str">
        <f>IF(booking!P136&gt;0,"oc","va")</f>
        <v>va</v>
      </c>
      <c r="I136" s="131" t="str">
        <f>IF(booking!Q136&gt;0,"oc","va")</f>
        <v>va</v>
      </c>
      <c r="J136" s="130" t="str">
        <f>IF(booking!T136&gt;0,"oc","va")</f>
        <v>oc</v>
      </c>
      <c r="K136" s="131" t="str">
        <f>IF(booking!U136&gt;0,"oc","va")</f>
        <v>oc</v>
      </c>
      <c r="L136" s="130" t="str">
        <f>IF(booking!X136&gt;0,"oc","va")</f>
        <v>va</v>
      </c>
      <c r="M136" s="131" t="str">
        <f>IF(booking!Y136&gt;0,"oc","va")</f>
        <v>va</v>
      </c>
    </row>
    <row r="137" spans="1:13" x14ac:dyDescent="0.35">
      <c r="A137" s="5">
        <f>booking!C137</f>
        <v>46274</v>
      </c>
      <c r="B137" s="130" t="str">
        <f>IF(booking!D137&gt;0,"oc","va")</f>
        <v>va</v>
      </c>
      <c r="C137" s="131" t="str">
        <f>IF(booking!E137&gt;0,"oc","va")</f>
        <v>va</v>
      </c>
      <c r="D137" s="130" t="str">
        <f>IF(booking!H137&gt;0,"oc","va")</f>
        <v>va</v>
      </c>
      <c r="E137" s="131" t="str">
        <f>IF(booking!I137&gt;0,"oc","va")</f>
        <v>va</v>
      </c>
      <c r="F137" s="130" t="str">
        <f>IF(booking!L137&gt;0,"oc","va")</f>
        <v>va</v>
      </c>
      <c r="G137" s="131" t="str">
        <f>IF(booking!M137&gt;0,"oc","va")</f>
        <v>va</v>
      </c>
      <c r="H137" s="130" t="str">
        <f>IF(booking!P137&gt;0,"oc","va")</f>
        <v>va</v>
      </c>
      <c r="I137" s="131" t="str">
        <f>IF(booking!Q137&gt;0,"oc","va")</f>
        <v>va</v>
      </c>
      <c r="J137" s="130" t="str">
        <f>IF(booking!T137&gt;0,"oc","va")</f>
        <v>oc</v>
      </c>
      <c r="K137" s="131" t="str">
        <f>IF(booking!U137&gt;0,"oc","va")</f>
        <v>oc</v>
      </c>
      <c r="L137" s="130" t="str">
        <f>IF(booking!X137&gt;0,"oc","va")</f>
        <v>va</v>
      </c>
      <c r="M137" s="131" t="str">
        <f>IF(booking!Y137&gt;0,"oc","va")</f>
        <v>va</v>
      </c>
    </row>
    <row r="138" spans="1:13" x14ac:dyDescent="0.35">
      <c r="A138" s="5">
        <f>booking!C138</f>
        <v>46275</v>
      </c>
      <c r="B138" s="130" t="str">
        <f>IF(booking!D138&gt;0,"oc","va")</f>
        <v>va</v>
      </c>
      <c r="C138" s="131" t="str">
        <f>IF(booking!E138&gt;0,"oc","va")</f>
        <v>va</v>
      </c>
      <c r="D138" s="130" t="str">
        <f>IF(booking!H138&gt;0,"oc","va")</f>
        <v>va</v>
      </c>
      <c r="E138" s="131" t="str">
        <f>IF(booking!I138&gt;0,"oc","va")</f>
        <v>va</v>
      </c>
      <c r="F138" s="130" t="str">
        <f>IF(booking!L138&gt;0,"oc","va")</f>
        <v>va</v>
      </c>
      <c r="G138" s="131" t="str">
        <f>IF(booking!M138&gt;0,"oc","va")</f>
        <v>va</v>
      </c>
      <c r="H138" s="130" t="str">
        <f>IF(booking!P138&gt;0,"oc","va")</f>
        <v>va</v>
      </c>
      <c r="I138" s="131" t="str">
        <f>IF(booking!Q138&gt;0,"oc","va")</f>
        <v>va</v>
      </c>
      <c r="J138" s="130" t="str">
        <f>IF(booking!T138&gt;0,"oc","va")</f>
        <v>oc</v>
      </c>
      <c r="K138" s="131" t="str">
        <f>IF(booking!U138&gt;0,"oc","va")</f>
        <v>oc</v>
      </c>
      <c r="L138" s="130" t="str">
        <f>IF(booking!X138&gt;0,"oc","va")</f>
        <v>va</v>
      </c>
      <c r="M138" s="131" t="str">
        <f>IF(booking!Y138&gt;0,"oc","va")</f>
        <v>va</v>
      </c>
    </row>
    <row r="139" spans="1:13" x14ac:dyDescent="0.35">
      <c r="A139" s="5">
        <f>booking!C139</f>
        <v>46276</v>
      </c>
      <c r="B139" s="130" t="str">
        <f>IF(booking!D139&gt;0,"oc","va")</f>
        <v>va</v>
      </c>
      <c r="C139" s="131" t="str">
        <f>IF(booking!E139&gt;0,"oc","va")</f>
        <v>oc</v>
      </c>
      <c r="D139" s="130" t="str">
        <f>IF(booking!H139&gt;0,"oc","va")</f>
        <v>va</v>
      </c>
      <c r="E139" s="131" t="str">
        <f>IF(booking!I139&gt;0,"oc","va")</f>
        <v>oc</v>
      </c>
      <c r="F139" s="130" t="str">
        <f>IF(booking!L139&gt;0,"oc","va")</f>
        <v>va</v>
      </c>
      <c r="G139" s="131" t="str">
        <f>IF(booking!M139&gt;0,"oc","va")</f>
        <v>va</v>
      </c>
      <c r="H139" s="130" t="str">
        <f>IF(booking!P139&gt;0,"oc","va")</f>
        <v>va</v>
      </c>
      <c r="I139" s="131" t="str">
        <f>IF(booking!Q139&gt;0,"oc","va")</f>
        <v>va</v>
      </c>
      <c r="J139" s="130" t="str">
        <f>IF(booking!T139&gt;0,"oc","va")</f>
        <v>oc</v>
      </c>
      <c r="K139" s="131" t="str">
        <f>IF(booking!U139&gt;0,"oc","va")</f>
        <v>oc</v>
      </c>
      <c r="L139" s="130" t="str">
        <f>IF(booking!X139&gt;0,"oc","va")</f>
        <v>va</v>
      </c>
      <c r="M139" s="131" t="str">
        <f>IF(booking!Y139&gt;0,"oc","va")</f>
        <v>va</v>
      </c>
    </row>
    <row r="140" spans="1:13" x14ac:dyDescent="0.35">
      <c r="A140" s="5">
        <f>booking!C140</f>
        <v>46277</v>
      </c>
      <c r="B140" s="130" t="str">
        <f>IF(booking!D140&gt;0,"oc","va")</f>
        <v>oc</v>
      </c>
      <c r="C140" s="131" t="str">
        <f>IF(booking!E140&gt;0,"oc","va")</f>
        <v>oc</v>
      </c>
      <c r="D140" s="130" t="str">
        <f>IF(booking!H140&gt;0,"oc","va")</f>
        <v>oc</v>
      </c>
      <c r="E140" s="131" t="str">
        <f>IF(booking!I140&gt;0,"oc","va")</f>
        <v>oc</v>
      </c>
      <c r="F140" s="130" t="str">
        <f>IF(booking!L140&gt;0,"oc","va")</f>
        <v>va</v>
      </c>
      <c r="G140" s="131" t="str">
        <f>IF(booking!M140&gt;0,"oc","va")</f>
        <v>oc</v>
      </c>
      <c r="H140" s="130" t="str">
        <f>IF(booking!P140&gt;0,"oc","va")</f>
        <v>va</v>
      </c>
      <c r="I140" s="131" t="str">
        <f>IF(booking!Q140&gt;0,"oc","va")</f>
        <v>va</v>
      </c>
      <c r="J140" s="130" t="str">
        <f>IF(booking!T140&gt;0,"oc","va")</f>
        <v>oc</v>
      </c>
      <c r="K140" s="131" t="str">
        <f>IF(booking!U140&gt;0,"oc","va")</f>
        <v>oc</v>
      </c>
      <c r="L140" s="130" t="str">
        <f>IF(booking!X140&gt;0,"oc","va")</f>
        <v>va</v>
      </c>
      <c r="M140" s="131" t="str">
        <f>IF(booking!Y140&gt;0,"oc","va")</f>
        <v>va</v>
      </c>
    </row>
    <row r="141" spans="1:13" x14ac:dyDescent="0.35">
      <c r="A141" s="5">
        <f>booking!C141</f>
        <v>46278</v>
      </c>
      <c r="B141" s="130" t="str">
        <f>IF(booking!D141&gt;0,"oc","va")</f>
        <v>oc</v>
      </c>
      <c r="C141" s="131" t="str">
        <f>IF(booking!E141&gt;0,"oc","va")</f>
        <v>va</v>
      </c>
      <c r="D141" s="130" t="str">
        <f>IF(booking!H141&gt;0,"oc","va")</f>
        <v>oc</v>
      </c>
      <c r="E141" s="131" t="str">
        <f>IF(booking!I141&gt;0,"oc","va")</f>
        <v>va</v>
      </c>
      <c r="F141" s="130" t="str">
        <f>IF(booking!L141&gt;0,"oc","va")</f>
        <v>oc</v>
      </c>
      <c r="G141" s="131" t="str">
        <f>IF(booking!M141&gt;0,"oc","va")</f>
        <v>oc</v>
      </c>
      <c r="H141" s="130" t="str">
        <f>IF(booking!P141&gt;0,"oc","va")</f>
        <v>va</v>
      </c>
      <c r="I141" s="131" t="str">
        <f>IF(booking!Q141&gt;0,"oc","va")</f>
        <v>va</v>
      </c>
      <c r="J141" s="130" t="str">
        <f>IF(booking!T141&gt;0,"oc","va")</f>
        <v>oc</v>
      </c>
      <c r="K141" s="131" t="str">
        <f>IF(booking!U141&gt;0,"oc","va")</f>
        <v>oc</v>
      </c>
      <c r="L141" s="130" t="str">
        <f>IF(booking!X141&gt;0,"oc","va")</f>
        <v>va</v>
      </c>
      <c r="M141" s="131" t="str">
        <f>IF(booking!Y141&gt;0,"oc","va")</f>
        <v>va</v>
      </c>
    </row>
    <row r="142" spans="1:13" x14ac:dyDescent="0.35">
      <c r="A142" s="5">
        <f>booking!C142</f>
        <v>46279</v>
      </c>
      <c r="B142" s="130" t="str">
        <f>IF(booking!D142&gt;0,"oc","va")</f>
        <v>va</v>
      </c>
      <c r="C142" s="131" t="str">
        <f>IF(booking!E142&gt;0,"oc","va")</f>
        <v>oc</v>
      </c>
      <c r="D142" s="130" t="str">
        <f>IF(booking!H142&gt;0,"oc","va")</f>
        <v>va</v>
      </c>
      <c r="E142" s="131" t="str">
        <f>IF(booking!I142&gt;0,"oc","va")</f>
        <v>va</v>
      </c>
      <c r="F142" s="130" t="str">
        <f>IF(booking!L142&gt;0,"oc","va")</f>
        <v>oc</v>
      </c>
      <c r="G142" s="131" t="str">
        <f>IF(booking!M142&gt;0,"oc","va")</f>
        <v>oc</v>
      </c>
      <c r="H142" s="130" t="str">
        <f>IF(booking!P142&gt;0,"oc","va")</f>
        <v>va</v>
      </c>
      <c r="I142" s="131" t="str">
        <f>IF(booking!Q142&gt;0,"oc","va")</f>
        <v>oc</v>
      </c>
      <c r="J142" s="130" t="str">
        <f>IF(booking!T142&gt;0,"oc","va")</f>
        <v>oc</v>
      </c>
      <c r="K142" s="131" t="str">
        <f>IF(booking!U142&gt;0,"oc","va")</f>
        <v>oc</v>
      </c>
      <c r="L142" s="130" t="str">
        <f>IF(booking!X142&gt;0,"oc","va")</f>
        <v>va</v>
      </c>
      <c r="M142" s="131" t="str">
        <f>IF(booking!Y142&gt;0,"oc","va")</f>
        <v>va</v>
      </c>
    </row>
    <row r="143" spans="1:13" x14ac:dyDescent="0.35">
      <c r="A143" s="5">
        <f>booking!C143</f>
        <v>46280</v>
      </c>
      <c r="B143" s="130" t="str">
        <f>IF(booking!D143&gt;0,"oc","va")</f>
        <v>oc</v>
      </c>
      <c r="C143" s="131" t="str">
        <f>IF(booking!E143&gt;0,"oc","va")</f>
        <v>oc</v>
      </c>
      <c r="D143" s="130" t="str">
        <f>IF(booking!H143&gt;0,"oc","va")</f>
        <v>va</v>
      </c>
      <c r="E143" s="131" t="str">
        <f>IF(booking!I143&gt;0,"oc","va")</f>
        <v>va</v>
      </c>
      <c r="F143" s="130" t="str">
        <f>IF(booking!L143&gt;0,"oc","va")</f>
        <v>oc</v>
      </c>
      <c r="G143" s="131" t="str">
        <f>IF(booking!M143&gt;0,"oc","va")</f>
        <v>oc</v>
      </c>
      <c r="H143" s="130" t="str">
        <f>IF(booking!P143&gt;0,"oc","va")</f>
        <v>oc</v>
      </c>
      <c r="I143" s="131" t="str">
        <f>IF(booking!Q143&gt;0,"oc","va")</f>
        <v>oc</v>
      </c>
      <c r="J143" s="130" t="str">
        <f>IF(booking!T143&gt;0,"oc","va")</f>
        <v>oc</v>
      </c>
      <c r="K143" s="131" t="str">
        <f>IF(booking!U143&gt;0,"oc","va")</f>
        <v>oc</v>
      </c>
      <c r="L143" s="130" t="str">
        <f>IF(booking!X143&gt;0,"oc","va")</f>
        <v>va</v>
      </c>
      <c r="M143" s="131" t="str">
        <f>IF(booking!Y143&gt;0,"oc","va")</f>
        <v>va</v>
      </c>
    </row>
    <row r="144" spans="1:13" x14ac:dyDescent="0.35">
      <c r="A144" s="5">
        <f>booking!C144</f>
        <v>46281</v>
      </c>
      <c r="B144" s="130" t="str">
        <f>IF(booking!D144&gt;0,"oc","va")</f>
        <v>oc</v>
      </c>
      <c r="C144" s="131" t="str">
        <f>IF(booking!E144&gt;0,"oc","va")</f>
        <v>va</v>
      </c>
      <c r="D144" s="130" t="str">
        <f>IF(booking!H144&gt;0,"oc","va")</f>
        <v>va</v>
      </c>
      <c r="E144" s="131" t="str">
        <f>IF(booking!I144&gt;0,"oc","va")</f>
        <v>oc</v>
      </c>
      <c r="F144" s="130" t="str">
        <f>IF(booking!L144&gt;0,"oc","va")</f>
        <v>oc</v>
      </c>
      <c r="G144" s="131" t="str">
        <f>IF(booking!M144&gt;0,"oc","va")</f>
        <v>oc</v>
      </c>
      <c r="H144" s="130" t="str">
        <f>IF(booking!P144&gt;0,"oc","va")</f>
        <v>oc</v>
      </c>
      <c r="I144" s="131" t="str">
        <f>IF(booking!Q144&gt;0,"oc","va")</f>
        <v>va</v>
      </c>
      <c r="J144" s="130" t="str">
        <f>IF(booking!T144&gt;0,"oc","va")</f>
        <v>oc</v>
      </c>
      <c r="K144" s="131" t="str">
        <f>IF(booking!U144&gt;0,"oc","va")</f>
        <v>oc</v>
      </c>
      <c r="L144" s="130" t="str">
        <f>IF(booking!X144&gt;0,"oc","va")</f>
        <v>va</v>
      </c>
      <c r="M144" s="131" t="str">
        <f>IF(booking!Y144&gt;0,"oc","va")</f>
        <v>va</v>
      </c>
    </row>
    <row r="145" spans="1:13" x14ac:dyDescent="0.35">
      <c r="A145" s="5">
        <f>booking!C145</f>
        <v>46282</v>
      </c>
      <c r="B145" s="130" t="str">
        <f>IF(booking!D145&gt;0,"oc","va")</f>
        <v>va</v>
      </c>
      <c r="C145" s="131" t="str">
        <f>IF(booking!E145&gt;0,"oc","va")</f>
        <v>oc</v>
      </c>
      <c r="D145" s="130" t="str">
        <f>IF(booking!H145&gt;0,"oc","va")</f>
        <v>oc</v>
      </c>
      <c r="E145" s="131" t="str">
        <f>IF(booking!I145&gt;0,"oc","va")</f>
        <v>oc</v>
      </c>
      <c r="F145" s="130" t="str">
        <f>IF(booking!L145&gt;0,"oc","va")</f>
        <v>oc</v>
      </c>
      <c r="G145" s="131" t="str">
        <f>IF(booking!M145&gt;0,"oc","va")</f>
        <v>oc</v>
      </c>
      <c r="H145" s="130" t="str">
        <f>IF(booking!P145&gt;0,"oc","va")</f>
        <v>va</v>
      </c>
      <c r="I145" s="131" t="str">
        <f>IF(booking!Q145&gt;0,"oc","va")</f>
        <v>oc</v>
      </c>
      <c r="J145" s="130" t="str">
        <f>IF(booking!T145&gt;0,"oc","va")</f>
        <v>oc</v>
      </c>
      <c r="K145" s="131" t="str">
        <f>IF(booking!U145&gt;0,"oc","va")</f>
        <v>va</v>
      </c>
      <c r="L145" s="130" t="str">
        <f>IF(booking!X145&gt;0,"oc","va")</f>
        <v>va</v>
      </c>
      <c r="M145" s="131" t="str">
        <f>IF(booking!Y145&gt;0,"oc","va")</f>
        <v>va</v>
      </c>
    </row>
    <row r="146" spans="1:13" x14ac:dyDescent="0.35">
      <c r="A146" s="5">
        <f>booking!C146</f>
        <v>46283</v>
      </c>
      <c r="B146" s="130" t="str">
        <f>IF(booking!D146&gt;0,"oc","va")</f>
        <v>oc</v>
      </c>
      <c r="C146" s="131" t="str">
        <f>IF(booking!E146&gt;0,"oc","va")</f>
        <v>oc</v>
      </c>
      <c r="D146" s="130" t="str">
        <f>IF(booking!H146&gt;0,"oc","va")</f>
        <v>oc</v>
      </c>
      <c r="E146" s="131" t="str">
        <f>IF(booking!I146&gt;0,"oc","va")</f>
        <v>oc</v>
      </c>
      <c r="F146" s="130" t="str">
        <f>IF(booking!L146&gt;0,"oc","va")</f>
        <v>oc</v>
      </c>
      <c r="G146" s="131" t="str">
        <f>IF(booking!M146&gt;0,"oc","va")</f>
        <v>oc</v>
      </c>
      <c r="H146" s="130" t="str">
        <f>IF(booking!P146&gt;0,"oc","va")</f>
        <v>oc</v>
      </c>
      <c r="I146" s="131" t="str">
        <f>IF(booking!Q146&gt;0,"oc","va")</f>
        <v>oc</v>
      </c>
      <c r="J146" s="130" t="str">
        <f>IF(booking!T146&gt;0,"oc","va")</f>
        <v>va</v>
      </c>
      <c r="K146" s="131" t="str">
        <f>IF(booking!U146&gt;0,"oc","va")</f>
        <v>oc</v>
      </c>
      <c r="L146" s="130" t="str">
        <f>IF(booking!X146&gt;0,"oc","va")</f>
        <v>va</v>
      </c>
      <c r="M146" s="131" t="str">
        <f>IF(booking!Y146&gt;0,"oc","va")</f>
        <v>va</v>
      </c>
    </row>
    <row r="147" spans="1:13" x14ac:dyDescent="0.35">
      <c r="A147" s="5">
        <f>booking!C147</f>
        <v>46284</v>
      </c>
      <c r="B147" s="130" t="str">
        <f>IF(booking!D147&gt;0,"oc","va")</f>
        <v>oc</v>
      </c>
      <c r="C147" s="131" t="str">
        <f>IF(booking!E147&gt;0,"oc","va")</f>
        <v>oc</v>
      </c>
      <c r="D147" s="130" t="str">
        <f>IF(booking!H147&gt;0,"oc","va")</f>
        <v>oc</v>
      </c>
      <c r="E147" s="131" t="str">
        <f>IF(booking!I147&gt;0,"oc","va")</f>
        <v>oc</v>
      </c>
      <c r="F147" s="130" t="str">
        <f>IF(booking!L147&gt;0,"oc","va")</f>
        <v>oc</v>
      </c>
      <c r="G147" s="131" t="str">
        <f>IF(booking!M147&gt;0,"oc","va")</f>
        <v>va</v>
      </c>
      <c r="H147" s="130" t="str">
        <f>IF(booking!P147&gt;0,"oc","va")</f>
        <v>oc</v>
      </c>
      <c r="I147" s="131" t="str">
        <f>IF(booking!Q147&gt;0,"oc","va")</f>
        <v>oc</v>
      </c>
      <c r="J147" s="130" t="str">
        <f>IF(booking!T147&gt;0,"oc","va")</f>
        <v>oc</v>
      </c>
      <c r="K147" s="131" t="str">
        <f>IF(booking!U147&gt;0,"oc","va")</f>
        <v>oc</v>
      </c>
      <c r="L147" s="130" t="str">
        <f>IF(booking!X147&gt;0,"oc","va")</f>
        <v>va</v>
      </c>
      <c r="M147" s="131" t="str">
        <f>IF(booking!Y147&gt;0,"oc","va")</f>
        <v>va</v>
      </c>
    </row>
    <row r="148" spans="1:13" x14ac:dyDescent="0.35">
      <c r="A148" s="5">
        <f>booking!C148</f>
        <v>46285</v>
      </c>
      <c r="B148" s="130" t="str">
        <f>IF(booking!D148&gt;0,"oc","va")</f>
        <v>oc</v>
      </c>
      <c r="C148" s="131" t="str">
        <f>IF(booking!E148&gt;0,"oc","va")</f>
        <v>va</v>
      </c>
      <c r="D148" s="130" t="str">
        <f>IF(booking!H148&gt;0,"oc","va")</f>
        <v>oc</v>
      </c>
      <c r="E148" s="131" t="str">
        <f>IF(booking!I148&gt;0,"oc","va")</f>
        <v>oc</v>
      </c>
      <c r="F148" s="130" t="str">
        <f>IF(booking!L148&gt;0,"oc","va")</f>
        <v>va</v>
      </c>
      <c r="G148" s="131" t="str">
        <f>IF(booking!M148&gt;0,"oc","va")</f>
        <v>va</v>
      </c>
      <c r="H148" s="130" t="str">
        <f>IF(booking!P148&gt;0,"oc","va")</f>
        <v>oc</v>
      </c>
      <c r="I148" s="131" t="str">
        <f>IF(booking!Q148&gt;0,"oc","va")</f>
        <v>va</v>
      </c>
      <c r="J148" s="130" t="str">
        <f>IF(booking!T148&gt;0,"oc","va")</f>
        <v>oc</v>
      </c>
      <c r="K148" s="131" t="str">
        <f>IF(booking!U148&gt;0,"oc","va")</f>
        <v>va</v>
      </c>
      <c r="L148" s="130" t="str">
        <f>IF(booking!X148&gt;0,"oc","va")</f>
        <v>va</v>
      </c>
      <c r="M148" s="131" t="str">
        <f>IF(booking!Y148&gt;0,"oc","va")</f>
        <v>va</v>
      </c>
    </row>
    <row r="149" spans="1:13" x14ac:dyDescent="0.35">
      <c r="A149" s="5">
        <f>booking!C149</f>
        <v>46286</v>
      </c>
      <c r="B149" s="130" t="str">
        <f>IF(booking!D149&gt;0,"oc","va")</f>
        <v>va</v>
      </c>
      <c r="C149" s="131" t="str">
        <f>IF(booking!E149&gt;0,"oc","va")</f>
        <v>va</v>
      </c>
      <c r="D149" s="130" t="str">
        <f>IF(booking!H149&gt;0,"oc","va")</f>
        <v>oc</v>
      </c>
      <c r="E149" s="131" t="str">
        <f>IF(booking!I149&gt;0,"oc","va")</f>
        <v>va</v>
      </c>
      <c r="F149" s="130" t="str">
        <f>IF(booking!L149&gt;0,"oc","va")</f>
        <v>va</v>
      </c>
      <c r="G149" s="131" t="str">
        <f>IF(booking!M149&gt;0,"oc","va")</f>
        <v>va</v>
      </c>
      <c r="H149" s="130" t="str">
        <f>IF(booking!P149&gt;0,"oc","va")</f>
        <v>va</v>
      </c>
      <c r="I149" s="131" t="str">
        <f>IF(booking!Q149&gt;0,"oc","va")</f>
        <v>va</v>
      </c>
      <c r="J149" s="130" t="str">
        <f>IF(booking!T149&gt;0,"oc","va")</f>
        <v>va</v>
      </c>
      <c r="K149" s="131" t="str">
        <f>IF(booking!U149&gt;0,"oc","va")</f>
        <v>va</v>
      </c>
      <c r="L149" s="130" t="str">
        <f>IF(booking!X149&gt;0,"oc","va")</f>
        <v>va</v>
      </c>
      <c r="M149" s="131" t="str">
        <f>IF(booking!Y149&gt;0,"oc","va")</f>
        <v>va</v>
      </c>
    </row>
    <row r="150" spans="1:13" x14ac:dyDescent="0.35">
      <c r="A150" s="5">
        <f>booking!C150</f>
        <v>46287</v>
      </c>
      <c r="B150" s="130" t="str">
        <f>IF(booking!D150&gt;0,"oc","va")</f>
        <v>va</v>
      </c>
      <c r="C150" s="131" t="str">
        <f>IF(booking!E150&gt;0,"oc","va")</f>
        <v>va</v>
      </c>
      <c r="D150" s="130" t="str">
        <f>IF(booking!H150&gt;0,"oc","va")</f>
        <v>va</v>
      </c>
      <c r="E150" s="131" t="str">
        <f>IF(booking!I150&gt;0,"oc","va")</f>
        <v>va</v>
      </c>
      <c r="F150" s="130" t="str">
        <f>IF(booking!L150&gt;0,"oc","va")</f>
        <v>va</v>
      </c>
      <c r="G150" s="131" t="str">
        <f>IF(booking!M150&gt;0,"oc","va")</f>
        <v>va</v>
      </c>
      <c r="H150" s="130" t="str">
        <f>IF(booking!P150&gt;0,"oc","va")</f>
        <v>va</v>
      </c>
      <c r="I150" s="131" t="str">
        <f>IF(booking!Q150&gt;0,"oc","va")</f>
        <v>va</v>
      </c>
      <c r="J150" s="130" t="str">
        <f>IF(booking!T150&gt;0,"oc","va")</f>
        <v>va</v>
      </c>
      <c r="K150" s="131" t="str">
        <f>IF(booking!U150&gt;0,"oc","va")</f>
        <v>va</v>
      </c>
      <c r="L150" s="130" t="str">
        <f>IF(booking!X150&gt;0,"oc","va")</f>
        <v>va</v>
      </c>
      <c r="M150" s="131" t="str">
        <f>IF(booking!Y150&gt;0,"oc","va")</f>
        <v>va</v>
      </c>
    </row>
    <row r="151" spans="1:13" x14ac:dyDescent="0.35">
      <c r="A151" s="5">
        <f>booking!C151</f>
        <v>46288</v>
      </c>
      <c r="B151" s="130" t="str">
        <f>IF(booking!D151&gt;0,"oc","va")</f>
        <v>va</v>
      </c>
      <c r="C151" s="131" t="str">
        <f>IF(booking!E151&gt;0,"oc","va")</f>
        <v>va</v>
      </c>
      <c r="D151" s="130" t="str">
        <f>IF(booking!H151&gt;0,"oc","va")</f>
        <v>va</v>
      </c>
      <c r="E151" s="131" t="str">
        <f>IF(booking!I151&gt;0,"oc","va")</f>
        <v>va</v>
      </c>
      <c r="F151" s="130" t="str">
        <f>IF(booking!L151&gt;0,"oc","va")</f>
        <v>va</v>
      </c>
      <c r="G151" s="131" t="str">
        <f>IF(booking!M151&gt;0,"oc","va")</f>
        <v>va</v>
      </c>
      <c r="H151" s="130" t="str">
        <f>IF(booking!P151&gt;0,"oc","va")</f>
        <v>va</v>
      </c>
      <c r="I151" s="131" t="str">
        <f>IF(booking!Q151&gt;0,"oc","va")</f>
        <v>va</v>
      </c>
      <c r="J151" s="130" t="str">
        <f>IF(booking!T151&gt;0,"oc","va")</f>
        <v>va</v>
      </c>
      <c r="K151" s="131" t="str">
        <f>IF(booking!U151&gt;0,"oc","va")</f>
        <v>va</v>
      </c>
      <c r="L151" s="130" t="str">
        <f>IF(booking!X151&gt;0,"oc","va")</f>
        <v>va</v>
      </c>
      <c r="M151" s="131" t="str">
        <f>IF(booking!Y151&gt;0,"oc","va")</f>
        <v>va</v>
      </c>
    </row>
    <row r="152" spans="1:13" x14ac:dyDescent="0.35">
      <c r="A152" s="5">
        <f>booking!C152</f>
        <v>46289</v>
      </c>
      <c r="B152" s="130" t="str">
        <f>IF(booking!D152&gt;0,"oc","va")</f>
        <v>va</v>
      </c>
      <c r="C152" s="131" t="str">
        <f>IF(booking!E152&gt;0,"oc","va")</f>
        <v>va</v>
      </c>
      <c r="D152" s="130" t="str">
        <f>IF(booking!H152&gt;0,"oc","va")</f>
        <v>va</v>
      </c>
      <c r="E152" s="131" t="str">
        <f>IF(booking!I152&gt;0,"oc","va")</f>
        <v>va</v>
      </c>
      <c r="F152" s="130" t="str">
        <f>IF(booking!L152&gt;0,"oc","va")</f>
        <v>va</v>
      </c>
      <c r="G152" s="131" t="str">
        <f>IF(booking!M152&gt;0,"oc","va")</f>
        <v>va</v>
      </c>
      <c r="H152" s="130" t="str">
        <f>IF(booking!P152&gt;0,"oc","va")</f>
        <v>va</v>
      </c>
      <c r="I152" s="131" t="str">
        <f>IF(booking!Q152&gt;0,"oc","va")</f>
        <v>va</v>
      </c>
      <c r="J152" s="130" t="str">
        <f>IF(booking!T152&gt;0,"oc","va")</f>
        <v>va</v>
      </c>
      <c r="K152" s="131" t="str">
        <f>IF(booking!U152&gt;0,"oc","va")</f>
        <v>va</v>
      </c>
      <c r="L152" s="130" t="str">
        <f>IF(booking!X152&gt;0,"oc","va")</f>
        <v>va</v>
      </c>
      <c r="M152" s="131" t="str">
        <f>IF(booking!Y152&gt;0,"oc","va")</f>
        <v>va</v>
      </c>
    </row>
    <row r="153" spans="1:13" x14ac:dyDescent="0.35">
      <c r="A153" s="5">
        <f>booking!C153</f>
        <v>46290</v>
      </c>
      <c r="B153" s="130" t="str">
        <f>IF(booking!D153&gt;0,"oc","va")</f>
        <v>va</v>
      </c>
      <c r="C153" s="131" t="str">
        <f>IF(booking!E153&gt;0,"oc","va")</f>
        <v>va</v>
      </c>
      <c r="D153" s="130" t="str">
        <f>IF(booking!H153&gt;0,"oc","va")</f>
        <v>va</v>
      </c>
      <c r="E153" s="131" t="str">
        <f>IF(booking!I153&gt;0,"oc","va")</f>
        <v>va</v>
      </c>
      <c r="F153" s="130" t="str">
        <f>IF(booking!L153&gt;0,"oc","va")</f>
        <v>va</v>
      </c>
      <c r="G153" s="131" t="str">
        <f>IF(booking!M153&gt;0,"oc","va")</f>
        <v>va</v>
      </c>
      <c r="H153" s="130" t="str">
        <f>IF(booking!P153&gt;0,"oc","va")</f>
        <v>va</v>
      </c>
      <c r="I153" s="131" t="str">
        <f>IF(booking!Q153&gt;0,"oc","va")</f>
        <v>va</v>
      </c>
      <c r="J153" s="130" t="str">
        <f>IF(booking!T153&gt;0,"oc","va")</f>
        <v>va</v>
      </c>
      <c r="K153" s="131" t="str">
        <f>IF(booking!U153&gt;0,"oc","va")</f>
        <v>va</v>
      </c>
      <c r="L153" s="130" t="str">
        <f>IF(booking!X153&gt;0,"oc","va")</f>
        <v>va</v>
      </c>
      <c r="M153" s="131" t="str">
        <f>IF(booking!Y153&gt;0,"oc","va")</f>
        <v>va</v>
      </c>
    </row>
    <row r="154" spans="1:13" x14ac:dyDescent="0.35">
      <c r="A154" s="5">
        <f>booking!C154</f>
        <v>46291</v>
      </c>
      <c r="B154" s="130" t="str">
        <f>IF(booking!D154&gt;0,"oc","va")</f>
        <v>va</v>
      </c>
      <c r="C154" s="131" t="str">
        <f>IF(booking!E154&gt;0,"oc","va")</f>
        <v>va</v>
      </c>
      <c r="D154" s="130" t="str">
        <f>IF(booking!H154&gt;0,"oc","va")</f>
        <v>va</v>
      </c>
      <c r="E154" s="131" t="str">
        <f>IF(booking!I154&gt;0,"oc","va")</f>
        <v>va</v>
      </c>
      <c r="F154" s="130" t="str">
        <f>IF(booking!L154&gt;0,"oc","va")</f>
        <v>va</v>
      </c>
      <c r="G154" s="131" t="str">
        <f>IF(booking!M154&gt;0,"oc","va")</f>
        <v>va</v>
      </c>
      <c r="H154" s="130" t="str">
        <f>IF(booking!P154&gt;0,"oc","va")</f>
        <v>va</v>
      </c>
      <c r="I154" s="131" t="str">
        <f>IF(booking!Q154&gt;0,"oc","va")</f>
        <v>va</v>
      </c>
      <c r="J154" s="130" t="str">
        <f>IF(booking!T154&gt;0,"oc","va")</f>
        <v>va</v>
      </c>
      <c r="K154" s="131" t="str">
        <f>IF(booking!U154&gt;0,"oc","va")</f>
        <v>va</v>
      </c>
      <c r="L154" s="130" t="str">
        <f>IF(booking!X154&gt;0,"oc","va")</f>
        <v>va</v>
      </c>
      <c r="M154" s="131" t="str">
        <f>IF(booking!Y154&gt;0,"oc","va")</f>
        <v>va</v>
      </c>
    </row>
    <row r="155" spans="1:13" x14ac:dyDescent="0.35">
      <c r="A155" s="5">
        <f>booking!C155</f>
        <v>46292</v>
      </c>
      <c r="B155" s="130" t="str">
        <f>IF(booking!D155&gt;0,"oc","va")</f>
        <v>va</v>
      </c>
      <c r="C155" s="131" t="str">
        <f>IF(booking!E155&gt;0,"oc","va")</f>
        <v>va</v>
      </c>
      <c r="D155" s="130" t="str">
        <f>IF(booking!H155&gt;0,"oc","va")</f>
        <v>va</v>
      </c>
      <c r="E155" s="131" t="str">
        <f>IF(booking!I155&gt;0,"oc","va")</f>
        <v>va</v>
      </c>
      <c r="F155" s="130" t="str">
        <f>IF(booking!L155&gt;0,"oc","va")</f>
        <v>va</v>
      </c>
      <c r="G155" s="131" t="str">
        <f>IF(booking!M155&gt;0,"oc","va")</f>
        <v>va</v>
      </c>
      <c r="H155" s="130" t="str">
        <f>IF(booking!P155&gt;0,"oc","va")</f>
        <v>va</v>
      </c>
      <c r="I155" s="131" t="str">
        <f>IF(booking!Q155&gt;0,"oc","va")</f>
        <v>va</v>
      </c>
      <c r="J155" s="130" t="str">
        <f>IF(booking!T155&gt;0,"oc","va")</f>
        <v>va</v>
      </c>
      <c r="K155" s="131" t="str">
        <f>IF(booking!U155&gt;0,"oc","va")</f>
        <v>va</v>
      </c>
      <c r="L155" s="130" t="str">
        <f>IF(booking!X155&gt;0,"oc","va")</f>
        <v>va</v>
      </c>
      <c r="M155" s="131" t="str">
        <f>IF(booking!Y155&gt;0,"oc","va")</f>
        <v>va</v>
      </c>
    </row>
    <row r="156" spans="1:13" x14ac:dyDescent="0.35">
      <c r="A156" s="5">
        <f>booking!C156</f>
        <v>46293</v>
      </c>
      <c r="B156" s="130" t="str">
        <f>IF(booking!D156&gt;0,"oc","va")</f>
        <v>va</v>
      </c>
      <c r="C156" s="131" t="str">
        <f>IF(booking!E156&gt;0,"oc","va")</f>
        <v>va</v>
      </c>
      <c r="D156" s="130" t="str">
        <f>IF(booking!H156&gt;0,"oc","va")</f>
        <v>va</v>
      </c>
      <c r="E156" s="131" t="str">
        <f>IF(booking!I156&gt;0,"oc","va")</f>
        <v>va</v>
      </c>
      <c r="F156" s="130" t="str">
        <f>IF(booking!L156&gt;0,"oc","va")</f>
        <v>va</v>
      </c>
      <c r="G156" s="131" t="str">
        <f>IF(booking!M156&gt;0,"oc","va")</f>
        <v>va</v>
      </c>
      <c r="H156" s="130" t="str">
        <f>IF(booking!P156&gt;0,"oc","va")</f>
        <v>va</v>
      </c>
      <c r="I156" s="131" t="str">
        <f>IF(booking!Q156&gt;0,"oc","va")</f>
        <v>va</v>
      </c>
      <c r="J156" s="130" t="str">
        <f>IF(booking!T156&gt;0,"oc","va")</f>
        <v>va</v>
      </c>
      <c r="K156" s="131" t="str">
        <f>IF(booking!U156&gt;0,"oc","va")</f>
        <v>va</v>
      </c>
      <c r="L156" s="130" t="str">
        <f>IF(booking!X156&gt;0,"oc","va")</f>
        <v>va</v>
      </c>
      <c r="M156" s="131" t="str">
        <f>IF(booking!Y156&gt;0,"oc","va")</f>
        <v>va</v>
      </c>
    </row>
    <row r="157" spans="1:13" x14ac:dyDescent="0.35">
      <c r="A157" s="5">
        <f>booking!C157</f>
        <v>46294</v>
      </c>
      <c r="B157" s="130" t="str">
        <f>IF(booking!D157&gt;0,"oc","va")</f>
        <v>va</v>
      </c>
      <c r="C157" s="131" t="str">
        <f>IF(booking!E157&gt;0,"oc","va")</f>
        <v>va</v>
      </c>
      <c r="D157" s="130" t="str">
        <f>IF(booking!H157&gt;0,"oc","va")</f>
        <v>va</v>
      </c>
      <c r="E157" s="131" t="str">
        <f>IF(booking!I157&gt;0,"oc","va")</f>
        <v>va</v>
      </c>
      <c r="F157" s="130" t="str">
        <f>IF(booking!L157&gt;0,"oc","va")</f>
        <v>va</v>
      </c>
      <c r="G157" s="131" t="str">
        <f>IF(booking!M157&gt;0,"oc","va")</f>
        <v>va</v>
      </c>
      <c r="H157" s="130" t="str">
        <f>IF(booking!P157&gt;0,"oc","va")</f>
        <v>va</v>
      </c>
      <c r="I157" s="131" t="str">
        <f>IF(booking!Q157&gt;0,"oc","va")</f>
        <v>va</v>
      </c>
      <c r="J157" s="130" t="str">
        <f>IF(booking!T157&gt;0,"oc","va")</f>
        <v>va</v>
      </c>
      <c r="K157" s="131" t="str">
        <f>IF(booking!U157&gt;0,"oc","va")</f>
        <v>va</v>
      </c>
      <c r="L157" s="130" t="str">
        <f>IF(booking!X157&gt;0,"oc","va")</f>
        <v>va</v>
      </c>
      <c r="M157" s="131" t="str">
        <f>IF(booking!Y157&gt;0,"oc","va")</f>
        <v>va</v>
      </c>
    </row>
    <row r="158" spans="1:13" x14ac:dyDescent="0.35">
      <c r="A158" s="5">
        <f>booking!C158</f>
        <v>46295</v>
      </c>
      <c r="B158" s="130" t="str">
        <f>IF(booking!D158&gt;0,"oc","va")</f>
        <v>va</v>
      </c>
      <c r="C158" s="131" t="str">
        <f>IF(booking!E158&gt;0,"oc","va")</f>
        <v>va</v>
      </c>
      <c r="D158" s="130" t="str">
        <f>IF(booking!H158&gt;0,"oc","va")</f>
        <v>va</v>
      </c>
      <c r="E158" s="131" t="str">
        <f>IF(booking!I158&gt;0,"oc","va")</f>
        <v>va</v>
      </c>
      <c r="F158" s="130" t="str">
        <f>IF(booking!L158&gt;0,"oc","va")</f>
        <v>va</v>
      </c>
      <c r="G158" s="131" t="str">
        <f>IF(booking!M158&gt;0,"oc","va")</f>
        <v>va</v>
      </c>
      <c r="H158" s="130" t="str">
        <f>IF(booking!P158&gt;0,"oc","va")</f>
        <v>va</v>
      </c>
      <c r="I158" s="131" t="str">
        <f>IF(booking!Q158&gt;0,"oc","va")</f>
        <v>va</v>
      </c>
      <c r="J158" s="130" t="str">
        <f>IF(booking!T158&gt;0,"oc","va")</f>
        <v>va</v>
      </c>
      <c r="K158" s="131" t="str">
        <f>IF(booking!U158&gt;0,"oc","va")</f>
        <v>va</v>
      </c>
      <c r="L158" s="130" t="str">
        <f>IF(booking!X158&gt;0,"oc","va")</f>
        <v>va</v>
      </c>
      <c r="M158" s="131" t="str">
        <f>IF(booking!Y158&gt;0,"oc","va")</f>
        <v>va</v>
      </c>
    </row>
    <row r="159" spans="1:13" x14ac:dyDescent="0.35">
      <c r="A159" s="5">
        <f>booking!C159</f>
        <v>46296</v>
      </c>
      <c r="B159" s="130" t="str">
        <f>IF(booking!D159&gt;0,"oc","va")</f>
        <v>va</v>
      </c>
      <c r="C159" s="131" t="str">
        <f>IF(booking!E159&gt;0,"oc","va")</f>
        <v>va</v>
      </c>
      <c r="D159" s="130" t="str">
        <f>IF(booking!H159&gt;0,"oc","va")</f>
        <v>va</v>
      </c>
      <c r="E159" s="131" t="str">
        <f>IF(booking!I159&gt;0,"oc","va")</f>
        <v>va</v>
      </c>
      <c r="F159" s="130" t="str">
        <f>IF(booking!L159&gt;0,"oc","va")</f>
        <v>va</v>
      </c>
      <c r="G159" s="131" t="str">
        <f>IF(booking!M159&gt;0,"oc","va")</f>
        <v>va</v>
      </c>
      <c r="H159" s="130" t="str">
        <f>IF(booking!P159&gt;0,"oc","va")</f>
        <v>va</v>
      </c>
      <c r="I159" s="131" t="str">
        <f>IF(booking!Q159&gt;0,"oc","va")</f>
        <v>va</v>
      </c>
      <c r="J159" s="130" t="str">
        <f>IF(booking!T159&gt;0,"oc","va")</f>
        <v>va</v>
      </c>
      <c r="K159" s="131" t="str">
        <f>IF(booking!U159&gt;0,"oc","va")</f>
        <v>va</v>
      </c>
      <c r="L159" s="130" t="str">
        <f>IF(booking!X159&gt;0,"oc","va")</f>
        <v>va</v>
      </c>
      <c r="M159" s="131" t="str">
        <f>IF(booking!Y159&gt;0,"oc","va")</f>
        <v>va</v>
      </c>
    </row>
    <row r="160" spans="1:13" x14ac:dyDescent="0.35">
      <c r="A160" s="5">
        <f>booking!C160</f>
        <v>46297</v>
      </c>
      <c r="B160" s="130" t="str">
        <f>IF(booking!D160&gt;0,"oc","va")</f>
        <v>va</v>
      </c>
      <c r="C160" s="131" t="str">
        <f>IF(booking!E160&gt;0,"oc","va")</f>
        <v>va</v>
      </c>
      <c r="D160" s="130" t="str">
        <f>IF(booking!H160&gt;0,"oc","va")</f>
        <v>va</v>
      </c>
      <c r="E160" s="131" t="str">
        <f>IF(booking!I160&gt;0,"oc","va")</f>
        <v>va</v>
      </c>
      <c r="F160" s="130" t="str">
        <f>IF(booking!L160&gt;0,"oc","va")</f>
        <v>va</v>
      </c>
      <c r="G160" s="131" t="str">
        <f>IF(booking!M160&gt;0,"oc","va")</f>
        <v>va</v>
      </c>
      <c r="H160" s="130" t="str">
        <f>IF(booking!P160&gt;0,"oc","va")</f>
        <v>va</v>
      </c>
      <c r="I160" s="131" t="str">
        <f>IF(booking!Q160&gt;0,"oc","va")</f>
        <v>va</v>
      </c>
      <c r="J160" s="130" t="str">
        <f>IF(booking!T160&gt;0,"oc","va")</f>
        <v>va</v>
      </c>
      <c r="K160" s="131" t="str">
        <f>IF(booking!U160&gt;0,"oc","va")</f>
        <v>va</v>
      </c>
      <c r="L160" s="130" t="str">
        <f>IF(booking!X160&gt;0,"oc","va")</f>
        <v>va</v>
      </c>
      <c r="M160" s="131" t="str">
        <f>IF(booking!Y160&gt;0,"oc","va")</f>
        <v>va</v>
      </c>
    </row>
    <row r="161" spans="1:13" x14ac:dyDescent="0.35">
      <c r="A161" s="5">
        <f>booking!C161</f>
        <v>46298</v>
      </c>
      <c r="B161" s="130" t="str">
        <f>IF(booking!D161&gt;0,"oc","va")</f>
        <v>va</v>
      </c>
      <c r="C161" s="131" t="str">
        <f>IF(booking!E161&gt;0,"oc","va")</f>
        <v>va</v>
      </c>
      <c r="D161" s="130" t="str">
        <f>IF(booking!H161&gt;0,"oc","va")</f>
        <v>va</v>
      </c>
      <c r="E161" s="131" t="str">
        <f>IF(booking!I161&gt;0,"oc","va")</f>
        <v>va</v>
      </c>
      <c r="F161" s="130" t="str">
        <f>IF(booking!L161&gt;0,"oc","va")</f>
        <v>va</v>
      </c>
      <c r="G161" s="131" t="str">
        <f>IF(booking!M161&gt;0,"oc","va")</f>
        <v>va</v>
      </c>
      <c r="H161" s="130" t="str">
        <f>IF(booking!P161&gt;0,"oc","va")</f>
        <v>va</v>
      </c>
      <c r="I161" s="131" t="str">
        <f>IF(booking!Q161&gt;0,"oc","va")</f>
        <v>va</v>
      </c>
      <c r="J161" s="130" t="str">
        <f>IF(booking!T161&gt;0,"oc","va")</f>
        <v>va</v>
      </c>
      <c r="K161" s="131" t="str">
        <f>IF(booking!U161&gt;0,"oc","va")</f>
        <v>va</v>
      </c>
      <c r="L161" s="130" t="str">
        <f>IF(booking!X161&gt;0,"oc","va")</f>
        <v>va</v>
      </c>
      <c r="M161" s="131" t="str">
        <f>IF(booking!Y161&gt;0,"oc","va")</f>
        <v>va</v>
      </c>
    </row>
    <row r="162" spans="1:13" x14ac:dyDescent="0.35">
      <c r="A162" s="5">
        <f>booking!C162</f>
        <v>46299</v>
      </c>
      <c r="B162" s="130" t="str">
        <f>IF(booking!D162&gt;0,"oc","va")</f>
        <v>va</v>
      </c>
      <c r="C162" s="131" t="str">
        <f>IF(booking!E162&gt;0,"oc","va")</f>
        <v>va</v>
      </c>
      <c r="D162" s="130" t="str">
        <f>IF(booking!H162&gt;0,"oc","va")</f>
        <v>va</v>
      </c>
      <c r="E162" s="131" t="str">
        <f>IF(booking!I162&gt;0,"oc","va")</f>
        <v>va</v>
      </c>
      <c r="F162" s="130" t="str">
        <f>IF(booking!L162&gt;0,"oc","va")</f>
        <v>va</v>
      </c>
      <c r="G162" s="131" t="str">
        <f>IF(booking!M162&gt;0,"oc","va")</f>
        <v>va</v>
      </c>
      <c r="H162" s="130" t="str">
        <f>IF(booking!P162&gt;0,"oc","va")</f>
        <v>va</v>
      </c>
      <c r="I162" s="131" t="str">
        <f>IF(booking!Q162&gt;0,"oc","va")</f>
        <v>va</v>
      </c>
      <c r="J162" s="130" t="str">
        <f>IF(booking!T162&gt;0,"oc","va")</f>
        <v>va</v>
      </c>
      <c r="K162" s="131" t="str">
        <f>IF(booking!U162&gt;0,"oc","va")</f>
        <v>va</v>
      </c>
      <c r="L162" s="130" t="str">
        <f>IF(booking!X162&gt;0,"oc","va")</f>
        <v>va</v>
      </c>
      <c r="M162" s="131" t="str">
        <f>IF(booking!Y162&gt;0,"oc","va")</f>
        <v>va</v>
      </c>
    </row>
    <row r="163" spans="1:13" x14ac:dyDescent="0.35">
      <c r="A163" s="5">
        <f>booking!C163</f>
        <v>46300</v>
      </c>
      <c r="B163" s="130" t="str">
        <f>IF(booking!D163&gt;0,"oc","va")</f>
        <v>va</v>
      </c>
      <c r="C163" s="131" t="str">
        <f>IF(booking!E163&gt;0,"oc","va")</f>
        <v>va</v>
      </c>
      <c r="D163" s="130" t="str">
        <f>IF(booking!H163&gt;0,"oc","va")</f>
        <v>va</v>
      </c>
      <c r="E163" s="131" t="str">
        <f>IF(booking!I163&gt;0,"oc","va")</f>
        <v>va</v>
      </c>
      <c r="F163" s="130" t="str">
        <f>IF(booking!L163&gt;0,"oc","va")</f>
        <v>va</v>
      </c>
      <c r="G163" s="131" t="str">
        <f>IF(booking!M163&gt;0,"oc","va")</f>
        <v>va</v>
      </c>
      <c r="H163" s="130" t="str">
        <f>IF(booking!P163&gt;0,"oc","va")</f>
        <v>va</v>
      </c>
      <c r="I163" s="131" t="str">
        <f>IF(booking!Q163&gt;0,"oc","va")</f>
        <v>va</v>
      </c>
      <c r="J163" s="130" t="str">
        <f>IF(booking!T163&gt;0,"oc","va")</f>
        <v>va</v>
      </c>
      <c r="K163" s="131" t="str">
        <f>IF(booking!U163&gt;0,"oc","va")</f>
        <v>va</v>
      </c>
      <c r="L163" s="130" t="str">
        <f>IF(booking!X163&gt;0,"oc","va")</f>
        <v>va</v>
      </c>
      <c r="M163" s="131" t="str">
        <f>IF(booking!Y163&gt;0,"oc","va")</f>
        <v>va</v>
      </c>
    </row>
    <row r="164" spans="1:13" x14ac:dyDescent="0.35">
      <c r="A164" s="5">
        <f>booking!C164</f>
        <v>46301</v>
      </c>
      <c r="B164" s="130" t="str">
        <f>IF(booking!D164&gt;0,"oc","va")</f>
        <v>va</v>
      </c>
      <c r="C164" s="131" t="str">
        <f>IF(booking!E164&gt;0,"oc","va")</f>
        <v>va</v>
      </c>
      <c r="D164" s="130" t="str">
        <f>IF(booking!H164&gt;0,"oc","va")</f>
        <v>va</v>
      </c>
      <c r="E164" s="131" t="str">
        <f>IF(booking!I164&gt;0,"oc","va")</f>
        <v>va</v>
      </c>
      <c r="F164" s="130" t="str">
        <f>IF(booking!L164&gt;0,"oc","va")</f>
        <v>va</v>
      </c>
      <c r="G164" s="131" t="str">
        <f>IF(booking!M164&gt;0,"oc","va")</f>
        <v>va</v>
      </c>
      <c r="H164" s="130" t="str">
        <f>IF(booking!P164&gt;0,"oc","va")</f>
        <v>va</v>
      </c>
      <c r="I164" s="131" t="str">
        <f>IF(booking!Q164&gt;0,"oc","va")</f>
        <v>va</v>
      </c>
      <c r="J164" s="130" t="str">
        <f>IF(booking!T164&gt;0,"oc","va")</f>
        <v>va</v>
      </c>
      <c r="K164" s="131" t="str">
        <f>IF(booking!U164&gt;0,"oc","va")</f>
        <v>va</v>
      </c>
      <c r="L164" s="130" t="str">
        <f>IF(booking!X164&gt;0,"oc","va")</f>
        <v>va</v>
      </c>
      <c r="M164" s="131" t="str">
        <f>IF(booking!Y164&gt;0,"oc","va")</f>
        <v>va</v>
      </c>
    </row>
    <row r="165" spans="1:13" x14ac:dyDescent="0.35">
      <c r="A165" s="5">
        <f>booking!C165</f>
        <v>46302</v>
      </c>
      <c r="B165" s="130" t="str">
        <f>IF(booking!D165&gt;0,"oc","va")</f>
        <v>va</v>
      </c>
      <c r="C165" s="131" t="str">
        <f>IF(booking!E165&gt;0,"oc","va")</f>
        <v>va</v>
      </c>
      <c r="D165" s="130" t="str">
        <f>IF(booking!H165&gt;0,"oc","va")</f>
        <v>va</v>
      </c>
      <c r="E165" s="131" t="str">
        <f>IF(booking!I165&gt;0,"oc","va")</f>
        <v>va</v>
      </c>
      <c r="F165" s="130" t="str">
        <f>IF(booking!L165&gt;0,"oc","va")</f>
        <v>va</v>
      </c>
      <c r="G165" s="131" t="str">
        <f>IF(booking!M165&gt;0,"oc","va")</f>
        <v>va</v>
      </c>
      <c r="H165" s="130" t="str">
        <f>IF(booking!P165&gt;0,"oc","va")</f>
        <v>va</v>
      </c>
      <c r="I165" s="131" t="str">
        <f>IF(booking!Q165&gt;0,"oc","va")</f>
        <v>va</v>
      </c>
      <c r="J165" s="130" t="str">
        <f>IF(booking!T165&gt;0,"oc","va")</f>
        <v>va</v>
      </c>
      <c r="K165" s="131" t="str">
        <f>IF(booking!U165&gt;0,"oc","va")</f>
        <v>va</v>
      </c>
      <c r="L165" s="130" t="str">
        <f>IF(booking!X165&gt;0,"oc","va")</f>
        <v>va</v>
      </c>
      <c r="M165" s="131" t="str">
        <f>IF(booking!Y165&gt;0,"oc","va")</f>
        <v>va</v>
      </c>
    </row>
    <row r="166" spans="1:13" x14ac:dyDescent="0.35">
      <c r="A166" s="5">
        <f>booking!C166</f>
        <v>46303</v>
      </c>
      <c r="B166" s="130" t="str">
        <f>IF(booking!D166&gt;0,"oc","va")</f>
        <v>va</v>
      </c>
      <c r="C166" s="131" t="str">
        <f>IF(booking!E166&gt;0,"oc","va")</f>
        <v>va</v>
      </c>
      <c r="D166" s="130" t="str">
        <f>IF(booking!H166&gt;0,"oc","va")</f>
        <v>va</v>
      </c>
      <c r="E166" s="131" t="str">
        <f>IF(booking!I166&gt;0,"oc","va")</f>
        <v>va</v>
      </c>
      <c r="F166" s="130" t="str">
        <f>IF(booking!L166&gt;0,"oc","va")</f>
        <v>va</v>
      </c>
      <c r="G166" s="131" t="str">
        <f>IF(booking!M166&gt;0,"oc","va")</f>
        <v>va</v>
      </c>
      <c r="H166" s="130" t="str">
        <f>IF(booking!P166&gt;0,"oc","va")</f>
        <v>va</v>
      </c>
      <c r="I166" s="131" t="str">
        <f>IF(booking!Q166&gt;0,"oc","va")</f>
        <v>va</v>
      </c>
      <c r="J166" s="130" t="str">
        <f>IF(booking!T166&gt;0,"oc","va")</f>
        <v>va</v>
      </c>
      <c r="K166" s="131" t="str">
        <f>IF(booking!U166&gt;0,"oc","va")</f>
        <v>va</v>
      </c>
      <c r="L166" s="130" t="str">
        <f>IF(booking!X166&gt;0,"oc","va")</f>
        <v>va</v>
      </c>
      <c r="M166" s="131" t="str">
        <f>IF(booking!Y166&gt;0,"oc","va")</f>
        <v>va</v>
      </c>
    </row>
    <row r="167" spans="1:13" x14ac:dyDescent="0.35">
      <c r="A167" s="5">
        <f>booking!C167</f>
        <v>46304</v>
      </c>
      <c r="B167" s="130" t="str">
        <f>IF(booking!D167&gt;0,"oc","va")</f>
        <v>va</v>
      </c>
      <c r="C167" s="131" t="str">
        <f>IF(booking!E167&gt;0,"oc","va")</f>
        <v>va</v>
      </c>
      <c r="D167" s="130" t="str">
        <f>IF(booking!H167&gt;0,"oc","va")</f>
        <v>va</v>
      </c>
      <c r="E167" s="131" t="str">
        <f>IF(booking!I167&gt;0,"oc","va")</f>
        <v>va</v>
      </c>
      <c r="F167" s="130" t="str">
        <f>IF(booking!L167&gt;0,"oc","va")</f>
        <v>va</v>
      </c>
      <c r="G167" s="131" t="str">
        <f>IF(booking!M167&gt;0,"oc","va")</f>
        <v>va</v>
      </c>
      <c r="H167" s="130" t="str">
        <f>IF(booking!P167&gt;0,"oc","va")</f>
        <v>va</v>
      </c>
      <c r="I167" s="131" t="str">
        <f>IF(booking!Q167&gt;0,"oc","va")</f>
        <v>va</v>
      </c>
      <c r="J167" s="130" t="str">
        <f>IF(booking!T167&gt;0,"oc","va")</f>
        <v>va</v>
      </c>
      <c r="K167" s="131" t="str">
        <f>IF(booking!U167&gt;0,"oc","va")</f>
        <v>va</v>
      </c>
      <c r="L167" s="130" t="str">
        <f>IF(booking!X167&gt;0,"oc","va")</f>
        <v>va</v>
      </c>
      <c r="M167" s="131" t="str">
        <f>IF(booking!Y167&gt;0,"oc","va")</f>
        <v>va</v>
      </c>
    </row>
    <row r="168" spans="1:13" x14ac:dyDescent="0.35">
      <c r="A168" s="5">
        <f>booking!C168</f>
        <v>46305</v>
      </c>
      <c r="B168" s="130" t="str">
        <f>IF(booking!D168&gt;0,"oc","va")</f>
        <v>va</v>
      </c>
      <c r="C168" s="131" t="str">
        <f>IF(booking!E168&gt;0,"oc","va")</f>
        <v>va</v>
      </c>
      <c r="D168" s="130" t="str">
        <f>IF(booking!H168&gt;0,"oc","va")</f>
        <v>va</v>
      </c>
      <c r="E168" s="131" t="str">
        <f>IF(booking!I168&gt;0,"oc","va")</f>
        <v>va</v>
      </c>
      <c r="F168" s="130" t="str">
        <f>IF(booking!L168&gt;0,"oc","va")</f>
        <v>va</v>
      </c>
      <c r="G168" s="131" t="str">
        <f>IF(booking!M168&gt;0,"oc","va")</f>
        <v>va</v>
      </c>
      <c r="H168" s="130" t="str">
        <f>IF(booking!P168&gt;0,"oc","va")</f>
        <v>va</v>
      </c>
      <c r="I168" s="131" t="str">
        <f>IF(booking!Q168&gt;0,"oc","va")</f>
        <v>va</v>
      </c>
      <c r="J168" s="130" t="str">
        <f>IF(booking!T168&gt;0,"oc","va")</f>
        <v>va</v>
      </c>
      <c r="K168" s="131" t="str">
        <f>IF(booking!U168&gt;0,"oc","va")</f>
        <v>va</v>
      </c>
      <c r="L168" s="130" t="str">
        <f>IF(booking!X168&gt;0,"oc","va")</f>
        <v>va</v>
      </c>
      <c r="M168" s="131" t="str">
        <f>IF(booking!Y168&gt;0,"oc","va")</f>
        <v>va</v>
      </c>
    </row>
    <row r="169" spans="1:13" x14ac:dyDescent="0.35">
      <c r="A169" s="5">
        <f>booking!C169</f>
        <v>46306</v>
      </c>
      <c r="B169" s="130" t="str">
        <f>IF(booking!D169&gt;0,"oc","va")</f>
        <v>va</v>
      </c>
      <c r="C169" s="131" t="str">
        <f>IF(booking!E169&gt;0,"oc","va")</f>
        <v>va</v>
      </c>
      <c r="D169" s="130" t="str">
        <f>IF(booking!H169&gt;0,"oc","va")</f>
        <v>va</v>
      </c>
      <c r="E169" s="131" t="str">
        <f>IF(booking!I169&gt;0,"oc","va")</f>
        <v>va</v>
      </c>
      <c r="F169" s="130" t="str">
        <f>IF(booking!L169&gt;0,"oc","va")</f>
        <v>va</v>
      </c>
      <c r="G169" s="131" t="str">
        <f>IF(booking!M169&gt;0,"oc","va")</f>
        <v>va</v>
      </c>
      <c r="H169" s="130" t="str">
        <f>IF(booking!P169&gt;0,"oc","va")</f>
        <v>va</v>
      </c>
      <c r="I169" s="131" t="str">
        <f>IF(booking!Q169&gt;0,"oc","va")</f>
        <v>va</v>
      </c>
      <c r="J169" s="130" t="str">
        <f>IF(booking!T169&gt;0,"oc","va")</f>
        <v>va</v>
      </c>
      <c r="K169" s="131" t="str">
        <f>IF(booking!U169&gt;0,"oc","va")</f>
        <v>va</v>
      </c>
      <c r="L169" s="130" t="str">
        <f>IF(booking!X169&gt;0,"oc","va")</f>
        <v>va</v>
      </c>
      <c r="M169" s="131" t="str">
        <f>IF(booking!Y169&gt;0,"oc","va")</f>
        <v>va</v>
      </c>
    </row>
    <row r="170" spans="1:13" x14ac:dyDescent="0.35">
      <c r="A170" s="5">
        <f>booking!C170</f>
        <v>46307</v>
      </c>
      <c r="B170" s="130" t="str">
        <f>IF(booking!D170&gt;0,"oc","va")</f>
        <v>va</v>
      </c>
      <c r="C170" s="131" t="str">
        <f>IF(booking!E170&gt;0,"oc","va")</f>
        <v>va</v>
      </c>
      <c r="D170" s="130" t="str">
        <f>IF(booking!H170&gt;0,"oc","va")</f>
        <v>va</v>
      </c>
      <c r="E170" s="131" t="str">
        <f>IF(booking!I170&gt;0,"oc","va")</f>
        <v>va</v>
      </c>
      <c r="F170" s="130" t="str">
        <f>IF(booking!L170&gt;0,"oc","va")</f>
        <v>va</v>
      </c>
      <c r="G170" s="131" t="str">
        <f>IF(booking!M170&gt;0,"oc","va")</f>
        <v>va</v>
      </c>
      <c r="H170" s="130" t="str">
        <f>IF(booking!P170&gt;0,"oc","va")</f>
        <v>va</v>
      </c>
      <c r="I170" s="131" t="str">
        <f>IF(booking!Q170&gt;0,"oc","va")</f>
        <v>va</v>
      </c>
      <c r="J170" s="130" t="str">
        <f>IF(booking!T170&gt;0,"oc","va")</f>
        <v>va</v>
      </c>
      <c r="K170" s="131" t="str">
        <f>IF(booking!U170&gt;0,"oc","va")</f>
        <v>va</v>
      </c>
      <c r="L170" s="130" t="str">
        <f>IF(booking!X170&gt;0,"oc","va")</f>
        <v>va</v>
      </c>
      <c r="M170" s="131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0" t="str">
        <f>IF(booking!D171&gt;0,"oc","va")</f>
        <v>va</v>
      </c>
      <c r="C171" s="131" t="str">
        <f>IF(booking!E171&gt;0,"oc","va")</f>
        <v>va</v>
      </c>
      <c r="D171" s="130" t="str">
        <f>IF(booking!H171&gt;0,"oc","va")</f>
        <v>va</v>
      </c>
      <c r="E171" s="131" t="str">
        <f>IF(booking!I171&gt;0,"oc","va")</f>
        <v>va</v>
      </c>
      <c r="F171" s="130" t="str">
        <f>IF(booking!L171&gt;0,"oc","va")</f>
        <v>va</v>
      </c>
      <c r="G171" s="131" t="str">
        <f>IF(booking!M171&gt;0,"oc","va")</f>
        <v>va</v>
      </c>
      <c r="H171" s="130" t="str">
        <f>IF(booking!P171&gt;0,"oc","va")</f>
        <v>va</v>
      </c>
      <c r="I171" s="131" t="str">
        <f>IF(booking!Q171&gt;0,"oc","va")</f>
        <v>va</v>
      </c>
      <c r="J171" s="130" t="str">
        <f>IF(booking!T171&gt;0,"oc","va")</f>
        <v>va</v>
      </c>
      <c r="K171" s="131" t="str">
        <f>IF(booking!U171&gt;0,"oc","va")</f>
        <v>va</v>
      </c>
      <c r="L171" s="130" t="str">
        <f>IF(booking!X171&gt;0,"oc","va")</f>
        <v>va</v>
      </c>
      <c r="M171" s="131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2026-03-30T16:05:14Z</dcterms:modified>
  <cp:category/>
  <cp:contentStatus/>
</cp:coreProperties>
</file>