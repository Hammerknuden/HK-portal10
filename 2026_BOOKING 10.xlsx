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66" documentId="8_{CBF31231-0F4D-4AAA-8243-F4B7D6A71111}" xr6:coauthVersionLast="47" xr6:coauthVersionMax="47" xr10:uidLastSave="{1B3BB4C5-6B1E-49FF-AE73-4C3743415BB4}"/>
  <bookViews>
    <workbookView xWindow="-110" yWindow="-110" windowWidth="19420" windowHeight="11500" firstSheet="1" activeTab="6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7" l="1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2" i="7"/>
  <c r="X2" i="7"/>
  <c r="S2" i="7"/>
  <c r="N2" i="7"/>
  <c r="I2" i="7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99" i="10" l="1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D72" i="8" l="1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E174" i="7"/>
  <c r="F174" i="7" s="1"/>
  <c r="Y174" i="7"/>
  <c r="AA174" i="7" s="1"/>
  <c r="T175" i="7"/>
  <c r="U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T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E14" i="7" s="1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O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O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106" i="3" l="1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F44" i="7" s="1"/>
  <c r="O44" i="7"/>
  <c r="R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AB174" i="7"/>
  <c r="O9" i="7"/>
  <c r="R9" i="7" s="1"/>
  <c r="G175" i="7"/>
  <c r="Q174" i="7"/>
  <c r="V172" i="7"/>
  <c r="L172" i="7"/>
  <c r="J9" i="7"/>
  <c r="M9" i="7" s="1"/>
  <c r="Y9" i="7"/>
  <c r="AA9" i="7" s="1"/>
  <c r="W172" i="7"/>
  <c r="O12" i="7"/>
  <c r="P12" i="7" s="1"/>
  <c r="Q36" i="7"/>
  <c r="J12" i="7"/>
  <c r="L12" i="7" s="1"/>
  <c r="Y12" i="7"/>
  <c r="Z12" i="7" s="1"/>
  <c r="H175" i="7"/>
  <c r="R174" i="7"/>
  <c r="G28" i="7"/>
  <c r="Y100" i="7"/>
  <c r="AA100" i="7" s="1"/>
  <c r="F12" i="7"/>
  <c r="G12" i="7"/>
  <c r="E9" i="7"/>
  <c r="G9" i="7" s="1"/>
  <c r="J64" i="7"/>
  <c r="M64" i="7" s="1"/>
  <c r="M172" i="7"/>
  <c r="Y44" i="7"/>
  <c r="AA44" i="7" s="1"/>
  <c r="J44" i="7"/>
  <c r="L44" i="7" s="1"/>
  <c r="E64" i="7"/>
  <c r="G64" i="7" s="1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2" i="3" s="1"/>
  <c r="D30" i="4" s="1"/>
  <c r="R198" i="3"/>
  <c r="R200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Q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U12" i="7"/>
  <c r="W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W64" i="7"/>
  <c r="V64" i="7"/>
  <c r="U64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T114" i="7"/>
  <c r="Y114" i="7"/>
  <c r="E114" i="7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W9" i="7"/>
  <c r="U9" i="7"/>
  <c r="V9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Q44" i="7" l="1"/>
  <c r="G44" i="7"/>
  <c r="H44" i="7"/>
  <c r="F40" i="7"/>
  <c r="M12" i="7"/>
  <c r="P9" i="7"/>
  <c r="BL196" i="3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BI202" i="3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<sst xmlns="http://schemas.openxmlformats.org/spreadsheetml/2006/main" count="1207" uniqueCount="424">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</sst>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  <numFmt numFmtId="167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2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167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ont="1" applyFill="1" applyAlignment="1">
      <alignment horizontal="center" vertical="center"/>
    </xf>
    <xf numFmtId="0" fontId="0" fillId="0" borderId="0" xfId="0"/>
    <xf numFmtId="167" fontId="0" fillId="0" borderId="0" xfId="0" applyNumberFormat="1"/>
    <xf numFmtId="164" fontId="0" fillId="3" borderId="0" xfId="0" applyNumberFormat="1" applyFont="1" applyFill="1" applyAlignment="1">
      <alignment horizontal="center" vertical="center"/>
    </xf>
    <xf numFmtId="14" fontId="0" fillId="3" borderId="0" xfId="0" applyNumberFormat="1" applyFont="1" applyFill="1" applyAlignment="1">
      <alignment horizontal="center" vertical="center"/>
    </xf>
    <xf numFmtId="49" fontId="0" fillId="3" borderId="0" xfId="0" applyNumberFormat="1" applyFont="1" applyFill="1" applyAlignment="1">
      <alignment horizontal="center" vertical="center"/>
    </xf>
    <xf numFmtId="1" fontId="0" fillId="3" borderId="0" xfId="0" applyNumberFormat="1" applyFont="1" applyFill="1" applyAlignment="1">
      <alignment horizontal="center" vertical="center"/>
    </xf>
    <xf numFmtId="0" fontId="0" fillId="0" borderId="0" xfId="0" applyFont="1"/>
    <xf numFmtId="0" fontId="0" fillId="3" borderId="0" xfId="0" applyNumberFormat="1" applyFont="1" applyFill="1" applyAlignment="1">
      <alignment horizontal="center" vertical="center"/>
    </xf>
    <xf numFmtId="0" fontId="0" fillId="0" borderId="36" xfId="0" applyNumberFormat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  <xf numFmtId="0" fontId="0" fillId="0" borderId="4" xfId="0" applyNumberFormat="1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8"/>
  <sheetViews>
    <sheetView workbookViewId="0">
      <pane ySplit="1" topLeftCell="A71" activePane="bottomLeft" state="frozen"/>
      <selection pane="bottomLeft" activeCell="I89" sqref="I8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7265625" style="211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7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8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268</v>
      </c>
      <c r="H3" s="107"/>
      <c r="I3" s="128"/>
      <c r="J3" s="209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8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9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7"/>
      <c r="J6" s="208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10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10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10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/>
      <c r="J10" s="210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10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10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10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10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10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11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265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11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322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 s="211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264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268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11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 s="211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268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7"/>
      <c r="Q41" s="2" t="s">
        <v>21</v>
      </c>
      <c r="R41" s="126">
        <v>3450</v>
      </c>
      <c r="S41" s="2" t="s">
        <v>20</v>
      </c>
    </row>
    <row r="42" spans="1:20" x14ac:dyDescent="0.35">
      <c r="A42" s="2">
        <v>41</v>
      </c>
      <c r="B42" t="s">
        <v>267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266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284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287</v>
      </c>
      <c r="K44">
        <v>1</v>
      </c>
      <c r="L44">
        <v>2</v>
      </c>
      <c r="M44" s="117" t="s">
        <v>286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285</v>
      </c>
    </row>
    <row r="45" spans="1:20" x14ac:dyDescent="0.35">
      <c r="A45" s="2">
        <v>44</v>
      </c>
      <c r="B45" t="s">
        <v>283</v>
      </c>
      <c r="C45" s="24">
        <v>46222</v>
      </c>
      <c r="D45" s="24">
        <v>46227</v>
      </c>
      <c r="E45" s="24">
        <v>46037</v>
      </c>
      <c r="F45" t="s">
        <v>290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282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279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281</v>
      </c>
      <c r="T47" t="s">
        <v>280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277</v>
      </c>
      <c r="Q48" s="2" t="s">
        <v>21</v>
      </c>
      <c r="S48" s="2" t="s">
        <v>21</v>
      </c>
      <c r="T48" t="s">
        <v>278</v>
      </c>
    </row>
    <row r="49" spans="1:20" x14ac:dyDescent="0.35">
      <c r="A49" s="2">
        <v>48</v>
      </c>
      <c r="B49" t="s">
        <v>276</v>
      </c>
      <c r="C49" s="24">
        <v>46156</v>
      </c>
      <c r="D49" s="24">
        <v>46159</v>
      </c>
      <c r="E49" s="24">
        <v>46040</v>
      </c>
      <c r="F49" t="s">
        <v>53</v>
      </c>
      <c r="G49" t="s">
        <v>268</v>
      </c>
      <c r="M49" s="117"/>
    </row>
    <row r="50" spans="1:20" x14ac:dyDescent="0.35">
      <c r="A50" s="2">
        <v>49</v>
      </c>
      <c r="B50" t="s">
        <v>275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274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271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11">
        <v>0.1</v>
      </c>
      <c r="K52">
        <v>1</v>
      </c>
      <c r="L52">
        <v>2</v>
      </c>
      <c r="M52" s="160" t="s">
        <v>273</v>
      </c>
      <c r="N52" s="180">
        <v>4540474386</v>
      </c>
      <c r="O52" s="182" t="s">
        <v>272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289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288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304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303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300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313</v>
      </c>
      <c r="I57" s="2" t="s">
        <v>301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302</v>
      </c>
    </row>
    <row r="58" spans="1:20" x14ac:dyDescent="0.35">
      <c r="A58" s="2">
        <v>57</v>
      </c>
      <c r="B58" t="s">
        <v>297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298</v>
      </c>
      <c r="Q58" s="2" t="s">
        <v>20</v>
      </c>
      <c r="R58" s="159">
        <v>6450</v>
      </c>
      <c r="S58" s="2" t="s">
        <v>38</v>
      </c>
      <c r="T58" t="s">
        <v>299</v>
      </c>
    </row>
    <row r="59" spans="1:20" x14ac:dyDescent="0.35">
      <c r="A59" s="2">
        <v>58</v>
      </c>
      <c r="B59" t="s">
        <v>295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11">
        <v>0.1</v>
      </c>
      <c r="K59">
        <v>1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296</v>
      </c>
    </row>
    <row r="60" spans="1:20" x14ac:dyDescent="0.35">
      <c r="A60" s="2">
        <v>59</v>
      </c>
      <c r="B60" t="s">
        <v>305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306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312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310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311</v>
      </c>
      <c r="I62" s="2" t="s">
        <v>301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309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301</v>
      </c>
      <c r="J63" s="211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321</v>
      </c>
    </row>
    <row r="64" spans="1:20" x14ac:dyDescent="0.35">
      <c r="A64" s="2">
        <v>63</v>
      </c>
      <c r="B64" t="s">
        <v>307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11">
        <v>0.05</v>
      </c>
      <c r="K64">
        <v>1</v>
      </c>
      <c r="L64">
        <v>2</v>
      </c>
      <c r="M64" s="117" t="s">
        <v>308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314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318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301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316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11">
        <v>0.1</v>
      </c>
      <c r="K67">
        <v>1</v>
      </c>
      <c r="L67">
        <v>2</v>
      </c>
      <c r="M67" s="117" t="s">
        <v>317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315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320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319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327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328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329</v>
      </c>
    </row>
    <row r="72" spans="1:20" x14ac:dyDescent="0.35">
      <c r="A72" s="2">
        <v>71</v>
      </c>
      <c r="B72" t="s">
        <v>330</v>
      </c>
      <c r="C72" s="24">
        <v>46260</v>
      </c>
      <c r="D72" s="24">
        <v>46264</v>
      </c>
      <c r="E72" s="24">
        <v>46057</v>
      </c>
      <c r="F72" t="s">
        <v>31</v>
      </c>
      <c r="G72" t="s">
        <v>268</v>
      </c>
      <c r="I72" s="2" t="s">
        <v>161</v>
      </c>
    </row>
    <row r="73" spans="1:20" x14ac:dyDescent="0.35">
      <c r="A73" s="2">
        <v>72</v>
      </c>
      <c r="B73" t="s">
        <v>324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325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326</v>
      </c>
    </row>
    <row r="74" spans="1:20" x14ac:dyDescent="0.35">
      <c r="A74" s="2">
        <v>73</v>
      </c>
      <c r="B74" t="s">
        <v>323</v>
      </c>
      <c r="C74" s="24">
        <v>46143</v>
      </c>
      <c r="D74" s="24">
        <v>46145</v>
      </c>
      <c r="E74" s="24">
        <v>46061</v>
      </c>
      <c r="F74" t="s">
        <v>53</v>
      </c>
      <c r="G74" t="s">
        <v>268</v>
      </c>
    </row>
    <row r="75" spans="1:20" x14ac:dyDescent="0.35">
      <c r="A75" s="2">
        <v>74</v>
      </c>
      <c r="B75" t="s">
        <v>333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11">
        <v>0.1</v>
      </c>
      <c r="K75">
        <v>2</v>
      </c>
      <c r="L75">
        <v>3</v>
      </c>
      <c r="M75" s="117" t="s">
        <v>334</v>
      </c>
      <c r="Q75" s="2" t="s">
        <v>21</v>
      </c>
      <c r="R75" s="159">
        <v>8460</v>
      </c>
      <c r="S75" s="2" t="s">
        <v>21</v>
      </c>
      <c r="T75" t="s">
        <v>335</v>
      </c>
    </row>
    <row r="76" spans="1:20" x14ac:dyDescent="0.35">
      <c r="A76" s="2">
        <v>75</v>
      </c>
      <c r="B76" t="s">
        <v>332</v>
      </c>
      <c r="C76" s="24">
        <v>46276</v>
      </c>
      <c r="D76" s="24">
        <v>46279</v>
      </c>
      <c r="E76" s="24">
        <v>46067</v>
      </c>
      <c r="F76" t="s">
        <v>53</v>
      </c>
      <c r="G76" t="s">
        <v>268</v>
      </c>
      <c r="R76" s="159"/>
    </row>
    <row r="77" spans="1:20" x14ac:dyDescent="0.35">
      <c r="A77" s="2">
        <v>76</v>
      </c>
      <c r="B77" t="s">
        <v>331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336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337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338</v>
      </c>
    </row>
    <row r="79" spans="1:20" x14ac:dyDescent="0.35">
      <c r="A79" s="2">
        <v>78</v>
      </c>
      <c r="B79" t="s">
        <v>346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11">
        <v>0.1</v>
      </c>
      <c r="K80">
        <v>1</v>
      </c>
      <c r="L80">
        <v>2</v>
      </c>
      <c r="M80" s="117" t="s">
        <v>344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345</v>
      </c>
    </row>
    <row r="81" spans="1:20" x14ac:dyDescent="0.35">
      <c r="A81" s="2">
        <v>80</v>
      </c>
      <c r="B81" t="s">
        <v>341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11">
        <v>0.1</v>
      </c>
      <c r="K81">
        <v>2</v>
      </c>
      <c r="L81">
        <v>4</v>
      </c>
      <c r="M81" s="117" t="s">
        <v>342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343</v>
      </c>
    </row>
    <row r="82" spans="1:20" x14ac:dyDescent="0.35">
      <c r="A82" s="2">
        <v>81</v>
      </c>
      <c r="B82" t="s">
        <v>347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348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9">
        <v>2300</v>
      </c>
      <c r="S83" s="2" t="s">
        <v>20</v>
      </c>
    </row>
    <row r="84" spans="1:20" x14ac:dyDescent="0.35">
      <c r="A84" s="2">
        <v>83</v>
      </c>
      <c r="B84" s="187" t="s">
        <v>349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361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11">
        <v>0.1</v>
      </c>
      <c r="K85">
        <v>1</v>
      </c>
      <c r="L85">
        <v>2</v>
      </c>
      <c r="M85" s="160" t="s">
        <v>362</v>
      </c>
      <c r="N85" s="151">
        <v>4526251564</v>
      </c>
      <c r="O85" s="2" t="s">
        <v>363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360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357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11">
        <v>0.1</v>
      </c>
      <c r="K87">
        <v>1</v>
      </c>
      <c r="L87">
        <v>2</v>
      </c>
      <c r="M87" s="117" t="s">
        <v>358</v>
      </c>
      <c r="O87" s="2" t="s">
        <v>359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364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371</v>
      </c>
      <c r="C89" s="24">
        <v>46188</v>
      </c>
      <c r="D89" s="24">
        <v>46191</v>
      </c>
      <c r="E89" s="24">
        <v>46089</v>
      </c>
      <c r="F89" t="s">
        <v>31</v>
      </c>
      <c r="G89" t="s">
        <v>268</v>
      </c>
    </row>
    <row r="90" spans="1:20" x14ac:dyDescent="0.35">
      <c r="A90" s="2">
        <v>89</v>
      </c>
      <c r="B90" t="s">
        <v>367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11">
        <v>0.05</v>
      </c>
      <c r="K90">
        <v>2</v>
      </c>
      <c r="L90">
        <v>3</v>
      </c>
      <c r="M90" s="117" t="s">
        <v>368</v>
      </c>
      <c r="N90">
        <v>4540528447</v>
      </c>
      <c r="O90"/>
      <c r="P90" s="2" t="s">
        <v>370</v>
      </c>
      <c r="Q90" s="2" t="s">
        <v>21</v>
      </c>
      <c r="R90" s="126">
        <f>2185+1805</f>
        <v>3990</v>
      </c>
      <c r="S90" s="2" t="s">
        <v>20</v>
      </c>
      <c r="T90" t="s">
        <v>369</v>
      </c>
    </row>
    <row r="91" spans="1:20" x14ac:dyDescent="0.35">
      <c r="A91" s="2">
        <v>90</v>
      </c>
      <c r="B91" t="s">
        <v>365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366</v>
      </c>
      <c r="I91" t="s">
        <v>158</v>
      </c>
      <c r="J91" s="21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372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11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9">
        <v>2185</v>
      </c>
      <c r="S92" s="2" t="s">
        <v>20</v>
      </c>
    </row>
    <row r="93" spans="1:20" x14ac:dyDescent="0.35">
      <c r="A93" s="2">
        <v>92</v>
      </c>
      <c r="B93" t="s">
        <v>373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374</v>
      </c>
      <c r="I93" t="s">
        <v>161</v>
      </c>
      <c r="J93" s="211">
        <v>0.1</v>
      </c>
      <c r="K93">
        <v>1</v>
      </c>
      <c r="L93">
        <v>2</v>
      </c>
      <c r="M93" s="117" t="s">
        <v>375</v>
      </c>
      <c r="N93"/>
      <c r="O93" t="s">
        <v>376</v>
      </c>
      <c r="P93" s="2" t="s">
        <v>20</v>
      </c>
      <c r="Q93" s="2" t="s">
        <v>20</v>
      </c>
      <c r="R93" s="199">
        <v>4837.5</v>
      </c>
      <c r="S93" s="2" t="s">
        <v>38</v>
      </c>
      <c r="T93" t="s">
        <v>377</v>
      </c>
    </row>
    <row r="94" spans="1:20" x14ac:dyDescent="0.35">
      <c r="A94" s="2">
        <v>93</v>
      </c>
      <c r="B94" t="s">
        <v>378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379</v>
      </c>
      <c r="I94" t="s">
        <v>161</v>
      </c>
      <c r="J94" s="211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9">
        <v>2850</v>
      </c>
      <c r="S94" s="2" t="s">
        <v>20</v>
      </c>
    </row>
    <row r="95" spans="1:20" x14ac:dyDescent="0.35">
      <c r="A95" s="2">
        <v>94</v>
      </c>
      <c r="B95" t="s">
        <v>380</v>
      </c>
      <c r="C95" s="200">
        <v>46234</v>
      </c>
      <c r="D95" s="200">
        <v>46237</v>
      </c>
      <c r="E95" s="200">
        <v>46098</v>
      </c>
      <c r="F95" t="s">
        <v>31</v>
      </c>
      <c r="G95" t="s">
        <v>35</v>
      </c>
      <c r="H95"/>
      <c r="I95"/>
      <c r="J95" s="211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381</v>
      </c>
      <c r="C96" s="200">
        <v>46156</v>
      </c>
      <c r="D96" s="200">
        <v>46159</v>
      </c>
      <c r="E96" s="200">
        <v>46098</v>
      </c>
      <c r="F96" t="s">
        <v>54</v>
      </c>
      <c r="G96" t="s">
        <v>35</v>
      </c>
      <c r="H96"/>
      <c r="I96"/>
      <c r="J96" s="211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382</v>
      </c>
      <c r="C97" s="200">
        <v>46159</v>
      </c>
      <c r="D97" s="200">
        <v>46163</v>
      </c>
      <c r="E97" s="200">
        <v>46099</v>
      </c>
      <c r="F97" t="s">
        <v>31</v>
      </c>
      <c r="G97" t="s">
        <v>35</v>
      </c>
      <c r="H97" t="s">
        <v>383</v>
      </c>
      <c r="I97" t="s">
        <v>158</v>
      </c>
      <c r="J97" s="211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384</v>
      </c>
      <c r="C98" s="114">
        <v>46156</v>
      </c>
      <c r="D98" s="114">
        <v>46159</v>
      </c>
      <c r="E98" s="114">
        <v>46102</v>
      </c>
      <c r="F98" t="s">
        <v>53</v>
      </c>
      <c r="G98" t="s">
        <v>35</v>
      </c>
      <c r="H98"/>
      <c r="I98"/>
      <c r="J98" s="211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385</v>
      </c>
      <c r="C99" s="200">
        <v>46207</v>
      </c>
      <c r="D99" s="200">
        <v>46210</v>
      </c>
      <c r="E99" s="200">
        <v>46103</v>
      </c>
      <c r="F99" t="s">
        <v>53</v>
      </c>
      <c r="G99" t="s">
        <v>268</v>
      </c>
      <c r="H99"/>
      <c r="I99"/>
      <c r="J99" s="211">
        <v>0</v>
      </c>
      <c r="N99"/>
      <c r="O99"/>
    </row>
    <row r="100" spans="1:20" x14ac:dyDescent="0.35">
      <c r="A100" s="2">
        <v>99</v>
      </c>
      <c r="B100" t="s">
        <v>386</v>
      </c>
      <c r="C100" s="200">
        <v>46171</v>
      </c>
      <c r="D100" s="200">
        <v>46173</v>
      </c>
      <c r="E100" s="200">
        <v>46104</v>
      </c>
      <c r="F100" t="s">
        <v>53</v>
      </c>
      <c r="G100" t="s">
        <v>6</v>
      </c>
      <c r="H100"/>
      <c r="I100"/>
      <c r="J100" s="211">
        <v>0.1</v>
      </c>
      <c r="K100">
        <v>1</v>
      </c>
      <c r="L100">
        <v>2</v>
      </c>
      <c r="M100" s="117" t="s">
        <v>387</v>
      </c>
      <c r="N100" t="s">
        <v>388</v>
      </c>
      <c r="O100" t="s">
        <v>389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390</v>
      </c>
    </row>
    <row r="101" spans="1:20" x14ac:dyDescent="0.35">
      <c r="A101" s="2">
        <v>100</v>
      </c>
      <c r="B101" t="s">
        <v>391</v>
      </c>
      <c r="C101" s="200">
        <v>46279</v>
      </c>
      <c r="D101" s="200">
        <v>46281</v>
      </c>
      <c r="E101" s="200">
        <v>46104</v>
      </c>
      <c r="F101" t="s">
        <v>53</v>
      </c>
      <c r="G101" t="s">
        <v>35</v>
      </c>
      <c r="H101"/>
      <c r="I101"/>
      <c r="J101" s="21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392</v>
      </c>
      <c r="C102" s="200">
        <v>46279</v>
      </c>
      <c r="D102" s="200">
        <v>46281</v>
      </c>
      <c r="E102" s="200">
        <v>46104</v>
      </c>
      <c r="F102" t="s">
        <v>53</v>
      </c>
      <c r="G102" t="s">
        <v>35</v>
      </c>
      <c r="H102"/>
      <c r="I102" t="s">
        <v>393</v>
      </c>
      <c r="J102" s="211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394</v>
      </c>
      <c r="C103" s="200">
        <v>46172</v>
      </c>
      <c r="D103" s="200">
        <v>46174</v>
      </c>
      <c r="E103" s="200">
        <v>46106</v>
      </c>
      <c r="F103" t="s">
        <v>53</v>
      </c>
      <c r="G103" t="s">
        <v>35</v>
      </c>
      <c r="H103"/>
      <c r="I103"/>
      <c r="J103" s="211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6">
        <v>1900</v>
      </c>
      <c r="S103" s="2" t="s">
        <v>20</v>
      </c>
    </row>
    <row r="104" spans="1:20" x14ac:dyDescent="0.35">
      <c r="A104" s="2">
        <v>103</v>
      </c>
      <c r="B104" t="s">
        <v>395</v>
      </c>
      <c r="C104" s="200">
        <v>46278</v>
      </c>
      <c r="D104" s="200">
        <v>46284</v>
      </c>
      <c r="E104" s="200">
        <v>46107</v>
      </c>
      <c r="F104" t="s">
        <v>53</v>
      </c>
      <c r="G104" t="s">
        <v>6</v>
      </c>
      <c r="H104"/>
      <c r="I104" t="s">
        <v>393</v>
      </c>
      <c r="J104" s="211">
        <v>0.1</v>
      </c>
      <c r="K104">
        <v>1</v>
      </c>
      <c r="L104">
        <v>2</v>
      </c>
      <c r="M104" s="117" t="s">
        <v>396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397</v>
      </c>
      <c r="C105" s="200">
        <v>46204</v>
      </c>
      <c r="D105" s="200">
        <v>46207</v>
      </c>
      <c r="E105" s="200">
        <v>46107</v>
      </c>
      <c r="F105" t="s">
        <v>53</v>
      </c>
      <c r="G105" t="s">
        <v>35</v>
      </c>
      <c r="H105"/>
      <c r="I105"/>
      <c r="J105" s="211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13">
        <v>105</v>
      </c>
      <c r="B106" s="213" t="s">
        <v>403</v>
      </c>
      <c r="C106" s="214">
        <v>46260</v>
      </c>
      <c r="D106" s="214">
        <v>46264</v>
      </c>
      <c r="E106" s="214">
        <v>46108</v>
      </c>
      <c r="F106" s="213" t="s">
        <v>53</v>
      </c>
      <c r="G106" s="213" t="s">
        <v>35</v>
      </c>
      <c r="H106" s="213"/>
      <c r="I106" s="213"/>
      <c r="J106" s="213">
        <v>0</v>
      </c>
      <c r="K106" s="213">
        <v>1</v>
      </c>
      <c r="L106" s="213">
        <v>1</v>
      </c>
      <c r="M106" s="213"/>
      <c r="N106" s="213"/>
      <c r="O106" s="213"/>
      <c r="P106" s="2" t="s">
        <v>21</v>
      </c>
      <c r="Q106" s="2" t="s">
        <v>20</v>
      </c>
      <c r="R106" s="126">
        <v>3400</v>
      </c>
      <c r="S106" s="2" t="s">
        <v>20</v>
      </c>
      <c r="T106" s="213"/>
    </row>
    <row r="107" spans="1:20" x14ac:dyDescent="0.35">
      <c r="A107" s="2">
        <v>106</v>
      </c>
      <c r="B107" s="213" t="s">
        <v>402</v>
      </c>
      <c r="C107" s="214">
        <v>46207</v>
      </c>
      <c r="D107" s="214">
        <v>46210</v>
      </c>
      <c r="E107" s="214">
        <v>46109</v>
      </c>
      <c r="F107" s="213" t="s">
        <v>53</v>
      </c>
      <c r="G107" s="213" t="s">
        <v>35</v>
      </c>
      <c r="H107" s="213"/>
      <c r="I107" s="213"/>
      <c r="J107" s="213">
        <v>0</v>
      </c>
      <c r="K107" s="213">
        <v>1</v>
      </c>
      <c r="L107" s="213">
        <v>2</v>
      </c>
      <c r="M107" s="213"/>
      <c r="N107" s="213"/>
      <c r="O107" s="213"/>
      <c r="P107" s="2" t="s">
        <v>20</v>
      </c>
      <c r="Q107" s="2" t="s">
        <v>20</v>
      </c>
      <c r="R107" s="126">
        <v>3225</v>
      </c>
      <c r="S107" s="2" t="s">
        <v>20</v>
      </c>
      <c r="T107" s="213"/>
    </row>
    <row r="108" spans="1:20" x14ac:dyDescent="0.35">
      <c r="A108" s="2">
        <v>107</v>
      </c>
      <c r="B108" t="s">
        <v>399</v>
      </c>
      <c r="C108" s="206">
        <v>46160</v>
      </c>
      <c r="D108" s="206">
        <v>46164</v>
      </c>
      <c r="E108" s="206">
        <v>46109</v>
      </c>
      <c r="F108" t="s">
        <v>400</v>
      </c>
      <c r="G108" t="s">
        <v>6</v>
      </c>
      <c r="H108"/>
      <c r="I108"/>
      <c r="J108" s="211">
        <v>0.05</v>
      </c>
      <c r="K108">
        <v>1</v>
      </c>
      <c r="L108">
        <v>2</v>
      </c>
      <c r="M108" t="s">
        <v>401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290</v>
      </c>
      <c r="BU1" s="2" t="str">
        <f>BT1</f>
        <v>CZ</v>
      </c>
      <c r="BV1" s="175" t="s">
        <v>293</v>
      </c>
      <c r="BW1" s="175" t="s">
        <v>293</v>
      </c>
      <c r="BX1" s="135" t="s">
        <v>294</v>
      </c>
      <c r="BY1" s="135" t="s">
        <v>294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152</v>
      </c>
      <c r="BC196" s="34">
        <f t="shared" si="167"/>
        <v>639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26</v>
      </c>
      <c r="BI196" s="34">
        <f t="shared" si="167"/>
        <v>152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356</v>
      </c>
      <c r="R198">
        <f t="shared" si="168"/>
        <v>368</v>
      </c>
      <c r="S198">
        <f t="shared" si="168"/>
        <v>399</v>
      </c>
      <c r="T198">
        <f t="shared" si="168"/>
        <v>416</v>
      </c>
      <c r="U198">
        <f t="shared" si="168"/>
        <v>419</v>
      </c>
      <c r="V198">
        <f t="shared" si="168"/>
        <v>436</v>
      </c>
      <c r="W198">
        <f t="shared" si="168"/>
        <v>449</v>
      </c>
      <c r="X198">
        <f t="shared" si="168"/>
        <v>477</v>
      </c>
      <c r="Y198">
        <f t="shared" si="168"/>
        <v>477</v>
      </c>
      <c r="Z198">
        <f t="shared" si="168"/>
        <v>477</v>
      </c>
      <c r="AA198">
        <f t="shared" si="168"/>
        <v>477</v>
      </c>
      <c r="AB198">
        <f t="shared" si="168"/>
        <v>477</v>
      </c>
      <c r="AC198">
        <f t="shared" si="168"/>
        <v>477</v>
      </c>
      <c r="AD198">
        <f t="shared" si="168"/>
        <v>477</v>
      </c>
      <c r="AE198">
        <f t="shared" si="168"/>
        <v>477</v>
      </c>
      <c r="AF198">
        <f t="shared" si="168"/>
        <v>477</v>
      </c>
      <c r="AG198">
        <f t="shared" si="168"/>
        <v>477</v>
      </c>
      <c r="AH198">
        <f t="shared" si="168"/>
        <v>477</v>
      </c>
      <c r="AI198">
        <f t="shared" si="168"/>
        <v>477</v>
      </c>
      <c r="AJ198">
        <f t="shared" si="168"/>
        <v>477</v>
      </c>
      <c r="AK198">
        <f t="shared" si="168"/>
        <v>477</v>
      </c>
      <c r="AL198">
        <f t="shared" si="168"/>
        <v>477</v>
      </c>
      <c r="AM198">
        <f t="shared" si="168"/>
        <v>477</v>
      </c>
      <c r="AN198">
        <f t="shared" si="168"/>
        <v>477</v>
      </c>
      <c r="AO198">
        <f t="shared" si="168"/>
        <v>477</v>
      </c>
      <c r="AP198">
        <f t="shared" si="168"/>
        <v>477</v>
      </c>
      <c r="AQ198">
        <f t="shared" si="168"/>
        <v>477</v>
      </c>
      <c r="AR198">
        <f t="shared" si="168"/>
        <v>477</v>
      </c>
      <c r="AS198">
        <f t="shared" si="168"/>
        <v>477</v>
      </c>
      <c r="AT198">
        <f t="shared" si="168"/>
        <v>477</v>
      </c>
      <c r="AU198">
        <f t="shared" si="168"/>
        <v>477</v>
      </c>
      <c r="AV198">
        <f t="shared" si="168"/>
        <v>477</v>
      </c>
      <c r="AW198">
        <f t="shared" si="168"/>
        <v>477</v>
      </c>
      <c r="AX198">
        <f t="shared" si="168"/>
        <v>477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356</v>
      </c>
      <c r="R200">
        <f t="shared" si="169"/>
        <v>368</v>
      </c>
      <c r="S200">
        <f t="shared" si="169"/>
        <v>399</v>
      </c>
      <c r="T200">
        <f t="shared" si="169"/>
        <v>416</v>
      </c>
      <c r="U200">
        <f t="shared" si="169"/>
        <v>419</v>
      </c>
      <c r="V200">
        <f t="shared" si="169"/>
        <v>436</v>
      </c>
      <c r="W200">
        <f t="shared" si="169"/>
        <v>449</v>
      </c>
      <c r="X200">
        <f t="shared" si="169"/>
        <v>477</v>
      </c>
      <c r="Y200">
        <f t="shared" si="169"/>
        <v>477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152</v>
      </c>
      <c r="BE202" s="34">
        <f>BD196</f>
        <v>19</v>
      </c>
      <c r="BF202" s="34">
        <f>BF196</f>
        <v>0</v>
      </c>
      <c r="BG202" s="34">
        <f>BH196</f>
        <v>26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639</v>
      </c>
      <c r="BE203" s="40">
        <f>BE196</f>
        <v>67</v>
      </c>
      <c r="BF203" s="40">
        <f>BG196</f>
        <v>0</v>
      </c>
      <c r="BG203" s="40">
        <f>BI196</f>
        <v>152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290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152</v>
      </c>
      <c r="C30" s="34">
        <f>'book stat'!BE202</f>
        <v>19</v>
      </c>
      <c r="D30" s="34">
        <f>'book stat'!BF202</f>
        <v>0</v>
      </c>
      <c r="E30" s="34">
        <f>'book stat'!BG202</f>
        <v>26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639</v>
      </c>
      <c r="C31" s="34">
        <f>'book stat'!BE203</f>
        <v>67</v>
      </c>
      <c r="D31" s="34">
        <f>'book stat'!BF203</f>
        <v>0</v>
      </c>
      <c r="E31" s="34">
        <f>'book stat'!BG203</f>
        <v>152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39" activePane="bottomLeft" state="frozen"/>
      <selection pane="bottomLeft" activeCell="O24" sqref="O24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1">
        <v>1</v>
      </c>
      <c r="E1" s="202"/>
      <c r="F1" s="66" t="s">
        <v>117</v>
      </c>
      <c r="G1" s="67" t="s">
        <v>8</v>
      </c>
      <c r="H1" s="203">
        <v>2</v>
      </c>
      <c r="I1" s="202"/>
      <c r="J1" s="66" t="s">
        <v>117</v>
      </c>
      <c r="K1" s="68" t="s">
        <v>8</v>
      </c>
      <c r="L1" s="203">
        <v>3</v>
      </c>
      <c r="M1" s="202"/>
      <c r="N1" s="66" t="s">
        <v>117</v>
      </c>
      <c r="O1" s="69" t="s">
        <v>8</v>
      </c>
      <c r="P1" s="201">
        <v>4</v>
      </c>
      <c r="Q1" s="202"/>
      <c r="R1" s="66" t="s">
        <v>117</v>
      </c>
      <c r="S1" s="68" t="s">
        <v>8</v>
      </c>
      <c r="T1" s="204">
        <v>5</v>
      </c>
      <c r="U1" s="205"/>
      <c r="V1" s="66" t="s">
        <v>117</v>
      </c>
      <c r="W1" s="68" t="s">
        <v>8</v>
      </c>
      <c r="X1" s="201">
        <v>6</v>
      </c>
      <c r="Y1" s="202"/>
      <c r="Z1" s="70" t="s">
        <v>118</v>
      </c>
      <c r="AA1" s="133">
        <f>SUM(AA2:AA171)</f>
        <v>480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3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3">
        <v>72</v>
      </c>
      <c r="Q9" s="143">
        <v>72</v>
      </c>
      <c r="R9" s="20">
        <v>2</v>
      </c>
      <c r="S9" s="20" t="s">
        <v>339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3">
        <v>72</v>
      </c>
      <c r="Q10" s="143">
        <v>72</v>
      </c>
      <c r="R10" s="20">
        <v>2</v>
      </c>
      <c r="S10" s="20" t="s">
        <v>340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3">
        <v>72</v>
      </c>
      <c r="Q11" s="143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43">
        <v>72</v>
      </c>
      <c r="Q12" s="143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43">
        <v>72</v>
      </c>
      <c r="Q13" s="143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7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43">
        <v>72</v>
      </c>
      <c r="Q14" s="143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43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291</v>
      </c>
      <c r="X17" s="22"/>
      <c r="Y17" s="22"/>
      <c r="Z17" s="139">
        <f t="shared" si="2"/>
        <v>0</v>
      </c>
      <c r="AA17" s="134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6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291</v>
      </c>
      <c r="P20" s="196">
        <v>97</v>
      </c>
      <c r="Q20" s="196">
        <v>97</v>
      </c>
      <c r="R20" s="118"/>
      <c r="S20" s="118"/>
      <c r="T20" s="8">
        <v>90</v>
      </c>
      <c r="U20" s="8">
        <v>90</v>
      </c>
      <c r="V20" s="20"/>
      <c r="W20" s="20" t="s">
        <v>291</v>
      </c>
      <c r="X20" s="22"/>
      <c r="Y20" s="22"/>
      <c r="Z20" s="139">
        <f t="shared" si="2"/>
        <v>2</v>
      </c>
      <c r="AA20" s="134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291</v>
      </c>
      <c r="L21" s="14">
        <v>95</v>
      </c>
      <c r="M21" s="8">
        <v>95</v>
      </c>
      <c r="N21" s="20">
        <v>2</v>
      </c>
      <c r="O21" s="20"/>
      <c r="P21" s="196">
        <v>97</v>
      </c>
      <c r="Q21" s="196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8"/>
      <c r="J22" s="118">
        <v>2</v>
      </c>
      <c r="K22" s="19"/>
      <c r="L22" s="14">
        <v>95</v>
      </c>
      <c r="M22" s="8"/>
      <c r="N22" s="20">
        <v>2</v>
      </c>
      <c r="O22" s="20"/>
      <c r="P22" s="196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4"/>
      <c r="I23" s="8"/>
      <c r="J23" s="118"/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6</v>
      </c>
      <c r="AA23" s="134">
        <f t="shared" si="3"/>
        <v>4</v>
      </c>
      <c r="AB23" s="8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4"/>
      <c r="I24" s="8"/>
      <c r="J24" s="20"/>
      <c r="K24" s="19"/>
      <c r="L24" s="155">
        <v>107</v>
      </c>
      <c r="M24" s="142">
        <v>107</v>
      </c>
      <c r="N24" s="20">
        <v>2</v>
      </c>
      <c r="O24" s="20" t="s">
        <v>398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8</v>
      </c>
      <c r="AA24" s="134">
        <f t="shared" si="3"/>
        <v>4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4"/>
      <c r="I25" s="8"/>
      <c r="J25" s="20"/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8</v>
      </c>
      <c r="AA25" s="134">
        <f t="shared" si="3"/>
        <v>4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4"/>
      <c r="I26" s="142">
        <v>20</v>
      </c>
      <c r="J26" s="20"/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8</v>
      </c>
      <c r="AA26" s="134">
        <f t="shared" si="3"/>
        <v>5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4">
        <v>107</v>
      </c>
      <c r="M27" s="8">
        <v>40</v>
      </c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5</v>
      </c>
      <c r="AB27" s="8">
        <f t="shared" si="0"/>
        <v>1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>
        <v>40</v>
      </c>
      <c r="M28" s="8">
        <v>40</v>
      </c>
      <c r="N28" s="115">
        <v>2</v>
      </c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10</v>
      </c>
      <c r="AA28" s="134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>
        <v>40</v>
      </c>
      <c r="M29" s="8">
        <v>40</v>
      </c>
      <c r="N29" s="115">
        <v>2</v>
      </c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10</v>
      </c>
      <c r="AA29" s="134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>
        <v>40</v>
      </c>
      <c r="M30" s="8"/>
      <c r="N30" s="115">
        <v>2</v>
      </c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8</v>
      </c>
      <c r="AA30" s="134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>
        <v>102</v>
      </c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>
        <v>102</v>
      </c>
      <c r="Q36" s="115">
        <v>102</v>
      </c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>
        <v>102</v>
      </c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158</v>
      </c>
      <c r="X44" s="22"/>
      <c r="Y44" s="22"/>
      <c r="Z44" s="139">
        <f t="shared" si="2"/>
        <v>2</v>
      </c>
      <c r="AA44" s="134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270</v>
      </c>
      <c r="X53" s="22"/>
      <c r="Y53" s="22"/>
      <c r="Z53" s="139">
        <f t="shared" si="2"/>
        <v>8</v>
      </c>
      <c r="AA53" s="134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291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8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6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8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193">
        <v>76</v>
      </c>
      <c r="Q69" s="146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6">
        <v>14</v>
      </c>
      <c r="Q70" s="146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6">
        <v>14</v>
      </c>
      <c r="Q71" s="146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6">
        <v>14</v>
      </c>
      <c r="Q72" s="146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6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292</v>
      </c>
      <c r="L93" s="8"/>
      <c r="M93" s="8">
        <v>30</v>
      </c>
      <c r="N93" s="20"/>
      <c r="O93" s="20" t="s">
        <v>161</v>
      </c>
      <c r="P93" s="143">
        <v>58</v>
      </c>
      <c r="Q93" s="143">
        <v>58</v>
      </c>
      <c r="R93" s="118">
        <v>1</v>
      </c>
      <c r="S93" s="118" t="s">
        <v>292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291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5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270</v>
      </c>
      <c r="X105" s="22"/>
      <c r="Y105" s="22"/>
      <c r="Z105" s="139">
        <f t="shared" si="6"/>
        <v>5</v>
      </c>
      <c r="AA105" s="134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269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270</v>
      </c>
      <c r="X115" s="22"/>
      <c r="Y115" s="22"/>
      <c r="Z115" s="139">
        <f t="shared" si="6"/>
        <v>8</v>
      </c>
      <c r="AA115" s="134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2">F131+J131+N131+R131+V131</f>
        <v>2</v>
      </c>
      <c r="AA131" s="134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2"/>
        <v>0</v>
      </c>
      <c r="AA132" s="134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2"/>
        <v>0</v>
      </c>
      <c r="AA133" s="134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2"/>
        <v>0</v>
      </c>
      <c r="AA134" s="134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2"/>
        <v>2</v>
      </c>
      <c r="AA135" s="134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2"/>
        <v>2</v>
      </c>
      <c r="AA136" s="134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2"/>
        <v>2</v>
      </c>
      <c r="AA137" s="134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2"/>
        <v>2</v>
      </c>
      <c r="AA138" s="134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2"/>
        <v>2</v>
      </c>
      <c r="AA139" s="134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4">
        <v>89</v>
      </c>
      <c r="E140" s="142">
        <v>89</v>
      </c>
      <c r="F140" s="20">
        <v>1</v>
      </c>
      <c r="G140" s="19"/>
      <c r="H140" s="194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2"/>
        <v>5</v>
      </c>
      <c r="AA140" s="134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4">
        <v>89</v>
      </c>
      <c r="E141" s="8"/>
      <c r="F141" s="20">
        <v>1</v>
      </c>
      <c r="G141" s="19"/>
      <c r="H141" s="194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2"/>
        <v>7</v>
      </c>
      <c r="AA141" s="134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2"/>
        <v>4</v>
      </c>
      <c r="AA142" s="134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2"/>
        <v>4</v>
      </c>
      <c r="AA143" s="134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2"/>
        <v>4</v>
      </c>
      <c r="AA144" s="134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2"/>
        <v>4</v>
      </c>
      <c r="AA145" s="134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2"/>
        <v>4</v>
      </c>
      <c r="AA146" s="134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2"/>
        <v>6</v>
      </c>
      <c r="AA147" s="134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2"/>
        <v>4</v>
      </c>
      <c r="AA148" s="134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2"/>
        <v>2</v>
      </c>
      <c r="AA149" s="134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2"/>
        <v>0</v>
      </c>
      <c r="AA150" s="134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2"/>
        <v>0</v>
      </c>
      <c r="AA151" s="134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2"/>
        <v>0</v>
      </c>
      <c r="AA152" s="134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2"/>
        <v>0</v>
      </c>
      <c r="AA153" s="134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2"/>
        <v>0</v>
      </c>
      <c r="AA154" s="134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2"/>
        <v>0</v>
      </c>
      <c r="AA155" s="134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2"/>
        <v>0</v>
      </c>
      <c r="AA156" s="134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2"/>
        <v>0</v>
      </c>
      <c r="AA157" s="134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2"/>
        <v>0</v>
      </c>
      <c r="AA158" s="134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2"/>
        <v>0</v>
      </c>
      <c r="AA159" s="134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2"/>
        <v>0</v>
      </c>
      <c r="AA160" s="134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2"/>
        <v>0</v>
      </c>
      <c r="AA161" s="134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2"/>
        <v>0</v>
      </c>
      <c r="AA162" s="134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2"/>
        <v>0</v>
      </c>
      <c r="AA163" s="134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2"/>
        <v>0</v>
      </c>
      <c r="AA164" s="134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2"/>
        <v>0</v>
      </c>
      <c r="AA165" s="134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2"/>
        <v>0</v>
      </c>
      <c r="AA166" s="134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2"/>
        <v>0</v>
      </c>
      <c r="AA167" s="134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2"/>
        <v>0</v>
      </c>
      <c r="AA168" s="134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2"/>
        <v>0</v>
      </c>
      <c r="AA169" s="134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2"/>
        <v>0</v>
      </c>
      <c r="AA170" s="134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2"/>
        <v>0</v>
      </c>
      <c r="AA171" s="134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H53:H57 H58:M58 D53:G58 D59:M115 F9:G15 D9:E13 D15:E15 O37:Y171 O34:S36 T35 V34:Y36 T34:U34 T36:U36 D116:N171 O2:Y33 D16:H52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DK</v>
      </c>
      <c r="M27" s="49">
        <f>IFERROR(IF(AND(booking!AB27&gt;0,booking!L27&lt;&gt;booking!M27),VLOOKUP(booking!M27,Database!A26:'Database'!L200,9,FALSE),"-"),"-")</f>
        <v>0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tabSelected="1" zoomScaleNormal="100" workbookViewId="0">
      <pane ySplit="1" topLeftCell="A2" activePane="bottomLeft" state="frozen"/>
      <selection pane="bottomLeft" activeCell="AF8" sqref="AF8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style="78" bestFit="1" customWidth="1"/>
    <col min="7" max="7" width="5" style="78" bestFit="1" customWidth="1"/>
    <col min="8" max="8" width="5.08984375" style="78" bestFit="1" customWidth="1"/>
    <col min="9" max="9" width="4.7265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style="223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7265625" style="223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7265625" style="223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7265625" style="223" bestFit="1" customWidth="1"/>
  </cols>
  <sheetData>
    <row r="1" spans="1:29" s="219" customFormat="1" ht="20.149999999999999" customHeight="1" thickBot="1" x14ac:dyDescent="0.4">
      <c r="A1" s="212" t="str">
        <f>rengøring!A1</f>
        <v>dag</v>
      </c>
      <c r="B1" s="215" t="str">
        <f>rengøring!B1</f>
        <v>dato</v>
      </c>
      <c r="C1" s="212"/>
      <c r="D1" s="216" t="s">
        <v>138</v>
      </c>
      <c r="E1" s="212" t="s">
        <v>130</v>
      </c>
      <c r="F1" s="217" t="s">
        <v>404</v>
      </c>
      <c r="G1" s="217" t="s">
        <v>405</v>
      </c>
      <c r="H1" s="217" t="s">
        <v>406</v>
      </c>
      <c r="I1" s="212" t="s">
        <v>407</v>
      </c>
      <c r="J1" s="212" t="str">
        <f>rengøring!H1</f>
        <v>V2</v>
      </c>
      <c r="K1" s="217" t="s">
        <v>408</v>
      </c>
      <c r="L1" s="217" t="s">
        <v>409</v>
      </c>
      <c r="M1" s="217" t="s">
        <v>410</v>
      </c>
      <c r="N1" s="220" t="s">
        <v>411</v>
      </c>
      <c r="O1" s="212" t="str">
        <f>rengøring!K1</f>
        <v>V3</v>
      </c>
      <c r="P1" s="217" t="s">
        <v>412</v>
      </c>
      <c r="Q1" s="217" t="s">
        <v>413</v>
      </c>
      <c r="R1" s="217" t="s">
        <v>414</v>
      </c>
      <c r="S1" s="220" t="s">
        <v>415</v>
      </c>
      <c r="T1" s="218" t="str">
        <f>rengøring!N1</f>
        <v>V4</v>
      </c>
      <c r="U1" s="217" t="s">
        <v>416</v>
      </c>
      <c r="V1" s="217" t="s">
        <v>417</v>
      </c>
      <c r="W1" s="217" t="s">
        <v>418</v>
      </c>
      <c r="X1" s="220" t="s">
        <v>419</v>
      </c>
      <c r="Y1" s="212" t="str">
        <f>rengøring!Q1</f>
        <v>V5</v>
      </c>
      <c r="Z1" s="217" t="s">
        <v>420</v>
      </c>
      <c r="AA1" s="217" t="s">
        <v>421</v>
      </c>
      <c r="AB1" s="217" t="s">
        <v>422</v>
      </c>
      <c r="AC1" s="220" t="s">
        <v>423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80" t="str">
        <f>IFERROR(VLOOKUP(E2,Database!$A$2:$L$175,8,FALSE),"-")</f>
        <v>-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21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21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21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224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79" t="str">
        <f>IFERROR(VLOOKUP(E3,Database!$A$2:$L$175,8,FALSE),"-")</f>
        <v>-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21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21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21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224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79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21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21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21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224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79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21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21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21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224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79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21" t="str">
        <f>IFERROR(VLOOKUP(J6,Database!$A$2:$S$175,19,FALSE),"-")</f>
        <v>N</v>
      </c>
      <c r="O6" s="97">
        <f>IF(AND(D6="Y",booking!L6&lt;&gt;booking!M6,booking!M6&gt;0),booking!M6,"-")</f>
        <v>68</v>
      </c>
      <c r="P6" s="79">
        <f>IFERROR(VLOOKUP(O6,Database!$A$2:$L$175,8,FALSE),"-")</f>
        <v>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21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21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224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79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21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21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21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224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79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21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21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21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224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79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21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21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21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224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79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21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21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21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224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Y</v>
      </c>
      <c r="E11" s="96" t="str">
        <f>IF(AND(D11="Y",booking!D11&lt;&gt;booking!E11,booking!E11&gt;0),booking!E11,"-")</f>
        <v>-</v>
      </c>
      <c r="F11" s="79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>
        <f>IF(AND(D11="Y",booking!H11&lt;&gt;booking!I12,booking!I12&gt;0),booking!I12,"-")</f>
        <v>80</v>
      </c>
      <c r="K11" s="79">
        <f>IFERROR(VLOOKUP(J11,Database!$A$2:$L$175,8,FALSE),"-")</f>
        <v>0</v>
      </c>
      <c r="L11" s="79" t="str">
        <f>IFERROR(VLOOKUP(J11,Database!$A$2:$L$175,6,FALSE),"-")</f>
        <v>DK</v>
      </c>
      <c r="M11" s="94" t="str">
        <f>IFERROR(VLOOKUP(J11,Database!$A$2:$L$175,9,FALSE),"-")</f>
        <v>db</v>
      </c>
      <c r="N11" s="221" t="str">
        <f>IFERROR(VLOOKUP(J11,Database!$A$2:$S$175,19,FALSE),"-")</f>
        <v>Y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21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21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224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79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21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21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21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224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79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21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21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21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224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79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21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21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21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224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79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21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21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21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224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79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21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21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21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224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79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21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21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21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224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79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21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21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21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224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79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21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21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21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224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79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21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21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21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224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79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21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21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21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224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79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221" t="str">
        <f>IFERROR(VLOOKUP(J22,Database!$A$2:$S$175,19,FALSE),"-")</f>
        <v>-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21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21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0</v>
      </c>
      <c r="AA22" s="80" t="str">
        <f>IFERROR(VLOOKUP(Y22,Database!$A$2:$L$175,6,FALSE),"-")</f>
        <v>DK</v>
      </c>
      <c r="AB22" s="93">
        <f>IFERROR(VLOOKUP(Y22,Database!$A$2:$L$175,9,FALSE),"-")</f>
        <v>0</v>
      </c>
      <c r="AC22" s="224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79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21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21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21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224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79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21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21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21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224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79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21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21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21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224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79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21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21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21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224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 t="str">
        <f>IF(AND(D27="Y",booking!D27&lt;&gt;booking!E27,booking!E27&gt;0),booking!E27,"-")</f>
        <v>-</v>
      </c>
      <c r="F27" s="79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21" t="str">
        <f>IFERROR(VLOOKUP(J27,Database!$A$2:$S$175,19,FALSE),"-")</f>
        <v>-</v>
      </c>
      <c r="O27" s="97">
        <f>IF(AND(D27="Y",booking!L27&lt;&gt;booking!M27,booking!M27&gt;0),booking!M27,"-")</f>
        <v>40</v>
      </c>
      <c r="P27" s="79">
        <f>IFERROR(VLOOKUP(O27,Database!$A$2:$L$175,8,FALSE),"-")</f>
        <v>0</v>
      </c>
      <c r="Q27" s="79" t="str">
        <f>IFERROR(VLOOKUP(O27,Database!$A$2:$L$175,6,FALSE),"-")</f>
        <v>DK</v>
      </c>
      <c r="R27" s="83">
        <f>IFERROR(VLOOKUP(O27,Database!$A$2:$L$175,9,FALSE),"-")</f>
        <v>0</v>
      </c>
      <c r="S27" s="221" t="str">
        <f>IFERROR(VLOOKUP(O27,Database!$A$2:$S$175,19,FALSE),"-")</f>
        <v>N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21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224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79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21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21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21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224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79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21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21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21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224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79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21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21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21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224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79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21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21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21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224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79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21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0</v>
      </c>
      <c r="Q32" s="79" t="str">
        <f>IFERROR(VLOOKUP(O32,Database!$A$2:$L$175,6,FALSE),"-")</f>
        <v>DK</v>
      </c>
      <c r="R32" s="83">
        <f>IFERROR(VLOOKUP(O32,Database!$A$2:$L$175,9,FALSE),"-")</f>
        <v>0</v>
      </c>
      <c r="S32" s="221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21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224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79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21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21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21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224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79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21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21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21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224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79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21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21" t="str">
        <f>IFERROR(VLOOKUP(O35,Database!$A$2:$S$175,19,FALSE),"-")</f>
        <v>-</v>
      </c>
      <c r="T35" s="98">
        <f>IF(AND(D35="Y",booking!P35&lt;&gt;booking!Q35,booking!Q35&gt;0),booking!Q35,"-")</f>
        <v>102</v>
      </c>
      <c r="U35" s="79">
        <f>IFERROR(VLOOKUP(T35,Database!$A$2:$L$175,8,FALSE),"-")</f>
        <v>0</v>
      </c>
      <c r="V35" s="79" t="str">
        <f>IFERROR(VLOOKUP(T35,Database!$A$2:$L$175,6,FALSE),"-")</f>
        <v>DK</v>
      </c>
      <c r="W35" s="83">
        <f>IFERROR(VLOOKUP(T35,Database!$A$2:$L$175,9,FALSE),"-")</f>
        <v>0</v>
      </c>
      <c r="X35" s="221" t="str">
        <f>IFERROR(VLOOKUP(T35,Database!$A$2:$S$175,19,FALSE),"-")</f>
        <v>N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224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79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21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21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21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224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79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21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21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21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224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79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21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21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21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224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79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21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>
        <f>IFERROR(VLOOKUP(O39,Database!$A$2:$L$175,9,FALSE),"-")</f>
        <v>0</v>
      </c>
      <c r="S39" s="221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21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224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79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21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21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21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224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79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21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21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21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224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79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21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21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21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224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79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21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21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21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224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79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21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21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21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224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79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21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21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21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224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79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21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21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21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224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79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21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21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21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224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79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21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21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21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224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79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21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21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21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224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79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21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21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21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224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79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21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21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21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224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79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21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21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21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224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79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21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21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21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224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79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21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21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21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224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79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221" t="str">
        <f>IFERROR(VLOOKUP(J55,Database!$A$2:$S$175,19,FALSE),"-")</f>
        <v>-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21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21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224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79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21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21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21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224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79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21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21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21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224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79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21" t="str">
        <f>IFERROR(VLOOKUP(J58,Database!$A$2:$S$175,19,FALSE),"-")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21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21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224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79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21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21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21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224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79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21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21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21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224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79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21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>
        <f>IFERROR(VLOOKUP(O61,Database!$A$2:$L$175,8,FALSE),"-")</f>
        <v>0</v>
      </c>
      <c r="Q61" s="79" t="str">
        <f>IFERROR(VLOOKUP(O61,Database!$A$2:$L$175,6,FALSE),"-")</f>
        <v>D</v>
      </c>
      <c r="R61" s="83">
        <f>IFERROR(VLOOKUP(O61,Database!$A$2:$L$175,9,FALSE),"-")</f>
        <v>0</v>
      </c>
      <c r="S61" s="221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21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224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79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21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21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21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224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79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21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21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21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224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79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21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21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21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224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79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21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21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21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224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79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21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21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21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224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79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21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21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21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224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79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21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21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21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224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79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21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21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21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224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79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21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21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21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224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79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21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21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21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224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79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21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>
        <f>IFERROR(VLOOKUP(O72,Database!$A$2:$L$175,9,FALSE),"-")</f>
        <v>0</v>
      </c>
      <c r="S72" s="221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21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224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79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21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21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21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224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79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21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21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21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224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79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21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21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21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224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79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21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21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21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224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79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21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21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21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224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79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21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21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21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224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79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21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21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21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224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79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21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21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21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224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79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21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21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21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224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79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21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21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21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224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79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21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21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21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224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79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21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>
        <f>IFERROR(VLOOKUP(O84,Database!$A$2:$L$175,9,FALSE),"-")</f>
        <v>0</v>
      </c>
      <c r="S84" s="221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21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224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79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21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21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21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224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79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21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21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21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224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79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21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21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21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224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79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21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21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21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224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79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21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21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21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224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79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21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21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21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224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79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21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21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21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224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79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21" t="str">
        <f>IFERROR(VLOOKUP(J92,Database!$A$2:$S$175,19,FALSE),"-")</f>
        <v>YY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21" t="str">
        <f>IFERROR(VLOOKUP(O92,Database!$A$2:$S$175,19,FALSE),"-")</f>
        <v>-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21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224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79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21" t="str">
        <f>IFERROR(VLOOKUP(J93,Database!$A$2:$S$175,19,FALSE),"-")</f>
        <v>-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21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21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224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79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21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21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21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224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79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21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21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21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224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79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21" t="str">
        <f>IFERROR(VLOOKUP(J96,Database!$A$2:$S$175,19,FALSE),"-")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21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21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224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79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21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21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21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224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79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21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21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21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224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79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21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21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21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224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79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21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21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21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>
        <f>IFERROR(VLOOKUP(Y100,Database!$A$2:$L$175,9,FALSE),"-")</f>
        <v>0</v>
      </c>
      <c r="AC100" s="224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79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21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21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21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224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79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21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21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21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224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79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21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21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21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224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79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21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21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21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224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79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21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21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21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224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79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21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21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21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224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79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21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21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21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224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79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21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21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21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224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79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21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21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21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224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79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221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21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21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224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79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21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21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21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224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79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21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21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21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224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79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21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21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21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224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79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21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>
        <f>IFERROR(VLOOKUP(O114,Database!$A$2:$L$175,8,FALSE),"-")</f>
        <v>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21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21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224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79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21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21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21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224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79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21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21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21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224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79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221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21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21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224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79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21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>
        <f>IFERROR(VLOOKUP(O118,Database!$A$2:$L$175,8,FALSE),"-")</f>
        <v>0</v>
      </c>
      <c r="Q118" s="79" t="str">
        <f>IFERROR(VLOOKUP(O118,Database!$A$2:$L$175,6,FALSE),"-")</f>
        <v>DK</v>
      </c>
      <c r="R118" s="83">
        <f>IFERROR(VLOOKUP(O118,Database!$A$2:$L$175,9,FALSE),"-")</f>
        <v>0</v>
      </c>
      <c r="S118" s="221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21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224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79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21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21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21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224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79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21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21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21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224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79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21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21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21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224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79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21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21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21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224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79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21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21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>
        <f>IFERROR(VLOOKUP(T123,Database!$A$2:$L$175,9,FALSE),"-")</f>
        <v>0</v>
      </c>
      <c r="X123" s="221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224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79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21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21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21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>
        <f>IFERROR(VLOOKUP(Y124,Database!$A$2:$L$175,9,FALSE),"-")</f>
        <v>0</v>
      </c>
      <c r="AC124" s="224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79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21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21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21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224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79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21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21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21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224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79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21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21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21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224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79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21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21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21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224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79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21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21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21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224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79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21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21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21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224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79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21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21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21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224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79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21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21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21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224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79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21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21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21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224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79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21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21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21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224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79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21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21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21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224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79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21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21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21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224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79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21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21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21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224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79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21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21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21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224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79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21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21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21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224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79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21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Enk</v>
      </c>
      <c r="S140" s="221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21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224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79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21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21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21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224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79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21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21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Enk</v>
      </c>
      <c r="X142" s="221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224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79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21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21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21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224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79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21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21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21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224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79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21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21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21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224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79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21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21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21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224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79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21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21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21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224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79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21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21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21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224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79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21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21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21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224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79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21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21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21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224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79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21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21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21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224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79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21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21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21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224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79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21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21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21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224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79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21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21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21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224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79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21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21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21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224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79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21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21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21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224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79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21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21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21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224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79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21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21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21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224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79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21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21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21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224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79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21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21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21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224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79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21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21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21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224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79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21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21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21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224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79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21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21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21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224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79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21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21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21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224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79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21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21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21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224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79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21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21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21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224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79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21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21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21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224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79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21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21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21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224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79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21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21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21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224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79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21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21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21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224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81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21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21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21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224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2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2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2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2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2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2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2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2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2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2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2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2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22"/>
      <c r="O176" s="2"/>
      <c r="P176" s="1"/>
      <c r="Q176" s="1"/>
      <c r="R176" s="1"/>
      <c r="S176" s="222"/>
      <c r="T176" s="17"/>
      <c r="U176" s="1"/>
      <c r="V176" s="1"/>
      <c r="W176" s="1"/>
      <c r="X176" s="22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350</v>
      </c>
      <c r="D1" s="5" t="s">
        <v>41</v>
      </c>
      <c r="E1" t="s">
        <v>351</v>
      </c>
      <c r="F1" t="s">
        <v>352</v>
      </c>
      <c r="G1" t="s">
        <v>353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356</v>
      </c>
      <c r="M2" t="s">
        <v>355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354</v>
      </c>
      <c r="L3">
        <f>SUM(I2:I200)</f>
        <v>239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va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va</v>
      </c>
      <c r="E23" s="132" t="str">
        <f>IF(booking!I23&gt;0,"oc","va")</f>
        <v>va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va</v>
      </c>
      <c r="E24" s="132" t="str">
        <f>IF(booking!I24&gt;0,"oc","va")</f>
        <v>va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va</v>
      </c>
      <c r="E25" s="132" t="str">
        <f>IF(booking!I25&gt;0,"oc","va")</f>
        <v>va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va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oc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oc</v>
      </c>
      <c r="G28" s="132" t="str">
        <f>IF(booking!M28&gt;0,"oc","va")</f>
        <v>oc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oc</v>
      </c>
      <c r="G29" s="132" t="str">
        <f>IF(booking!M29&gt;0,"oc","va")</f>
        <v>oc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oc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oc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oc</v>
      </c>
      <c r="I36" s="132" t="str">
        <f>IF(booking!Q36&gt;0,"oc","va")</f>
        <v>oc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oc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va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va</v>
      </c>
      <c r="E56" s="132" t="str">
        <f>IF(booking!I56&gt;0,"oc","va")</f>
        <v>va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va</v>
      </c>
      <c r="E57" s="132" t="str">
        <f>IF(booking!I57&gt;0,"oc","va")</f>
        <v>va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va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2026-03-30T16:48:40Z</dcterms:modified>
  <cp:category/>
  <cp:contentStatus/>
</cp:coreProperties>
</file>