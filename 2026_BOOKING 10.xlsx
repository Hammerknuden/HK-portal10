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636" documentId="8_{48B37ED3-8953-4CF0-98FF-01FF5DFD1860}" xr6:coauthVersionLast="47" xr6:coauthVersionMax="47" xr10:uidLastSave="{B7F76706-989A-4D1B-94E9-6346CCC46197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7" l="1"/>
  <c r="AB11" i="5"/>
  <c r="AC11" i="5"/>
  <c r="G45" i="9"/>
  <c r="G46" i="9"/>
  <c r="R200" i="3"/>
  <c r="Z109" i="5"/>
  <c r="R63" i="2"/>
  <c r="BN3" i="3"/>
  <c r="BL3" i="3" s="1"/>
  <c r="BO3" i="3"/>
  <c r="BP3" i="3"/>
  <c r="BQ3" i="3"/>
  <c r="BM3" i="3" s="1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75" i="3"/>
  <c r="BL75" i="3" s="1"/>
  <c r="BO75" i="3"/>
  <c r="BP75" i="3"/>
  <c r="BQ75" i="3"/>
  <c r="BM75" i="3" s="1"/>
  <c r="BR75" i="3"/>
  <c r="BS75" i="3"/>
  <c r="BT75" i="3"/>
  <c r="BU75" i="3"/>
  <c r="BV75" i="3"/>
  <c r="BW75" i="3"/>
  <c r="BX75" i="3"/>
  <c r="BY75" i="3"/>
  <c r="BN76" i="3"/>
  <c r="BL76" i="3" s="1"/>
  <c r="BO76" i="3"/>
  <c r="BM76" i="3" s="1"/>
  <c r="BP76" i="3"/>
  <c r="BQ76" i="3"/>
  <c r="BR76" i="3"/>
  <c r="BS76" i="3"/>
  <c r="BT76" i="3"/>
  <c r="BU76" i="3"/>
  <c r="BV76" i="3"/>
  <c r="BW76" i="3"/>
  <c r="BX76" i="3"/>
  <c r="BY76" i="3"/>
  <c r="BN77" i="3"/>
  <c r="BL77" i="3" s="1"/>
  <c r="BO77" i="3"/>
  <c r="BM77" i="3" s="1"/>
  <c r="BP77" i="3"/>
  <c r="BQ77" i="3"/>
  <c r="BR77" i="3"/>
  <c r="BS77" i="3"/>
  <c r="BT77" i="3"/>
  <c r="BU77" i="3"/>
  <c r="BV77" i="3"/>
  <c r="BW77" i="3"/>
  <c r="BX77" i="3"/>
  <c r="BY77" i="3"/>
  <c r="BN78" i="3"/>
  <c r="BL78" i="3" s="1"/>
  <c r="BO78" i="3"/>
  <c r="BM78" i="3" s="1"/>
  <c r="BP78" i="3"/>
  <c r="BQ78" i="3"/>
  <c r="BR78" i="3"/>
  <c r="BS78" i="3"/>
  <c r="BT78" i="3"/>
  <c r="BU78" i="3"/>
  <c r="BV78" i="3"/>
  <c r="BW78" i="3"/>
  <c r="BX78" i="3"/>
  <c r="BY78" i="3"/>
  <c r="BL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M79" i="3" s="1"/>
  <c r="BN80" i="3"/>
  <c r="BO80" i="3"/>
  <c r="BP80" i="3"/>
  <c r="BQ80" i="3"/>
  <c r="BR80" i="3"/>
  <c r="BL80" i="3" s="1"/>
  <c r="BS80" i="3"/>
  <c r="BT80" i="3"/>
  <c r="BU80" i="3"/>
  <c r="BM80" i="3" s="1"/>
  <c r="BV80" i="3"/>
  <c r="BW80" i="3"/>
  <c r="BX80" i="3"/>
  <c r="BY80" i="3"/>
  <c r="BN81" i="3"/>
  <c r="BL81" i="3" s="1"/>
  <c r="BO81" i="3"/>
  <c r="BP81" i="3"/>
  <c r="BQ81" i="3"/>
  <c r="BM81" i="3" s="1"/>
  <c r="BR81" i="3"/>
  <c r="BS81" i="3"/>
  <c r="BT81" i="3"/>
  <c r="BU81" i="3"/>
  <c r="BV81" i="3"/>
  <c r="BW81" i="3"/>
  <c r="BX81" i="3"/>
  <c r="BY81" i="3"/>
  <c r="BN82" i="3"/>
  <c r="BL82" i="3" s="1"/>
  <c r="BO82" i="3"/>
  <c r="BM82" i="3" s="1"/>
  <c r="BP82" i="3"/>
  <c r="BQ82" i="3"/>
  <c r="BR82" i="3"/>
  <c r="BS82" i="3"/>
  <c r="BT82" i="3"/>
  <c r="BU82" i="3"/>
  <c r="BV82" i="3"/>
  <c r="BW82" i="3"/>
  <c r="BX82" i="3"/>
  <c r="BY82" i="3"/>
  <c r="BN83" i="3"/>
  <c r="BL83" i="3" s="1"/>
  <c r="BO83" i="3"/>
  <c r="BM83" i="3" s="1"/>
  <c r="BP83" i="3"/>
  <c r="BQ83" i="3"/>
  <c r="BR83" i="3"/>
  <c r="BS83" i="3"/>
  <c r="BT83" i="3"/>
  <c r="BU83" i="3"/>
  <c r="BV83" i="3"/>
  <c r="BW83" i="3"/>
  <c r="BX83" i="3"/>
  <c r="BY83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B3" i="3"/>
  <c r="BC3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75" i="3"/>
  <c r="BC75" i="3"/>
  <c r="BD75" i="3"/>
  <c r="BE75" i="3"/>
  <c r="BF75" i="3"/>
  <c r="BG75" i="3"/>
  <c r="BH75" i="3"/>
  <c r="BI75" i="3"/>
  <c r="BJ75" i="3"/>
  <c r="BK75" i="3"/>
  <c r="BB76" i="3"/>
  <c r="BC76" i="3"/>
  <c r="BD76" i="3"/>
  <c r="BE76" i="3"/>
  <c r="BF76" i="3"/>
  <c r="BG76" i="3"/>
  <c r="BH76" i="3"/>
  <c r="BI76" i="3"/>
  <c r="BJ76" i="3"/>
  <c r="BK76" i="3"/>
  <c r="BB77" i="3"/>
  <c r="BC77" i="3"/>
  <c r="BD77" i="3"/>
  <c r="BE77" i="3"/>
  <c r="BF77" i="3"/>
  <c r="BG77" i="3"/>
  <c r="BH77" i="3"/>
  <c r="BI77" i="3"/>
  <c r="BJ77" i="3"/>
  <c r="BK77" i="3"/>
  <c r="BB78" i="3"/>
  <c r="BC78" i="3"/>
  <c r="BD78" i="3"/>
  <c r="BE78" i="3"/>
  <c r="BF78" i="3"/>
  <c r="BG78" i="3"/>
  <c r="BH78" i="3"/>
  <c r="BI78" i="3"/>
  <c r="BJ78" i="3"/>
  <c r="BK78" i="3"/>
  <c r="BB79" i="3"/>
  <c r="BC79" i="3"/>
  <c r="BD79" i="3"/>
  <c r="BE79" i="3"/>
  <c r="BF79" i="3"/>
  <c r="BG79" i="3"/>
  <c r="BH79" i="3"/>
  <c r="BI79" i="3"/>
  <c r="BJ79" i="3"/>
  <c r="BK79" i="3"/>
  <c r="BB80" i="3"/>
  <c r="BC80" i="3"/>
  <c r="BD80" i="3"/>
  <c r="BE80" i="3"/>
  <c r="BF80" i="3"/>
  <c r="BG80" i="3"/>
  <c r="BH80" i="3"/>
  <c r="BI80" i="3"/>
  <c r="BJ80" i="3"/>
  <c r="BK80" i="3"/>
  <c r="BB81" i="3"/>
  <c r="BC81" i="3"/>
  <c r="BD81" i="3"/>
  <c r="BE81" i="3"/>
  <c r="BF81" i="3"/>
  <c r="BG81" i="3"/>
  <c r="BH81" i="3"/>
  <c r="BI81" i="3"/>
  <c r="BJ81" i="3"/>
  <c r="BK81" i="3"/>
  <c r="BB82" i="3"/>
  <c r="BC82" i="3"/>
  <c r="BD82" i="3"/>
  <c r="BE82" i="3"/>
  <c r="BF82" i="3"/>
  <c r="BG82" i="3"/>
  <c r="BH82" i="3"/>
  <c r="BI82" i="3"/>
  <c r="BJ82" i="3"/>
  <c r="BK82" i="3"/>
  <c r="BB83" i="3"/>
  <c r="BC83" i="3"/>
  <c r="BD83" i="3"/>
  <c r="BE83" i="3"/>
  <c r="BF83" i="3"/>
  <c r="BG83" i="3"/>
  <c r="BH83" i="3"/>
  <c r="BI83" i="3"/>
  <c r="BJ83" i="3"/>
  <c r="BK83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64" i="3" l="1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W73" i="3" l="1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73" i="3" l="1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<sst xmlns="http://schemas.openxmlformats.org/spreadsheetml/2006/main" count="961" uniqueCount="338">
  <si>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</si>
  <si>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</si>
  <si>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</si>
  <si>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</si>
  <si>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</si>
  <si>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</si>
  <si>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</si>
  <si>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</si>
  <si>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</si>
  <si>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</si>
  <si>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</si>
  <si>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</si>
  <si>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</si>
  <si>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</si>
  <si>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</si>
  <si>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</si>
  <si>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</si>
  <si>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</si>
  <si>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</si>
  <si>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</si>
  <si>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</si>
  <si>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</si>
  <si>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</si>
  <si>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</si>
  <si>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</si>
  <si>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</si>
  <si>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</si>
  <si>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</si>
  <si>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</si>
  <si>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</si>
  <si>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</si>
  <si>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</si>
  <si>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</si>
  <si>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</si>
  <si>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</si>
  <si>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</si>
  <si>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</si>
  <si>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</si>
  <si>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</si>
  <si>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</si>
  <si>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</si>
  <si>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</si>
  <si>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</si>
  <si>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</si>
  <si>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</si>
  <si>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</si>
  <si>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</si>
  <si>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</si>
  <si>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</si>
  <si>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</si>
  <si>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</si>
  <si>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</si>
  <si>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</si>
  <si>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</si>
  <si>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</si>
  <si>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</si>
  <si>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</si>
  <si>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</si>
  <si>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</si>
  <si>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</si>
  <si>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</si>
  <si>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</si>
  <si>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</si>
  <si>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</si>
  <si>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</si>
  <si>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</si>
  <si>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</si>
  <si>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</si>
  <si>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</si>
  <si>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</si>
  <si>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</si>
  <si>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</si>
  <si>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</si>
  <si>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</si>
  <si>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</si>
  <si>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</si>
  <si>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</si>
  <si>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</si>
  <si>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</si>
  <si>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</si>
  <si>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</si>
  <si>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</si>
  <si>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</si>
  <si>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</si>
  <si>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</si>
  <si>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</si>
  <si>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</si>
  <si>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</si>
  <si>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</si>
  <si>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</si>
  <si>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</si>
  <si>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</si>
  <si>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</si>
  <si>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</si>
  <si>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</si>
  <si>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</si>
  <si>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</si>
  <si>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</si>
  <si>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</si>
  <si>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</si>
  <si>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</si>
  <si>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</si>
  <si>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</si>
  <si>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</si>
  <si>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</si>
  <si>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</si>
  <si>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</si>
  <si>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</si>
  <si>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</si>
  <si>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</si>
  <si>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</si>
  <si>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</si>
  <si>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</si>
  <si>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</si>
  <si>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</si>
  <si>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</si>
  <si>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</si>
  <si>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</si>
  <si>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</si>
  <si>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</si>
  <si>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</si>
  <si>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</si>
  <si>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</si>
  <si>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</si>
  <si>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</si>
  <si>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</si>
  <si>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</si>
  <si>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</si>
  <si>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</si>
  <si>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</si>
  <si>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</si>
  <si>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</si>
  <si>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</si>
  <si>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</si>
  <si>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</si>
  <si>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</si>
  <si>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</si>
  <si>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</si>
  <si>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</si>
  <si>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</si>
  <si>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</si>
  <si>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</si>
  <si>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</si>
  <si>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</si>
  <si>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</si>
  <si>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</si>
  <si>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</si>
  <si>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</si>
  <si>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</si>
  <si>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</si>
  <si>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</si>
  <si>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</si>
  <si>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</si>
  <si>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</si>
  <si>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</si>
  <si>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</si>
  <si>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</si>
  <si>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</si>
  <si>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</si>
  <si>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</si>
  <si>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</si>
  <si>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</si>
  <si>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</si>
  <si>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</si>
  <si>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</si>
  <si>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</si>
  <si>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</si>
  <si>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</si>
  <si>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</si>
  <si>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</si>
  <si>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</si>
  <si>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</si>
  <si>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</si>
  <si>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</si>
  <si>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</si>
  <si>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</si>
  <si>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</si>
  <si>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</si>
  <si>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</si>
  <si>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</si>
  <si>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</si>
  <si>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</si>
  <si>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</si>
  <si>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</si>
  <si>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</si>
  <si>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</si>
  <si>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</si>
  <si>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</si>
  <si>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</si>
  <si>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</si>
  <si>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</si>
  <si>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</si>
  <si>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</si>
  <si>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</si>
  <si>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</si>
  <si>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</si>
  <si>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</si>
  <si>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</si>
  <si>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</si>
  <si>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</si>
  <si>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</si>
  <si>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</si>
  <si>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</si>
  <si>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</si>
  <si>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</si>
  <si>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</si>
  <si>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</si>
  <si>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</si>
  <si>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</si>
  <si>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</si>
  <si>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</si>
  <si>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</si>
  <si>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</si>
  <si>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</si>
  <si>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</si>
  <si>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</si>
  <si>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</si>
  <si>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</si>
  <si>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</si>
  <si>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</si>
  <si>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</si>
  <si>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</si>
  <si>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</si>
  <si>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</si>
  <si>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</si>
  <si>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</si>
  <si>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</si>
  <si>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</si>
  <si>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</si>
  <si>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</si>
  <si>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</si>
  <si>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</si>
  <si>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</si>
  <si>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</si>
  <si>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</si>
  <si>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</si>
  <si>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</si>
  <si>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</si>
  <si>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</si>
  <si>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</si>
  <si>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</si>
  <si>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</si>
  <si>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</si>
  <si>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</si>
  <si>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</si>
  <si>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</si>
  <si>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</si>
  <si>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</si>
  <si>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</si>
  <si>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</si>
  <si>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</si>
  <si>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</si>
  <si>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</si>
  <si>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</si>
  <si>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</si>
  <si>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</si>
  <si>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</si>
  <si>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</si>
  <si>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</si>
  <si>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</si>
  <si>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</si>
  <si>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</si>
  <si>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</si>
  <si>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</si>
  <si>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</si>
  <si>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</si>
  <si>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</si>
  <si>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</si>
  <si>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</si>
  <si>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</si>
  <si>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</si>
  <si>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</si>
  <si>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</si>
  <si>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</si>
  <si>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</si>
  <si>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</si>
  <si>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</si>
  <si>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</si>
  <si>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</si>
  <si>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</si>
  <si>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</si>
  <si>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</si>
  <si>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</si>
  <si>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</si>
  <si>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</si>
  <si>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</si>
  <si>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</si>
  <si>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</si>
  <si>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</si>
  <si>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</si>
  <si>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</si>
  <si>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</si>
  <si>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</si>
  <si>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</si>
  <si>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</si>
  <si>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</si>
  <si>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</si>
  <si>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</si>
  <si>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</si>
  <si>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</si>
  <si>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</si>
  <si>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</si>
  <si>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</si>
  <si>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</si>
  <si>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</si>
  <si>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</si>
  <si>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</si>
  <si>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</si>
  <si>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</si>
  <si>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</si>
  <si>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</si>
  <si>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</si>
  <si>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</si>
  <si>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</si>
  <si>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</si>
  <si>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</si>
  <si>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</si>
  <si>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</si>
  <si>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</si>
  <si>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</si>
  <si>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</si>
  <si>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</si>
  <si>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</si>
  <si>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</si>
  <si>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</si>
  <si>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</si>
  <si>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</si>
  <si>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</si>
  <si>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</si>
  <si>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2v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</si>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</sst>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8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0" fontId="0" fillId="0" borderId="0" xfId="0" applyFill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166</c:v>
                </c:pt>
                <c:pt idx="1">
                  <c:v>180</c:v>
                </c:pt>
                <c:pt idx="2">
                  <c:v>232</c:v>
                </c:pt>
                <c:pt idx="3">
                  <c:v>273</c:v>
                </c:pt>
                <c:pt idx="4">
                  <c:v>329</c:v>
                </c:pt>
                <c:pt idx="5">
                  <c:v>345</c:v>
                </c:pt>
                <c:pt idx="6">
                  <c:v>373</c:v>
                </c:pt>
                <c:pt idx="7">
                  <c:v>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112</c:v>
                </c:pt>
                <c:pt idx="1">
                  <c:v>15</c:v>
                </c:pt>
                <c:pt idx="2">
                  <c:v>0</c:v>
                </c:pt>
                <c:pt idx="3">
                  <c:v>16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510</c:v>
                </c:pt>
                <c:pt idx="1">
                  <c:v>55</c:v>
                </c:pt>
                <c:pt idx="2">
                  <c:v>0</c:v>
                </c:pt>
                <c:pt idx="3">
                  <c:v>103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112</c:v>
                </c:pt>
                <c:pt idx="1">
                  <c:v>15</c:v>
                </c:pt>
                <c:pt idx="2">
                  <c:v>0</c:v>
                </c:pt>
                <c:pt idx="3">
                  <c:v>16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510</c:v>
                </c:pt>
                <c:pt idx="1">
                  <c:v>55</c:v>
                </c:pt>
                <c:pt idx="2">
                  <c:v>0</c:v>
                </c:pt>
                <c:pt idx="3">
                  <c:v>103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166</c:v>
                </c:pt>
                <c:pt idx="1">
                  <c:v>180</c:v>
                </c:pt>
                <c:pt idx="2">
                  <c:v>232</c:v>
                </c:pt>
                <c:pt idx="3">
                  <c:v>273</c:v>
                </c:pt>
                <c:pt idx="4">
                  <c:v>329</c:v>
                </c:pt>
                <c:pt idx="5">
                  <c:v>345</c:v>
                </c:pt>
                <c:pt idx="6">
                  <c:v>373</c:v>
                </c:pt>
                <c:pt idx="7">
                  <c:v>373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hyperlink" Target="mailto:musenborg@gmail.com" TargetMode="Externa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29" Type="http://schemas.openxmlformats.org/officeDocument/2006/relationships/hyperlink" Target="mailto:donduckvejle@gmail.com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28" Type="http://schemas.openxmlformats.org/officeDocument/2006/relationships/hyperlink" Target="mailto:pija@mail.tele.dk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31" Type="http://schemas.openxmlformats.org/officeDocument/2006/relationships/comments" Target="../comments1.xm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hyperlink" Target="mailto:martin@ht-bendix.dk" TargetMode="External"/><Relationship Id="rId30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4"/>
  <sheetViews>
    <sheetView workbookViewId="0">
      <pane ySplit="1" topLeftCell="A62" activePane="bottomLeft" state="frozen"/>
      <selection pane="bottomLeft" activeCell="B63" sqref="B6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60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32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4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5">
      <c r="A2" s="146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7" t="s">
        <v>170</v>
      </c>
      <c r="N2" s="185"/>
      <c r="O2" s="133" t="s">
        <v>171</v>
      </c>
      <c r="P2" s="133"/>
      <c r="Q2" s="133" t="s">
        <v>21</v>
      </c>
      <c r="R2" s="167">
        <v>7267.5</v>
      </c>
      <c r="S2" s="161" t="s">
        <v>20</v>
      </c>
      <c r="T2" t="s">
        <v>172</v>
      </c>
    </row>
    <row r="3" spans="1:20" x14ac:dyDescent="0.35">
      <c r="A3" s="147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6</v>
      </c>
      <c r="H3" s="113"/>
      <c r="I3" s="134"/>
      <c r="J3" s="113">
        <v>5</v>
      </c>
      <c r="K3" s="113">
        <v>1</v>
      </c>
      <c r="L3" s="113">
        <v>2</v>
      </c>
      <c r="M3" s="158" t="s">
        <v>174</v>
      </c>
      <c r="N3" s="186"/>
      <c r="O3" s="134" t="s">
        <v>175</v>
      </c>
      <c r="P3" s="134"/>
      <c r="Q3" s="134" t="s">
        <v>21</v>
      </c>
      <c r="R3" s="167">
        <v>8740</v>
      </c>
      <c r="S3" s="162" t="s">
        <v>20</v>
      </c>
    </row>
    <row r="4" spans="1:20" x14ac:dyDescent="0.35">
      <c r="A4" s="146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7" t="s">
        <v>174</v>
      </c>
      <c r="N4" s="185"/>
      <c r="O4" s="133" t="s">
        <v>175</v>
      </c>
      <c r="P4" s="133"/>
      <c r="Q4" s="133" t="s">
        <v>21</v>
      </c>
      <c r="R4" s="167">
        <v>2070</v>
      </c>
      <c r="S4" s="161" t="s">
        <v>20</v>
      </c>
      <c r="T4" s="131"/>
    </row>
    <row r="5" spans="1:20" x14ac:dyDescent="0.35">
      <c r="A5" s="147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8" t="s">
        <v>178</v>
      </c>
      <c r="N5" s="187">
        <v>4530267986</v>
      </c>
      <c r="O5" s="134" t="s">
        <v>179</v>
      </c>
      <c r="P5" s="134"/>
      <c r="Q5" s="134" t="s">
        <v>21</v>
      </c>
      <c r="R5" s="167">
        <v>9180</v>
      </c>
      <c r="S5" s="162" t="s">
        <v>21</v>
      </c>
      <c r="T5" t="s">
        <v>177</v>
      </c>
    </row>
    <row r="6" spans="1:20" x14ac:dyDescent="0.35">
      <c r="A6" s="146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7" t="s">
        <v>181</v>
      </c>
      <c r="N6" s="185"/>
      <c r="O6" s="133"/>
      <c r="P6" s="133"/>
      <c r="Q6" s="133" t="s">
        <v>21</v>
      </c>
      <c r="R6" s="167">
        <v>5175</v>
      </c>
      <c r="S6" s="161" t="s">
        <v>20</v>
      </c>
    </row>
    <row r="7" spans="1:20" x14ac:dyDescent="0.35">
      <c r="A7" s="146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5">
      <c r="A8" s="147">
        <v>7</v>
      </c>
      <c r="B8" s="126" t="s">
        <v>185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7">
        <v>4522701312</v>
      </c>
      <c r="O8" s="2" t="s">
        <v>187</v>
      </c>
      <c r="Q8" s="2" t="s">
        <v>20</v>
      </c>
      <c r="R8" s="167">
        <v>6772.5</v>
      </c>
      <c r="S8" s="2" t="s">
        <v>21</v>
      </c>
    </row>
    <row r="9" spans="1:20" x14ac:dyDescent="0.35">
      <c r="A9" s="146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7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5">
      <c r="A10" s="146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7">
        <v>7245</v>
      </c>
      <c r="S10" s="2" t="s">
        <v>21</v>
      </c>
    </row>
    <row r="11" spans="1:20" x14ac:dyDescent="0.35">
      <c r="A11" s="147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0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5">
      <c r="A12" s="146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5">
      <c r="A13" s="146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8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5">
      <c r="A14" s="147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8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5">
      <c r="A15" s="146">
        <v>14</v>
      </c>
      <c r="B15" s="126" t="s">
        <v>209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9" t="s">
        <v>212</v>
      </c>
      <c r="N15" s="188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5">
      <c r="A16" s="146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0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5">
      <c r="A17" s="147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8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5">
      <c r="A18" s="146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8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5">
      <c r="A19" s="146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9" t="s">
        <v>220</v>
      </c>
      <c r="N19" s="188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5">
      <c r="A20" s="147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8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5">
      <c r="A21" s="146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7">
        <v>12420</v>
      </c>
      <c r="S21" s="2" t="s">
        <v>38</v>
      </c>
      <c r="T21" t="s">
        <v>249</v>
      </c>
    </row>
    <row r="22" spans="1:20" x14ac:dyDescent="0.35">
      <c r="A22" s="146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8">
        <v>46705125490</v>
      </c>
      <c r="O22" s="2" t="s">
        <v>244</v>
      </c>
      <c r="Q22" s="2" t="s">
        <v>21</v>
      </c>
      <c r="R22" s="167">
        <v>5175</v>
      </c>
      <c r="S22" s="2" t="s">
        <v>38</v>
      </c>
      <c r="T22" t="s">
        <v>246</v>
      </c>
    </row>
    <row r="23" spans="1:20" x14ac:dyDescent="0.35">
      <c r="A23" s="147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5">
      <c r="A24" s="146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7">
        <v>3825</v>
      </c>
      <c r="S24" s="2" t="s">
        <v>20</v>
      </c>
    </row>
    <row r="25" spans="1:20" x14ac:dyDescent="0.35">
      <c r="A25" s="146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7">
        <v>3825</v>
      </c>
      <c r="S25" s="2" t="s">
        <v>20</v>
      </c>
    </row>
    <row r="26" spans="1:20" x14ac:dyDescent="0.35">
      <c r="A26" s="147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5">
      <c r="A27" s="146">
        <v>26</v>
      </c>
      <c r="B27" t="s">
        <v>238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9"/>
      <c r="Q27" s="2" t="s">
        <v>21</v>
      </c>
      <c r="R27" s="132">
        <v>3450</v>
      </c>
      <c r="S27" s="2" t="s">
        <v>20</v>
      </c>
      <c r="T27" t="s">
        <v>328</v>
      </c>
    </row>
    <row r="28" spans="1:20" x14ac:dyDescent="0.35">
      <c r="A28" s="146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8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5">
      <c r="A29" s="147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5">
      <c r="A30" s="146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5">
      <c r="A31" s="146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8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5">
      <c r="A32" s="147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0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6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6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7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6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8" t="s">
        <v>263</v>
      </c>
      <c r="N36" s="188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6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7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6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0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5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8">
        <v>4531909358</v>
      </c>
      <c r="O48" s="190" t="s">
        <v>283</v>
      </c>
      <c r="Q48" s="2" t="s">
        <v>21</v>
      </c>
      <c r="S48" s="2" t="s">
        <v>21</v>
      </c>
      <c r="T48" t="s">
        <v>284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8" t="s">
        <v>278</v>
      </c>
      <c r="N52" s="188">
        <v>4540474386</v>
      </c>
      <c r="O52" s="190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7">
        <v>5700</v>
      </c>
    </row>
    <row r="56" spans="1:20" x14ac:dyDescent="0.35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5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8">
        <v>466700686</v>
      </c>
      <c r="O58" s="2" t="s">
        <v>304</v>
      </c>
      <c r="Q58" s="2" t="s">
        <v>20</v>
      </c>
      <c r="R58" s="167">
        <v>6450</v>
      </c>
      <c r="S58" s="2" t="s">
        <v>38</v>
      </c>
      <c r="T58" t="s">
        <v>305</v>
      </c>
    </row>
    <row r="59" spans="1:20" x14ac:dyDescent="0.35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7">
        <v>4590</v>
      </c>
      <c r="S59" s="2" t="s">
        <v>38</v>
      </c>
      <c r="T59" t="s">
        <v>302</v>
      </c>
    </row>
    <row r="60" spans="1:20" x14ac:dyDescent="0.35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0">
        <v>4542401010</v>
      </c>
      <c r="Q60" s="2" t="s">
        <v>21</v>
      </c>
      <c r="R60" s="167">
        <v>5100</v>
      </c>
      <c r="S60" s="2" t="s">
        <v>20</v>
      </c>
    </row>
    <row r="61" spans="1:20" x14ac:dyDescent="0.35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7">
        <v>3800</v>
      </c>
      <c r="S61" s="2" t="s">
        <v>20</v>
      </c>
    </row>
    <row r="62" spans="1:20" x14ac:dyDescent="0.35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7">
        <v>2975</v>
      </c>
      <c r="S62" s="2" t="s">
        <v>20</v>
      </c>
    </row>
    <row r="63" spans="1:20" x14ac:dyDescent="0.35">
      <c r="A63" s="2">
        <v>62</v>
      </c>
      <c r="B63" t="s">
        <v>315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307</v>
      </c>
      <c r="J63">
        <v>10</v>
      </c>
      <c r="K63">
        <v>1</v>
      </c>
      <c r="L63">
        <v>2</v>
      </c>
      <c r="Q63" s="2" t="s">
        <v>21</v>
      </c>
      <c r="R63" s="167">
        <f>8925+3442.5</f>
        <v>12367.5</v>
      </c>
      <c r="S63" s="2" t="s">
        <v>20</v>
      </c>
      <c r="T63" t="s">
        <v>327</v>
      </c>
    </row>
    <row r="64" spans="1:20" x14ac:dyDescent="0.35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s="197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7">
        <v>1805</v>
      </c>
      <c r="S64" s="2" t="s">
        <v>20</v>
      </c>
    </row>
    <row r="65" spans="1:20" x14ac:dyDescent="0.35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307</v>
      </c>
      <c r="K66">
        <v>1</v>
      </c>
      <c r="L66">
        <v>2</v>
      </c>
      <c r="Q66" s="2" t="s">
        <v>20</v>
      </c>
      <c r="R66" s="167">
        <v>2850</v>
      </c>
      <c r="S66" s="2" t="s">
        <v>20</v>
      </c>
    </row>
    <row r="67" spans="1:20" x14ac:dyDescent="0.35">
      <c r="A67" s="2">
        <v>66</v>
      </c>
      <c r="B67" t="s">
        <v>322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323</v>
      </c>
      <c r="N67" s="159">
        <v>4521261488</v>
      </c>
      <c r="O67" s="2" t="s">
        <v>187</v>
      </c>
      <c r="Q67" s="2" t="s">
        <v>21</v>
      </c>
      <c r="R67" s="167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321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7">
        <v>5750</v>
      </c>
      <c r="S68" s="2" t="s">
        <v>20</v>
      </c>
    </row>
    <row r="69" spans="1:20" x14ac:dyDescent="0.35">
      <c r="A69" s="2">
        <v>68</v>
      </c>
      <c r="B69" t="s">
        <v>326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7">
        <v>1700</v>
      </c>
      <c r="S69" s="2" t="s">
        <v>20</v>
      </c>
    </row>
    <row r="70" spans="1:20" x14ac:dyDescent="0.35">
      <c r="A70" s="2">
        <v>69</v>
      </c>
      <c r="B70" t="s">
        <v>325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7">
        <v>3225</v>
      </c>
      <c r="S70" s="2" t="s">
        <v>20</v>
      </c>
    </row>
    <row r="71" spans="1:20" x14ac:dyDescent="0.35">
      <c r="A71" s="2">
        <v>70</v>
      </c>
      <c r="B71" t="s">
        <v>334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335</v>
      </c>
      <c r="N71" s="159">
        <v>4561793423</v>
      </c>
      <c r="Q71" s="2" t="s">
        <v>21</v>
      </c>
      <c r="R71" s="167">
        <v>5175</v>
      </c>
      <c r="S71" s="2" t="s">
        <v>21</v>
      </c>
      <c r="T71" t="s">
        <v>336</v>
      </c>
    </row>
    <row r="72" spans="1:20" x14ac:dyDescent="0.35">
      <c r="A72" s="2">
        <v>71</v>
      </c>
      <c r="B72" t="s">
        <v>337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5">
      <c r="A73" s="2">
        <v>72</v>
      </c>
      <c r="B73" t="s">
        <v>331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260</v>
      </c>
      <c r="K73">
        <v>1</v>
      </c>
      <c r="L73">
        <v>2</v>
      </c>
      <c r="M73" s="168" t="s">
        <v>332</v>
      </c>
      <c r="N73" s="159">
        <v>4527139833</v>
      </c>
      <c r="Q73" s="2" t="s">
        <v>21</v>
      </c>
      <c r="R73" s="167">
        <v>8050</v>
      </c>
      <c r="S73" s="2" t="s">
        <v>21</v>
      </c>
      <c r="T73" t="s">
        <v>333</v>
      </c>
    </row>
    <row r="74" spans="1:20" x14ac:dyDescent="0.35">
      <c r="A74" s="2">
        <v>73</v>
      </c>
      <c r="B74" t="s">
        <v>330</v>
      </c>
      <c r="C74" s="24">
        <v>46143</v>
      </c>
      <c r="D74" s="24">
        <v>46145</v>
      </c>
      <c r="E74" s="24">
        <v>46061</v>
      </c>
      <c r="F74" t="s">
        <v>53</v>
      </c>
      <c r="G74" t="s">
        <v>35</v>
      </c>
      <c r="K74">
        <v>1</v>
      </c>
      <c r="L74">
        <v>2</v>
      </c>
      <c r="Q74" s="2" t="s">
        <v>20</v>
      </c>
      <c r="R74" s="132">
        <v>1900</v>
      </c>
      <c r="S74" s="2" t="s">
        <v>20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  <hyperlink ref="M64" r:id="rId26" xr:uid="{92305CCC-3FDE-40E7-94AA-AE247EA1B436}"/>
    <hyperlink ref="M67" r:id="rId27" xr:uid="{00858528-A201-4B3C-A740-00B5FC5078CA}"/>
    <hyperlink ref="M71" r:id="rId28" xr:uid="{25143F69-F329-43B3-9B11-F613A3905198}"/>
    <hyperlink ref="M73" r:id="rId29" xr:uid="{085EA66D-D92F-4BED-BE50-F8FF2B578695}"/>
  </hyperlinks>
  <pageMargins left="0.7" right="0.7" top="0.75" bottom="0.75" header="0.3" footer="0.3"/>
  <legacyDrawing r:id="rId3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S200" sqref="S20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3" t="s">
        <v>299</v>
      </c>
      <c r="BW1" s="183" t="s">
        <v>299</v>
      </c>
      <c r="BX1" s="141" t="s">
        <v>300</v>
      </c>
      <c r="BY1" s="141" t="s">
        <v>300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5">IF($B3&lt;N$1,$C3*$D3,0)</f>
        <v>8</v>
      </c>
      <c r="O3">
        <f t="shared" si="5"/>
        <v>8</v>
      </c>
      <c r="P3">
        <f t="shared" si="5"/>
        <v>8</v>
      </c>
      <c r="Q3">
        <f t="shared" si="5"/>
        <v>8</v>
      </c>
      <c r="R3">
        <f t="shared" si="5"/>
        <v>8</v>
      </c>
      <c r="S3">
        <f t="shared" si="5"/>
        <v>8</v>
      </c>
      <c r="T3">
        <f t="shared" si="5"/>
        <v>8</v>
      </c>
      <c r="U3">
        <f t="shared" si="5"/>
        <v>8</v>
      </c>
      <c r="V3">
        <f t="shared" si="5"/>
        <v>8</v>
      </c>
      <c r="W3">
        <f t="shared" si="5"/>
        <v>8</v>
      </c>
      <c r="X3">
        <f t="shared" ref="X3:AG12" si="6">IF($B3&lt;X$1,$C3*$D3,0)</f>
        <v>8</v>
      </c>
      <c r="Y3">
        <f t="shared" si="6"/>
        <v>8</v>
      </c>
      <c r="Z3">
        <f t="shared" si="6"/>
        <v>8</v>
      </c>
      <c r="AA3">
        <f t="shared" si="6"/>
        <v>8</v>
      </c>
      <c r="AB3">
        <f t="shared" si="6"/>
        <v>8</v>
      </c>
      <c r="AC3">
        <f t="shared" si="6"/>
        <v>8</v>
      </c>
      <c r="AD3">
        <f t="shared" si="6"/>
        <v>8</v>
      </c>
      <c r="AE3">
        <f t="shared" si="6"/>
        <v>8</v>
      </c>
      <c r="AF3">
        <f t="shared" si="6"/>
        <v>8</v>
      </c>
      <c r="AG3">
        <f t="shared" si="6"/>
        <v>8</v>
      </c>
      <c r="AH3">
        <f t="shared" ref="AH3:AQ12" si="7">IF($B3&lt;AH$1,$C3*$D3,0)</f>
        <v>8</v>
      </c>
      <c r="AI3">
        <f t="shared" si="7"/>
        <v>8</v>
      </c>
      <c r="AJ3">
        <f t="shared" si="7"/>
        <v>8</v>
      </c>
      <c r="AK3">
        <f t="shared" si="7"/>
        <v>8</v>
      </c>
      <c r="AL3">
        <f t="shared" si="7"/>
        <v>8</v>
      </c>
      <c r="AM3">
        <f t="shared" si="7"/>
        <v>8</v>
      </c>
      <c r="AN3">
        <f t="shared" si="7"/>
        <v>8</v>
      </c>
      <c r="AO3">
        <f t="shared" si="7"/>
        <v>8</v>
      </c>
      <c r="AP3">
        <f t="shared" si="7"/>
        <v>8</v>
      </c>
      <c r="AQ3">
        <f t="shared" si="7"/>
        <v>8</v>
      </c>
      <c r="AR3">
        <f t="shared" ref="AR3:AX12" si="8">IF($B3&lt;AR$1,$C3*$D3,0)</f>
        <v>8</v>
      </c>
      <c r="AS3">
        <f t="shared" si="8"/>
        <v>8</v>
      </c>
      <c r="AT3">
        <f t="shared" si="8"/>
        <v>8</v>
      </c>
      <c r="AU3">
        <f t="shared" si="8"/>
        <v>8</v>
      </c>
      <c r="AV3">
        <f t="shared" si="8"/>
        <v>8</v>
      </c>
      <c r="AW3">
        <f t="shared" si="8"/>
        <v>8</v>
      </c>
      <c r="AX3">
        <f t="shared" si="8"/>
        <v>8</v>
      </c>
      <c r="BB3" s="34">
        <f t="shared" ref="BB3:BB66" si="9">IF(AND($D3&gt;0,$G3=BB$1),$F3,0)</f>
        <v>2</v>
      </c>
      <c r="BC3" s="34">
        <f t="shared" ref="BC3:BC66" si="10">IF(AND($D3&gt;0,$G3=BC$1),$D3*F3,0)</f>
        <v>16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1</v>
      </c>
      <c r="D74">
        <f>Database!D74-Database!C74</f>
        <v>2</v>
      </c>
      <c r="F74">
        <f>Database!L74</f>
        <v>2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2</v>
      </c>
      <c r="R74">
        <f t="shared" si="85"/>
        <v>2</v>
      </c>
      <c r="S74">
        <f t="shared" si="85"/>
        <v>2</v>
      </c>
      <c r="T74">
        <f t="shared" si="85"/>
        <v>2</v>
      </c>
      <c r="U74">
        <f t="shared" si="85"/>
        <v>2</v>
      </c>
      <c r="V74">
        <f t="shared" si="85"/>
        <v>2</v>
      </c>
      <c r="W74">
        <f t="shared" si="85"/>
        <v>2</v>
      </c>
      <c r="X74">
        <f t="shared" si="86"/>
        <v>2</v>
      </c>
      <c r="Y74">
        <f t="shared" si="86"/>
        <v>2</v>
      </c>
      <c r="Z74">
        <f t="shared" si="86"/>
        <v>2</v>
      </c>
      <c r="AA74">
        <f t="shared" si="86"/>
        <v>2</v>
      </c>
      <c r="AB74">
        <f t="shared" si="86"/>
        <v>2</v>
      </c>
      <c r="AC74">
        <f t="shared" si="86"/>
        <v>2</v>
      </c>
      <c r="AD74">
        <f t="shared" si="86"/>
        <v>2</v>
      </c>
      <c r="AE74">
        <f t="shared" si="86"/>
        <v>2</v>
      </c>
      <c r="AF74">
        <f t="shared" si="86"/>
        <v>2</v>
      </c>
      <c r="AG74">
        <f t="shared" si="86"/>
        <v>2</v>
      </c>
      <c r="AH74">
        <f t="shared" si="87"/>
        <v>2</v>
      </c>
      <c r="AI74">
        <f t="shared" si="87"/>
        <v>2</v>
      </c>
      <c r="AJ74">
        <f t="shared" si="87"/>
        <v>2</v>
      </c>
      <c r="AK74">
        <f t="shared" si="87"/>
        <v>2</v>
      </c>
      <c r="AL74">
        <f t="shared" si="87"/>
        <v>2</v>
      </c>
      <c r="AM74">
        <f t="shared" si="87"/>
        <v>2</v>
      </c>
      <c r="AN74">
        <f t="shared" si="87"/>
        <v>2</v>
      </c>
      <c r="AO74">
        <f t="shared" si="87"/>
        <v>2</v>
      </c>
      <c r="AP74">
        <f t="shared" si="87"/>
        <v>2</v>
      </c>
      <c r="AQ74">
        <f t="shared" si="87"/>
        <v>2</v>
      </c>
      <c r="AR74">
        <f t="shared" si="88"/>
        <v>2</v>
      </c>
      <c r="AS74">
        <f t="shared" si="88"/>
        <v>2</v>
      </c>
      <c r="AT74">
        <f t="shared" si="88"/>
        <v>2</v>
      </c>
      <c r="AU74">
        <f t="shared" si="88"/>
        <v>2</v>
      </c>
      <c r="AV74">
        <f t="shared" si="88"/>
        <v>2</v>
      </c>
      <c r="AW74">
        <f t="shared" si="88"/>
        <v>2</v>
      </c>
      <c r="AX74">
        <f t="shared" si="88"/>
        <v>2</v>
      </c>
      <c r="BB74" s="34">
        <f t="shared" si="63"/>
        <v>2</v>
      </c>
      <c r="BC74" s="34">
        <f t="shared" si="64"/>
        <v>4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0</v>
      </c>
      <c r="B75" s="24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0</v>
      </c>
      <c r="S75">
        <f t="shared" si="85"/>
        <v>0</v>
      </c>
      <c r="T75">
        <f t="shared" si="85"/>
        <v>0</v>
      </c>
      <c r="U75">
        <f t="shared" si="85"/>
        <v>0</v>
      </c>
      <c r="V75">
        <f t="shared" si="85"/>
        <v>0</v>
      </c>
      <c r="W75">
        <f t="shared" si="85"/>
        <v>0</v>
      </c>
      <c r="X75">
        <f t="shared" si="86"/>
        <v>0</v>
      </c>
      <c r="Y75">
        <f t="shared" si="86"/>
        <v>0</v>
      </c>
      <c r="Z75">
        <f t="shared" si="86"/>
        <v>0</v>
      </c>
      <c r="AA75">
        <f t="shared" si="86"/>
        <v>0</v>
      </c>
      <c r="AB75">
        <f t="shared" si="86"/>
        <v>0</v>
      </c>
      <c r="AC75">
        <f t="shared" si="86"/>
        <v>0</v>
      </c>
      <c r="AD75">
        <f t="shared" si="86"/>
        <v>0</v>
      </c>
      <c r="AE75">
        <f t="shared" si="86"/>
        <v>0</v>
      </c>
      <c r="AF75">
        <f t="shared" si="86"/>
        <v>0</v>
      </c>
      <c r="AG75">
        <f t="shared" si="86"/>
        <v>0</v>
      </c>
      <c r="AH75">
        <f t="shared" si="87"/>
        <v>0</v>
      </c>
      <c r="AI75">
        <f t="shared" si="87"/>
        <v>0</v>
      </c>
      <c r="AJ75">
        <f t="shared" si="87"/>
        <v>0</v>
      </c>
      <c r="AK75">
        <f t="shared" si="87"/>
        <v>0</v>
      </c>
      <c r="AL75">
        <f t="shared" si="87"/>
        <v>0</v>
      </c>
      <c r="AM75">
        <f t="shared" si="87"/>
        <v>0</v>
      </c>
      <c r="AN75">
        <f t="shared" si="87"/>
        <v>0</v>
      </c>
      <c r="AO75">
        <f t="shared" si="87"/>
        <v>0</v>
      </c>
      <c r="AP75">
        <f t="shared" si="87"/>
        <v>0</v>
      </c>
      <c r="AQ75">
        <f t="shared" si="87"/>
        <v>0</v>
      </c>
      <c r="AR75">
        <f t="shared" si="88"/>
        <v>0</v>
      </c>
      <c r="AS75">
        <f t="shared" si="88"/>
        <v>0</v>
      </c>
      <c r="AT75">
        <f t="shared" si="88"/>
        <v>0</v>
      </c>
      <c r="AU75">
        <f t="shared" si="88"/>
        <v>0</v>
      </c>
      <c r="AV75">
        <f t="shared" si="88"/>
        <v>0</v>
      </c>
      <c r="AW75">
        <f t="shared" si="88"/>
        <v>0</v>
      </c>
      <c r="AX75">
        <f t="shared" si="88"/>
        <v>0</v>
      </c>
      <c r="BB75" s="34">
        <f t="shared" si="63"/>
        <v>0</v>
      </c>
      <c r="BC75" s="34">
        <f t="shared" si="64"/>
        <v>0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0</v>
      </c>
      <c r="B76" s="24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0</v>
      </c>
      <c r="B77" s="24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0</v>
      </c>
      <c r="S77">
        <f t="shared" si="85"/>
        <v>0</v>
      </c>
      <c r="T77">
        <f t="shared" si="85"/>
        <v>0</v>
      </c>
      <c r="U77">
        <f t="shared" si="85"/>
        <v>0</v>
      </c>
      <c r="V77">
        <f t="shared" si="85"/>
        <v>0</v>
      </c>
      <c r="W77">
        <f t="shared" si="85"/>
        <v>0</v>
      </c>
      <c r="X77">
        <f t="shared" si="86"/>
        <v>0</v>
      </c>
      <c r="Y77">
        <f t="shared" si="86"/>
        <v>0</v>
      </c>
      <c r="Z77">
        <f t="shared" si="86"/>
        <v>0</v>
      </c>
      <c r="AA77">
        <f t="shared" si="86"/>
        <v>0</v>
      </c>
      <c r="AB77">
        <f t="shared" si="86"/>
        <v>0</v>
      </c>
      <c r="AC77">
        <f t="shared" si="86"/>
        <v>0</v>
      </c>
      <c r="AD77">
        <f t="shared" si="86"/>
        <v>0</v>
      </c>
      <c r="AE77">
        <f t="shared" si="86"/>
        <v>0</v>
      </c>
      <c r="AF77">
        <f t="shared" si="86"/>
        <v>0</v>
      </c>
      <c r="AG77">
        <f t="shared" si="86"/>
        <v>0</v>
      </c>
      <c r="AH77">
        <f t="shared" si="87"/>
        <v>0</v>
      </c>
      <c r="AI77">
        <f t="shared" si="87"/>
        <v>0</v>
      </c>
      <c r="AJ77">
        <f t="shared" si="87"/>
        <v>0</v>
      </c>
      <c r="AK77">
        <f t="shared" si="87"/>
        <v>0</v>
      </c>
      <c r="AL77">
        <f t="shared" si="87"/>
        <v>0</v>
      </c>
      <c r="AM77">
        <f t="shared" si="87"/>
        <v>0</v>
      </c>
      <c r="AN77">
        <f t="shared" si="87"/>
        <v>0</v>
      </c>
      <c r="AO77">
        <f t="shared" si="87"/>
        <v>0</v>
      </c>
      <c r="AP77">
        <f t="shared" si="87"/>
        <v>0</v>
      </c>
      <c r="AQ77">
        <f t="shared" si="87"/>
        <v>0</v>
      </c>
      <c r="AR77">
        <f t="shared" si="88"/>
        <v>0</v>
      </c>
      <c r="AS77">
        <f t="shared" si="88"/>
        <v>0</v>
      </c>
      <c r="AT77">
        <f t="shared" si="88"/>
        <v>0</v>
      </c>
      <c r="AU77">
        <f t="shared" si="88"/>
        <v>0</v>
      </c>
      <c r="AV77">
        <f t="shared" si="88"/>
        <v>0</v>
      </c>
      <c r="AW77">
        <f t="shared" si="88"/>
        <v>0</v>
      </c>
      <c r="AX77">
        <f t="shared" si="88"/>
        <v>0</v>
      </c>
      <c r="BB77" s="34">
        <f t="shared" si="63"/>
        <v>0</v>
      </c>
      <c r="BC77" s="34">
        <f t="shared" si="64"/>
        <v>0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0</v>
      </c>
      <c r="B78" s="24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0</v>
      </c>
      <c r="T78">
        <f t="shared" si="85"/>
        <v>0</v>
      </c>
      <c r="U78">
        <f t="shared" si="85"/>
        <v>0</v>
      </c>
      <c r="V78">
        <f t="shared" si="85"/>
        <v>0</v>
      </c>
      <c r="W78">
        <f t="shared" si="85"/>
        <v>0</v>
      </c>
      <c r="X78">
        <f t="shared" si="86"/>
        <v>0</v>
      </c>
      <c r="Y78">
        <f t="shared" si="86"/>
        <v>0</v>
      </c>
      <c r="Z78">
        <f t="shared" si="86"/>
        <v>0</v>
      </c>
      <c r="AA78">
        <f t="shared" si="86"/>
        <v>0</v>
      </c>
      <c r="AB78">
        <f t="shared" si="86"/>
        <v>0</v>
      </c>
      <c r="AC78">
        <f t="shared" si="86"/>
        <v>0</v>
      </c>
      <c r="AD78">
        <f t="shared" si="86"/>
        <v>0</v>
      </c>
      <c r="AE78">
        <f t="shared" si="86"/>
        <v>0</v>
      </c>
      <c r="AF78">
        <f t="shared" si="86"/>
        <v>0</v>
      </c>
      <c r="AG78">
        <f t="shared" si="86"/>
        <v>0</v>
      </c>
      <c r="AH78">
        <f t="shared" si="87"/>
        <v>0</v>
      </c>
      <c r="AI78">
        <f t="shared" si="87"/>
        <v>0</v>
      </c>
      <c r="AJ78">
        <f t="shared" si="87"/>
        <v>0</v>
      </c>
      <c r="AK78">
        <f t="shared" si="87"/>
        <v>0</v>
      </c>
      <c r="AL78">
        <f t="shared" si="87"/>
        <v>0</v>
      </c>
      <c r="AM78">
        <f t="shared" si="87"/>
        <v>0</v>
      </c>
      <c r="AN78">
        <f t="shared" si="87"/>
        <v>0</v>
      </c>
      <c r="AO78">
        <f t="shared" si="87"/>
        <v>0</v>
      </c>
      <c r="AP78">
        <f t="shared" si="87"/>
        <v>0</v>
      </c>
      <c r="AQ78">
        <f t="shared" si="87"/>
        <v>0</v>
      </c>
      <c r="AR78">
        <f t="shared" si="88"/>
        <v>0</v>
      </c>
      <c r="AS78">
        <f t="shared" si="88"/>
        <v>0</v>
      </c>
      <c r="AT78">
        <f t="shared" si="88"/>
        <v>0</v>
      </c>
      <c r="AU78">
        <f t="shared" si="88"/>
        <v>0</v>
      </c>
      <c r="AV78">
        <f t="shared" si="88"/>
        <v>0</v>
      </c>
      <c r="AW78">
        <f t="shared" si="88"/>
        <v>0</v>
      </c>
      <c r="AX78">
        <f t="shared" si="88"/>
        <v>0</v>
      </c>
      <c r="BB78" s="34">
        <f t="shared" si="63"/>
        <v>0</v>
      </c>
      <c r="BC78" s="34">
        <f t="shared" si="64"/>
        <v>0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0</v>
      </c>
      <c r="B79" s="24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0</v>
      </c>
      <c r="BI79" s="34">
        <f t="shared" si="70"/>
        <v>0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0</v>
      </c>
      <c r="B80" s="24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0</v>
      </c>
      <c r="T80">
        <f t="shared" si="85"/>
        <v>0</v>
      </c>
      <c r="U80">
        <f t="shared" si="85"/>
        <v>0</v>
      </c>
      <c r="V80">
        <f t="shared" si="85"/>
        <v>0</v>
      </c>
      <c r="W80">
        <f t="shared" si="85"/>
        <v>0</v>
      </c>
      <c r="X80">
        <f t="shared" si="86"/>
        <v>0</v>
      </c>
      <c r="Y80">
        <f t="shared" si="86"/>
        <v>0</v>
      </c>
      <c r="Z80">
        <f t="shared" si="86"/>
        <v>0</v>
      </c>
      <c r="AA80">
        <f t="shared" si="86"/>
        <v>0</v>
      </c>
      <c r="AB80">
        <f t="shared" si="86"/>
        <v>0</v>
      </c>
      <c r="AC80">
        <f t="shared" si="86"/>
        <v>0</v>
      </c>
      <c r="AD80">
        <f t="shared" si="86"/>
        <v>0</v>
      </c>
      <c r="AE80">
        <f t="shared" si="86"/>
        <v>0</v>
      </c>
      <c r="AF80">
        <f t="shared" si="86"/>
        <v>0</v>
      </c>
      <c r="AG80">
        <f t="shared" si="86"/>
        <v>0</v>
      </c>
      <c r="AH80">
        <f t="shared" si="87"/>
        <v>0</v>
      </c>
      <c r="AI80">
        <f t="shared" si="87"/>
        <v>0</v>
      </c>
      <c r="AJ80">
        <f t="shared" si="87"/>
        <v>0</v>
      </c>
      <c r="AK80">
        <f t="shared" si="87"/>
        <v>0</v>
      </c>
      <c r="AL80">
        <f t="shared" si="87"/>
        <v>0</v>
      </c>
      <c r="AM80">
        <f t="shared" si="87"/>
        <v>0</v>
      </c>
      <c r="AN80">
        <f t="shared" si="87"/>
        <v>0</v>
      </c>
      <c r="AO80">
        <f t="shared" si="87"/>
        <v>0</v>
      </c>
      <c r="AP80">
        <f t="shared" si="87"/>
        <v>0</v>
      </c>
      <c r="AQ80">
        <f t="shared" si="87"/>
        <v>0</v>
      </c>
      <c r="AR80">
        <f t="shared" si="88"/>
        <v>0</v>
      </c>
      <c r="AS80">
        <f t="shared" si="88"/>
        <v>0</v>
      </c>
      <c r="AT80">
        <f t="shared" si="88"/>
        <v>0</v>
      </c>
      <c r="AU80">
        <f t="shared" si="88"/>
        <v>0</v>
      </c>
      <c r="AV80">
        <f t="shared" si="88"/>
        <v>0</v>
      </c>
      <c r="AW80">
        <f t="shared" si="88"/>
        <v>0</v>
      </c>
      <c r="AX80">
        <f t="shared" si="88"/>
        <v>0</v>
      </c>
      <c r="BB80" s="34">
        <f t="shared" si="63"/>
        <v>0</v>
      </c>
      <c r="BC80" s="34">
        <f t="shared" si="64"/>
        <v>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0</v>
      </c>
      <c r="B81" s="24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4">
        <f t="shared" si="63"/>
        <v>0</v>
      </c>
      <c r="BC81" s="34">
        <f t="shared" si="64"/>
        <v>0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0</v>
      </c>
      <c r="B82" s="24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0</v>
      </c>
      <c r="T82">
        <f t="shared" si="85"/>
        <v>0</v>
      </c>
      <c r="U82">
        <f t="shared" si="85"/>
        <v>0</v>
      </c>
      <c r="V82">
        <f t="shared" si="85"/>
        <v>0</v>
      </c>
      <c r="W82">
        <f t="shared" si="85"/>
        <v>0</v>
      </c>
      <c r="X82">
        <f t="shared" si="86"/>
        <v>0</v>
      </c>
      <c r="Y82">
        <f t="shared" si="86"/>
        <v>0</v>
      </c>
      <c r="Z82">
        <f t="shared" si="86"/>
        <v>0</v>
      </c>
      <c r="AA82">
        <f t="shared" si="86"/>
        <v>0</v>
      </c>
      <c r="AB82">
        <f t="shared" si="86"/>
        <v>0</v>
      </c>
      <c r="AC82">
        <f t="shared" si="86"/>
        <v>0</v>
      </c>
      <c r="AD82">
        <f t="shared" si="86"/>
        <v>0</v>
      </c>
      <c r="AE82">
        <f t="shared" si="86"/>
        <v>0</v>
      </c>
      <c r="AF82">
        <f t="shared" si="86"/>
        <v>0</v>
      </c>
      <c r="AG82">
        <f t="shared" si="86"/>
        <v>0</v>
      </c>
      <c r="AH82">
        <f t="shared" si="87"/>
        <v>0</v>
      </c>
      <c r="AI82">
        <f t="shared" si="87"/>
        <v>0</v>
      </c>
      <c r="AJ82">
        <f t="shared" si="87"/>
        <v>0</v>
      </c>
      <c r="AK82">
        <f t="shared" si="87"/>
        <v>0</v>
      </c>
      <c r="AL82">
        <f t="shared" si="87"/>
        <v>0</v>
      </c>
      <c r="AM82">
        <f t="shared" si="87"/>
        <v>0</v>
      </c>
      <c r="AN82">
        <f t="shared" si="87"/>
        <v>0</v>
      </c>
      <c r="AO82">
        <f t="shared" si="87"/>
        <v>0</v>
      </c>
      <c r="AP82">
        <f t="shared" si="87"/>
        <v>0</v>
      </c>
      <c r="AQ82">
        <f t="shared" si="87"/>
        <v>0</v>
      </c>
      <c r="AR82">
        <f t="shared" si="88"/>
        <v>0</v>
      </c>
      <c r="AS82">
        <f t="shared" si="88"/>
        <v>0</v>
      </c>
      <c r="AT82">
        <f t="shared" si="88"/>
        <v>0</v>
      </c>
      <c r="AU82">
        <f t="shared" si="88"/>
        <v>0</v>
      </c>
      <c r="AV82">
        <f t="shared" si="88"/>
        <v>0</v>
      </c>
      <c r="AW82">
        <f t="shared" si="88"/>
        <v>0</v>
      </c>
      <c r="AX82">
        <f t="shared" si="88"/>
        <v>0</v>
      </c>
      <c r="BB82" s="34">
        <f t="shared" si="63"/>
        <v>0</v>
      </c>
      <c r="BC82" s="34">
        <f t="shared" si="64"/>
        <v>0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0</v>
      </c>
      <c r="B83" s="24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112</v>
      </c>
      <c r="BC196" s="34">
        <f t="shared" si="167"/>
        <v>510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16</v>
      </c>
      <c r="BI196" s="34">
        <f t="shared" si="167"/>
        <v>103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166</v>
      </c>
      <c r="L198">
        <f t="shared" si="168"/>
        <v>180</v>
      </c>
      <c r="M198">
        <f t="shared" si="168"/>
        <v>232</v>
      </c>
      <c r="N198">
        <f t="shared" si="168"/>
        <v>273</v>
      </c>
      <c r="O198">
        <f t="shared" si="168"/>
        <v>329</v>
      </c>
      <c r="P198">
        <f t="shared" si="168"/>
        <v>345</v>
      </c>
      <c r="Q198">
        <f t="shared" si="168"/>
        <v>373</v>
      </c>
      <c r="R198">
        <f t="shared" si="168"/>
        <v>373</v>
      </c>
      <c r="S198">
        <f t="shared" si="168"/>
        <v>373</v>
      </c>
      <c r="T198">
        <f t="shared" si="168"/>
        <v>373</v>
      </c>
      <c r="U198">
        <f t="shared" si="168"/>
        <v>373</v>
      </c>
      <c r="V198">
        <f t="shared" si="168"/>
        <v>373</v>
      </c>
      <c r="W198">
        <f t="shared" si="168"/>
        <v>373</v>
      </c>
      <c r="X198">
        <f t="shared" si="168"/>
        <v>373</v>
      </c>
      <c r="Y198">
        <f t="shared" si="168"/>
        <v>373</v>
      </c>
      <c r="Z198">
        <f t="shared" si="168"/>
        <v>373</v>
      </c>
      <c r="AA198">
        <f t="shared" si="168"/>
        <v>373</v>
      </c>
      <c r="AB198">
        <f t="shared" si="168"/>
        <v>373</v>
      </c>
      <c r="AC198">
        <f t="shared" si="168"/>
        <v>373</v>
      </c>
      <c r="AD198">
        <f t="shared" si="168"/>
        <v>373</v>
      </c>
      <c r="AE198">
        <f t="shared" si="168"/>
        <v>373</v>
      </c>
      <c r="AF198">
        <f t="shared" si="168"/>
        <v>373</v>
      </c>
      <c r="AG198">
        <f t="shared" si="168"/>
        <v>373</v>
      </c>
      <c r="AH198">
        <f t="shared" si="168"/>
        <v>373</v>
      </c>
      <c r="AI198">
        <f t="shared" si="168"/>
        <v>373</v>
      </c>
      <c r="AJ198">
        <f t="shared" si="168"/>
        <v>373</v>
      </c>
      <c r="AK198">
        <f t="shared" si="168"/>
        <v>373</v>
      </c>
      <c r="AL198">
        <f t="shared" si="168"/>
        <v>373</v>
      </c>
      <c r="AM198">
        <f t="shared" si="168"/>
        <v>373</v>
      </c>
      <c r="AN198">
        <f t="shared" si="168"/>
        <v>373</v>
      </c>
      <c r="AO198">
        <f t="shared" si="168"/>
        <v>373</v>
      </c>
      <c r="AP198">
        <f t="shared" si="168"/>
        <v>373</v>
      </c>
      <c r="AQ198">
        <f t="shared" si="168"/>
        <v>373</v>
      </c>
      <c r="AR198">
        <f t="shared" si="168"/>
        <v>373</v>
      </c>
      <c r="AS198">
        <f t="shared" si="168"/>
        <v>373</v>
      </c>
      <c r="AT198">
        <f t="shared" si="168"/>
        <v>373</v>
      </c>
      <c r="AU198">
        <f t="shared" si="168"/>
        <v>373</v>
      </c>
      <c r="AV198">
        <f t="shared" si="168"/>
        <v>373</v>
      </c>
      <c r="AW198">
        <f t="shared" si="168"/>
        <v>373</v>
      </c>
      <c r="AX198">
        <f t="shared" si="168"/>
        <v>373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R200" si="169">K198</f>
        <v>166</v>
      </c>
      <c r="L200">
        <f t="shared" si="169"/>
        <v>180</v>
      </c>
      <c r="M200">
        <f t="shared" si="169"/>
        <v>232</v>
      </c>
      <c r="N200">
        <f t="shared" si="169"/>
        <v>273</v>
      </c>
      <c r="O200">
        <f t="shared" si="169"/>
        <v>329</v>
      </c>
      <c r="P200">
        <f t="shared" si="169"/>
        <v>345</v>
      </c>
      <c r="Q200">
        <f t="shared" si="169"/>
        <v>373</v>
      </c>
      <c r="R200">
        <f t="shared" si="169"/>
        <v>373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112</v>
      </c>
      <c r="BE202" s="34">
        <f>BD196</f>
        <v>15</v>
      </c>
      <c r="BF202" s="34">
        <f>BF196</f>
        <v>0</v>
      </c>
      <c r="BG202" s="34">
        <f>BH196</f>
        <v>16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510</v>
      </c>
      <c r="BE203" s="40">
        <f>BE196</f>
        <v>55</v>
      </c>
      <c r="BF203" s="40">
        <f>BG196</f>
        <v>0</v>
      </c>
      <c r="BG203" s="40">
        <f>BI196</f>
        <v>103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4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112</v>
      </c>
      <c r="C30" s="34">
        <f>'book stat'!BE202</f>
        <v>15</v>
      </c>
      <c r="D30" s="34">
        <f>'book stat'!BF202</f>
        <v>0</v>
      </c>
      <c r="E30" s="34">
        <f>'book stat'!BG202</f>
        <v>16</v>
      </c>
      <c r="F30" s="34">
        <f>'book stat'!BH202</f>
        <v>0</v>
      </c>
      <c r="G30" s="35">
        <f>'book stat'!BI202</f>
        <v>5</v>
      </c>
      <c r="H30" s="175">
        <f>'book stat'!BJ202</f>
        <v>0</v>
      </c>
      <c r="I30" s="176">
        <f>'book stat'!BK202</f>
        <v>0</v>
      </c>
      <c r="J30" s="176">
        <f>'book stat'!BL202</f>
        <v>3</v>
      </c>
      <c r="K30" s="177">
        <f>'book stat'!BM202</f>
        <v>2</v>
      </c>
      <c r="L30" s="178">
        <f>'book stat'!BN202</f>
        <v>0</v>
      </c>
      <c r="M30" s="179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510</v>
      </c>
      <c r="C31" s="34">
        <f>'book stat'!BE203</f>
        <v>55</v>
      </c>
      <c r="D31" s="34">
        <f>'book stat'!BF203</f>
        <v>0</v>
      </c>
      <c r="E31" s="34">
        <f>'book stat'!BG203</f>
        <v>103</v>
      </c>
      <c r="F31" s="34">
        <f>'book stat'!BH203</f>
        <v>0</v>
      </c>
      <c r="G31" s="35">
        <f>'book stat'!BI203</f>
        <v>29</v>
      </c>
      <c r="H31" s="180">
        <f>'book stat'!BJ203</f>
        <v>0</v>
      </c>
      <c r="I31" s="181">
        <f>'book stat'!BK203</f>
        <v>0</v>
      </c>
      <c r="J31" s="181">
        <f>'book stat'!BL203</f>
        <v>19</v>
      </c>
      <c r="K31" s="182">
        <f>'book stat'!BM203</f>
        <v>10</v>
      </c>
      <c r="L31" s="178">
        <f>'book stat'!BN203</f>
        <v>0</v>
      </c>
      <c r="M31" s="179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38" activePane="bottomLeft" state="frozen"/>
      <selection pane="bottomLeft" activeCell="AB19" sqref="AB19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92">
        <v>1</v>
      </c>
      <c r="E1" s="193"/>
      <c r="F1" s="66" t="s">
        <v>117</v>
      </c>
      <c r="G1" s="67" t="s">
        <v>8</v>
      </c>
      <c r="H1" s="194">
        <v>2</v>
      </c>
      <c r="I1" s="193"/>
      <c r="J1" s="66" t="s">
        <v>117</v>
      </c>
      <c r="K1" s="68" t="s">
        <v>8</v>
      </c>
      <c r="L1" s="194">
        <v>3</v>
      </c>
      <c r="M1" s="193"/>
      <c r="N1" s="66" t="s">
        <v>117</v>
      </c>
      <c r="O1" s="69" t="s">
        <v>8</v>
      </c>
      <c r="P1" s="192">
        <v>4</v>
      </c>
      <c r="Q1" s="193"/>
      <c r="R1" s="66" t="s">
        <v>117</v>
      </c>
      <c r="S1" s="68" t="s">
        <v>8</v>
      </c>
      <c r="T1" s="195">
        <v>5</v>
      </c>
      <c r="U1" s="196"/>
      <c r="V1" s="66" t="s">
        <v>117</v>
      </c>
      <c r="W1" s="68" t="s">
        <v>8</v>
      </c>
      <c r="X1" s="192">
        <v>6</v>
      </c>
      <c r="Y1" s="193"/>
      <c r="Z1" s="70" t="s">
        <v>118</v>
      </c>
      <c r="AA1" s="139">
        <f>SUM(AA2:AA171)</f>
        <v>375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>
        <v>73</v>
      </c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4</v>
      </c>
      <c r="AB6" s="8">
        <f t="shared" si="0"/>
        <v>4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/>
      <c r="E7" s="8"/>
      <c r="F7" s="20"/>
      <c r="G7" s="19"/>
      <c r="H7" s="14">
        <v>73</v>
      </c>
      <c r="I7" s="8">
        <v>73</v>
      </c>
      <c r="J7" s="20"/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3</v>
      </c>
      <c r="AA7" s="140">
        <f t="shared" si="3"/>
        <v>4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/>
      <c r="E8" s="8"/>
      <c r="F8" s="20"/>
      <c r="G8" s="19"/>
      <c r="H8" s="14">
        <v>73</v>
      </c>
      <c r="I8" s="8"/>
      <c r="J8" s="20"/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 t="s">
        <v>32</v>
      </c>
      <c r="T8" s="8">
        <v>28</v>
      </c>
      <c r="U8" s="8"/>
      <c r="V8" s="20">
        <v>1</v>
      </c>
      <c r="W8" s="20"/>
      <c r="X8" s="22"/>
      <c r="Y8" s="22"/>
      <c r="Z8" s="145">
        <f t="shared" si="2"/>
        <v>3</v>
      </c>
      <c r="AA8" s="140">
        <f t="shared" si="3"/>
        <v>1</v>
      </c>
      <c r="AB8" s="8">
        <f t="shared" si="0"/>
        <v>1</v>
      </c>
      <c r="AC8" s="23">
        <f t="shared" si="1"/>
        <v>4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329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/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8"/>
      <c r="J12" s="20"/>
      <c r="K12" s="19"/>
      <c r="L12" s="14"/>
      <c r="M12" s="8"/>
      <c r="N12" s="20"/>
      <c r="O12" s="20"/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1</v>
      </c>
      <c r="AB12" s="8">
        <f t="shared" si="0"/>
        <v>0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8"/>
      <c r="I13" s="8"/>
      <c r="J13" s="20"/>
      <c r="K13" s="19"/>
      <c r="L13" s="14"/>
      <c r="M13" s="8"/>
      <c r="N13" s="20"/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2</v>
      </c>
      <c r="AA13" s="140">
        <f t="shared" si="3"/>
        <v>1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8"/>
      <c r="I14" s="8"/>
      <c r="J14" s="20"/>
      <c r="K14" s="19"/>
      <c r="L14" s="14"/>
      <c r="M14" s="8"/>
      <c r="N14" s="20"/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2</v>
      </c>
      <c r="AA14" s="140">
        <f t="shared" si="3"/>
        <v>1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8"/>
      <c r="I15" s="8"/>
      <c r="J15" s="20"/>
      <c r="K15" s="19"/>
      <c r="L15" s="14"/>
      <c r="M15" s="8"/>
      <c r="N15" s="20"/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0</v>
      </c>
      <c r="AA15" s="140">
        <f t="shared" si="3"/>
        <v>0</v>
      </c>
      <c r="AB15" s="8">
        <f t="shared" si="0"/>
        <v>0</v>
      </c>
      <c r="AC15" s="23">
        <f t="shared" si="1"/>
        <v>1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297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5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5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5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3">
        <v>20</v>
      </c>
      <c r="I27" s="148">
        <v>20</v>
      </c>
      <c r="J27" s="20">
        <v>2</v>
      </c>
      <c r="K27" s="19"/>
      <c r="L27" s="163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3">
        <v>20</v>
      </c>
      <c r="I28" s="148">
        <v>20</v>
      </c>
      <c r="J28" s="20">
        <v>2</v>
      </c>
      <c r="K28" s="19"/>
      <c r="L28" s="163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3">
        <v>20</v>
      </c>
      <c r="I29" s="148">
        <v>20</v>
      </c>
      <c r="J29" s="20">
        <v>2</v>
      </c>
      <c r="K29" s="19"/>
      <c r="L29" s="163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3">
        <v>20</v>
      </c>
      <c r="I30" s="8"/>
      <c r="J30" s="20">
        <v>2</v>
      </c>
      <c r="K30" s="19"/>
      <c r="L30" s="163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8"/>
      <c r="Q35" s="148">
        <v>2</v>
      </c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2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4"/>
      <c r="I36" s="8"/>
      <c r="J36" s="20"/>
      <c r="K36" s="19"/>
      <c r="L36" s="149">
        <v>5</v>
      </c>
      <c r="M36" s="149">
        <v>5</v>
      </c>
      <c r="N36" s="124">
        <v>2</v>
      </c>
      <c r="O36" s="124"/>
      <c r="P36" s="148">
        <v>2</v>
      </c>
      <c r="Q36" s="148">
        <v>2</v>
      </c>
      <c r="R36" s="121">
        <v>2</v>
      </c>
      <c r="S36" s="121"/>
      <c r="T36" s="121"/>
      <c r="U36" s="121"/>
      <c r="V36" s="20"/>
      <c r="W36" s="20"/>
      <c r="X36" s="22"/>
      <c r="Y36" s="22"/>
      <c r="Z36" s="145">
        <f t="shared" si="2"/>
        <v>4</v>
      </c>
      <c r="AA36" s="140">
        <f t="shared" si="3"/>
        <v>2</v>
      </c>
      <c r="AB36" s="8">
        <f t="shared" si="0"/>
        <v>0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4"/>
      <c r="I37" s="8"/>
      <c r="J37" s="20"/>
      <c r="K37" s="19"/>
      <c r="L37" s="149">
        <v>5</v>
      </c>
      <c r="M37" s="8"/>
      <c r="N37" s="20"/>
      <c r="O37" s="20"/>
      <c r="P37" s="148">
        <v>2</v>
      </c>
      <c r="Q37" s="148">
        <v>2</v>
      </c>
      <c r="R37" s="124">
        <v>2</v>
      </c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4"/>
      <c r="I38" s="8"/>
      <c r="J38" s="20"/>
      <c r="K38" s="19"/>
      <c r="L38" s="8"/>
      <c r="M38" s="8"/>
      <c r="N38" s="20"/>
      <c r="O38" s="20"/>
      <c r="P38" s="148">
        <v>2</v>
      </c>
      <c r="Q38" s="148">
        <v>2</v>
      </c>
      <c r="R38" s="124">
        <v>2</v>
      </c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4"/>
      <c r="I39" s="8"/>
      <c r="J39" s="20"/>
      <c r="K39" s="19"/>
      <c r="L39" s="8"/>
      <c r="M39" s="165">
        <v>27</v>
      </c>
      <c r="N39" s="20"/>
      <c r="O39" s="20" t="s">
        <v>165</v>
      </c>
      <c r="P39" s="148">
        <v>2</v>
      </c>
      <c r="Q39" s="148">
        <v>2</v>
      </c>
      <c r="R39" s="124">
        <v>2</v>
      </c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4"/>
      <c r="I40" s="8"/>
      <c r="J40" s="20"/>
      <c r="K40" s="19"/>
      <c r="L40" s="164">
        <v>27</v>
      </c>
      <c r="M40" s="165">
        <v>27</v>
      </c>
      <c r="N40" s="20">
        <v>2</v>
      </c>
      <c r="O40" s="20"/>
      <c r="P40" s="148">
        <v>2</v>
      </c>
      <c r="Q40" s="148">
        <v>2</v>
      </c>
      <c r="R40" s="124">
        <v>2</v>
      </c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4"/>
      <c r="I41" s="149">
        <v>6</v>
      </c>
      <c r="J41" s="20"/>
      <c r="K41" s="19"/>
      <c r="L41" s="165">
        <v>27</v>
      </c>
      <c r="M41" s="165">
        <v>27</v>
      </c>
      <c r="N41" s="20">
        <v>2</v>
      </c>
      <c r="O41" s="20"/>
      <c r="P41" s="148">
        <v>2</v>
      </c>
      <c r="Q41" s="148">
        <v>2</v>
      </c>
      <c r="R41" s="124">
        <v>2</v>
      </c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5</v>
      </c>
      <c r="AB41" s="8">
        <f t="shared" si="0"/>
        <v>2</v>
      </c>
      <c r="AC41" s="23">
        <f t="shared" si="1"/>
        <v>0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5">
        <v>27</v>
      </c>
      <c r="M42" s="165">
        <v>27</v>
      </c>
      <c r="N42" s="20">
        <v>2</v>
      </c>
      <c r="O42" s="20" t="s">
        <v>162</v>
      </c>
      <c r="P42" s="148">
        <v>2</v>
      </c>
      <c r="Q42" s="148">
        <v>2</v>
      </c>
      <c r="R42" s="124">
        <v>2</v>
      </c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4</v>
      </c>
      <c r="AA42" s="140">
        <f t="shared" si="3"/>
        <v>4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5">
        <v>27</v>
      </c>
      <c r="M43" s="165">
        <v>27</v>
      </c>
      <c r="N43" s="20">
        <v>2</v>
      </c>
      <c r="O43" s="20"/>
      <c r="P43" s="148">
        <v>2</v>
      </c>
      <c r="Q43" s="8"/>
      <c r="R43" s="124">
        <v>2</v>
      </c>
      <c r="S43" s="124"/>
      <c r="T43" s="121"/>
      <c r="U43" s="121"/>
      <c r="V43" s="20"/>
      <c r="W43" s="20"/>
      <c r="X43" s="122"/>
      <c r="Y43" s="121"/>
      <c r="Z43" s="145">
        <f t="shared" si="2"/>
        <v>4</v>
      </c>
      <c r="AA43" s="140">
        <f t="shared" si="3"/>
        <v>1</v>
      </c>
      <c r="AB43" s="8">
        <f t="shared" si="0"/>
        <v>0</v>
      </c>
      <c r="AC43" s="23">
        <f t="shared" si="1"/>
        <v>3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5">
        <v>27</v>
      </c>
      <c r="M44" s="165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5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/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3">
        <v>15</v>
      </c>
      <c r="Q51" s="191">
        <v>70</v>
      </c>
      <c r="R51" s="124"/>
      <c r="S51" s="124"/>
      <c r="T51" s="149">
        <v>17</v>
      </c>
      <c r="U51" s="121"/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1</v>
      </c>
      <c r="AB51" s="8">
        <f t="shared" si="4"/>
        <v>1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91">
        <v>70</v>
      </c>
      <c r="Q52" s="191">
        <v>70</v>
      </c>
      <c r="R52" s="124">
        <v>2</v>
      </c>
      <c r="S52" s="124"/>
      <c r="T52" s="121"/>
      <c r="U52" s="8"/>
      <c r="V52" s="20"/>
      <c r="W52" s="20"/>
      <c r="X52" s="22"/>
      <c r="Y52" s="22"/>
      <c r="Z52" s="145">
        <f t="shared" si="2"/>
        <v>2</v>
      </c>
      <c r="AA52" s="140">
        <f t="shared" si="3"/>
        <v>1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91">
        <v>70</v>
      </c>
      <c r="Q53" s="149">
        <v>70</v>
      </c>
      <c r="R53" s="124">
        <v>2</v>
      </c>
      <c r="S53" s="124"/>
      <c r="T53" s="8"/>
      <c r="U53" s="149">
        <v>31</v>
      </c>
      <c r="V53" s="20"/>
      <c r="W53" s="20" t="s">
        <v>32</v>
      </c>
      <c r="X53" s="22"/>
      <c r="Y53" s="22"/>
      <c r="Z53" s="145">
        <f t="shared" si="2"/>
        <v>2</v>
      </c>
      <c r="AA53" s="140">
        <f t="shared" si="3"/>
        <v>2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149">
        <v>70</v>
      </c>
      <c r="Q54" s="149">
        <v>70</v>
      </c>
      <c r="R54" s="124">
        <v>2</v>
      </c>
      <c r="S54" s="124"/>
      <c r="T54" s="149">
        <v>31</v>
      </c>
      <c r="U54" s="149">
        <v>31</v>
      </c>
      <c r="V54" s="20">
        <v>1</v>
      </c>
      <c r="W54" s="20"/>
      <c r="X54" s="22"/>
      <c r="Y54" s="22"/>
      <c r="Z54" s="145">
        <f t="shared" si="2"/>
        <v>3</v>
      </c>
      <c r="AA54" s="140">
        <f t="shared" si="3"/>
        <v>2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31</v>
      </c>
      <c r="U55" s="149">
        <v>31</v>
      </c>
      <c r="V55" s="20">
        <v>1</v>
      </c>
      <c r="W55" s="20"/>
      <c r="X55" s="22"/>
      <c r="Y55" s="22"/>
      <c r="Z55" s="145">
        <f t="shared" si="2"/>
        <v>3</v>
      </c>
      <c r="AA55" s="140">
        <f t="shared" si="3"/>
        <v>3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31</v>
      </c>
      <c r="U56" s="149">
        <v>31</v>
      </c>
      <c r="V56" s="20">
        <v>1</v>
      </c>
      <c r="W56" s="20"/>
      <c r="X56" s="22"/>
      <c r="Y56" s="22"/>
      <c r="Z56" s="145">
        <f t="shared" si="2"/>
        <v>5</v>
      </c>
      <c r="AA56" s="140">
        <f t="shared" si="3"/>
        <v>2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31</v>
      </c>
      <c r="U57" s="149">
        <v>31</v>
      </c>
      <c r="V57" s="20">
        <v>1</v>
      </c>
      <c r="W57" s="20"/>
      <c r="X57" s="22"/>
      <c r="Y57" s="22"/>
      <c r="Z57" s="145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8">
        <v>37</v>
      </c>
      <c r="R58" s="124"/>
      <c r="S58" s="124"/>
      <c r="T58" s="149">
        <v>31</v>
      </c>
      <c r="U58" s="8"/>
      <c r="V58" s="20">
        <v>1</v>
      </c>
      <c r="W58" s="20"/>
      <c r="X58" s="22"/>
      <c r="Y58" s="22"/>
      <c r="Z58" s="145">
        <f t="shared" si="2"/>
        <v>1</v>
      </c>
      <c r="AA58" s="140">
        <f t="shared" si="3"/>
        <v>1</v>
      </c>
      <c r="AB58" s="8">
        <f t="shared" si="4"/>
        <v>1</v>
      </c>
      <c r="AC58" s="23">
        <f t="shared" si="5"/>
        <v>1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8">
        <v>37</v>
      </c>
      <c r="Q59" s="8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8">
        <v>37</v>
      </c>
      <c r="Q60" s="8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8">
        <v>37</v>
      </c>
      <c r="Q61" s="8"/>
      <c r="R61" s="124">
        <v>2</v>
      </c>
      <c r="S61" s="124"/>
      <c r="T61" s="8"/>
      <c r="U61" s="8">
        <v>64</v>
      </c>
      <c r="V61" s="20"/>
      <c r="W61" s="20" t="s">
        <v>165</v>
      </c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/>
      <c r="Q62" s="8"/>
      <c r="R62" s="124"/>
      <c r="S62" s="124"/>
      <c r="T62" s="8">
        <v>64</v>
      </c>
      <c r="U62" s="8">
        <v>64</v>
      </c>
      <c r="V62" s="20"/>
      <c r="W62" s="20" t="s">
        <v>297</v>
      </c>
      <c r="X62" s="22"/>
      <c r="Y62" s="22"/>
      <c r="Z62" s="145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/>
      <c r="Q63" s="8"/>
      <c r="R63" s="124"/>
      <c r="S63" s="124"/>
      <c r="T63" s="8">
        <v>64</v>
      </c>
      <c r="U63" s="8">
        <v>64</v>
      </c>
      <c r="V63" s="20"/>
      <c r="W63" s="20"/>
      <c r="X63" s="22"/>
      <c r="Y63" s="22"/>
      <c r="Z63" s="145">
        <f t="shared" si="2"/>
        <v>4</v>
      </c>
      <c r="AA63" s="140">
        <f t="shared" si="3"/>
        <v>3</v>
      </c>
      <c r="AB63" s="8">
        <f t="shared" si="4"/>
        <v>0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/>
      <c r="Q64" s="8"/>
      <c r="R64" s="124"/>
      <c r="S64" s="124"/>
      <c r="T64" s="8">
        <v>64</v>
      </c>
      <c r="U64" s="8"/>
      <c r="V64" s="20"/>
      <c r="W64" s="20"/>
      <c r="X64" s="22"/>
      <c r="Y64" s="22"/>
      <c r="Z64" s="145">
        <f t="shared" si="2"/>
        <v>4</v>
      </c>
      <c r="AA64" s="140">
        <f t="shared" si="3"/>
        <v>2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8"/>
      <c r="Q65" s="8"/>
      <c r="R65" s="124"/>
      <c r="S65" s="124"/>
      <c r="T65" s="8"/>
      <c r="U65" s="8"/>
      <c r="V65" s="20"/>
      <c r="W65" s="20"/>
      <c r="X65" s="22"/>
      <c r="Y65" s="22"/>
      <c r="Z65" s="145">
        <f t="shared" si="2"/>
        <v>4</v>
      </c>
      <c r="AA65" s="140">
        <f t="shared" si="3"/>
        <v>1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8"/>
      <c r="Q66" s="8"/>
      <c r="R66" s="124"/>
      <c r="S66" s="124"/>
      <c r="T66" s="8"/>
      <c r="U66" s="8"/>
      <c r="V66" s="20"/>
      <c r="W66" s="20"/>
      <c r="X66" s="22"/>
      <c r="Y66" s="22"/>
      <c r="Z66" s="145">
        <f t="shared" si="2"/>
        <v>2</v>
      </c>
      <c r="AA66" s="140">
        <f t="shared" si="3"/>
        <v>1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8"/>
      <c r="Q67" s="8"/>
      <c r="R67" s="124"/>
      <c r="S67" s="124"/>
      <c r="T67" s="8"/>
      <c r="U67" s="8"/>
      <c r="V67" s="20"/>
      <c r="W67" s="20"/>
      <c r="X67" s="22"/>
      <c r="Y67" s="22"/>
      <c r="Z67" s="145">
        <f t="shared" ref="Z67:Z130" si="6">F67+J67+N67+R67+V67</f>
        <v>2</v>
      </c>
      <c r="AA67" s="140">
        <f t="shared" ref="AA67:AA130" si="7">COUNT(E67,I67,M67,Q67,U67)</f>
        <v>1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0"/>
      <c r="Q68" s="9"/>
      <c r="R68" s="124"/>
      <c r="S68" s="143"/>
      <c r="T68" s="8"/>
      <c r="U68" s="8"/>
      <c r="V68" s="20"/>
      <c r="W68" s="20"/>
      <c r="X68" s="135"/>
      <c r="Y68" s="136"/>
      <c r="Z68" s="145">
        <f t="shared" si="6"/>
        <v>2</v>
      </c>
      <c r="AA68" s="140">
        <f t="shared" si="7"/>
        <v>2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2">
        <v>14</v>
      </c>
      <c r="R69" s="124"/>
      <c r="S69" s="143"/>
      <c r="T69" s="8"/>
      <c r="U69" s="121"/>
      <c r="V69" s="20"/>
      <c r="W69" s="20"/>
      <c r="X69" s="136"/>
      <c r="Y69" s="136"/>
      <c r="Z69" s="145">
        <f t="shared" si="6"/>
        <v>4</v>
      </c>
      <c r="AA69" s="140">
        <f t="shared" si="7"/>
        <v>3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21"/>
      <c r="U70" s="149">
        <v>7</v>
      </c>
      <c r="V70" s="20"/>
      <c r="W70" s="20"/>
      <c r="X70" s="136"/>
      <c r="Y70" s="136"/>
      <c r="Z70" s="145">
        <f t="shared" si="6"/>
        <v>6</v>
      </c>
      <c r="AA70" s="140">
        <f t="shared" si="7"/>
        <v>4</v>
      </c>
      <c r="AB70" s="8">
        <f t="shared" si="4"/>
        <v>1</v>
      </c>
      <c r="AC70" s="23">
        <f t="shared" si="5"/>
        <v>0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8"/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4</v>
      </c>
      <c r="AB75" s="8">
        <f t="shared" si="4"/>
        <v>1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8"/>
      <c r="M76" s="8"/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3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8"/>
      <c r="M77" s="8"/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4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8"/>
      <c r="M78" s="8"/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8"/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/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4</v>
      </c>
      <c r="AB81" s="8">
        <f t="shared" si="8"/>
        <v>0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/>
      <c r="I82" s="8"/>
      <c r="J82" s="20"/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6</v>
      </c>
      <c r="AA82" s="140">
        <f t="shared" si="7"/>
        <v>3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/>
      <c r="I83" s="8"/>
      <c r="J83" s="20"/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3</v>
      </c>
      <c r="AA83" s="140">
        <f t="shared" si="7"/>
        <v>3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/>
      <c r="I84" s="8"/>
      <c r="J84" s="20"/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3</v>
      </c>
      <c r="AA84" s="140">
        <f t="shared" si="7"/>
        <v>4</v>
      </c>
      <c r="AB84" s="8">
        <f t="shared" si="8"/>
        <v>1</v>
      </c>
      <c r="AC84" s="23">
        <f t="shared" si="9"/>
        <v>0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298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298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3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2">
        <v>57</v>
      </c>
      <c r="Q96" s="173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2">
        <v>57</v>
      </c>
      <c r="Q97" s="173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2">
        <v>57</v>
      </c>
      <c r="Q98" s="173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8"/>
      <c r="J99" s="20"/>
      <c r="K99" s="19"/>
      <c r="L99" s="8"/>
      <c r="M99" s="8"/>
      <c r="N99" s="20"/>
      <c r="O99" s="20"/>
      <c r="P99" s="172">
        <v>57</v>
      </c>
      <c r="Q99" s="173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1</v>
      </c>
      <c r="AB99" s="8">
        <f t="shared" si="8"/>
        <v>0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8">
        <v>11</v>
      </c>
      <c r="F100" s="20"/>
      <c r="G100" s="19" t="s">
        <v>164</v>
      </c>
      <c r="H100" s="14"/>
      <c r="I100" s="8"/>
      <c r="J100" s="20"/>
      <c r="K100" s="19"/>
      <c r="L100" s="8"/>
      <c r="M100" s="8"/>
      <c r="N100" s="20"/>
      <c r="O100" s="20"/>
      <c r="P100" s="172">
        <v>57</v>
      </c>
      <c r="Q100" s="173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0</v>
      </c>
      <c r="AA100" s="140">
        <f t="shared" si="7"/>
        <v>3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4"/>
      <c r="I101" s="8"/>
      <c r="J101" s="20"/>
      <c r="K101" s="19"/>
      <c r="L101" s="8"/>
      <c r="M101" s="8"/>
      <c r="N101" s="20"/>
      <c r="O101" s="20"/>
      <c r="P101" s="172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2</v>
      </c>
      <c r="AA101" s="140">
        <f t="shared" si="7"/>
        <v>2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8"/>
      <c r="I102" s="8"/>
      <c r="J102" s="20"/>
      <c r="K102" s="19"/>
      <c r="L102" s="8"/>
      <c r="M102" s="8"/>
      <c r="N102" s="20"/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2</v>
      </c>
      <c r="AA102" s="140">
        <f t="shared" si="7"/>
        <v>2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8"/>
      <c r="I103" s="8">
        <v>32</v>
      </c>
      <c r="J103" s="20"/>
      <c r="K103" s="19" t="s">
        <v>162</v>
      </c>
      <c r="L103" s="8"/>
      <c r="M103" s="166">
        <v>33</v>
      </c>
      <c r="N103" s="20"/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2</v>
      </c>
      <c r="AA103" s="140">
        <f t="shared" si="7"/>
        <v>5</v>
      </c>
      <c r="AB103" s="8">
        <f t="shared" si="8"/>
        <v>3</v>
      </c>
      <c r="AC103" s="23">
        <f t="shared" si="9"/>
        <v>0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55">
        <v>32</v>
      </c>
      <c r="I104" s="155">
        <v>32</v>
      </c>
      <c r="J104" s="155">
        <v>2</v>
      </c>
      <c r="K104" s="156" t="s">
        <v>163</v>
      </c>
      <c r="L104" s="166">
        <v>33</v>
      </c>
      <c r="M104" s="166">
        <v>33</v>
      </c>
      <c r="N104" s="155">
        <v>1</v>
      </c>
      <c r="O104" s="155" t="s">
        <v>163</v>
      </c>
      <c r="P104" s="8">
        <v>45</v>
      </c>
      <c r="Q104" s="155">
        <v>45</v>
      </c>
      <c r="R104" s="155">
        <v>2</v>
      </c>
      <c r="S104" s="155"/>
      <c r="T104" s="8">
        <v>50</v>
      </c>
      <c r="U104" s="155"/>
      <c r="V104" s="155">
        <v>2</v>
      </c>
      <c r="W104" s="155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8">
        <v>11</v>
      </c>
      <c r="E105" s="8"/>
      <c r="F105" s="20"/>
      <c r="G105" s="19"/>
      <c r="H105" s="155">
        <v>32</v>
      </c>
      <c r="I105" s="155">
        <v>32</v>
      </c>
      <c r="J105" s="155">
        <v>2</v>
      </c>
      <c r="K105" s="156"/>
      <c r="L105" s="166">
        <v>33</v>
      </c>
      <c r="M105" s="166">
        <v>33</v>
      </c>
      <c r="N105" s="155">
        <v>1</v>
      </c>
      <c r="O105" s="155"/>
      <c r="P105" s="155">
        <v>45</v>
      </c>
      <c r="Q105" s="155">
        <v>45</v>
      </c>
      <c r="R105" s="155">
        <v>2</v>
      </c>
      <c r="S105" s="155"/>
      <c r="T105" s="155"/>
      <c r="U105" s="155"/>
      <c r="V105" s="155"/>
      <c r="W105" s="155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6">
        <v>33</v>
      </c>
      <c r="M106" s="166">
        <v>33</v>
      </c>
      <c r="N106" s="20">
        <v>1</v>
      </c>
      <c r="O106" s="20"/>
      <c r="P106" s="155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6">
        <v>33</v>
      </c>
      <c r="M107" s="166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6">
        <v>33</v>
      </c>
      <c r="M108" s="166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6">
        <v>33</v>
      </c>
      <c r="M109" s="166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6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6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5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6">
        <v>46</v>
      </c>
      <c r="I114" s="166">
        <v>46</v>
      </c>
      <c r="J114" s="20"/>
      <c r="K114" s="19"/>
      <c r="L114" s="14"/>
      <c r="M114" s="8">
        <v>52</v>
      </c>
      <c r="N114" s="20"/>
      <c r="O114" s="20"/>
      <c r="P114" s="169">
        <v>51</v>
      </c>
      <c r="Q114" s="165">
        <v>51</v>
      </c>
      <c r="R114" s="124">
        <v>2</v>
      </c>
      <c r="S114" s="124" t="s">
        <v>274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6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9">
        <v>51</v>
      </c>
      <c r="Q115" s="165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275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9">
        <v>51</v>
      </c>
      <c r="Q116" s="165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9">
        <v>51</v>
      </c>
      <c r="Q117" s="165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70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1">
        <v>54</v>
      </c>
      <c r="I118" s="170">
        <v>54</v>
      </c>
      <c r="J118" s="20">
        <v>2</v>
      </c>
      <c r="K118" s="19"/>
      <c r="L118" s="14">
        <v>52</v>
      </c>
      <c r="M118" s="170">
        <v>54</v>
      </c>
      <c r="N118" s="20">
        <v>2</v>
      </c>
      <c r="O118" s="20"/>
      <c r="P118" s="169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70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1">
        <v>54</v>
      </c>
      <c r="I119" s="170">
        <v>54</v>
      </c>
      <c r="J119" s="20">
        <v>2</v>
      </c>
      <c r="K119" s="19"/>
      <c r="L119" s="170">
        <v>54</v>
      </c>
      <c r="M119" s="170">
        <v>54</v>
      </c>
      <c r="N119" s="20">
        <v>2</v>
      </c>
      <c r="O119" s="20"/>
      <c r="P119" s="8"/>
      <c r="Q119" s="8">
        <v>25</v>
      </c>
      <c r="R119" s="124"/>
      <c r="S119" s="124" t="s">
        <v>32</v>
      </c>
      <c r="T119" s="149">
        <v>21</v>
      </c>
      <c r="U119" s="8"/>
      <c r="V119" s="124">
        <v>2</v>
      </c>
      <c r="W119" s="124"/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1">
        <v>54</v>
      </c>
      <c r="I120" s="8"/>
      <c r="J120" s="20">
        <v>2</v>
      </c>
      <c r="K120" s="19"/>
      <c r="L120" s="170">
        <v>54</v>
      </c>
      <c r="M120" s="8"/>
      <c r="N120" s="20">
        <v>2</v>
      </c>
      <c r="O120" s="20"/>
      <c r="P120" s="8">
        <v>25</v>
      </c>
      <c r="Q120" s="8">
        <v>25</v>
      </c>
      <c r="R120" s="124"/>
      <c r="S120" s="124" t="s">
        <v>57</v>
      </c>
      <c r="T120" s="8"/>
      <c r="U120" s="8"/>
      <c r="V120" s="124"/>
      <c r="W120" s="124"/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25</v>
      </c>
      <c r="Q121" s="8">
        <v>25</v>
      </c>
      <c r="R121" s="124"/>
      <c r="S121" s="124"/>
      <c r="T121" s="8"/>
      <c r="U121" s="8"/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>
        <v>25</v>
      </c>
      <c r="Q122" s="8">
        <v>25</v>
      </c>
      <c r="R122" s="124"/>
      <c r="S122" s="124"/>
      <c r="T122" s="8"/>
      <c r="U122" s="8"/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>
        <v>25</v>
      </c>
      <c r="Q123" s="8">
        <v>25</v>
      </c>
      <c r="R123" s="124"/>
      <c r="S123" s="124"/>
      <c r="T123" s="8"/>
      <c r="U123" s="8"/>
      <c r="V123" s="124"/>
      <c r="W123" s="124"/>
      <c r="X123" s="22"/>
      <c r="Y123" s="22"/>
      <c r="Z123" s="145">
        <f t="shared" si="6"/>
        <v>1</v>
      </c>
      <c r="AA123" s="140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>
        <v>71</v>
      </c>
      <c r="I124" s="8">
        <v>71</v>
      </c>
      <c r="J124" s="124"/>
      <c r="K124" s="124" t="s">
        <v>163</v>
      </c>
      <c r="L124" s="8">
        <v>60</v>
      </c>
      <c r="M124" s="8">
        <v>60</v>
      </c>
      <c r="N124" s="20">
        <v>1</v>
      </c>
      <c r="O124" s="20"/>
      <c r="P124" s="8">
        <v>25</v>
      </c>
      <c r="Q124" s="8"/>
      <c r="R124" s="124"/>
      <c r="S124" s="124"/>
      <c r="T124" s="8"/>
      <c r="U124" s="149">
        <v>35</v>
      </c>
      <c r="V124" s="124"/>
      <c r="W124" s="124"/>
      <c r="X124" s="22"/>
      <c r="Y124" s="22"/>
      <c r="Z124" s="145">
        <f t="shared" si="6"/>
        <v>3</v>
      </c>
      <c r="AA124" s="140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/>
      <c r="Q125" s="8"/>
      <c r="R125" s="124"/>
      <c r="S125" s="124"/>
      <c r="T125" s="149">
        <v>35</v>
      </c>
      <c r="U125" s="149">
        <v>35</v>
      </c>
      <c r="V125" s="124">
        <v>2</v>
      </c>
      <c r="W125" s="124" t="s">
        <v>234</v>
      </c>
      <c r="X125" s="22"/>
      <c r="Y125" s="22"/>
      <c r="Z125" s="145">
        <f t="shared" si="6"/>
        <v>5</v>
      </c>
      <c r="AA125" s="140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/>
      <c r="Q126" s="8"/>
      <c r="R126" s="124"/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4</v>
      </c>
      <c r="AA126" s="140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/>
      <c r="Q127" s="8"/>
      <c r="R127" s="124"/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4</v>
      </c>
      <c r="AA127" s="140">
        <f t="shared" si="7"/>
        <v>2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/>
      <c r="Q128" s="8"/>
      <c r="R128" s="124"/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4</v>
      </c>
      <c r="AA128" s="140">
        <f t="shared" si="7"/>
        <v>0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/>
      <c r="Q129" s="8"/>
      <c r="R129" s="124"/>
      <c r="S129" s="124"/>
      <c r="T129" s="8"/>
      <c r="U129" s="8"/>
      <c r="V129" s="144"/>
      <c r="W129" s="124"/>
      <c r="X129" s="22"/>
      <c r="Y129" s="22"/>
      <c r="Z129" s="145">
        <f t="shared" si="6"/>
        <v>0</v>
      </c>
      <c r="AA129" s="140">
        <f t="shared" si="7"/>
        <v>0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/>
      <c r="Q130" s="8"/>
      <c r="R130" s="124"/>
      <c r="S130" s="124"/>
      <c r="T130" s="8"/>
      <c r="U130" s="8"/>
      <c r="V130" s="124"/>
      <c r="W130" s="124"/>
      <c r="X130" s="22"/>
      <c r="Y130" s="22"/>
      <c r="Z130" s="145">
        <f t="shared" si="6"/>
        <v>0</v>
      </c>
      <c r="AA130" s="140">
        <f t="shared" si="7"/>
        <v>0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/>
      <c r="Q131" s="8"/>
      <c r="R131" s="124"/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0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0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58:M115 D116:N171 D2:H8 J2:N57 I2:I9 I11:I57 D16:H57 D9:G15 H9:H10 H12:H15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46062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-</v>
      </c>
      <c r="J12" s="49" t="str">
        <f>IFERROR(IF(AND(booking!AB12&gt;0,booking!H12&lt;&gt;booking!I12),VLOOKUP(booking!I12,Database!$A$1:'Database'!$L$175,9,FALSE),"-"),"-")</f>
        <v>-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-</v>
      </c>
      <c r="M12" s="49" t="str">
        <f>IFERROR(IF(AND(booking!AB12&gt;0,booking!L12&lt;&gt;booking!M12),VLOOKUP(booking!M12,Database!A11:'Database'!L185,9,FALSE),"-"),"-")</f>
        <v>-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-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-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-</v>
      </c>
      <c r="J36" s="49" t="str">
        <f>IFERROR(IF(AND(booking!AB36&gt;0,booking!H36&lt;&gt;booking!I36),VLOOKUP(booking!I36,Database!$A$1:'Database'!$L$175,9,FALSE),"-"),"-")</f>
        <v>-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-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-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-</v>
      </c>
      <c r="P61" s="49" t="str">
        <f>IFERROR(IF(AND(booking!AB61&gt;0,booking!P61&lt;&gt;booking!Q61),VLOOKUP(booking!Q61,Database!$A$1:'Database'!$L$175,9,FALSE),"-"),"-")</f>
        <v>-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S</v>
      </c>
      <c r="S61" s="49" t="str">
        <f>IFERROR(IF(AND(booking!AB61&gt;0,booking!T61&lt;&gt;booking!U61),VLOOKUP(booking!U61,Database!$A$1:'Database'!$L$175,9,FALSE),"-"),"-")</f>
        <v>sing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-</v>
      </c>
      <c r="S63" s="49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-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udc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-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-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-</v>
      </c>
      <c r="J81" s="49" t="str">
        <f>IFERROR(IF(AND(booking!AB81&gt;0,booking!H81&lt;&gt;booking!I81),VLOOKUP(booking!I81,Database!$A$1:'Database'!$L$175,9,FALSE),"-"),"-")</f>
        <v>-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-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-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-</v>
      </c>
      <c r="J99" s="49" t="str">
        <f>IFERROR(IF(AND(booking!AB99&gt;0,booking!H99&lt;&gt;booking!I99),VLOOKUP(booking!I99,Database!$A$1:'Database'!$L$175,9,FALSE),"-"),"-")</f>
        <v>-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-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-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-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-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CH</v>
      </c>
      <c r="P119" s="49" t="str">
        <f>IFERROR(IF(AND(booking!AB119&gt;0,booking!P119&lt;&gt;booking!Q119),VLOOKUP(booking!Q119,Database!$A$1:'Database'!$L$175,9,FALSE),"-"),"-")</f>
        <v>sing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-</v>
      </c>
      <c r="S119" s="49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 t="str">
        <f>IFERROR(IF(AND(booking!AB123&gt;0,booking!H123&lt;&gt;booking!I123),VLOOKUP(booking!I123,Database!$A$1:'Database'!$L$175,9,FALSE),"-"),"-")</f>
        <v>sing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-</v>
      </c>
      <c r="P123" s="49" t="str">
        <f>IFERROR(IF(AND(booking!AB123&gt;0,booking!P123&lt;&gt;booking!Q123),VLOOKUP(booking!Q123,Database!$A$1:'Database'!$L$175,9,FALSE),"-"),"-")</f>
        <v>-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udc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-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-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-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46062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>
        <f>IF(AND(D6="Y",booking!H6&lt;&gt;booking!I6,booking!I6&gt;0),booking!I6,"-")</f>
        <v>73</v>
      </c>
      <c r="K6" s="84">
        <f>IFERROR(VLOOKUP(J6,Database!$A$2:$L$175,8,FALSE),"-")</f>
        <v>0</v>
      </c>
      <c r="L6" s="84" t="str">
        <f>IFERROR(VLOOKUP(J6,Database!$A$2:$L$175,6,FALSE),"-")</f>
        <v>DK</v>
      </c>
      <c r="M6" s="100">
        <f>IFERROR(VLOOKUP(J6,Database!$A$2:$L$175,9,FALSE),"-")</f>
        <v>0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-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 t="str">
        <f>IF(AND(D11="Y",booking!H11&lt;&gt;booking!I12,booking!I12&gt;0),booking!I12,"-")</f>
        <v>-</v>
      </c>
      <c r="K11" s="84" t="str">
        <f>IFERROR(VLOOKUP(J11,Database!$A$2:$L$175,8,FALSE),"-")</f>
        <v>-</v>
      </c>
      <c r="L11" s="84" t="str">
        <f>IFERROR(VLOOKUP(J11,Database!$A$2:$L$175,6,FALSE),"-")</f>
        <v>-</v>
      </c>
      <c r="M11" s="100" t="str">
        <f>IFERROR(VLOOKUP(J11,Database!$A$2:$L$175,9,FALSE),"-")</f>
        <v>-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-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 t="str">
        <f>IF(AND(D12="Y",booking!H12&lt;&gt;booking!I12,booking!I12&gt;0),booking!I12,"-")</f>
        <v>-</v>
      </c>
      <c r="K12" s="84" t="str">
        <f>IFERROR(VLOOKUP(J12,Database!$A$2:$L$175,8,FALSE),"-")</f>
        <v>-</v>
      </c>
      <c r="L12" s="84" t="str">
        <f>IFERROR(VLOOKUP(J12,Database!$A$2:$L$175,6,FALSE),"-")</f>
        <v>-</v>
      </c>
      <c r="M12" s="100" t="str">
        <f>IFERROR(VLOOKUP(J12,Database!$A$2:$L$175,9,FALSE),"-")</f>
        <v>-</v>
      </c>
      <c r="N12" s="103" t="str">
        <f>IF(AND(D12="Y",booking!L12&lt;&gt;booking!M12,booking!M12&gt;0),booking!M12,"-")</f>
        <v>-</v>
      </c>
      <c r="O12" s="84" t="str">
        <f>IFERROR(VLOOKUP(N12,Database!$A$2:$L$175,8,FALSE),"-")</f>
        <v>-</v>
      </c>
      <c r="P12" s="84" t="str">
        <f>IFERROR(VLOOKUP(N12,Database!$A$2:$L$175,6,FALSE),"-")</f>
        <v>-</v>
      </c>
      <c r="Q12" s="88" t="str">
        <f>IFERROR(VLOOKUP(N12,Database!$A$2:$L$175,9,FALSE),"-")</f>
        <v>-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-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 t="str">
        <f>IF(AND(D36="Y",booking!H36&lt;&gt;booking!I36,booking!I36&gt;0),booking!I36,"-")</f>
        <v>-</v>
      </c>
      <c r="K36" s="84" t="str">
        <f>IFERROR(VLOOKUP(J36,Database!$A$2:$L$175,8,FALSE),"-")</f>
        <v>-</v>
      </c>
      <c r="L36" s="84" t="str">
        <f>IFERROR(VLOOKUP(J36,Database!$A$2:$L$175,6,FALSE),"-")</f>
        <v>-</v>
      </c>
      <c r="M36" s="100" t="str">
        <f>IFERROR(VLOOKUP(J36,Database!$A$2:$L$175,9,FALSE),"-")</f>
        <v>-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 t="str">
        <f>IF(AND(D61="Y",booking!P61&lt;&gt;booking!Q61,booking!Q61&gt;0),booking!Q61,"-")</f>
        <v>-</v>
      </c>
      <c r="S61" s="84" t="str">
        <f>IFERROR(VLOOKUP(R61,Database!$A$2:$L$175,8,FALSE),"-")</f>
        <v>-</v>
      </c>
      <c r="T61" s="84" t="str">
        <f>IFERROR(VLOOKUP(R61,Database!$A$2:$L$175,6,FALSE),"-")</f>
        <v>-</v>
      </c>
      <c r="U61" s="88" t="str">
        <f>IFERROR(VLOOKUP(R61,Database!$A$2:$L$175,9,FALSE),"-")</f>
        <v>-</v>
      </c>
      <c r="V61" s="103">
        <f>IF(AND(D61="Y",booking!T61&lt;&gt;booking!U61,booking!U61&gt;0),booking!U61,"-")</f>
        <v>64</v>
      </c>
      <c r="W61" s="85">
        <f>IFERROR(VLOOKUP(V61,Database!$A$2:$L$175,8,FALSE),"-")</f>
        <v>0</v>
      </c>
      <c r="X61" s="85" t="str">
        <f>IFERROR(VLOOKUP(V61,Database!$A$2:$L$175,6,FALSE),"-")</f>
        <v>S</v>
      </c>
      <c r="Y61" s="87" t="str">
        <f>IFERROR(VLOOKUP(V61,Database!$A$2:$L$175,9,FALSE),"-")</f>
        <v>sing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-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 t="str">
        <f>IF(AND(D63="Y",booking!T63&lt;&gt;booking!U63,booking!U63&gt;0),booking!U63,"-")</f>
        <v>-</v>
      </c>
      <c r="W63" s="85" t="str">
        <f>IFERROR(VLOOKUP(V63,Database!$A$2:$L$175,8,FALSE),"-")</f>
        <v>-</v>
      </c>
      <c r="X63" s="85" t="str">
        <f>IFERROR(VLOOKUP(V63,Database!$A$2:$L$175,6,FALSE),"-")</f>
        <v>-</v>
      </c>
      <c r="Y63" s="87" t="str">
        <f>IFERROR(VLOOKUP(V63,Database!$A$2:$L$175,9,FALSE),"-")</f>
        <v>-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-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 t="str">
        <f>IF(AND(D81="Y",booking!H81&lt;&gt;booking!I81,booking!I81&gt;0),booking!I81,"-")</f>
        <v>-</v>
      </c>
      <c r="K81" s="84" t="str">
        <f>IFERROR(VLOOKUP(J81,Database!$A$2:$L$175,8,FALSE),"-")</f>
        <v>-</v>
      </c>
      <c r="L81" s="84" t="str">
        <f>IFERROR(VLOOKUP(J81,Database!$A$2:$L$175,6,FALSE),"-")</f>
        <v>-</v>
      </c>
      <c r="M81" s="100" t="str">
        <f>IFERROR(VLOOKUP(J81,Database!$A$2:$L$175,9,FALSE),"-")</f>
        <v>-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-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 t="str">
        <f>IF(AND(D99="Y",booking!H99&lt;&gt;booking!I99,booking!I99&gt;0),booking!I99,"-")</f>
        <v>-</v>
      </c>
      <c r="K99" s="84" t="str">
        <f>IFERROR(VLOOKUP(J99,Database!$A$2:$L$175,8,FALSE),"-")</f>
        <v>-</v>
      </c>
      <c r="L99" s="84" t="str">
        <f>IFERROR(VLOOKUP(J99,Database!$A$2:$L$175,6,FALSE),"-")</f>
        <v>-</v>
      </c>
      <c r="M99" s="100" t="str">
        <f>IFERROR(VLOOKUP(J99,Database!$A$2:$L$175,9,FALSE),"-")</f>
        <v>-</v>
      </c>
      <c r="N99" s="103" t="str">
        <f>IF(AND(D99="Y",booking!L99&lt;&gt;booking!M99,booking!M99&gt;0),booking!M99,"-")</f>
        <v>-</v>
      </c>
      <c r="O99" s="84" t="str">
        <f>IFERROR(VLOOKUP(N99,Database!$A$2:$L$175,8,FALSE),"-")</f>
        <v>-</v>
      </c>
      <c r="P99" s="84" t="str">
        <f>IFERROR(VLOOKUP(N99,Database!$A$2:$L$175,6,FALSE),"-")</f>
        <v>-</v>
      </c>
      <c r="Q99" s="88" t="str">
        <f>IFERROR(VLOOKUP(N99,Database!$A$2:$L$175,9,FALSE),"-")</f>
        <v>-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>
        <f>IF(AND(D119="Y",booking!P119&lt;&gt;booking!Q119,booking!Q119&gt;0),booking!Q119,"-")</f>
        <v>25</v>
      </c>
      <c r="S119" s="84">
        <f>IFERROR(VLOOKUP(R119,Database!$A$2:$L$175,8,FALSE),"-")</f>
        <v>0</v>
      </c>
      <c r="T119" s="84" t="str">
        <f>IFERROR(VLOOKUP(R119,Database!$A$2:$L$175,6,FALSE),"-")</f>
        <v>CH</v>
      </c>
      <c r="U119" s="88" t="str">
        <f>IFERROR(VLOOKUP(R119,Database!$A$2:$L$175,9,FALSE),"-")</f>
        <v>sing</v>
      </c>
      <c r="V119" s="103" t="str">
        <f>IF(AND(D119="Y",booking!T119&lt;&gt;booking!U119,booking!U119&gt;0),booking!U119,"-")</f>
        <v>-</v>
      </c>
      <c r="W119" s="85" t="str">
        <f>IFERROR(VLOOKUP(V119,Database!$A$2:$L$175,8,FALSE),"-")</f>
        <v>-</v>
      </c>
      <c r="X119" s="85" t="str">
        <f>IFERROR(VLOOKUP(V119,Database!$A$2:$L$175,6,FALSE),"-")</f>
        <v>-</v>
      </c>
      <c r="Y119" s="87" t="str">
        <f>IFERROR(VLOOKUP(V119,Database!$A$2:$L$175,9,FALSE),"-")</f>
        <v>-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 t="str">
        <f>IFERROR(VLOOKUP(J123,Database!$A$2:$L$175,9,FALSE),"-")</f>
        <v>sing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 t="str">
        <f>IF(AND(D123="Y",booking!P123&lt;&gt;booking!Q123,booking!Q123&gt;0),booking!Q123,"-")</f>
        <v>-</v>
      </c>
      <c r="S123" s="84" t="str">
        <f>IFERROR(VLOOKUP(R123,Database!$A$2:$L$175,8,FALSE),"-")</f>
        <v>-</v>
      </c>
      <c r="T123" s="84" t="str">
        <f>IFERROR(VLOOKUP(R123,Database!$A$2:$L$175,6,FALSE),"-")</f>
        <v>-</v>
      </c>
      <c r="U123" s="88" t="str">
        <f>IFERROR(VLOOKUP(R123,Database!$A$2:$L$175,9,FALSE),"-")</f>
        <v>-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 t="str">
        <f>Database!Q74</f>
        <v>N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2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oc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oc</v>
      </c>
      <c r="E7" s="138" t="str">
        <f>IF(booking!I7&gt;0,"oc","va")</f>
        <v>oc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oc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va</v>
      </c>
      <c r="F12" s="137" t="str">
        <f>IF(booking!L12&gt;0,"oc","va")</f>
        <v>va</v>
      </c>
      <c r="G12" s="138" t="str">
        <f>IF(booking!M12&gt;0,"oc","va")</f>
        <v>va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va</v>
      </c>
      <c r="E13" s="138" t="str">
        <f>IF(booking!I13&gt;0,"oc","va")</f>
        <v>va</v>
      </c>
      <c r="F13" s="137" t="str">
        <f>IF(booking!L13&gt;0,"oc","va")</f>
        <v>va</v>
      </c>
      <c r="G13" s="138" t="str">
        <f>IF(booking!M13&gt;0,"oc","va")</f>
        <v>va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va</v>
      </c>
      <c r="E14" s="138" t="str">
        <f>IF(booking!I14&gt;0,"oc","va")</f>
        <v>va</v>
      </c>
      <c r="F14" s="137" t="str">
        <f>IF(booking!L14&gt;0,"oc","va")</f>
        <v>va</v>
      </c>
      <c r="G14" s="138" t="str">
        <f>IF(booking!M14&gt;0,"oc","va")</f>
        <v>va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va</v>
      </c>
      <c r="E15" s="138" t="str">
        <f>IF(booking!I15&gt;0,"oc","va")</f>
        <v>va</v>
      </c>
      <c r="F15" s="137" t="str">
        <f>IF(booking!L15&gt;0,"oc","va")</f>
        <v>va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va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va</v>
      </c>
      <c r="E37" s="138" t="str">
        <f>IF(booking!I37&gt;0,"oc","va")</f>
        <v>va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oc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va</v>
      </c>
      <c r="E38" s="138" t="str">
        <f>IF(booking!I38&gt;0,"oc","va")</f>
        <v>va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oc</v>
      </c>
      <c r="I38" s="138" t="str">
        <f>IF(booking!Q38&gt;0,"oc","va")</f>
        <v>oc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va</v>
      </c>
      <c r="E39" s="138" t="str">
        <f>IF(booking!I39&gt;0,"oc","va")</f>
        <v>va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oc</v>
      </c>
      <c r="I39" s="138" t="str">
        <f>IF(booking!Q39&gt;0,"oc","va")</f>
        <v>oc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va</v>
      </c>
      <c r="E40" s="138" t="str">
        <f>IF(booking!I40&gt;0,"oc","va")</f>
        <v>va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oc</v>
      </c>
      <c r="I40" s="138" t="str">
        <f>IF(booking!Q40&gt;0,"oc","va")</f>
        <v>oc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va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oc</v>
      </c>
      <c r="I41" s="138" t="str">
        <f>IF(booking!Q41&gt;0,"oc","va")</f>
        <v>oc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oc</v>
      </c>
      <c r="I42" s="138" t="str">
        <f>IF(booking!Q42&gt;0,"oc","va")</f>
        <v>oc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oc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va</v>
      </c>
      <c r="J61" s="137" t="str">
        <f>IF(booking!T61&gt;0,"oc","va")</f>
        <v>va</v>
      </c>
      <c r="K61" s="138" t="str">
        <f>IF(booking!U61&gt;0,"oc","va")</f>
        <v>oc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va</v>
      </c>
      <c r="I62" s="138" t="str">
        <f>IF(booking!Q62&gt;0,"oc","va")</f>
        <v>va</v>
      </c>
      <c r="J62" s="137" t="str">
        <f>IF(booking!T62&gt;0,"oc","va")</f>
        <v>oc</v>
      </c>
      <c r="K62" s="138" t="str">
        <f>IF(booking!U62&gt;0,"oc","va")</f>
        <v>oc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va</v>
      </c>
      <c r="I63" s="138" t="str">
        <f>IF(booking!Q63&gt;0,"oc","va")</f>
        <v>va</v>
      </c>
      <c r="J63" s="137" t="str">
        <f>IF(booking!T63&gt;0,"oc","va")</f>
        <v>oc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va</v>
      </c>
      <c r="I64" s="138" t="str">
        <f>IF(booking!Q64&gt;0,"oc","va")</f>
        <v>va</v>
      </c>
      <c r="J64" s="137" t="str">
        <f>IF(booking!T64&gt;0,"oc","va")</f>
        <v>oc</v>
      </c>
      <c r="K64" s="138" t="str">
        <f>IF(booking!U64&gt;0,"oc","va")</f>
        <v>va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va</v>
      </c>
      <c r="J65" s="137" t="str">
        <f>IF(booking!T65&gt;0,"oc","va")</f>
        <v>va</v>
      </c>
      <c r="K65" s="138" t="str">
        <f>IF(booking!U65&gt;0,"oc","va")</f>
        <v>va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va</v>
      </c>
      <c r="I66" s="138" t="str">
        <f>IF(booking!Q66&gt;0,"oc","va")</f>
        <v>va</v>
      </c>
      <c r="J66" s="137" t="str">
        <f>IF(booking!T66&gt;0,"oc","va")</f>
        <v>va</v>
      </c>
      <c r="K66" s="138" t="str">
        <f>IF(booking!U66&gt;0,"oc","va")</f>
        <v>va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va</v>
      </c>
      <c r="I67" s="138" t="str">
        <f>IF(booking!Q67&gt;0,"oc","va")</f>
        <v>va</v>
      </c>
      <c r="J67" s="137" t="str">
        <f>IF(booking!T67&gt;0,"oc","va")</f>
        <v>va</v>
      </c>
      <c r="K67" s="138" t="str">
        <f>IF(booking!U67&gt;0,"oc","va")</f>
        <v>va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va</v>
      </c>
      <c r="I68" s="138" t="str">
        <f>IF(booking!Q68&gt;0,"oc","va")</f>
        <v>va</v>
      </c>
      <c r="J68" s="137" t="str">
        <f>IF(booking!T68&gt;0,"oc","va")</f>
        <v>va</v>
      </c>
      <c r="K68" s="138" t="str">
        <f>IF(booking!U68&gt;0,"oc","va")</f>
        <v>va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va</v>
      </c>
      <c r="K69" s="138" t="str">
        <f>IF(booking!U69&gt;0,"oc","va")</f>
        <v>va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va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va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va</v>
      </c>
      <c r="E82" s="138" t="str">
        <f>IF(booking!I82&gt;0,"oc","va")</f>
        <v>va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va</v>
      </c>
      <c r="E83" s="138" t="str">
        <f>IF(booking!I83&gt;0,"oc","va")</f>
        <v>va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va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va</v>
      </c>
      <c r="F99" s="137" t="str">
        <f>IF(booking!L99&gt;0,"oc","va")</f>
        <v>va</v>
      </c>
      <c r="G99" s="138" t="str">
        <f>IF(booking!M99&gt;0,"oc","va")</f>
        <v>va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va</v>
      </c>
      <c r="E100" s="138" t="str">
        <f>IF(booking!I100&gt;0,"oc","va")</f>
        <v>va</v>
      </c>
      <c r="F100" s="137" t="str">
        <f>IF(booking!L100&gt;0,"oc","va")</f>
        <v>va</v>
      </c>
      <c r="G100" s="138" t="str">
        <f>IF(booking!M100&gt;0,"oc","va")</f>
        <v>va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va</v>
      </c>
      <c r="E101" s="138" t="str">
        <f>IF(booking!I101&gt;0,"oc","va")</f>
        <v>va</v>
      </c>
      <c r="F101" s="137" t="str">
        <f>IF(booking!L101&gt;0,"oc","va")</f>
        <v>va</v>
      </c>
      <c r="G101" s="138" t="str">
        <f>IF(booking!M101&gt;0,"oc","va")</f>
        <v>va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va</v>
      </c>
      <c r="E102" s="138" t="str">
        <f>IF(booking!I102&gt;0,"oc","va")</f>
        <v>va</v>
      </c>
      <c r="F102" s="137" t="str">
        <f>IF(booking!L102&gt;0,"oc","va")</f>
        <v>va</v>
      </c>
      <c r="G102" s="138" t="str">
        <f>IF(booking!M102&gt;0,"oc","va")</f>
        <v>va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va</v>
      </c>
      <c r="E103" s="138" t="str">
        <f>IF(booking!I103&gt;0,"oc","va")</f>
        <v>oc</v>
      </c>
      <c r="F103" s="137" t="str">
        <f>IF(booking!L103&gt;0,"oc","va")</f>
        <v>va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va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va</v>
      </c>
      <c r="K120" s="138" t="str">
        <f>IF(booking!U120&gt;0,"oc","va")</f>
        <v>va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oc</v>
      </c>
      <c r="J121" s="137" t="str">
        <f>IF(booking!T121&gt;0,"oc","va")</f>
        <v>va</v>
      </c>
      <c r="K121" s="138" t="str">
        <f>IF(booking!U121&gt;0,"oc","va")</f>
        <v>va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oc</v>
      </c>
      <c r="I122" s="138" t="str">
        <f>IF(booking!Q122&gt;0,"oc","va")</f>
        <v>oc</v>
      </c>
      <c r="J122" s="137" t="str">
        <f>IF(booking!T122&gt;0,"oc","va")</f>
        <v>va</v>
      </c>
      <c r="K122" s="138" t="str">
        <f>IF(booking!U122&gt;0,"oc","va")</f>
        <v>va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oc</v>
      </c>
      <c r="I123" s="138" t="str">
        <f>IF(booking!Q123&gt;0,"oc","va")</f>
        <v>oc</v>
      </c>
      <c r="J123" s="137" t="str">
        <f>IF(booking!T123&gt;0,"oc","va")</f>
        <v>va</v>
      </c>
      <c r="K123" s="138" t="str">
        <f>IF(booking!U123&gt;0,"oc","va")</f>
        <v>va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va</v>
      </c>
      <c r="J124" s="137" t="str">
        <f>IF(booking!T124&gt;0,"oc","va")</f>
        <v>va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va</v>
      </c>
      <c r="I125" s="138" t="str">
        <f>IF(booking!Q125&gt;0,"oc","va")</f>
        <v>va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va</v>
      </c>
      <c r="I126" s="138" t="str">
        <f>IF(booking!Q126&gt;0,"oc","va")</f>
        <v>va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va</v>
      </c>
      <c r="I127" s="138" t="str">
        <f>IF(booking!Q127&gt;0,"oc","va")</f>
        <v>va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va</v>
      </c>
      <c r="I128" s="138" t="str">
        <f>IF(booking!Q128&gt;0,"oc","va")</f>
        <v>va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va</v>
      </c>
      <c r="I129" s="138" t="str">
        <f>IF(booking!Q129&gt;0,"oc","va")</f>
        <v>va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va</v>
      </c>
      <c r="I130" s="138" t="str">
        <f>IF(booking!Q130&gt;0,"oc","va")</f>
        <v>va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va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2026-01-29T15:14:59Z</cp:lastPrinted>
  <dcterms:created xsi:type="dcterms:W3CDTF">2024-07-25T07:35:10Z</dcterms:created>
  <dcterms:modified xsi:type="dcterms:W3CDTF">2026-02-09T16:30:01Z</dcterms:modified>
  <cp:category/>
  <cp:contentStatus/>
</cp:coreProperties>
</file>