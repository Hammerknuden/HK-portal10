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69" documentId="8_{CBF31231-0F4D-4AAA-8243-F4B7D6A71111}" xr6:coauthVersionLast="47" xr6:coauthVersionMax="47" xr10:uidLastSave="{C6638010-28D8-431A-90C8-F429D700771A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5" l="1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41" i="3" l="1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Y111" i="3" l="1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L36" i="7"/>
  <c r="K36" i="7"/>
  <c r="M36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10" i="3" l="1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L51" i="11" l="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<sst xmlns="http://schemas.openxmlformats.org/spreadsheetml/2006/main" count="1263" uniqueCount="446">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</sst>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1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484</c:v>
                </c:pt>
                <c:pt idx="16">
                  <c:v>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150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150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484</c:v>
                </c:pt>
                <c:pt idx="16">
                  <c:v>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248</c:v>
                </c:pt>
                <c:pt idx="1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248</c:v>
                </c:pt>
                <c:pt idx="1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1"/>
  <sheetViews>
    <sheetView workbookViewId="0">
      <pane ySplit="1" topLeftCell="A50" activePane="bottomLeft" state="frozen"/>
      <selection pane="bottomLeft" activeCell="K57" sqref="K57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96" activePane="bottomLeft" state="frozen"/>
      <selection pane="bottomLeft" activeCell="AB200" sqref="AB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150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484</v>
      </c>
      <c r="AA198">
        <f t="shared" si="168"/>
        <v>484</v>
      </c>
      <c r="AB198">
        <f t="shared" si="168"/>
        <v>484</v>
      </c>
      <c r="AC198">
        <f t="shared" si="168"/>
        <v>484</v>
      </c>
      <c r="AD198">
        <f t="shared" si="168"/>
        <v>484</v>
      </c>
      <c r="AE198">
        <f t="shared" si="168"/>
        <v>484</v>
      </c>
      <c r="AF198">
        <f t="shared" si="168"/>
        <v>484</v>
      </c>
      <c r="AG198">
        <f t="shared" si="168"/>
        <v>484</v>
      </c>
      <c r="AH198">
        <f t="shared" si="168"/>
        <v>484</v>
      </c>
      <c r="AI198">
        <f t="shared" si="168"/>
        <v>484</v>
      </c>
      <c r="AJ198">
        <f t="shared" si="168"/>
        <v>484</v>
      </c>
      <c r="AK198">
        <f t="shared" si="168"/>
        <v>484</v>
      </c>
      <c r="AL198">
        <f t="shared" si="168"/>
        <v>484</v>
      </c>
      <c r="AM198">
        <f t="shared" si="168"/>
        <v>484</v>
      </c>
      <c r="AN198">
        <f t="shared" si="168"/>
        <v>484</v>
      </c>
      <c r="AO198">
        <f t="shared" si="168"/>
        <v>484</v>
      </c>
      <c r="AP198">
        <f t="shared" si="168"/>
        <v>484</v>
      </c>
      <c r="AQ198">
        <f t="shared" si="168"/>
        <v>484</v>
      </c>
      <c r="AR198">
        <f t="shared" si="168"/>
        <v>484</v>
      </c>
      <c r="AS198">
        <f t="shared" si="168"/>
        <v>484</v>
      </c>
      <c r="AT198">
        <f t="shared" si="168"/>
        <v>484</v>
      </c>
      <c r="AU198">
        <f t="shared" si="168"/>
        <v>484</v>
      </c>
      <c r="AV198">
        <f t="shared" si="168"/>
        <v>484</v>
      </c>
      <c r="AW198">
        <f t="shared" si="168"/>
        <v>484</v>
      </c>
      <c r="AX198">
        <f t="shared" si="168"/>
        <v>484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A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484</v>
      </c>
      <c r="AA200">
        <f t="shared" si="169"/>
        <v>484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150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150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4" activePane="bottomLeft" state="frozen"/>
      <selection pane="bottomLeft" activeCell="Q8" sqref="Q8:Q14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4">
        <v>1</v>
      </c>
      <c r="E1" s="215"/>
      <c r="F1" s="66" t="s">
        <v>117</v>
      </c>
      <c r="G1" s="67" t="s">
        <v>8</v>
      </c>
      <c r="H1" s="216">
        <v>2</v>
      </c>
      <c r="I1" s="215"/>
      <c r="J1" s="66" t="s">
        <v>117</v>
      </c>
      <c r="K1" s="68" t="s">
        <v>8</v>
      </c>
      <c r="L1" s="216">
        <v>3</v>
      </c>
      <c r="M1" s="215"/>
      <c r="N1" s="66" t="s">
        <v>117</v>
      </c>
      <c r="O1" s="69" t="s">
        <v>8</v>
      </c>
      <c r="P1" s="214">
        <v>4</v>
      </c>
      <c r="Q1" s="215"/>
      <c r="R1" s="66" t="s">
        <v>117</v>
      </c>
      <c r="S1" s="68" t="s">
        <v>8</v>
      </c>
      <c r="T1" s="217">
        <v>5</v>
      </c>
      <c r="U1" s="218"/>
      <c r="V1" s="66" t="s">
        <v>117</v>
      </c>
      <c r="W1" s="68" t="s">
        <v>8</v>
      </c>
      <c r="X1" s="214">
        <v>6</v>
      </c>
      <c r="Y1" s="215"/>
      <c r="Z1" s="70" t="s">
        <v>118</v>
      </c>
      <c r="AA1" s="133">
        <f>SUM(AA2:AA171)</f>
        <v>485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>
        <v>111</v>
      </c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2</v>
      </c>
      <c r="AB10" s="59">
        <f t="shared" si="0"/>
        <v>1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>
        <v>111</v>
      </c>
      <c r="E11" s="8">
        <v>111</v>
      </c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2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>
        <v>111</v>
      </c>
      <c r="E12" s="8">
        <v>111</v>
      </c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4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>
        <v>111</v>
      </c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1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2</v>
      </c>
      <c r="AB36" s="59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59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59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59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59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59">
        <f t="shared" si="0"/>
        <v>1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59">
        <f t="shared" si="0"/>
        <v>2</v>
      </c>
      <c r="AC62" s="23">
        <f t="shared" si="4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291</v>
      </c>
      <c r="L93" s="8"/>
      <c r="M93" s="8">
        <v>30</v>
      </c>
      <c r="N93" s="20"/>
      <c r="O93" s="20" t="s">
        <v>161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59">
        <f t="shared" si="5"/>
        <v>0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59">
        <f t="shared" si="5"/>
        <v>0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59">
        <f t="shared" si="5"/>
        <v>2</v>
      </c>
      <c r="AC109" s="23">
        <f t="shared" si="8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0</v>
      </c>
      <c r="AB132" s="59">
        <f t="shared" si="10"/>
        <v>0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0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1</v>
      </c>
      <c r="AB135" s="59">
        <f t="shared" si="10"/>
        <v>0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1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1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46121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Y</v>
      </c>
      <c r="E13" s="53" t="str">
        <f>IF(AND(booking!D13&lt;&gt;booking!E13,booking!D13&gt;0),"udc","-")</f>
        <v>udc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 t="str">
        <f>IFERROR(IF(AND(booking!AB123&gt;0,booking!P123&lt;&gt;booking!Q123),VLOOKUP(booking!Q123,Database!$A$1:'Database'!$L$175,9,FALSE),"-"),"-")</f>
        <v>dobb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Y</v>
      </c>
      <c r="E10" s="96">
        <f>IF(AND(D10="Y",booking!D10&lt;&gt;booking!E10,booking!E10&gt;0),booking!E10,"-")</f>
        <v>111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8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0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0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 t="str">
        <f>IFERROR(VLOOKUP(J45,Database!$A$2:$L$175,8,FALSE),"-")</f>
        <v>2030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0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0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0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0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0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0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0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0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 t="str">
        <f>IFERROR(VLOOKUP(T123,Database!$A$2:$L$175,9,FALSE),"-")</f>
        <v>dobb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0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0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Y</v>
      </c>
      <c r="D10">
        <f>ankomster!E10</f>
        <v>111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 t="str">
        <f>ankomster!E36</f>
        <v>-</v>
      </c>
      <c r="E36" t="str">
        <f>IFERROR(VLOOKUP(D36,Database!$A$2:$L$175,2,FALSE),"-")</f>
        <v>-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>
        <f>ankomster!J92</f>
        <v>58</v>
      </c>
      <c r="G92" t="str">
        <f>IFERROR(VLOOKUP(F92,Database!$A$2:$L$175,2,FALSE),"-")</f>
        <v>Rikke Schwartz</v>
      </c>
      <c r="H92" t="str">
        <f>ankomster!O92</f>
        <v>-</v>
      </c>
      <c r="I92" t="str">
        <f>IFERROR(VLOOKUP(H92,Database!$A$2:$L$175,2,FALSE),"-")</f>
        <v>-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 t="str">
        <f>ankomster!J93</f>
        <v>-</v>
      </c>
      <c r="G93" t="str">
        <f>IFERROR(VLOOKUP(F93,Database!$A$2:$L$175,2,FALSE),"-")</f>
        <v>-</v>
      </c>
      <c r="H93">
        <f>ankomster!O93</f>
        <v>30</v>
      </c>
      <c r="I93" t="str">
        <f>IFERROR(VLOOKUP(H93,Database!$A$2:$L$175,2,FALSE),"-")</f>
        <v>Annemarie Muller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248</v>
      </c>
      <c r="M3">
        <f>SUM(J2:J200)</f>
        <v>236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oc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oc</v>
      </c>
      <c r="C11" s="132" t="str">
        <f>IF(booking!E11&gt;0,"oc","va")</f>
        <v>oc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oc</v>
      </c>
      <c r="C12" s="132" t="str">
        <f>IF(booking!E12&gt;0,"oc","va")</f>
        <v>oc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oc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2026-04-09T10:45:14Z</dcterms:modified>
  <cp:category/>
  <cp:contentStatus/>
</cp:coreProperties>
</file>