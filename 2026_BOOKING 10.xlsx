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120" documentId="8_{48B37ED3-8953-4CF0-98FF-01FF5DFD1860}" xr6:coauthVersionLast="47" xr6:coauthVersionMax="47" xr10:uidLastSave="{81EA7F17-29EC-4437-A279-DF2613F9D2A3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5" l="1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D12" i="8" l="1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N44" i="7"/>
  <c r="Q44" i="7" s="1"/>
  <c r="E40" i="7"/>
  <c r="H40" i="7" s="1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L200" i="3" s="1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21" i="3" l="1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<sst xmlns="http://schemas.openxmlformats.org/spreadsheetml/2006/main" count="646" uniqueCount="253">
  <si>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</si>
  <si>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</si>
  <si>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</si>
  <si>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</si>
  <si>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</si>
  <si>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</si>
  <si>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</si>
  <si>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</si>
  <si>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</si>
  <si>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</si>
  <si>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</si>
  <si>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</si>
  <si>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</si>
  <si>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</si>
  <si>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</si>
  <si>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</si>
  <si>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</si>
  <si>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</si>
  <si>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</si>
  <si>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</si>
  <si>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</si>
  <si>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</si>
  <si>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</si>
  <si>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</si>
  <si>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</si>
  <si>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</si>
  <si>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</si>
  <si>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</si>
  <si>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</si>
  <si>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</si>
  <si>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</si>
  <si>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</si>
  <si>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</si>
  <si>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</si>
  <si>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</si>
  <si>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</si>
  <si>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</si>
  <si>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</si>
  <si>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</si>
  <si>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</si>
  <si>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</si>
  <si>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</si>
  <si>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</si>
  <si>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</si>
  <si>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</si>
  <si>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</si>
  <si>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</si>
  <si>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</si>
  <si>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</si>
  <si>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</si>
  <si>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</si>
  <si>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</si>
  <si>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</si>
  <si>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</si>
  <si>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</si>
  <si>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</si>
  <si>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</si>
  <si>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</si>
  <si>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</si>
  <si>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</si>
  <si>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</si>
  <si>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</si>
  <si>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</si>
  <si>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</si>
  <si>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</si>
  <si>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</si>
  <si>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</si>
  <si>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</si>
  <si>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</si>
  <si>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</si>
  <si>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</si>
  <si>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</si>
  <si>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</si>
  <si>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</si>
  <si>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</si>
  <si>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</si>
  <si>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</si>
  <si>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</si>
  <si>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</si>
  <si>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</si>
  <si>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</si>
  <si>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</si>
  <si>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</si>
  <si>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</si>
  <si>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</si>
  <si>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</si>
  <si>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</si>
  <si>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</si>
  <si>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</si>
  <si>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</si>
  <si>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</si>
  <si>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</si>
  <si>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</si>
  <si>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</si>
  <si>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</si>
  <si>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</si>
  <si>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</si>
  <si>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</si>
  <si>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</si>
  <si>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</si>
  <si>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</si>
  <si>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</si>
  <si>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</si>
  <si>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</si>
  <si>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</si>
  <si>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</si>
  <si>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</si>
  <si>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</si>
  <si>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</si>
  <si>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</si>
  <si>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</si>
  <si>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</si>
  <si>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</si>
  <si>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</si>
  <si>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</si>
  <si>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</si>
  <si>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</si>
  <si>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</si>
  <si>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</si>
  <si>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</si>
  <si>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</si>
  <si>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</si>
  <si>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</si>
  <si>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</si>
  <si>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</si>
  <si>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</si>
  <si>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</si>
  <si>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</si>
  <si>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</si>
  <si>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</si>
  <si>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</si>
  <si>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</si>
  <si>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</si>
  <si>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</si>
  <si>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</si>
  <si>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</si>
  <si>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</si>
  <si>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</si>
  <si>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</si>
  <si>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</si>
  <si>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</si>
  <si>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</si>
  <si>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</si>
  <si>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</si>
  <si>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</si>
  <si>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</si>
  <si>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</si>
  <si>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</si>
  <si>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</si>
  <si>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</si>
  <si>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</si>
  <si>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</si>
  <si>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</si>
  <si>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</si>
  <si>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</si>
  <si>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</si>
  <si>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</si>
  <si>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</si>
  <si>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</si>
  <si>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</si>
  <si>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</si>
  <si>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</si>
  <si>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</si>
  <si>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</si>
  <si>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</si>
  <si>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</si>
  <si>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</si>
  <si>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</si>
  <si>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</si>
  <si>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</si>
  <si>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</si>
  <si>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</si>
  <si>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</si>
  <si>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</si>
  <si>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</si>
  <si>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</si>
  <si>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</si>
  <si>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</si>
  <si>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</si>
  <si>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</si>
  <si>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</si>
  <si>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</si>
  <si>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</si>
  <si>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</si>
  <si>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</si>
  <si>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</si>
  <si>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</si>
  <si>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</si>
  <si>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</si>
  <si>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</si>
  <si>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</si>
  <si>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</si>
  <si>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</si>
  <si>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</si>
  <si>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</si>
  <si>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</si>
  <si>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</si>
  <si>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</si>
  <si>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</si>
  <si>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</si>
  <si>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</si>
  <si>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</si>
  <si>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</si>
  <si>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</si>
  <si>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</si>
  <si>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</si>
  <si>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</si>
  <si>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</si>
  <si>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</si>
  <si>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</si>
  <si>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</si>
  <si>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</si>
  <si>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</si>
  <si>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</si>
  <si>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</si>
  <si>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</si>
  <si>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</si>
  <si>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</si>
  <si>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</si>
  <si>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</si>
  <si>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</si>
  <si>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</si>
  <si>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</si>
  <si>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</si>
  <si>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</si>
  <si>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</si>
  <si>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</si>
  <si>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</si>
  <si>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</si>
  <si>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</si>
  <si>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</si>
  <si>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</si>
  <si>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</si>
  <si>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</si>
  <si>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</si>
  <si>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</si>
  <si>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baby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</si>
  <si>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</si>
  <si>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</si>
  <si>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</si>
  <si>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</si>
  <si>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</si>
  <si>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</si>
  <si>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</si>
  <si>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</si>
  <si>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</si>
  <si>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Arne Sahlstedt@gmail.com</t>
  </si>
  <si>
    <t>Birgitta</t>
  </si>
  <si>
    <t>arne.sahlstedt@gmail.com</t>
  </si>
  <si>
    <t>år 23,25 vær5</t>
  </si>
  <si>
    <t>Susan Hart</t>
  </si>
  <si>
    <t>sh@susanhart.dk</t>
  </si>
  <si>
    <t>susan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</si>
</sst>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7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54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122</c:v>
                </c:pt>
                <c:pt idx="1">
                  <c:v>8</c:v>
                </c:pt>
                <c:pt idx="2">
                  <c:v>0</c:v>
                </c:pt>
                <c:pt idx="3">
                  <c:v>21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54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122</c:v>
                </c:pt>
                <c:pt idx="1">
                  <c:v>8</c:v>
                </c:pt>
                <c:pt idx="2">
                  <c:v>0</c:v>
                </c:pt>
                <c:pt idx="3">
                  <c:v>21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5" activePane="bottomLeft" state="frozen"/>
      <selection pane="bottomLeft" activeCell="D21" sqref="D2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10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33">
        <v>6885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10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33">
        <v>8280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33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33">
        <v>8955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33">
        <v>5175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250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251</v>
      </c>
      <c r="Q21" s="2" t="s">
        <v>21</v>
      </c>
      <c r="S21" s="2" t="s">
        <v>38</v>
      </c>
      <c r="T21" t="s">
        <v>252</v>
      </c>
    </row>
    <row r="22" spans="1:20" x14ac:dyDescent="0.35">
      <c r="A22" s="148">
        <v>21</v>
      </c>
      <c r="B22" s="127" t="s">
        <v>246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248</v>
      </c>
      <c r="N22" s="162">
        <v>46705125490</v>
      </c>
      <c r="O22" t="s">
        <v>247</v>
      </c>
      <c r="Q22" s="2" t="s">
        <v>21</v>
      </c>
      <c r="R22" s="133">
        <v>5175</v>
      </c>
      <c r="S22" s="2" t="s">
        <v>38</v>
      </c>
      <c r="T22" t="s">
        <v>249</v>
      </c>
    </row>
    <row r="23" spans="1:20" x14ac:dyDescent="0.35">
      <c r="A23" s="149">
        <v>22</v>
      </c>
      <c r="B23" t="s">
        <v>244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245</v>
      </c>
    </row>
    <row r="24" spans="1:20" x14ac:dyDescent="0.35">
      <c r="A24" s="148">
        <v>23</v>
      </c>
      <c r="B24" t="s">
        <v>243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K24" s="129">
        <v>1</v>
      </c>
      <c r="L24" s="129">
        <v>2</v>
      </c>
      <c r="Q24" s="2" t="s">
        <v>21</v>
      </c>
      <c r="R24" s="133">
        <v>3825</v>
      </c>
      <c r="S24" s="2" t="s">
        <v>20</v>
      </c>
    </row>
    <row r="25" spans="1:20" x14ac:dyDescent="0.35">
      <c r="A25" s="148">
        <v>24</v>
      </c>
      <c r="B25" t="s">
        <v>242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33">
        <v>3825</v>
      </c>
      <c r="S25" s="2" t="s">
        <v>20</v>
      </c>
    </row>
    <row r="26" spans="1:20" x14ac:dyDescent="0.35">
      <c r="A26" s="149">
        <v>25</v>
      </c>
      <c r="B26" t="s">
        <v>241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240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238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239</v>
      </c>
      <c r="Q28" s="2" t="s">
        <v>21</v>
      </c>
      <c r="R28" s="133">
        <v>6210</v>
      </c>
      <c r="S28" s="2" t="s">
        <v>20</v>
      </c>
    </row>
    <row r="29" spans="1:20" x14ac:dyDescent="0.35">
      <c r="A29" s="149">
        <v>28</v>
      </c>
      <c r="B29" t="s">
        <v>237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M30" s="124"/>
    </row>
    <row r="31" spans="1:20" x14ac:dyDescent="0.35">
      <c r="A31" s="148">
        <v>30</v>
      </c>
    </row>
    <row r="32" spans="1:20" x14ac:dyDescent="0.35">
      <c r="A32" s="149">
        <v>31</v>
      </c>
    </row>
    <row r="33" spans="1:13" x14ac:dyDescent="0.35">
      <c r="A33" s="148">
        <v>32</v>
      </c>
    </row>
    <row r="34" spans="1:13" x14ac:dyDescent="0.35">
      <c r="A34" s="148">
        <v>33</v>
      </c>
      <c r="M34" s="124"/>
    </row>
    <row r="35" spans="1:13" x14ac:dyDescent="0.35">
      <c r="A35" s="149">
        <v>34</v>
      </c>
    </row>
    <row r="36" spans="1:13" x14ac:dyDescent="0.35">
      <c r="A36" s="148">
        <v>35</v>
      </c>
    </row>
    <row r="37" spans="1:13" x14ac:dyDescent="0.35">
      <c r="A37" s="148">
        <v>36</v>
      </c>
      <c r="M37" s="124"/>
    </row>
    <row r="38" spans="1:13" x14ac:dyDescent="0.35">
      <c r="A38" s="149">
        <v>37</v>
      </c>
      <c r="M38" s="124"/>
    </row>
    <row r="39" spans="1:13" x14ac:dyDescent="0.35">
      <c r="A39" s="148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</hyperlinks>
  <pageMargins left="0.7" right="0.7" top="0.75" bottom="0.75" header="0.3" footer="0.3"/>
  <legacy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workbookViewId="0">
      <pane ySplit="1" topLeftCell="A20" activePane="bottomLeft" state="frozen"/>
      <selection pane="bottomLeft" activeCell="L29" sqref="L29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 t="shared" ref="M3:M34" si="9">IF(B3&lt;$L$1,C3*D3,0)</f>
        <v>8</v>
      </c>
      <c r="N3">
        <f t="shared" ref="N3:W12" si="10">IF($B3&lt;N$1,$C3*$D3,0)</f>
        <v>8</v>
      </c>
      <c r="O3">
        <f t="shared" si="10"/>
        <v>8</v>
      </c>
      <c r="P3">
        <f t="shared" si="10"/>
        <v>8</v>
      </c>
      <c r="Q3">
        <f t="shared" si="10"/>
        <v>8</v>
      </c>
      <c r="R3">
        <f t="shared" si="10"/>
        <v>8</v>
      </c>
      <c r="S3">
        <f t="shared" si="10"/>
        <v>8</v>
      </c>
      <c r="T3">
        <f t="shared" si="10"/>
        <v>8</v>
      </c>
      <c r="U3">
        <f t="shared" si="10"/>
        <v>8</v>
      </c>
      <c r="V3">
        <f t="shared" si="10"/>
        <v>8</v>
      </c>
      <c r="W3">
        <f t="shared" si="10"/>
        <v>8</v>
      </c>
      <c r="X3">
        <f t="shared" ref="X3:AG12" si="11">IF($B3&lt;X$1,$C3*$D3,0)</f>
        <v>8</v>
      </c>
      <c r="Y3">
        <f t="shared" si="11"/>
        <v>8</v>
      </c>
      <c r="Z3">
        <f t="shared" si="11"/>
        <v>8</v>
      </c>
      <c r="AA3">
        <f t="shared" si="11"/>
        <v>8</v>
      </c>
      <c r="AB3">
        <f t="shared" si="11"/>
        <v>8</v>
      </c>
      <c r="AC3">
        <f t="shared" si="11"/>
        <v>8</v>
      </c>
      <c r="AD3">
        <f t="shared" si="11"/>
        <v>8</v>
      </c>
      <c r="AE3">
        <f t="shared" si="11"/>
        <v>8</v>
      </c>
      <c r="AF3">
        <f t="shared" si="11"/>
        <v>8</v>
      </c>
      <c r="AG3">
        <f t="shared" si="11"/>
        <v>8</v>
      </c>
      <c r="AH3">
        <f t="shared" ref="AH3:AQ12" si="12">IF($B3&lt;AH$1,$C3*$D3,0)</f>
        <v>8</v>
      </c>
      <c r="AI3">
        <f t="shared" si="12"/>
        <v>8</v>
      </c>
      <c r="AJ3">
        <f t="shared" si="12"/>
        <v>8</v>
      </c>
      <c r="AK3">
        <f t="shared" si="12"/>
        <v>8</v>
      </c>
      <c r="AL3">
        <f t="shared" si="12"/>
        <v>8</v>
      </c>
      <c r="AM3">
        <f t="shared" si="12"/>
        <v>8</v>
      </c>
      <c r="AN3">
        <f t="shared" si="12"/>
        <v>8</v>
      </c>
      <c r="AO3">
        <f t="shared" si="12"/>
        <v>8</v>
      </c>
      <c r="AP3">
        <f t="shared" si="12"/>
        <v>8</v>
      </c>
      <c r="AQ3">
        <f t="shared" si="12"/>
        <v>8</v>
      </c>
      <c r="AR3">
        <f t="shared" ref="AR3:AX12" si="13">IF($B3&lt;AR$1,$C3*$D3,0)</f>
        <v>8</v>
      </c>
      <c r="AS3">
        <f t="shared" si="13"/>
        <v>8</v>
      </c>
      <c r="AT3">
        <f t="shared" si="13"/>
        <v>8</v>
      </c>
      <c r="AU3">
        <f t="shared" si="13"/>
        <v>8</v>
      </c>
      <c r="AV3">
        <f t="shared" si="13"/>
        <v>8</v>
      </c>
      <c r="AW3">
        <f t="shared" si="13"/>
        <v>8</v>
      </c>
      <c r="AX3">
        <f t="shared" si="13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si="0"/>
        <v>2</v>
      </c>
      <c r="L4">
        <f t="shared" si="1"/>
        <v>2</v>
      </c>
      <c r="M4">
        <f t="shared" si="9"/>
        <v>2</v>
      </c>
      <c r="N4">
        <f t="shared" si="10"/>
        <v>2</v>
      </c>
      <c r="O4">
        <f t="shared" si="10"/>
        <v>2</v>
      </c>
      <c r="P4">
        <f t="shared" si="10"/>
        <v>2</v>
      </c>
      <c r="Q4">
        <f t="shared" si="10"/>
        <v>2</v>
      </c>
      <c r="R4">
        <f t="shared" si="10"/>
        <v>2</v>
      </c>
      <c r="S4">
        <f t="shared" si="10"/>
        <v>2</v>
      </c>
      <c r="T4">
        <f t="shared" si="10"/>
        <v>2</v>
      </c>
      <c r="U4">
        <f t="shared" si="10"/>
        <v>2</v>
      </c>
      <c r="V4">
        <f t="shared" si="10"/>
        <v>2</v>
      </c>
      <c r="W4">
        <f t="shared" si="10"/>
        <v>2</v>
      </c>
      <c r="X4">
        <f t="shared" si="11"/>
        <v>2</v>
      </c>
      <c r="Y4">
        <f t="shared" si="11"/>
        <v>2</v>
      </c>
      <c r="Z4">
        <f t="shared" si="11"/>
        <v>2</v>
      </c>
      <c r="AA4">
        <f t="shared" si="11"/>
        <v>2</v>
      </c>
      <c r="AB4">
        <f t="shared" si="11"/>
        <v>2</v>
      </c>
      <c r="AC4">
        <f t="shared" si="11"/>
        <v>2</v>
      </c>
      <c r="AD4">
        <f t="shared" si="11"/>
        <v>2</v>
      </c>
      <c r="AE4">
        <f t="shared" si="11"/>
        <v>2</v>
      </c>
      <c r="AF4">
        <f t="shared" si="11"/>
        <v>2</v>
      </c>
      <c r="AG4">
        <f t="shared" si="11"/>
        <v>2</v>
      </c>
      <c r="AH4">
        <f t="shared" si="12"/>
        <v>2</v>
      </c>
      <c r="AI4">
        <f t="shared" si="12"/>
        <v>2</v>
      </c>
      <c r="AJ4">
        <f t="shared" si="12"/>
        <v>2</v>
      </c>
      <c r="AK4">
        <f t="shared" si="12"/>
        <v>2</v>
      </c>
      <c r="AL4">
        <f t="shared" si="12"/>
        <v>2</v>
      </c>
      <c r="AM4">
        <f t="shared" si="12"/>
        <v>2</v>
      </c>
      <c r="AN4">
        <f t="shared" si="12"/>
        <v>2</v>
      </c>
      <c r="AO4">
        <f t="shared" si="12"/>
        <v>2</v>
      </c>
      <c r="AP4">
        <f t="shared" si="12"/>
        <v>2</v>
      </c>
      <c r="AQ4">
        <f t="shared" si="12"/>
        <v>2</v>
      </c>
      <c r="AR4">
        <f t="shared" si="13"/>
        <v>2</v>
      </c>
      <c r="AS4">
        <f t="shared" si="13"/>
        <v>2</v>
      </c>
      <c r="AT4">
        <f t="shared" si="13"/>
        <v>2</v>
      </c>
      <c r="AU4">
        <f t="shared" si="13"/>
        <v>2</v>
      </c>
      <c r="AV4">
        <f t="shared" si="13"/>
        <v>2</v>
      </c>
      <c r="AW4">
        <f t="shared" si="13"/>
        <v>2</v>
      </c>
      <c r="AX4">
        <f t="shared" si="13"/>
        <v>2</v>
      </c>
      <c r="BB4" s="35">
        <f t="shared" ref="BB4:BB67" si="14">IF(AND($D4&gt;0,$G4=BB$1),$F4,0)</f>
        <v>2</v>
      </c>
      <c r="BC4" s="35">
        <f t="shared" ref="BC4:BC67" si="15">IF(AND($D4&gt;0,$G4=BC$1),$D4,0)</f>
        <v>2</v>
      </c>
      <c r="BD4" s="35">
        <f t="shared" ref="BD4:BD67" si="16">IF(AND($D4&gt;0,$G4=BD$1),$F4,0)</f>
        <v>0</v>
      </c>
      <c r="BE4" s="35">
        <f t="shared" ref="BE4:BE67" si="17">IF(AND($D4&gt;0,$G4=BE$1),$D4,0)</f>
        <v>0</v>
      </c>
      <c r="BF4" s="35">
        <f t="shared" ref="BF4:BF67" si="18">IF(AND($D4&gt;0,$G4=BF$1),$F4,0)</f>
        <v>0</v>
      </c>
      <c r="BG4" s="35">
        <f t="shared" ref="BG4:BG67" si="19">IF(AND($D4&gt;0,$G4=BG$1),$D4,0)</f>
        <v>0</v>
      </c>
      <c r="BH4" s="35">
        <f t="shared" ref="BH4:BH67" si="20">IF(AND($D4&gt;0,$G4=BH$1),$F4,0)</f>
        <v>0</v>
      </c>
      <c r="BI4" s="35">
        <f t="shared" ref="BI4:BI67" si="21">IF(AND($D4&gt;0,$G4=BI$1),$D4,0)</f>
        <v>0</v>
      </c>
      <c r="BJ4" s="35">
        <f t="shared" ref="BJ4:BJ67" si="22">IF(AND($D4&gt;0,$G4=BJ$1),$F4,0)</f>
        <v>0</v>
      </c>
      <c r="BK4" s="35">
        <f t="shared" ref="BK4:BK67" si="23">IF(AND($D4&gt;0,$G4=BK$1),$D4,0)</f>
        <v>0</v>
      </c>
      <c r="BL4" s="35">
        <f t="shared" ref="BL4:BL67" si="24">BN4+BP4+BR4+BT4</f>
        <v>0</v>
      </c>
      <c r="BM4" s="35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0"/>
        <v>8</v>
      </c>
      <c r="L5">
        <f t="shared" si="1"/>
        <v>8</v>
      </c>
      <c r="M5">
        <f t="shared" si="9"/>
        <v>8</v>
      </c>
      <c r="N5">
        <f t="shared" si="10"/>
        <v>8</v>
      </c>
      <c r="O5">
        <f t="shared" si="10"/>
        <v>8</v>
      </c>
      <c r="P5">
        <f t="shared" si="10"/>
        <v>8</v>
      </c>
      <c r="Q5">
        <f t="shared" si="10"/>
        <v>8</v>
      </c>
      <c r="R5">
        <f t="shared" si="10"/>
        <v>8</v>
      </c>
      <c r="S5">
        <f t="shared" si="10"/>
        <v>8</v>
      </c>
      <c r="T5">
        <f t="shared" si="10"/>
        <v>8</v>
      </c>
      <c r="U5">
        <f t="shared" si="10"/>
        <v>8</v>
      </c>
      <c r="V5">
        <f t="shared" si="10"/>
        <v>8</v>
      </c>
      <c r="W5">
        <f t="shared" si="10"/>
        <v>8</v>
      </c>
      <c r="X5">
        <f t="shared" si="11"/>
        <v>8</v>
      </c>
      <c r="Y5">
        <f t="shared" si="11"/>
        <v>8</v>
      </c>
      <c r="Z5">
        <f t="shared" si="11"/>
        <v>8</v>
      </c>
      <c r="AA5">
        <f t="shared" si="11"/>
        <v>8</v>
      </c>
      <c r="AB5">
        <f t="shared" si="11"/>
        <v>8</v>
      </c>
      <c r="AC5">
        <f t="shared" si="11"/>
        <v>8</v>
      </c>
      <c r="AD5">
        <f t="shared" si="11"/>
        <v>8</v>
      </c>
      <c r="AE5">
        <f t="shared" si="11"/>
        <v>8</v>
      </c>
      <c r="AF5">
        <f t="shared" si="11"/>
        <v>8</v>
      </c>
      <c r="AG5">
        <f t="shared" si="11"/>
        <v>8</v>
      </c>
      <c r="AH5">
        <f t="shared" si="12"/>
        <v>8</v>
      </c>
      <c r="AI5">
        <f t="shared" si="12"/>
        <v>8</v>
      </c>
      <c r="AJ5">
        <f t="shared" si="12"/>
        <v>8</v>
      </c>
      <c r="AK5">
        <f t="shared" si="12"/>
        <v>8</v>
      </c>
      <c r="AL5">
        <f t="shared" si="12"/>
        <v>8</v>
      </c>
      <c r="AM5">
        <f t="shared" si="12"/>
        <v>8</v>
      </c>
      <c r="AN5">
        <f t="shared" si="12"/>
        <v>8</v>
      </c>
      <c r="AO5">
        <f t="shared" si="12"/>
        <v>8</v>
      </c>
      <c r="AP5">
        <f t="shared" si="12"/>
        <v>8</v>
      </c>
      <c r="AQ5">
        <f t="shared" si="12"/>
        <v>8</v>
      </c>
      <c r="AR5">
        <f t="shared" si="13"/>
        <v>8</v>
      </c>
      <c r="AS5">
        <f t="shared" si="13"/>
        <v>8</v>
      </c>
      <c r="AT5">
        <f t="shared" si="13"/>
        <v>8</v>
      </c>
      <c r="AU5">
        <f t="shared" si="13"/>
        <v>8</v>
      </c>
      <c r="AV5">
        <f t="shared" si="13"/>
        <v>8</v>
      </c>
      <c r="AW5">
        <f t="shared" si="13"/>
        <v>8</v>
      </c>
      <c r="AX5">
        <f t="shared" si="13"/>
        <v>8</v>
      </c>
      <c r="BB5" s="35">
        <f t="shared" si="14"/>
        <v>4</v>
      </c>
      <c r="BC5" s="35">
        <f t="shared" si="15"/>
        <v>4</v>
      </c>
      <c r="BD5" s="35">
        <f t="shared" si="16"/>
        <v>0</v>
      </c>
      <c r="BE5" s="35">
        <f t="shared" si="17"/>
        <v>0</v>
      </c>
      <c r="BF5" s="35">
        <f t="shared" si="18"/>
        <v>0</v>
      </c>
      <c r="BG5" s="35">
        <f t="shared" si="19"/>
        <v>0</v>
      </c>
      <c r="BH5" s="35">
        <f t="shared" si="20"/>
        <v>0</v>
      </c>
      <c r="BI5" s="35">
        <f t="shared" si="21"/>
        <v>0</v>
      </c>
      <c r="BJ5" s="35">
        <f t="shared" si="22"/>
        <v>0</v>
      </c>
      <c r="BK5" s="35">
        <f t="shared" si="23"/>
        <v>0</v>
      </c>
      <c r="BL5" s="35">
        <f t="shared" si="24"/>
        <v>0</v>
      </c>
      <c r="BM5" s="35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0"/>
        <v>5</v>
      </c>
      <c r="L6">
        <f t="shared" si="1"/>
        <v>5</v>
      </c>
      <c r="M6">
        <f t="shared" si="9"/>
        <v>5</v>
      </c>
      <c r="N6">
        <f t="shared" si="10"/>
        <v>5</v>
      </c>
      <c r="O6">
        <f t="shared" si="10"/>
        <v>5</v>
      </c>
      <c r="P6">
        <f t="shared" si="10"/>
        <v>5</v>
      </c>
      <c r="Q6">
        <f t="shared" si="10"/>
        <v>5</v>
      </c>
      <c r="R6">
        <f t="shared" si="10"/>
        <v>5</v>
      </c>
      <c r="S6">
        <f t="shared" si="10"/>
        <v>5</v>
      </c>
      <c r="T6">
        <f t="shared" si="10"/>
        <v>5</v>
      </c>
      <c r="U6">
        <f t="shared" si="10"/>
        <v>5</v>
      </c>
      <c r="V6">
        <f t="shared" si="10"/>
        <v>5</v>
      </c>
      <c r="W6">
        <f t="shared" si="10"/>
        <v>5</v>
      </c>
      <c r="X6">
        <f t="shared" si="11"/>
        <v>5</v>
      </c>
      <c r="Y6">
        <f t="shared" si="11"/>
        <v>5</v>
      </c>
      <c r="Z6">
        <f t="shared" si="11"/>
        <v>5</v>
      </c>
      <c r="AA6">
        <f t="shared" si="11"/>
        <v>5</v>
      </c>
      <c r="AB6">
        <f t="shared" si="11"/>
        <v>5</v>
      </c>
      <c r="AC6">
        <f t="shared" si="11"/>
        <v>5</v>
      </c>
      <c r="AD6">
        <f t="shared" si="11"/>
        <v>5</v>
      </c>
      <c r="AE6">
        <f t="shared" si="11"/>
        <v>5</v>
      </c>
      <c r="AF6">
        <f t="shared" si="11"/>
        <v>5</v>
      </c>
      <c r="AG6">
        <f t="shared" si="11"/>
        <v>5</v>
      </c>
      <c r="AH6">
        <f t="shared" si="12"/>
        <v>5</v>
      </c>
      <c r="AI6">
        <f t="shared" si="12"/>
        <v>5</v>
      </c>
      <c r="AJ6">
        <f t="shared" si="12"/>
        <v>5</v>
      </c>
      <c r="AK6">
        <f t="shared" si="12"/>
        <v>5</v>
      </c>
      <c r="AL6">
        <f t="shared" si="12"/>
        <v>5</v>
      </c>
      <c r="AM6">
        <f t="shared" si="12"/>
        <v>5</v>
      </c>
      <c r="AN6">
        <f t="shared" si="12"/>
        <v>5</v>
      </c>
      <c r="AO6">
        <f t="shared" si="12"/>
        <v>5</v>
      </c>
      <c r="AP6">
        <f t="shared" si="12"/>
        <v>5</v>
      </c>
      <c r="AQ6">
        <f t="shared" si="12"/>
        <v>5</v>
      </c>
      <c r="AR6">
        <f t="shared" si="13"/>
        <v>5</v>
      </c>
      <c r="AS6">
        <f t="shared" si="13"/>
        <v>5</v>
      </c>
      <c r="AT6">
        <f t="shared" si="13"/>
        <v>5</v>
      </c>
      <c r="AU6">
        <f t="shared" si="13"/>
        <v>5</v>
      </c>
      <c r="AV6">
        <f t="shared" si="13"/>
        <v>5</v>
      </c>
      <c r="AW6">
        <f t="shared" si="13"/>
        <v>5</v>
      </c>
      <c r="AX6">
        <f t="shared" si="13"/>
        <v>5</v>
      </c>
      <c r="BB6" s="35">
        <f t="shared" si="14"/>
        <v>2</v>
      </c>
      <c r="BC6" s="35">
        <f t="shared" si="15"/>
        <v>5</v>
      </c>
      <c r="BD6" s="35">
        <f t="shared" si="16"/>
        <v>0</v>
      </c>
      <c r="BE6" s="35">
        <f t="shared" si="17"/>
        <v>0</v>
      </c>
      <c r="BF6" s="35">
        <f t="shared" si="18"/>
        <v>0</v>
      </c>
      <c r="BG6" s="35">
        <f t="shared" si="19"/>
        <v>0</v>
      </c>
      <c r="BH6" s="35">
        <f t="shared" si="20"/>
        <v>0</v>
      </c>
      <c r="BI6" s="35">
        <f t="shared" si="21"/>
        <v>0</v>
      </c>
      <c r="BJ6" s="35">
        <f t="shared" si="22"/>
        <v>0</v>
      </c>
      <c r="BK6" s="35">
        <f t="shared" si="23"/>
        <v>0</v>
      </c>
      <c r="BL6" s="35">
        <f t="shared" si="24"/>
        <v>0</v>
      </c>
      <c r="BM6" s="35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0"/>
        <v>4</v>
      </c>
      <c r="L7">
        <f t="shared" si="1"/>
        <v>4</v>
      </c>
      <c r="M7">
        <f t="shared" si="9"/>
        <v>4</v>
      </c>
      <c r="N7">
        <f t="shared" si="10"/>
        <v>4</v>
      </c>
      <c r="O7">
        <f t="shared" si="10"/>
        <v>4</v>
      </c>
      <c r="P7">
        <f t="shared" si="10"/>
        <v>4</v>
      </c>
      <c r="Q7">
        <f t="shared" si="10"/>
        <v>4</v>
      </c>
      <c r="R7">
        <f t="shared" si="10"/>
        <v>4</v>
      </c>
      <c r="S7">
        <f t="shared" si="10"/>
        <v>4</v>
      </c>
      <c r="T7">
        <f t="shared" si="10"/>
        <v>4</v>
      </c>
      <c r="U7">
        <f t="shared" si="10"/>
        <v>4</v>
      </c>
      <c r="V7">
        <f t="shared" si="10"/>
        <v>4</v>
      </c>
      <c r="W7">
        <f t="shared" si="10"/>
        <v>4</v>
      </c>
      <c r="X7">
        <f t="shared" si="11"/>
        <v>4</v>
      </c>
      <c r="Y7">
        <f t="shared" si="11"/>
        <v>4</v>
      </c>
      <c r="Z7">
        <f t="shared" si="11"/>
        <v>4</v>
      </c>
      <c r="AA7">
        <f t="shared" si="11"/>
        <v>4</v>
      </c>
      <c r="AB7">
        <f t="shared" si="11"/>
        <v>4</v>
      </c>
      <c r="AC7">
        <f t="shared" si="11"/>
        <v>4</v>
      </c>
      <c r="AD7">
        <f t="shared" si="11"/>
        <v>4</v>
      </c>
      <c r="AE7">
        <f t="shared" si="11"/>
        <v>4</v>
      </c>
      <c r="AF7">
        <f t="shared" si="11"/>
        <v>4</v>
      </c>
      <c r="AG7">
        <f t="shared" si="11"/>
        <v>4</v>
      </c>
      <c r="AH7">
        <f t="shared" si="12"/>
        <v>4</v>
      </c>
      <c r="AI7">
        <f t="shared" si="12"/>
        <v>4</v>
      </c>
      <c r="AJ7">
        <f t="shared" si="12"/>
        <v>4</v>
      </c>
      <c r="AK7">
        <f t="shared" si="12"/>
        <v>4</v>
      </c>
      <c r="AL7">
        <f t="shared" si="12"/>
        <v>4</v>
      </c>
      <c r="AM7">
        <f t="shared" si="12"/>
        <v>4</v>
      </c>
      <c r="AN7">
        <f t="shared" si="12"/>
        <v>4</v>
      </c>
      <c r="AO7">
        <f t="shared" si="12"/>
        <v>4</v>
      </c>
      <c r="AP7">
        <f t="shared" si="12"/>
        <v>4</v>
      </c>
      <c r="AQ7">
        <f t="shared" si="12"/>
        <v>4</v>
      </c>
      <c r="AR7">
        <f t="shared" si="13"/>
        <v>4</v>
      </c>
      <c r="AS7">
        <f t="shared" si="13"/>
        <v>4</v>
      </c>
      <c r="AT7">
        <f t="shared" si="13"/>
        <v>4</v>
      </c>
      <c r="AU7">
        <f t="shared" si="13"/>
        <v>4</v>
      </c>
      <c r="AV7">
        <f t="shared" si="13"/>
        <v>4</v>
      </c>
      <c r="AW7">
        <f t="shared" si="13"/>
        <v>4</v>
      </c>
      <c r="AX7">
        <f t="shared" si="13"/>
        <v>4</v>
      </c>
      <c r="BB7" s="35">
        <f t="shared" si="14"/>
        <v>4</v>
      </c>
      <c r="BC7" s="35">
        <f t="shared" si="15"/>
        <v>2</v>
      </c>
      <c r="BD7" s="35">
        <f t="shared" si="16"/>
        <v>0</v>
      </c>
      <c r="BE7" s="35">
        <f t="shared" si="17"/>
        <v>0</v>
      </c>
      <c r="BF7" s="35">
        <f t="shared" si="18"/>
        <v>0</v>
      </c>
      <c r="BG7" s="35">
        <f t="shared" si="19"/>
        <v>0</v>
      </c>
      <c r="BH7" s="35">
        <f t="shared" si="20"/>
        <v>0</v>
      </c>
      <c r="BI7" s="35">
        <f t="shared" si="21"/>
        <v>0</v>
      </c>
      <c r="BJ7" s="35">
        <f t="shared" si="22"/>
        <v>0</v>
      </c>
      <c r="BK7" s="35">
        <f t="shared" si="23"/>
        <v>0</v>
      </c>
      <c r="BL7" s="35">
        <f t="shared" si="24"/>
        <v>0</v>
      </c>
      <c r="BM7" s="35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0"/>
        <v>8</v>
      </c>
      <c r="L8">
        <f t="shared" si="1"/>
        <v>8</v>
      </c>
      <c r="M8">
        <f t="shared" si="9"/>
        <v>8</v>
      </c>
      <c r="N8">
        <f t="shared" si="10"/>
        <v>8</v>
      </c>
      <c r="O8">
        <f t="shared" si="10"/>
        <v>8</v>
      </c>
      <c r="P8">
        <f t="shared" si="10"/>
        <v>8</v>
      </c>
      <c r="Q8">
        <f t="shared" si="10"/>
        <v>8</v>
      </c>
      <c r="R8">
        <f t="shared" si="10"/>
        <v>8</v>
      </c>
      <c r="S8">
        <f t="shared" si="10"/>
        <v>8</v>
      </c>
      <c r="T8">
        <f t="shared" si="10"/>
        <v>8</v>
      </c>
      <c r="U8">
        <f t="shared" si="10"/>
        <v>8</v>
      </c>
      <c r="V8">
        <f t="shared" si="10"/>
        <v>8</v>
      </c>
      <c r="W8">
        <f t="shared" si="10"/>
        <v>8</v>
      </c>
      <c r="X8">
        <f t="shared" si="11"/>
        <v>8</v>
      </c>
      <c r="Y8">
        <f t="shared" si="11"/>
        <v>8</v>
      </c>
      <c r="Z8">
        <f t="shared" si="11"/>
        <v>8</v>
      </c>
      <c r="AA8">
        <f t="shared" si="11"/>
        <v>8</v>
      </c>
      <c r="AB8">
        <f t="shared" si="11"/>
        <v>8</v>
      </c>
      <c r="AC8">
        <f t="shared" si="11"/>
        <v>8</v>
      </c>
      <c r="AD8">
        <f t="shared" si="11"/>
        <v>8</v>
      </c>
      <c r="AE8">
        <f t="shared" si="11"/>
        <v>8</v>
      </c>
      <c r="AF8">
        <f t="shared" si="11"/>
        <v>8</v>
      </c>
      <c r="AG8">
        <f t="shared" si="11"/>
        <v>8</v>
      </c>
      <c r="AH8">
        <f t="shared" si="12"/>
        <v>8</v>
      </c>
      <c r="AI8">
        <f t="shared" si="12"/>
        <v>8</v>
      </c>
      <c r="AJ8">
        <f t="shared" si="12"/>
        <v>8</v>
      </c>
      <c r="AK8">
        <f t="shared" si="12"/>
        <v>8</v>
      </c>
      <c r="AL8">
        <f t="shared" si="12"/>
        <v>8</v>
      </c>
      <c r="AM8">
        <f t="shared" si="12"/>
        <v>8</v>
      </c>
      <c r="AN8">
        <f t="shared" si="12"/>
        <v>8</v>
      </c>
      <c r="AO8">
        <f t="shared" si="12"/>
        <v>8</v>
      </c>
      <c r="AP8">
        <f t="shared" si="12"/>
        <v>8</v>
      </c>
      <c r="AQ8">
        <f t="shared" si="12"/>
        <v>8</v>
      </c>
      <c r="AR8">
        <f t="shared" si="13"/>
        <v>8</v>
      </c>
      <c r="AS8">
        <f t="shared" si="13"/>
        <v>8</v>
      </c>
      <c r="AT8">
        <f t="shared" si="13"/>
        <v>8</v>
      </c>
      <c r="AU8">
        <f t="shared" si="13"/>
        <v>8</v>
      </c>
      <c r="AV8">
        <f t="shared" si="13"/>
        <v>8</v>
      </c>
      <c r="AW8">
        <f t="shared" si="13"/>
        <v>8</v>
      </c>
      <c r="AX8">
        <f t="shared" si="13"/>
        <v>8</v>
      </c>
      <c r="BB8" s="35">
        <f t="shared" si="14"/>
        <v>2</v>
      </c>
      <c r="BC8" s="35">
        <f t="shared" si="15"/>
        <v>8</v>
      </c>
      <c r="BD8" s="35">
        <f t="shared" si="16"/>
        <v>0</v>
      </c>
      <c r="BE8" s="35">
        <f t="shared" si="17"/>
        <v>0</v>
      </c>
      <c r="BF8" s="35">
        <f t="shared" si="18"/>
        <v>0</v>
      </c>
      <c r="BG8" s="35">
        <f t="shared" si="19"/>
        <v>0</v>
      </c>
      <c r="BH8" s="35">
        <f t="shared" si="20"/>
        <v>0</v>
      </c>
      <c r="BI8" s="35">
        <f t="shared" si="21"/>
        <v>0</v>
      </c>
      <c r="BJ8" s="35">
        <f t="shared" si="22"/>
        <v>0</v>
      </c>
      <c r="BK8" s="35">
        <f t="shared" si="23"/>
        <v>0</v>
      </c>
      <c r="BL8" s="35">
        <f t="shared" si="24"/>
        <v>0</v>
      </c>
      <c r="BM8" s="35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0"/>
        <v>5</v>
      </c>
      <c r="L9">
        <f t="shared" si="1"/>
        <v>5</v>
      </c>
      <c r="M9">
        <f t="shared" si="9"/>
        <v>5</v>
      </c>
      <c r="N9">
        <f t="shared" si="10"/>
        <v>5</v>
      </c>
      <c r="O9">
        <f t="shared" si="10"/>
        <v>5</v>
      </c>
      <c r="P9">
        <f t="shared" si="10"/>
        <v>5</v>
      </c>
      <c r="Q9">
        <f t="shared" si="10"/>
        <v>5</v>
      </c>
      <c r="R9">
        <f t="shared" si="10"/>
        <v>5</v>
      </c>
      <c r="S9">
        <f t="shared" si="10"/>
        <v>5</v>
      </c>
      <c r="T9">
        <f t="shared" si="10"/>
        <v>5</v>
      </c>
      <c r="U9">
        <f t="shared" si="10"/>
        <v>5</v>
      </c>
      <c r="V9">
        <f t="shared" si="10"/>
        <v>5</v>
      </c>
      <c r="W9">
        <f t="shared" si="10"/>
        <v>5</v>
      </c>
      <c r="X9">
        <f t="shared" si="11"/>
        <v>5</v>
      </c>
      <c r="Y9">
        <f t="shared" si="11"/>
        <v>5</v>
      </c>
      <c r="Z9">
        <f t="shared" si="11"/>
        <v>5</v>
      </c>
      <c r="AA9">
        <f t="shared" si="11"/>
        <v>5</v>
      </c>
      <c r="AB9">
        <f t="shared" si="11"/>
        <v>5</v>
      </c>
      <c r="AC9">
        <f t="shared" si="11"/>
        <v>5</v>
      </c>
      <c r="AD9">
        <f t="shared" si="11"/>
        <v>5</v>
      </c>
      <c r="AE9">
        <f t="shared" si="11"/>
        <v>5</v>
      </c>
      <c r="AF9">
        <f t="shared" si="11"/>
        <v>5</v>
      </c>
      <c r="AG9">
        <f t="shared" si="11"/>
        <v>5</v>
      </c>
      <c r="AH9">
        <f t="shared" si="12"/>
        <v>5</v>
      </c>
      <c r="AI9">
        <f t="shared" si="12"/>
        <v>5</v>
      </c>
      <c r="AJ9">
        <f t="shared" si="12"/>
        <v>5</v>
      </c>
      <c r="AK9">
        <f t="shared" si="12"/>
        <v>5</v>
      </c>
      <c r="AL9">
        <f t="shared" si="12"/>
        <v>5</v>
      </c>
      <c r="AM9">
        <f t="shared" si="12"/>
        <v>5</v>
      </c>
      <c r="AN9">
        <f t="shared" si="12"/>
        <v>5</v>
      </c>
      <c r="AO9">
        <f t="shared" si="12"/>
        <v>5</v>
      </c>
      <c r="AP9">
        <f t="shared" si="12"/>
        <v>5</v>
      </c>
      <c r="AQ9">
        <f t="shared" si="12"/>
        <v>5</v>
      </c>
      <c r="AR9">
        <f t="shared" si="13"/>
        <v>5</v>
      </c>
      <c r="AS9">
        <f t="shared" si="13"/>
        <v>5</v>
      </c>
      <c r="AT9">
        <f t="shared" si="13"/>
        <v>5</v>
      </c>
      <c r="AU9">
        <f t="shared" si="13"/>
        <v>5</v>
      </c>
      <c r="AV9">
        <f t="shared" si="13"/>
        <v>5</v>
      </c>
      <c r="AW9">
        <f t="shared" si="13"/>
        <v>5</v>
      </c>
      <c r="AX9">
        <f t="shared" si="13"/>
        <v>5</v>
      </c>
      <c r="BB9" s="35">
        <f t="shared" si="14"/>
        <v>0</v>
      </c>
      <c r="BC9" s="35">
        <f t="shared" si="15"/>
        <v>0</v>
      </c>
      <c r="BD9" s="35">
        <f t="shared" si="16"/>
        <v>0</v>
      </c>
      <c r="BE9" s="35">
        <f t="shared" si="17"/>
        <v>0</v>
      </c>
      <c r="BF9" s="35">
        <f t="shared" si="18"/>
        <v>0</v>
      </c>
      <c r="BG9" s="35">
        <f t="shared" si="19"/>
        <v>0</v>
      </c>
      <c r="BH9" s="35">
        <f t="shared" si="20"/>
        <v>2</v>
      </c>
      <c r="BI9" s="35">
        <f t="shared" si="21"/>
        <v>5</v>
      </c>
      <c r="BJ9" s="35">
        <f t="shared" si="22"/>
        <v>0</v>
      </c>
      <c r="BK9" s="35">
        <f t="shared" si="23"/>
        <v>0</v>
      </c>
      <c r="BL9" s="35">
        <f t="shared" si="24"/>
        <v>0</v>
      </c>
      <c r="BM9" s="35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0"/>
        <v>7</v>
      </c>
      <c r="L10">
        <f t="shared" si="1"/>
        <v>7</v>
      </c>
      <c r="M10">
        <f t="shared" si="9"/>
        <v>7</v>
      </c>
      <c r="N10">
        <f t="shared" si="10"/>
        <v>7</v>
      </c>
      <c r="O10">
        <f t="shared" si="10"/>
        <v>7</v>
      </c>
      <c r="P10">
        <f t="shared" si="10"/>
        <v>7</v>
      </c>
      <c r="Q10">
        <f t="shared" si="10"/>
        <v>7</v>
      </c>
      <c r="R10">
        <f t="shared" si="10"/>
        <v>7</v>
      </c>
      <c r="S10">
        <f t="shared" si="10"/>
        <v>7</v>
      </c>
      <c r="T10">
        <f t="shared" si="10"/>
        <v>7</v>
      </c>
      <c r="U10">
        <f t="shared" si="10"/>
        <v>7</v>
      </c>
      <c r="V10">
        <f t="shared" si="10"/>
        <v>7</v>
      </c>
      <c r="W10">
        <f t="shared" si="10"/>
        <v>7</v>
      </c>
      <c r="X10">
        <f t="shared" si="11"/>
        <v>7</v>
      </c>
      <c r="Y10">
        <f t="shared" si="11"/>
        <v>7</v>
      </c>
      <c r="Z10">
        <f t="shared" si="11"/>
        <v>7</v>
      </c>
      <c r="AA10">
        <f t="shared" si="11"/>
        <v>7</v>
      </c>
      <c r="AB10">
        <f t="shared" si="11"/>
        <v>7</v>
      </c>
      <c r="AC10">
        <f t="shared" si="11"/>
        <v>7</v>
      </c>
      <c r="AD10">
        <f t="shared" si="11"/>
        <v>7</v>
      </c>
      <c r="AE10">
        <f t="shared" si="11"/>
        <v>7</v>
      </c>
      <c r="AF10">
        <f t="shared" si="11"/>
        <v>7</v>
      </c>
      <c r="AG10">
        <f t="shared" si="11"/>
        <v>7</v>
      </c>
      <c r="AH10">
        <f t="shared" si="12"/>
        <v>7</v>
      </c>
      <c r="AI10">
        <f t="shared" si="12"/>
        <v>7</v>
      </c>
      <c r="AJ10">
        <f t="shared" si="12"/>
        <v>7</v>
      </c>
      <c r="AK10">
        <f t="shared" si="12"/>
        <v>7</v>
      </c>
      <c r="AL10">
        <f t="shared" si="12"/>
        <v>7</v>
      </c>
      <c r="AM10">
        <f t="shared" si="12"/>
        <v>7</v>
      </c>
      <c r="AN10">
        <f t="shared" si="12"/>
        <v>7</v>
      </c>
      <c r="AO10">
        <f t="shared" si="12"/>
        <v>7</v>
      </c>
      <c r="AP10">
        <f t="shared" si="12"/>
        <v>7</v>
      </c>
      <c r="AQ10">
        <f t="shared" si="12"/>
        <v>7</v>
      </c>
      <c r="AR10">
        <f t="shared" si="13"/>
        <v>7</v>
      </c>
      <c r="AS10">
        <f t="shared" si="13"/>
        <v>7</v>
      </c>
      <c r="AT10">
        <f t="shared" si="13"/>
        <v>7</v>
      </c>
      <c r="AU10">
        <f t="shared" si="13"/>
        <v>7</v>
      </c>
      <c r="AV10">
        <f t="shared" si="13"/>
        <v>7</v>
      </c>
      <c r="AW10">
        <f t="shared" si="13"/>
        <v>7</v>
      </c>
      <c r="AX10">
        <f t="shared" si="13"/>
        <v>7</v>
      </c>
      <c r="BB10" s="35">
        <f t="shared" si="14"/>
        <v>2</v>
      </c>
      <c r="BC10" s="35">
        <f t="shared" si="15"/>
        <v>7</v>
      </c>
      <c r="BD10" s="35">
        <f t="shared" si="16"/>
        <v>0</v>
      </c>
      <c r="BE10" s="35">
        <f t="shared" si="17"/>
        <v>0</v>
      </c>
      <c r="BF10" s="35">
        <f t="shared" si="18"/>
        <v>0</v>
      </c>
      <c r="BG10" s="35">
        <f t="shared" si="19"/>
        <v>0</v>
      </c>
      <c r="BH10" s="35">
        <f t="shared" si="20"/>
        <v>0</v>
      </c>
      <c r="BI10" s="35">
        <f t="shared" si="21"/>
        <v>0</v>
      </c>
      <c r="BJ10" s="35">
        <f t="shared" si="22"/>
        <v>0</v>
      </c>
      <c r="BK10" s="35">
        <f t="shared" si="23"/>
        <v>0</v>
      </c>
      <c r="BL10" s="35">
        <f t="shared" si="24"/>
        <v>0</v>
      </c>
      <c r="BM10" s="35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9"/>
        <v>3</v>
      </c>
      <c r="N11">
        <f t="shared" si="10"/>
        <v>3</v>
      </c>
      <c r="O11">
        <f t="shared" si="10"/>
        <v>3</v>
      </c>
      <c r="P11">
        <f t="shared" si="10"/>
        <v>3</v>
      </c>
      <c r="Q11">
        <f t="shared" si="10"/>
        <v>3</v>
      </c>
      <c r="R11">
        <f t="shared" si="10"/>
        <v>3</v>
      </c>
      <c r="S11">
        <f t="shared" si="10"/>
        <v>3</v>
      </c>
      <c r="T11">
        <f t="shared" si="10"/>
        <v>3</v>
      </c>
      <c r="U11">
        <f t="shared" si="10"/>
        <v>3</v>
      </c>
      <c r="V11">
        <f t="shared" si="10"/>
        <v>3</v>
      </c>
      <c r="W11">
        <f t="shared" si="10"/>
        <v>3</v>
      </c>
      <c r="X11">
        <f t="shared" si="11"/>
        <v>3</v>
      </c>
      <c r="Y11">
        <f t="shared" si="11"/>
        <v>3</v>
      </c>
      <c r="Z11">
        <f t="shared" si="11"/>
        <v>3</v>
      </c>
      <c r="AA11">
        <f t="shared" si="11"/>
        <v>3</v>
      </c>
      <c r="AB11">
        <f t="shared" si="11"/>
        <v>3</v>
      </c>
      <c r="AC11">
        <f t="shared" si="11"/>
        <v>3</v>
      </c>
      <c r="AD11">
        <f t="shared" si="11"/>
        <v>3</v>
      </c>
      <c r="AE11">
        <f t="shared" si="11"/>
        <v>3</v>
      </c>
      <c r="AF11">
        <f t="shared" si="11"/>
        <v>3</v>
      </c>
      <c r="AG11">
        <f t="shared" si="11"/>
        <v>3</v>
      </c>
      <c r="AH11">
        <f t="shared" si="12"/>
        <v>3</v>
      </c>
      <c r="AI11">
        <f t="shared" si="12"/>
        <v>3</v>
      </c>
      <c r="AJ11">
        <f t="shared" si="12"/>
        <v>3</v>
      </c>
      <c r="AK11">
        <f t="shared" si="12"/>
        <v>3</v>
      </c>
      <c r="AL11">
        <f t="shared" si="12"/>
        <v>3</v>
      </c>
      <c r="AM11">
        <f t="shared" si="12"/>
        <v>3</v>
      </c>
      <c r="AN11">
        <f t="shared" si="12"/>
        <v>3</v>
      </c>
      <c r="AO11">
        <f t="shared" si="12"/>
        <v>3</v>
      </c>
      <c r="AP11">
        <f t="shared" si="12"/>
        <v>3</v>
      </c>
      <c r="AQ11">
        <f t="shared" si="12"/>
        <v>3</v>
      </c>
      <c r="AR11">
        <f t="shared" si="13"/>
        <v>3</v>
      </c>
      <c r="AS11">
        <f t="shared" si="13"/>
        <v>3</v>
      </c>
      <c r="AT11">
        <f t="shared" si="13"/>
        <v>3</v>
      </c>
      <c r="AU11">
        <f t="shared" si="13"/>
        <v>3</v>
      </c>
      <c r="AV11">
        <f t="shared" si="13"/>
        <v>3</v>
      </c>
      <c r="AW11">
        <f t="shared" si="13"/>
        <v>3</v>
      </c>
      <c r="AX11">
        <f t="shared" si="13"/>
        <v>3</v>
      </c>
      <c r="BB11" s="35">
        <f t="shared" si="14"/>
        <v>2</v>
      </c>
      <c r="BC11" s="35">
        <f t="shared" si="15"/>
        <v>3</v>
      </c>
      <c r="BD11" s="35">
        <f t="shared" si="16"/>
        <v>0</v>
      </c>
      <c r="BE11" s="35">
        <f t="shared" si="17"/>
        <v>0</v>
      </c>
      <c r="BF11" s="35">
        <f t="shared" si="18"/>
        <v>0</v>
      </c>
      <c r="BG11" s="35">
        <f t="shared" si="19"/>
        <v>0</v>
      </c>
      <c r="BH11" s="35">
        <f t="shared" si="20"/>
        <v>0</v>
      </c>
      <c r="BI11" s="35">
        <f t="shared" si="21"/>
        <v>0</v>
      </c>
      <c r="BJ11" s="35">
        <f t="shared" si="22"/>
        <v>0</v>
      </c>
      <c r="BK11" s="35">
        <f t="shared" si="23"/>
        <v>0</v>
      </c>
      <c r="BL11" s="35">
        <f t="shared" si="24"/>
        <v>0</v>
      </c>
      <c r="BM11" s="35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9"/>
        <v>5</v>
      </c>
      <c r="N12">
        <f t="shared" si="10"/>
        <v>5</v>
      </c>
      <c r="O12">
        <f t="shared" si="10"/>
        <v>5</v>
      </c>
      <c r="P12">
        <f t="shared" si="10"/>
        <v>5</v>
      </c>
      <c r="Q12">
        <f t="shared" si="10"/>
        <v>5</v>
      </c>
      <c r="R12">
        <f t="shared" si="10"/>
        <v>5</v>
      </c>
      <c r="S12">
        <f t="shared" si="10"/>
        <v>5</v>
      </c>
      <c r="T12">
        <f t="shared" si="10"/>
        <v>5</v>
      </c>
      <c r="U12">
        <f t="shared" si="10"/>
        <v>5</v>
      </c>
      <c r="V12">
        <f t="shared" si="10"/>
        <v>5</v>
      </c>
      <c r="W12">
        <f t="shared" si="10"/>
        <v>5</v>
      </c>
      <c r="X12">
        <f t="shared" si="11"/>
        <v>5</v>
      </c>
      <c r="Y12">
        <f t="shared" si="11"/>
        <v>5</v>
      </c>
      <c r="Z12">
        <f t="shared" si="11"/>
        <v>5</v>
      </c>
      <c r="AA12">
        <f t="shared" si="11"/>
        <v>5</v>
      </c>
      <c r="AB12">
        <f t="shared" si="11"/>
        <v>5</v>
      </c>
      <c r="AC12">
        <f t="shared" si="11"/>
        <v>5</v>
      </c>
      <c r="AD12">
        <f t="shared" si="11"/>
        <v>5</v>
      </c>
      <c r="AE12">
        <f t="shared" si="11"/>
        <v>5</v>
      </c>
      <c r="AF12">
        <f t="shared" si="11"/>
        <v>5</v>
      </c>
      <c r="AG12">
        <f t="shared" si="11"/>
        <v>5</v>
      </c>
      <c r="AH12">
        <f t="shared" si="12"/>
        <v>5</v>
      </c>
      <c r="AI12">
        <f t="shared" si="12"/>
        <v>5</v>
      </c>
      <c r="AJ12">
        <f t="shared" si="12"/>
        <v>5</v>
      </c>
      <c r="AK12">
        <f t="shared" si="12"/>
        <v>5</v>
      </c>
      <c r="AL12">
        <f t="shared" si="12"/>
        <v>5</v>
      </c>
      <c r="AM12">
        <f t="shared" si="12"/>
        <v>5</v>
      </c>
      <c r="AN12">
        <f t="shared" si="12"/>
        <v>5</v>
      </c>
      <c r="AO12">
        <f t="shared" si="12"/>
        <v>5</v>
      </c>
      <c r="AP12">
        <f t="shared" si="12"/>
        <v>5</v>
      </c>
      <c r="AQ12">
        <f t="shared" si="12"/>
        <v>5</v>
      </c>
      <c r="AR12">
        <f t="shared" si="13"/>
        <v>5</v>
      </c>
      <c r="AS12">
        <f t="shared" si="13"/>
        <v>5</v>
      </c>
      <c r="AT12">
        <f t="shared" si="13"/>
        <v>5</v>
      </c>
      <c r="AU12">
        <f t="shared" si="13"/>
        <v>5</v>
      </c>
      <c r="AV12">
        <f t="shared" si="13"/>
        <v>5</v>
      </c>
      <c r="AW12">
        <f t="shared" si="13"/>
        <v>5</v>
      </c>
      <c r="AX12">
        <f t="shared" si="13"/>
        <v>5</v>
      </c>
      <c r="BB12" s="35">
        <f t="shared" si="14"/>
        <v>0</v>
      </c>
      <c r="BC12" s="35">
        <f t="shared" si="15"/>
        <v>0</v>
      </c>
      <c r="BD12" s="35">
        <f t="shared" si="16"/>
        <v>0</v>
      </c>
      <c r="BE12" s="35">
        <f t="shared" si="17"/>
        <v>0</v>
      </c>
      <c r="BF12" s="35">
        <f t="shared" si="18"/>
        <v>0</v>
      </c>
      <c r="BG12" s="35">
        <f t="shared" si="19"/>
        <v>0</v>
      </c>
      <c r="BH12" s="35">
        <f t="shared" si="20"/>
        <v>2</v>
      </c>
      <c r="BI12" s="35">
        <f t="shared" si="21"/>
        <v>5</v>
      </c>
      <c r="BJ12" s="35">
        <f t="shared" si="22"/>
        <v>0</v>
      </c>
      <c r="BK12" s="35">
        <f t="shared" si="23"/>
        <v>0</v>
      </c>
      <c r="BL12" s="35">
        <f t="shared" si="24"/>
        <v>0</v>
      </c>
      <c r="BM12" s="35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9"/>
        <v>4</v>
      </c>
      <c r="N13">
        <f t="shared" ref="N13:W22" si="26">IF($B13&lt;N$1,$C13*$D13,0)</f>
        <v>4</v>
      </c>
      <c r="O13">
        <f t="shared" si="26"/>
        <v>4</v>
      </c>
      <c r="P13">
        <f t="shared" si="26"/>
        <v>4</v>
      </c>
      <c r="Q13">
        <f t="shared" si="26"/>
        <v>4</v>
      </c>
      <c r="R13">
        <f t="shared" si="26"/>
        <v>4</v>
      </c>
      <c r="S13">
        <f t="shared" si="26"/>
        <v>4</v>
      </c>
      <c r="T13">
        <f t="shared" si="26"/>
        <v>4</v>
      </c>
      <c r="U13">
        <f t="shared" si="26"/>
        <v>4</v>
      </c>
      <c r="V13">
        <f t="shared" si="26"/>
        <v>4</v>
      </c>
      <c r="W13">
        <f t="shared" si="26"/>
        <v>4</v>
      </c>
      <c r="X13">
        <f t="shared" ref="X13:AG22" si="27">IF($B13&lt;X$1,$C13*$D13,0)</f>
        <v>4</v>
      </c>
      <c r="Y13">
        <f t="shared" si="27"/>
        <v>4</v>
      </c>
      <c r="Z13">
        <f t="shared" si="27"/>
        <v>4</v>
      </c>
      <c r="AA13">
        <f t="shared" si="27"/>
        <v>4</v>
      </c>
      <c r="AB13">
        <f t="shared" si="27"/>
        <v>4</v>
      </c>
      <c r="AC13">
        <f t="shared" si="27"/>
        <v>4</v>
      </c>
      <c r="AD13">
        <f t="shared" si="27"/>
        <v>4</v>
      </c>
      <c r="AE13">
        <f t="shared" si="27"/>
        <v>4</v>
      </c>
      <c r="AF13">
        <f t="shared" si="27"/>
        <v>4</v>
      </c>
      <c r="AG13">
        <f t="shared" si="27"/>
        <v>4</v>
      </c>
      <c r="AH13">
        <f t="shared" ref="AH13:AQ22" si="28">IF($B13&lt;AH$1,$C13*$D13,0)</f>
        <v>4</v>
      </c>
      <c r="AI13">
        <f t="shared" si="28"/>
        <v>4</v>
      </c>
      <c r="AJ13">
        <f t="shared" si="28"/>
        <v>4</v>
      </c>
      <c r="AK13">
        <f t="shared" si="28"/>
        <v>4</v>
      </c>
      <c r="AL13">
        <f t="shared" si="28"/>
        <v>4</v>
      </c>
      <c r="AM13">
        <f t="shared" si="28"/>
        <v>4</v>
      </c>
      <c r="AN13">
        <f t="shared" si="28"/>
        <v>4</v>
      </c>
      <c r="AO13">
        <f t="shared" si="28"/>
        <v>4</v>
      </c>
      <c r="AP13">
        <f t="shared" si="28"/>
        <v>4</v>
      </c>
      <c r="AQ13">
        <f t="shared" si="28"/>
        <v>4</v>
      </c>
      <c r="AR13">
        <f t="shared" ref="AR13:AX22" si="29">IF($B13&lt;AR$1,$C13*$D13,0)</f>
        <v>4</v>
      </c>
      <c r="AS13">
        <f t="shared" si="29"/>
        <v>4</v>
      </c>
      <c r="AT13">
        <f t="shared" si="29"/>
        <v>4</v>
      </c>
      <c r="AU13">
        <f t="shared" si="29"/>
        <v>4</v>
      </c>
      <c r="AV13">
        <f t="shared" si="29"/>
        <v>4</v>
      </c>
      <c r="AW13">
        <f t="shared" si="29"/>
        <v>4</v>
      </c>
      <c r="AX13">
        <f t="shared" si="29"/>
        <v>4</v>
      </c>
      <c r="BB13" s="35">
        <f t="shared" si="14"/>
        <v>2</v>
      </c>
      <c r="BC13" s="35">
        <f t="shared" si="15"/>
        <v>4</v>
      </c>
      <c r="BD13" s="35">
        <f t="shared" si="16"/>
        <v>0</v>
      </c>
      <c r="BE13" s="35">
        <f t="shared" si="17"/>
        <v>0</v>
      </c>
      <c r="BF13" s="35">
        <f t="shared" si="18"/>
        <v>0</v>
      </c>
      <c r="BG13" s="35">
        <f t="shared" si="19"/>
        <v>0</v>
      </c>
      <c r="BH13" s="35">
        <f t="shared" si="20"/>
        <v>0</v>
      </c>
      <c r="BI13" s="35">
        <f t="shared" si="21"/>
        <v>0</v>
      </c>
      <c r="BJ13" s="35">
        <f t="shared" si="22"/>
        <v>0</v>
      </c>
      <c r="BK13" s="35">
        <f t="shared" si="23"/>
        <v>0</v>
      </c>
      <c r="BL13" s="35">
        <f t="shared" si="24"/>
        <v>0</v>
      </c>
      <c r="BM13" s="35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9"/>
        <v>7</v>
      </c>
      <c r="N14">
        <f t="shared" si="26"/>
        <v>7</v>
      </c>
      <c r="O14">
        <f t="shared" si="26"/>
        <v>7</v>
      </c>
      <c r="P14">
        <f t="shared" si="26"/>
        <v>7</v>
      </c>
      <c r="Q14">
        <f t="shared" si="26"/>
        <v>7</v>
      </c>
      <c r="R14">
        <f t="shared" si="26"/>
        <v>7</v>
      </c>
      <c r="S14">
        <f t="shared" si="26"/>
        <v>7</v>
      </c>
      <c r="T14">
        <f t="shared" si="26"/>
        <v>7</v>
      </c>
      <c r="U14">
        <f t="shared" si="26"/>
        <v>7</v>
      </c>
      <c r="V14">
        <f t="shared" si="26"/>
        <v>7</v>
      </c>
      <c r="W14">
        <f t="shared" si="26"/>
        <v>7</v>
      </c>
      <c r="X14">
        <f t="shared" si="27"/>
        <v>7</v>
      </c>
      <c r="Y14">
        <f t="shared" si="27"/>
        <v>7</v>
      </c>
      <c r="Z14">
        <f t="shared" si="27"/>
        <v>7</v>
      </c>
      <c r="AA14">
        <f t="shared" si="27"/>
        <v>7</v>
      </c>
      <c r="AB14">
        <f t="shared" si="27"/>
        <v>7</v>
      </c>
      <c r="AC14">
        <f t="shared" si="27"/>
        <v>7</v>
      </c>
      <c r="AD14">
        <f t="shared" si="27"/>
        <v>7</v>
      </c>
      <c r="AE14">
        <f t="shared" si="27"/>
        <v>7</v>
      </c>
      <c r="AF14">
        <f t="shared" si="27"/>
        <v>7</v>
      </c>
      <c r="AG14">
        <f t="shared" si="27"/>
        <v>7</v>
      </c>
      <c r="AH14">
        <f t="shared" si="28"/>
        <v>7</v>
      </c>
      <c r="AI14">
        <f t="shared" si="28"/>
        <v>7</v>
      </c>
      <c r="AJ14">
        <f t="shared" si="28"/>
        <v>7</v>
      </c>
      <c r="AK14">
        <f t="shared" si="28"/>
        <v>7</v>
      </c>
      <c r="AL14">
        <f t="shared" si="28"/>
        <v>7</v>
      </c>
      <c r="AM14">
        <f t="shared" si="28"/>
        <v>7</v>
      </c>
      <c r="AN14">
        <f t="shared" si="28"/>
        <v>7</v>
      </c>
      <c r="AO14">
        <f t="shared" si="28"/>
        <v>7</v>
      </c>
      <c r="AP14">
        <f t="shared" si="28"/>
        <v>7</v>
      </c>
      <c r="AQ14">
        <f t="shared" si="28"/>
        <v>7</v>
      </c>
      <c r="AR14">
        <f t="shared" si="29"/>
        <v>7</v>
      </c>
      <c r="AS14">
        <f t="shared" si="29"/>
        <v>7</v>
      </c>
      <c r="AT14">
        <f t="shared" si="29"/>
        <v>7</v>
      </c>
      <c r="AU14">
        <f t="shared" si="29"/>
        <v>7</v>
      </c>
      <c r="AV14">
        <f t="shared" si="29"/>
        <v>7</v>
      </c>
      <c r="AW14">
        <f t="shared" si="29"/>
        <v>7</v>
      </c>
      <c r="AX14">
        <f t="shared" si="29"/>
        <v>7</v>
      </c>
      <c r="BB14" s="35">
        <f t="shared" si="14"/>
        <v>2</v>
      </c>
      <c r="BC14" s="35">
        <f t="shared" si="15"/>
        <v>7</v>
      </c>
      <c r="BD14" s="35">
        <f t="shared" si="16"/>
        <v>0</v>
      </c>
      <c r="BE14" s="35">
        <f t="shared" si="17"/>
        <v>0</v>
      </c>
      <c r="BF14" s="35">
        <f t="shared" si="18"/>
        <v>0</v>
      </c>
      <c r="BG14" s="35">
        <f t="shared" si="19"/>
        <v>0</v>
      </c>
      <c r="BH14" s="35">
        <f t="shared" si="20"/>
        <v>0</v>
      </c>
      <c r="BI14" s="35">
        <f t="shared" si="21"/>
        <v>0</v>
      </c>
      <c r="BJ14" s="35">
        <f t="shared" si="22"/>
        <v>0</v>
      </c>
      <c r="BK14" s="35">
        <f t="shared" si="23"/>
        <v>0</v>
      </c>
      <c r="BL14" s="35">
        <f t="shared" si="24"/>
        <v>0</v>
      </c>
      <c r="BM14" s="35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9"/>
        <v>8</v>
      </c>
      <c r="N15">
        <f t="shared" si="26"/>
        <v>8</v>
      </c>
      <c r="O15">
        <f t="shared" si="26"/>
        <v>8</v>
      </c>
      <c r="P15">
        <f t="shared" si="26"/>
        <v>8</v>
      </c>
      <c r="Q15">
        <f t="shared" si="26"/>
        <v>8</v>
      </c>
      <c r="R15">
        <f t="shared" si="26"/>
        <v>8</v>
      </c>
      <c r="S15">
        <f t="shared" si="26"/>
        <v>8</v>
      </c>
      <c r="T15">
        <f t="shared" si="26"/>
        <v>8</v>
      </c>
      <c r="U15">
        <f t="shared" si="26"/>
        <v>8</v>
      </c>
      <c r="V15">
        <f t="shared" si="26"/>
        <v>8</v>
      </c>
      <c r="W15">
        <f t="shared" si="26"/>
        <v>8</v>
      </c>
      <c r="X15">
        <f t="shared" si="27"/>
        <v>8</v>
      </c>
      <c r="Y15">
        <f t="shared" si="27"/>
        <v>8</v>
      </c>
      <c r="Z15">
        <f t="shared" si="27"/>
        <v>8</v>
      </c>
      <c r="AA15">
        <f t="shared" si="27"/>
        <v>8</v>
      </c>
      <c r="AB15">
        <f t="shared" si="27"/>
        <v>8</v>
      </c>
      <c r="AC15">
        <f t="shared" si="27"/>
        <v>8</v>
      </c>
      <c r="AD15">
        <f t="shared" si="27"/>
        <v>8</v>
      </c>
      <c r="AE15">
        <f t="shared" si="27"/>
        <v>8</v>
      </c>
      <c r="AF15">
        <f t="shared" si="27"/>
        <v>8</v>
      </c>
      <c r="AG15">
        <f t="shared" si="27"/>
        <v>8</v>
      </c>
      <c r="AH15">
        <f t="shared" si="28"/>
        <v>8</v>
      </c>
      <c r="AI15">
        <f t="shared" si="28"/>
        <v>8</v>
      </c>
      <c r="AJ15">
        <f t="shared" si="28"/>
        <v>8</v>
      </c>
      <c r="AK15">
        <f t="shared" si="28"/>
        <v>8</v>
      </c>
      <c r="AL15">
        <f t="shared" si="28"/>
        <v>8</v>
      </c>
      <c r="AM15">
        <f t="shared" si="28"/>
        <v>8</v>
      </c>
      <c r="AN15">
        <f t="shared" si="28"/>
        <v>8</v>
      </c>
      <c r="AO15">
        <f t="shared" si="28"/>
        <v>8</v>
      </c>
      <c r="AP15">
        <f t="shared" si="28"/>
        <v>8</v>
      </c>
      <c r="AQ15">
        <f t="shared" si="28"/>
        <v>8</v>
      </c>
      <c r="AR15">
        <f t="shared" si="29"/>
        <v>8</v>
      </c>
      <c r="AS15">
        <f t="shared" si="29"/>
        <v>8</v>
      </c>
      <c r="AT15">
        <f t="shared" si="29"/>
        <v>8</v>
      </c>
      <c r="AU15">
        <f t="shared" si="29"/>
        <v>8</v>
      </c>
      <c r="AV15">
        <f t="shared" si="29"/>
        <v>8</v>
      </c>
      <c r="AW15">
        <f t="shared" si="29"/>
        <v>8</v>
      </c>
      <c r="AX15">
        <f t="shared" si="29"/>
        <v>8</v>
      </c>
      <c r="BB15" s="35">
        <f t="shared" si="14"/>
        <v>2</v>
      </c>
      <c r="BC15" s="35">
        <f t="shared" si="15"/>
        <v>8</v>
      </c>
      <c r="BD15" s="35">
        <f t="shared" si="16"/>
        <v>0</v>
      </c>
      <c r="BE15" s="35">
        <f t="shared" si="17"/>
        <v>0</v>
      </c>
      <c r="BF15" s="35">
        <f t="shared" si="18"/>
        <v>0</v>
      </c>
      <c r="BG15" s="35">
        <f t="shared" si="19"/>
        <v>0</v>
      </c>
      <c r="BH15" s="35">
        <f t="shared" si="20"/>
        <v>0</v>
      </c>
      <c r="BI15" s="35">
        <f t="shared" si="21"/>
        <v>0</v>
      </c>
      <c r="BJ15" s="35">
        <f t="shared" si="22"/>
        <v>0</v>
      </c>
      <c r="BK15" s="35">
        <f t="shared" si="23"/>
        <v>0</v>
      </c>
      <c r="BL15" s="35">
        <f t="shared" si="24"/>
        <v>0</v>
      </c>
      <c r="BM15" s="35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9"/>
        <v>7</v>
      </c>
      <c r="N16">
        <f t="shared" si="26"/>
        <v>7</v>
      </c>
      <c r="O16">
        <f t="shared" si="26"/>
        <v>7</v>
      </c>
      <c r="P16">
        <f t="shared" si="26"/>
        <v>7</v>
      </c>
      <c r="Q16">
        <f t="shared" si="26"/>
        <v>7</v>
      </c>
      <c r="R16">
        <f t="shared" si="26"/>
        <v>7</v>
      </c>
      <c r="S16">
        <f t="shared" si="26"/>
        <v>7</v>
      </c>
      <c r="T16">
        <f t="shared" si="26"/>
        <v>7</v>
      </c>
      <c r="U16">
        <f t="shared" si="26"/>
        <v>7</v>
      </c>
      <c r="V16">
        <f t="shared" si="26"/>
        <v>7</v>
      </c>
      <c r="W16">
        <f t="shared" si="26"/>
        <v>7</v>
      </c>
      <c r="X16">
        <f t="shared" si="27"/>
        <v>7</v>
      </c>
      <c r="Y16">
        <f t="shared" si="27"/>
        <v>7</v>
      </c>
      <c r="Z16">
        <f t="shared" si="27"/>
        <v>7</v>
      </c>
      <c r="AA16">
        <f t="shared" si="27"/>
        <v>7</v>
      </c>
      <c r="AB16">
        <f t="shared" si="27"/>
        <v>7</v>
      </c>
      <c r="AC16">
        <f t="shared" si="27"/>
        <v>7</v>
      </c>
      <c r="AD16">
        <f t="shared" si="27"/>
        <v>7</v>
      </c>
      <c r="AE16">
        <f t="shared" si="27"/>
        <v>7</v>
      </c>
      <c r="AF16">
        <f t="shared" si="27"/>
        <v>7</v>
      </c>
      <c r="AG16">
        <f t="shared" si="27"/>
        <v>7</v>
      </c>
      <c r="AH16">
        <f t="shared" si="28"/>
        <v>7</v>
      </c>
      <c r="AI16">
        <f t="shared" si="28"/>
        <v>7</v>
      </c>
      <c r="AJ16">
        <f t="shared" si="28"/>
        <v>7</v>
      </c>
      <c r="AK16">
        <f t="shared" si="28"/>
        <v>7</v>
      </c>
      <c r="AL16">
        <f t="shared" si="28"/>
        <v>7</v>
      </c>
      <c r="AM16">
        <f t="shared" si="28"/>
        <v>7</v>
      </c>
      <c r="AN16">
        <f t="shared" si="28"/>
        <v>7</v>
      </c>
      <c r="AO16">
        <f t="shared" si="28"/>
        <v>7</v>
      </c>
      <c r="AP16">
        <f t="shared" si="28"/>
        <v>7</v>
      </c>
      <c r="AQ16">
        <f t="shared" si="28"/>
        <v>7</v>
      </c>
      <c r="AR16">
        <f t="shared" si="29"/>
        <v>7</v>
      </c>
      <c r="AS16">
        <f t="shared" si="29"/>
        <v>7</v>
      </c>
      <c r="AT16">
        <f t="shared" si="29"/>
        <v>7</v>
      </c>
      <c r="AU16">
        <f t="shared" si="29"/>
        <v>7</v>
      </c>
      <c r="AV16">
        <f t="shared" si="29"/>
        <v>7</v>
      </c>
      <c r="AW16">
        <f t="shared" si="29"/>
        <v>7</v>
      </c>
      <c r="AX16">
        <f t="shared" si="29"/>
        <v>7</v>
      </c>
      <c r="BB16" s="35">
        <f t="shared" si="14"/>
        <v>2</v>
      </c>
      <c r="BC16" s="35">
        <f t="shared" si="15"/>
        <v>7</v>
      </c>
      <c r="BD16" s="35">
        <f t="shared" si="16"/>
        <v>0</v>
      </c>
      <c r="BE16" s="35">
        <f t="shared" si="17"/>
        <v>0</v>
      </c>
      <c r="BF16" s="35">
        <f t="shared" si="18"/>
        <v>0</v>
      </c>
      <c r="BG16" s="35">
        <f t="shared" si="19"/>
        <v>0</v>
      </c>
      <c r="BH16" s="35">
        <f t="shared" si="20"/>
        <v>0</v>
      </c>
      <c r="BI16" s="35">
        <f t="shared" si="21"/>
        <v>0</v>
      </c>
      <c r="BJ16" s="35">
        <f t="shared" si="22"/>
        <v>0</v>
      </c>
      <c r="BK16" s="35">
        <f t="shared" si="23"/>
        <v>0</v>
      </c>
      <c r="BL16" s="35">
        <f t="shared" si="24"/>
        <v>0</v>
      </c>
      <c r="BM16" s="35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9"/>
        <v>14</v>
      </c>
      <c r="N17">
        <f t="shared" si="26"/>
        <v>14</v>
      </c>
      <c r="O17">
        <f t="shared" si="26"/>
        <v>14</v>
      </c>
      <c r="P17">
        <f t="shared" si="26"/>
        <v>14</v>
      </c>
      <c r="Q17">
        <f t="shared" si="26"/>
        <v>14</v>
      </c>
      <c r="R17">
        <f t="shared" si="26"/>
        <v>14</v>
      </c>
      <c r="S17">
        <f t="shared" si="26"/>
        <v>14</v>
      </c>
      <c r="T17">
        <f t="shared" si="26"/>
        <v>14</v>
      </c>
      <c r="U17">
        <f t="shared" si="26"/>
        <v>14</v>
      </c>
      <c r="V17">
        <f t="shared" si="26"/>
        <v>14</v>
      </c>
      <c r="W17">
        <f t="shared" si="26"/>
        <v>14</v>
      </c>
      <c r="X17">
        <f t="shared" si="27"/>
        <v>14</v>
      </c>
      <c r="Y17">
        <f t="shared" si="27"/>
        <v>14</v>
      </c>
      <c r="Z17">
        <f t="shared" si="27"/>
        <v>14</v>
      </c>
      <c r="AA17">
        <f t="shared" si="27"/>
        <v>14</v>
      </c>
      <c r="AB17">
        <f t="shared" si="27"/>
        <v>14</v>
      </c>
      <c r="AC17">
        <f t="shared" si="27"/>
        <v>14</v>
      </c>
      <c r="AD17">
        <f t="shared" si="27"/>
        <v>14</v>
      </c>
      <c r="AE17">
        <f t="shared" si="27"/>
        <v>14</v>
      </c>
      <c r="AF17">
        <f t="shared" si="27"/>
        <v>14</v>
      </c>
      <c r="AG17">
        <f t="shared" si="27"/>
        <v>14</v>
      </c>
      <c r="AH17">
        <f t="shared" si="28"/>
        <v>14</v>
      </c>
      <c r="AI17">
        <f t="shared" si="28"/>
        <v>14</v>
      </c>
      <c r="AJ17">
        <f t="shared" si="28"/>
        <v>14</v>
      </c>
      <c r="AK17">
        <f t="shared" si="28"/>
        <v>14</v>
      </c>
      <c r="AL17">
        <f t="shared" si="28"/>
        <v>14</v>
      </c>
      <c r="AM17">
        <f t="shared" si="28"/>
        <v>14</v>
      </c>
      <c r="AN17">
        <f t="shared" si="28"/>
        <v>14</v>
      </c>
      <c r="AO17">
        <f t="shared" si="28"/>
        <v>14</v>
      </c>
      <c r="AP17">
        <f t="shared" si="28"/>
        <v>14</v>
      </c>
      <c r="AQ17">
        <f t="shared" si="28"/>
        <v>14</v>
      </c>
      <c r="AR17">
        <f t="shared" si="29"/>
        <v>14</v>
      </c>
      <c r="AS17">
        <f t="shared" si="29"/>
        <v>14</v>
      </c>
      <c r="AT17">
        <f t="shared" si="29"/>
        <v>14</v>
      </c>
      <c r="AU17">
        <f t="shared" si="29"/>
        <v>14</v>
      </c>
      <c r="AV17">
        <f t="shared" si="29"/>
        <v>14</v>
      </c>
      <c r="AW17">
        <f t="shared" si="29"/>
        <v>14</v>
      </c>
      <c r="AX17">
        <f t="shared" si="29"/>
        <v>14</v>
      </c>
      <c r="BB17" s="35">
        <f t="shared" si="14"/>
        <v>4</v>
      </c>
      <c r="BC17" s="35">
        <f t="shared" si="15"/>
        <v>7</v>
      </c>
      <c r="BD17" s="35">
        <f t="shared" si="16"/>
        <v>0</v>
      </c>
      <c r="BE17" s="35">
        <f t="shared" si="17"/>
        <v>0</v>
      </c>
      <c r="BF17" s="35">
        <f t="shared" si="18"/>
        <v>0</v>
      </c>
      <c r="BG17" s="35">
        <f t="shared" si="19"/>
        <v>0</v>
      </c>
      <c r="BH17" s="35">
        <f t="shared" si="20"/>
        <v>0</v>
      </c>
      <c r="BI17" s="35">
        <f t="shared" si="21"/>
        <v>0</v>
      </c>
      <c r="BJ17" s="35">
        <f t="shared" si="22"/>
        <v>0</v>
      </c>
      <c r="BK17" s="35">
        <f t="shared" si="23"/>
        <v>0</v>
      </c>
      <c r="BL17" s="35">
        <f t="shared" si="24"/>
        <v>0</v>
      </c>
      <c r="BM17" s="35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9"/>
        <v>7</v>
      </c>
      <c r="N18">
        <f t="shared" si="26"/>
        <v>7</v>
      </c>
      <c r="O18">
        <f t="shared" si="26"/>
        <v>7</v>
      </c>
      <c r="P18">
        <f t="shared" si="26"/>
        <v>7</v>
      </c>
      <c r="Q18">
        <f t="shared" si="26"/>
        <v>7</v>
      </c>
      <c r="R18">
        <f t="shared" si="26"/>
        <v>7</v>
      </c>
      <c r="S18">
        <f t="shared" si="26"/>
        <v>7</v>
      </c>
      <c r="T18">
        <f t="shared" si="26"/>
        <v>7</v>
      </c>
      <c r="U18">
        <f t="shared" si="26"/>
        <v>7</v>
      </c>
      <c r="V18">
        <f t="shared" si="26"/>
        <v>7</v>
      </c>
      <c r="W18">
        <f t="shared" si="26"/>
        <v>7</v>
      </c>
      <c r="X18">
        <f t="shared" si="27"/>
        <v>7</v>
      </c>
      <c r="Y18">
        <f t="shared" si="27"/>
        <v>7</v>
      </c>
      <c r="Z18">
        <f t="shared" si="27"/>
        <v>7</v>
      </c>
      <c r="AA18">
        <f t="shared" si="27"/>
        <v>7</v>
      </c>
      <c r="AB18">
        <f t="shared" si="27"/>
        <v>7</v>
      </c>
      <c r="AC18">
        <f t="shared" si="27"/>
        <v>7</v>
      </c>
      <c r="AD18">
        <f t="shared" si="27"/>
        <v>7</v>
      </c>
      <c r="AE18">
        <f t="shared" si="27"/>
        <v>7</v>
      </c>
      <c r="AF18">
        <f t="shared" si="27"/>
        <v>7</v>
      </c>
      <c r="AG18">
        <f t="shared" si="27"/>
        <v>7</v>
      </c>
      <c r="AH18">
        <f t="shared" si="28"/>
        <v>7</v>
      </c>
      <c r="AI18">
        <f t="shared" si="28"/>
        <v>7</v>
      </c>
      <c r="AJ18">
        <f t="shared" si="28"/>
        <v>7</v>
      </c>
      <c r="AK18">
        <f t="shared" si="28"/>
        <v>7</v>
      </c>
      <c r="AL18">
        <f t="shared" si="28"/>
        <v>7</v>
      </c>
      <c r="AM18">
        <f t="shared" si="28"/>
        <v>7</v>
      </c>
      <c r="AN18">
        <f t="shared" si="28"/>
        <v>7</v>
      </c>
      <c r="AO18">
        <f t="shared" si="28"/>
        <v>7</v>
      </c>
      <c r="AP18">
        <f t="shared" si="28"/>
        <v>7</v>
      </c>
      <c r="AQ18">
        <f t="shared" si="28"/>
        <v>7</v>
      </c>
      <c r="AR18">
        <f t="shared" si="29"/>
        <v>7</v>
      </c>
      <c r="AS18">
        <f t="shared" si="29"/>
        <v>7</v>
      </c>
      <c r="AT18">
        <f t="shared" si="29"/>
        <v>7</v>
      </c>
      <c r="AU18">
        <f t="shared" si="29"/>
        <v>7</v>
      </c>
      <c r="AV18">
        <f t="shared" si="29"/>
        <v>7</v>
      </c>
      <c r="AW18">
        <f t="shared" si="29"/>
        <v>7</v>
      </c>
      <c r="AX18">
        <f t="shared" si="29"/>
        <v>7</v>
      </c>
      <c r="BB18" s="35">
        <f t="shared" si="14"/>
        <v>2</v>
      </c>
      <c r="BC18" s="35">
        <f t="shared" si="15"/>
        <v>7</v>
      </c>
      <c r="BD18" s="35">
        <f t="shared" si="16"/>
        <v>0</v>
      </c>
      <c r="BE18" s="35">
        <f t="shared" si="17"/>
        <v>0</v>
      </c>
      <c r="BF18" s="35">
        <f t="shared" si="18"/>
        <v>0</v>
      </c>
      <c r="BG18" s="35">
        <f t="shared" si="19"/>
        <v>0</v>
      </c>
      <c r="BH18" s="35">
        <f t="shared" si="20"/>
        <v>0</v>
      </c>
      <c r="BI18" s="35">
        <f t="shared" si="21"/>
        <v>0</v>
      </c>
      <c r="BJ18" s="35">
        <f t="shared" si="22"/>
        <v>0</v>
      </c>
      <c r="BK18" s="35">
        <f t="shared" si="23"/>
        <v>0</v>
      </c>
      <c r="BL18" s="35">
        <f t="shared" si="24"/>
        <v>0</v>
      </c>
      <c r="BM18" s="35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9"/>
        <v>5</v>
      </c>
      <c r="N19">
        <f t="shared" si="26"/>
        <v>5</v>
      </c>
      <c r="O19">
        <f t="shared" si="26"/>
        <v>5</v>
      </c>
      <c r="P19">
        <f t="shared" si="26"/>
        <v>5</v>
      </c>
      <c r="Q19">
        <f t="shared" si="26"/>
        <v>5</v>
      </c>
      <c r="R19">
        <f t="shared" si="26"/>
        <v>5</v>
      </c>
      <c r="S19">
        <f t="shared" si="26"/>
        <v>5</v>
      </c>
      <c r="T19">
        <f t="shared" si="26"/>
        <v>5</v>
      </c>
      <c r="U19">
        <f t="shared" si="26"/>
        <v>5</v>
      </c>
      <c r="V19">
        <f t="shared" si="26"/>
        <v>5</v>
      </c>
      <c r="W19">
        <f t="shared" si="26"/>
        <v>5</v>
      </c>
      <c r="X19">
        <f t="shared" si="27"/>
        <v>5</v>
      </c>
      <c r="Y19">
        <f t="shared" si="27"/>
        <v>5</v>
      </c>
      <c r="Z19">
        <f t="shared" si="27"/>
        <v>5</v>
      </c>
      <c r="AA19">
        <f t="shared" si="27"/>
        <v>5</v>
      </c>
      <c r="AB19">
        <f t="shared" si="27"/>
        <v>5</v>
      </c>
      <c r="AC19">
        <f t="shared" si="27"/>
        <v>5</v>
      </c>
      <c r="AD19">
        <f t="shared" si="27"/>
        <v>5</v>
      </c>
      <c r="AE19">
        <f t="shared" si="27"/>
        <v>5</v>
      </c>
      <c r="AF19">
        <f t="shared" si="27"/>
        <v>5</v>
      </c>
      <c r="AG19">
        <f t="shared" si="27"/>
        <v>5</v>
      </c>
      <c r="AH19">
        <f t="shared" si="28"/>
        <v>5</v>
      </c>
      <c r="AI19">
        <f t="shared" si="28"/>
        <v>5</v>
      </c>
      <c r="AJ19">
        <f t="shared" si="28"/>
        <v>5</v>
      </c>
      <c r="AK19">
        <f t="shared" si="28"/>
        <v>5</v>
      </c>
      <c r="AL19">
        <f t="shared" si="28"/>
        <v>5</v>
      </c>
      <c r="AM19">
        <f t="shared" si="28"/>
        <v>5</v>
      </c>
      <c r="AN19">
        <f t="shared" si="28"/>
        <v>5</v>
      </c>
      <c r="AO19">
        <f t="shared" si="28"/>
        <v>5</v>
      </c>
      <c r="AP19">
        <f t="shared" si="28"/>
        <v>5</v>
      </c>
      <c r="AQ19">
        <f t="shared" si="28"/>
        <v>5</v>
      </c>
      <c r="AR19">
        <f t="shared" si="29"/>
        <v>5</v>
      </c>
      <c r="AS19">
        <f t="shared" si="29"/>
        <v>5</v>
      </c>
      <c r="AT19">
        <f t="shared" si="29"/>
        <v>5</v>
      </c>
      <c r="AU19">
        <f t="shared" si="29"/>
        <v>5</v>
      </c>
      <c r="AV19">
        <f t="shared" si="29"/>
        <v>5</v>
      </c>
      <c r="AW19">
        <f t="shared" si="29"/>
        <v>5</v>
      </c>
      <c r="AX19">
        <f t="shared" si="29"/>
        <v>5</v>
      </c>
      <c r="BB19" s="35">
        <f t="shared" si="14"/>
        <v>2</v>
      </c>
      <c r="BC19" s="35">
        <f t="shared" si="15"/>
        <v>5</v>
      </c>
      <c r="BD19" s="35">
        <f t="shared" si="16"/>
        <v>0</v>
      </c>
      <c r="BE19" s="35">
        <f t="shared" si="17"/>
        <v>0</v>
      </c>
      <c r="BF19" s="35">
        <f t="shared" si="18"/>
        <v>0</v>
      </c>
      <c r="BG19" s="35">
        <f t="shared" si="19"/>
        <v>0</v>
      </c>
      <c r="BH19" s="35">
        <f t="shared" si="20"/>
        <v>0</v>
      </c>
      <c r="BI19" s="35">
        <f t="shared" si="21"/>
        <v>0</v>
      </c>
      <c r="BJ19" s="35">
        <f t="shared" si="22"/>
        <v>0</v>
      </c>
      <c r="BK19" s="35">
        <f t="shared" si="23"/>
        <v>0</v>
      </c>
      <c r="BL19" s="35">
        <f t="shared" si="24"/>
        <v>0</v>
      </c>
      <c r="BM19" s="35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9"/>
        <v>14</v>
      </c>
      <c r="N20">
        <f t="shared" si="26"/>
        <v>14</v>
      </c>
      <c r="O20">
        <f t="shared" si="26"/>
        <v>14</v>
      </c>
      <c r="P20">
        <f t="shared" si="26"/>
        <v>14</v>
      </c>
      <c r="Q20">
        <f t="shared" si="26"/>
        <v>14</v>
      </c>
      <c r="R20">
        <f t="shared" si="26"/>
        <v>14</v>
      </c>
      <c r="S20">
        <f t="shared" si="26"/>
        <v>14</v>
      </c>
      <c r="T20">
        <f t="shared" si="26"/>
        <v>14</v>
      </c>
      <c r="U20">
        <f t="shared" si="26"/>
        <v>14</v>
      </c>
      <c r="V20">
        <f t="shared" si="26"/>
        <v>14</v>
      </c>
      <c r="W20">
        <f t="shared" si="26"/>
        <v>14</v>
      </c>
      <c r="X20">
        <f t="shared" si="27"/>
        <v>14</v>
      </c>
      <c r="Y20">
        <f t="shared" si="27"/>
        <v>14</v>
      </c>
      <c r="Z20">
        <f t="shared" si="27"/>
        <v>14</v>
      </c>
      <c r="AA20">
        <f t="shared" si="27"/>
        <v>14</v>
      </c>
      <c r="AB20">
        <f t="shared" si="27"/>
        <v>14</v>
      </c>
      <c r="AC20">
        <f t="shared" si="27"/>
        <v>14</v>
      </c>
      <c r="AD20">
        <f t="shared" si="27"/>
        <v>14</v>
      </c>
      <c r="AE20">
        <f t="shared" si="27"/>
        <v>14</v>
      </c>
      <c r="AF20">
        <f t="shared" si="27"/>
        <v>14</v>
      </c>
      <c r="AG20">
        <f t="shared" si="27"/>
        <v>14</v>
      </c>
      <c r="AH20">
        <f t="shared" si="28"/>
        <v>14</v>
      </c>
      <c r="AI20">
        <f t="shared" si="28"/>
        <v>14</v>
      </c>
      <c r="AJ20">
        <f t="shared" si="28"/>
        <v>14</v>
      </c>
      <c r="AK20">
        <f t="shared" si="28"/>
        <v>14</v>
      </c>
      <c r="AL20">
        <f t="shared" si="28"/>
        <v>14</v>
      </c>
      <c r="AM20">
        <f t="shared" si="28"/>
        <v>14</v>
      </c>
      <c r="AN20">
        <f t="shared" si="28"/>
        <v>14</v>
      </c>
      <c r="AO20">
        <f t="shared" si="28"/>
        <v>14</v>
      </c>
      <c r="AP20">
        <f t="shared" si="28"/>
        <v>14</v>
      </c>
      <c r="AQ20">
        <f t="shared" si="28"/>
        <v>14</v>
      </c>
      <c r="AR20">
        <f t="shared" si="29"/>
        <v>14</v>
      </c>
      <c r="AS20">
        <f t="shared" si="29"/>
        <v>14</v>
      </c>
      <c r="AT20">
        <f t="shared" si="29"/>
        <v>14</v>
      </c>
      <c r="AU20">
        <f t="shared" si="29"/>
        <v>14</v>
      </c>
      <c r="AV20">
        <f t="shared" si="29"/>
        <v>14</v>
      </c>
      <c r="AW20">
        <f t="shared" si="29"/>
        <v>14</v>
      </c>
      <c r="AX20">
        <f t="shared" si="29"/>
        <v>14</v>
      </c>
      <c r="BB20" s="35">
        <f t="shared" si="14"/>
        <v>1</v>
      </c>
      <c r="BC20" s="35">
        <f t="shared" si="15"/>
        <v>14</v>
      </c>
      <c r="BD20" s="35">
        <f t="shared" si="16"/>
        <v>0</v>
      </c>
      <c r="BE20" s="35">
        <f t="shared" si="17"/>
        <v>0</v>
      </c>
      <c r="BF20" s="35">
        <f t="shared" si="18"/>
        <v>0</v>
      </c>
      <c r="BG20" s="35">
        <f t="shared" si="19"/>
        <v>0</v>
      </c>
      <c r="BH20" s="35">
        <f t="shared" si="20"/>
        <v>0</v>
      </c>
      <c r="BI20" s="35">
        <f t="shared" si="21"/>
        <v>0</v>
      </c>
      <c r="BJ20" s="35">
        <f t="shared" si="22"/>
        <v>0</v>
      </c>
      <c r="BK20" s="35">
        <f t="shared" si="23"/>
        <v>0</v>
      </c>
      <c r="BL20" s="35">
        <f t="shared" si="24"/>
        <v>0</v>
      </c>
      <c r="BM20" s="35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9"/>
        <v>12</v>
      </c>
      <c r="N21">
        <f t="shared" si="26"/>
        <v>12</v>
      </c>
      <c r="O21">
        <f t="shared" si="26"/>
        <v>12</v>
      </c>
      <c r="P21">
        <f t="shared" si="26"/>
        <v>12</v>
      </c>
      <c r="Q21">
        <f t="shared" si="26"/>
        <v>12</v>
      </c>
      <c r="R21">
        <f t="shared" si="26"/>
        <v>12</v>
      </c>
      <c r="S21">
        <f t="shared" si="26"/>
        <v>12</v>
      </c>
      <c r="T21">
        <f t="shared" si="26"/>
        <v>12</v>
      </c>
      <c r="U21">
        <f t="shared" si="26"/>
        <v>12</v>
      </c>
      <c r="V21">
        <f t="shared" si="26"/>
        <v>12</v>
      </c>
      <c r="W21">
        <f t="shared" si="26"/>
        <v>12</v>
      </c>
      <c r="X21">
        <f t="shared" si="27"/>
        <v>12</v>
      </c>
      <c r="Y21">
        <f t="shared" si="27"/>
        <v>12</v>
      </c>
      <c r="Z21">
        <f t="shared" si="27"/>
        <v>12</v>
      </c>
      <c r="AA21">
        <f t="shared" si="27"/>
        <v>12</v>
      </c>
      <c r="AB21">
        <f t="shared" si="27"/>
        <v>12</v>
      </c>
      <c r="AC21">
        <f t="shared" si="27"/>
        <v>12</v>
      </c>
      <c r="AD21">
        <f t="shared" si="27"/>
        <v>12</v>
      </c>
      <c r="AE21">
        <f t="shared" si="27"/>
        <v>12</v>
      </c>
      <c r="AF21">
        <f t="shared" si="27"/>
        <v>12</v>
      </c>
      <c r="AG21">
        <f t="shared" si="27"/>
        <v>12</v>
      </c>
      <c r="AH21">
        <f t="shared" si="28"/>
        <v>12</v>
      </c>
      <c r="AI21">
        <f t="shared" si="28"/>
        <v>12</v>
      </c>
      <c r="AJ21">
        <f t="shared" si="28"/>
        <v>12</v>
      </c>
      <c r="AK21">
        <f t="shared" si="28"/>
        <v>12</v>
      </c>
      <c r="AL21">
        <f t="shared" si="28"/>
        <v>12</v>
      </c>
      <c r="AM21">
        <f t="shared" si="28"/>
        <v>12</v>
      </c>
      <c r="AN21">
        <f t="shared" si="28"/>
        <v>12</v>
      </c>
      <c r="AO21">
        <f t="shared" si="28"/>
        <v>12</v>
      </c>
      <c r="AP21">
        <f t="shared" si="28"/>
        <v>12</v>
      </c>
      <c r="AQ21">
        <f t="shared" si="28"/>
        <v>12</v>
      </c>
      <c r="AR21">
        <f t="shared" si="29"/>
        <v>12</v>
      </c>
      <c r="AS21">
        <f t="shared" si="29"/>
        <v>12</v>
      </c>
      <c r="AT21">
        <f t="shared" si="29"/>
        <v>12</v>
      </c>
      <c r="AU21">
        <f t="shared" si="29"/>
        <v>12</v>
      </c>
      <c r="AV21">
        <f t="shared" si="29"/>
        <v>12</v>
      </c>
      <c r="AW21">
        <f t="shared" si="29"/>
        <v>12</v>
      </c>
      <c r="AX21">
        <f t="shared" si="29"/>
        <v>12</v>
      </c>
      <c r="BB21" s="35">
        <f t="shared" si="14"/>
        <v>6</v>
      </c>
      <c r="BC21" s="35">
        <f t="shared" si="15"/>
        <v>4</v>
      </c>
      <c r="BD21" s="35">
        <f t="shared" si="16"/>
        <v>0</v>
      </c>
      <c r="BE21" s="35">
        <f t="shared" si="17"/>
        <v>0</v>
      </c>
      <c r="BF21" s="35">
        <f t="shared" si="18"/>
        <v>0</v>
      </c>
      <c r="BG21" s="35">
        <f t="shared" si="19"/>
        <v>0</v>
      </c>
      <c r="BH21" s="35">
        <f t="shared" si="20"/>
        <v>0</v>
      </c>
      <c r="BI21" s="35">
        <f t="shared" si="21"/>
        <v>0</v>
      </c>
      <c r="BJ21" s="35">
        <f t="shared" si="22"/>
        <v>0</v>
      </c>
      <c r="BK21" s="35">
        <f t="shared" si="23"/>
        <v>0</v>
      </c>
      <c r="BL21" s="35">
        <f t="shared" si="24"/>
        <v>0</v>
      </c>
      <c r="BM21" s="35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9"/>
        <v>5</v>
      </c>
      <c r="N22">
        <f t="shared" si="26"/>
        <v>5</v>
      </c>
      <c r="O22">
        <f t="shared" si="26"/>
        <v>5</v>
      </c>
      <c r="P22">
        <f t="shared" si="26"/>
        <v>5</v>
      </c>
      <c r="Q22">
        <f t="shared" si="26"/>
        <v>5</v>
      </c>
      <c r="R22">
        <f t="shared" si="26"/>
        <v>5</v>
      </c>
      <c r="S22">
        <f t="shared" si="26"/>
        <v>5</v>
      </c>
      <c r="T22">
        <f t="shared" si="26"/>
        <v>5</v>
      </c>
      <c r="U22">
        <f t="shared" si="26"/>
        <v>5</v>
      </c>
      <c r="V22">
        <f t="shared" si="26"/>
        <v>5</v>
      </c>
      <c r="W22">
        <f t="shared" si="26"/>
        <v>5</v>
      </c>
      <c r="X22">
        <f t="shared" si="27"/>
        <v>5</v>
      </c>
      <c r="Y22">
        <f t="shared" si="27"/>
        <v>5</v>
      </c>
      <c r="Z22">
        <f t="shared" si="27"/>
        <v>5</v>
      </c>
      <c r="AA22">
        <f t="shared" si="27"/>
        <v>5</v>
      </c>
      <c r="AB22">
        <f t="shared" si="27"/>
        <v>5</v>
      </c>
      <c r="AC22">
        <f t="shared" si="27"/>
        <v>5</v>
      </c>
      <c r="AD22">
        <f t="shared" si="27"/>
        <v>5</v>
      </c>
      <c r="AE22">
        <f t="shared" si="27"/>
        <v>5</v>
      </c>
      <c r="AF22">
        <f t="shared" si="27"/>
        <v>5</v>
      </c>
      <c r="AG22">
        <f t="shared" si="27"/>
        <v>5</v>
      </c>
      <c r="AH22">
        <f t="shared" si="28"/>
        <v>5</v>
      </c>
      <c r="AI22">
        <f t="shared" si="28"/>
        <v>5</v>
      </c>
      <c r="AJ22">
        <f t="shared" si="28"/>
        <v>5</v>
      </c>
      <c r="AK22">
        <f t="shared" si="28"/>
        <v>5</v>
      </c>
      <c r="AL22">
        <f t="shared" si="28"/>
        <v>5</v>
      </c>
      <c r="AM22">
        <f t="shared" si="28"/>
        <v>5</v>
      </c>
      <c r="AN22">
        <f t="shared" si="28"/>
        <v>5</v>
      </c>
      <c r="AO22">
        <f t="shared" si="28"/>
        <v>5</v>
      </c>
      <c r="AP22">
        <f t="shared" si="28"/>
        <v>5</v>
      </c>
      <c r="AQ22">
        <f t="shared" si="28"/>
        <v>5</v>
      </c>
      <c r="AR22">
        <f t="shared" si="29"/>
        <v>5</v>
      </c>
      <c r="AS22">
        <f t="shared" si="29"/>
        <v>5</v>
      </c>
      <c r="AT22">
        <f t="shared" si="29"/>
        <v>5</v>
      </c>
      <c r="AU22">
        <f t="shared" si="29"/>
        <v>5</v>
      </c>
      <c r="AV22">
        <f t="shared" si="29"/>
        <v>5</v>
      </c>
      <c r="AW22">
        <f t="shared" si="29"/>
        <v>5</v>
      </c>
      <c r="AX22">
        <f t="shared" si="29"/>
        <v>5</v>
      </c>
      <c r="BB22" s="35">
        <f t="shared" si="14"/>
        <v>0</v>
      </c>
      <c r="BC22" s="35">
        <f t="shared" si="15"/>
        <v>0</v>
      </c>
      <c r="BD22" s="35">
        <f t="shared" si="16"/>
        <v>2</v>
      </c>
      <c r="BE22" s="35">
        <f t="shared" si="17"/>
        <v>5</v>
      </c>
      <c r="BF22" s="35">
        <f t="shared" si="18"/>
        <v>0</v>
      </c>
      <c r="BG22" s="35">
        <f t="shared" si="19"/>
        <v>0</v>
      </c>
      <c r="BH22" s="35">
        <f t="shared" si="20"/>
        <v>0</v>
      </c>
      <c r="BI22" s="35">
        <f t="shared" si="21"/>
        <v>0</v>
      </c>
      <c r="BJ22" s="35">
        <f t="shared" si="22"/>
        <v>0</v>
      </c>
      <c r="BK22" s="35">
        <f t="shared" si="23"/>
        <v>0</v>
      </c>
      <c r="BL22" s="35">
        <f t="shared" si="24"/>
        <v>0</v>
      </c>
      <c r="BM22" s="35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9"/>
        <v>11</v>
      </c>
      <c r="N23">
        <f t="shared" ref="N23:W32" si="31">IF($B23&lt;N$1,$C23*$D23,0)</f>
        <v>11</v>
      </c>
      <c r="O23">
        <f t="shared" si="31"/>
        <v>11</v>
      </c>
      <c r="P23">
        <f t="shared" si="31"/>
        <v>11</v>
      </c>
      <c r="Q23">
        <f t="shared" si="31"/>
        <v>11</v>
      </c>
      <c r="R23">
        <f t="shared" si="31"/>
        <v>11</v>
      </c>
      <c r="S23">
        <f t="shared" si="31"/>
        <v>11</v>
      </c>
      <c r="T23">
        <f t="shared" si="31"/>
        <v>11</v>
      </c>
      <c r="U23">
        <f t="shared" si="31"/>
        <v>11</v>
      </c>
      <c r="V23">
        <f t="shared" si="31"/>
        <v>11</v>
      </c>
      <c r="W23">
        <f t="shared" si="31"/>
        <v>11</v>
      </c>
      <c r="X23">
        <f t="shared" ref="X23:AG32" si="32">IF($B23&lt;X$1,$C23*$D23,0)</f>
        <v>11</v>
      </c>
      <c r="Y23">
        <f t="shared" si="32"/>
        <v>11</v>
      </c>
      <c r="Z23">
        <f t="shared" si="32"/>
        <v>11</v>
      </c>
      <c r="AA23">
        <f t="shared" si="32"/>
        <v>11</v>
      </c>
      <c r="AB23">
        <f t="shared" si="32"/>
        <v>11</v>
      </c>
      <c r="AC23">
        <f t="shared" si="32"/>
        <v>11</v>
      </c>
      <c r="AD23">
        <f t="shared" si="32"/>
        <v>11</v>
      </c>
      <c r="AE23">
        <f t="shared" si="32"/>
        <v>11</v>
      </c>
      <c r="AF23">
        <f t="shared" si="32"/>
        <v>11</v>
      </c>
      <c r="AG23">
        <f t="shared" si="32"/>
        <v>11</v>
      </c>
      <c r="AH23">
        <f t="shared" ref="AH23:AQ32" si="33">IF($B23&lt;AH$1,$C23*$D23,0)</f>
        <v>11</v>
      </c>
      <c r="AI23">
        <f t="shared" si="33"/>
        <v>11</v>
      </c>
      <c r="AJ23">
        <f t="shared" si="33"/>
        <v>11</v>
      </c>
      <c r="AK23">
        <f t="shared" si="33"/>
        <v>11</v>
      </c>
      <c r="AL23">
        <f t="shared" si="33"/>
        <v>11</v>
      </c>
      <c r="AM23">
        <f t="shared" si="33"/>
        <v>11</v>
      </c>
      <c r="AN23">
        <f t="shared" si="33"/>
        <v>11</v>
      </c>
      <c r="AO23">
        <f t="shared" si="33"/>
        <v>11</v>
      </c>
      <c r="AP23">
        <f t="shared" si="33"/>
        <v>11</v>
      </c>
      <c r="AQ23">
        <f t="shared" si="33"/>
        <v>11</v>
      </c>
      <c r="AR23">
        <f t="shared" ref="AR23:AX32" si="34">IF($B23&lt;AR$1,$C23*$D23,0)</f>
        <v>11</v>
      </c>
      <c r="AS23">
        <f t="shared" si="34"/>
        <v>11</v>
      </c>
      <c r="AT23">
        <f t="shared" si="34"/>
        <v>11</v>
      </c>
      <c r="AU23">
        <f t="shared" si="34"/>
        <v>11</v>
      </c>
      <c r="AV23">
        <f t="shared" si="34"/>
        <v>11</v>
      </c>
      <c r="AW23">
        <f t="shared" si="34"/>
        <v>11</v>
      </c>
      <c r="AX23">
        <f t="shared" si="34"/>
        <v>11</v>
      </c>
      <c r="BB23" s="35">
        <f t="shared" si="14"/>
        <v>0</v>
      </c>
      <c r="BC23" s="35">
        <f t="shared" si="15"/>
        <v>0</v>
      </c>
      <c r="BD23" s="35">
        <f t="shared" si="16"/>
        <v>0</v>
      </c>
      <c r="BE23" s="35">
        <f t="shared" si="17"/>
        <v>0</v>
      </c>
      <c r="BF23" s="35">
        <f t="shared" si="18"/>
        <v>0</v>
      </c>
      <c r="BG23" s="35">
        <f t="shared" si="19"/>
        <v>0</v>
      </c>
      <c r="BH23" s="35">
        <f t="shared" si="20"/>
        <v>2</v>
      </c>
      <c r="BI23" s="35">
        <f t="shared" si="21"/>
        <v>11</v>
      </c>
      <c r="BJ23" s="35">
        <f t="shared" si="22"/>
        <v>0</v>
      </c>
      <c r="BK23" s="35">
        <f t="shared" si="23"/>
        <v>0</v>
      </c>
      <c r="BL23" s="35">
        <f t="shared" si="24"/>
        <v>0</v>
      </c>
      <c r="BM23" s="35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9"/>
        <v>3</v>
      </c>
      <c r="N24">
        <f t="shared" si="31"/>
        <v>3</v>
      </c>
      <c r="O24">
        <f t="shared" si="31"/>
        <v>3</v>
      </c>
      <c r="P24">
        <f t="shared" si="31"/>
        <v>3</v>
      </c>
      <c r="Q24">
        <f t="shared" si="31"/>
        <v>3</v>
      </c>
      <c r="R24">
        <f t="shared" si="31"/>
        <v>3</v>
      </c>
      <c r="S24">
        <f t="shared" si="31"/>
        <v>3</v>
      </c>
      <c r="T24">
        <f t="shared" si="31"/>
        <v>3</v>
      </c>
      <c r="U24">
        <f t="shared" si="31"/>
        <v>3</v>
      </c>
      <c r="V24">
        <f t="shared" si="31"/>
        <v>3</v>
      </c>
      <c r="W24">
        <f t="shared" si="31"/>
        <v>3</v>
      </c>
      <c r="X24">
        <f t="shared" si="32"/>
        <v>3</v>
      </c>
      <c r="Y24">
        <f t="shared" si="32"/>
        <v>3</v>
      </c>
      <c r="Z24">
        <f t="shared" si="32"/>
        <v>3</v>
      </c>
      <c r="AA24">
        <f t="shared" si="32"/>
        <v>3</v>
      </c>
      <c r="AB24">
        <f t="shared" si="32"/>
        <v>3</v>
      </c>
      <c r="AC24">
        <f t="shared" si="32"/>
        <v>3</v>
      </c>
      <c r="AD24">
        <f t="shared" si="32"/>
        <v>3</v>
      </c>
      <c r="AE24">
        <f t="shared" si="32"/>
        <v>3</v>
      </c>
      <c r="AF24">
        <f t="shared" si="32"/>
        <v>3</v>
      </c>
      <c r="AG24">
        <f t="shared" si="32"/>
        <v>3</v>
      </c>
      <c r="AH24">
        <f t="shared" si="33"/>
        <v>3</v>
      </c>
      <c r="AI24">
        <f t="shared" si="33"/>
        <v>3</v>
      </c>
      <c r="AJ24">
        <f t="shared" si="33"/>
        <v>3</v>
      </c>
      <c r="AK24">
        <f t="shared" si="33"/>
        <v>3</v>
      </c>
      <c r="AL24">
        <f t="shared" si="33"/>
        <v>3</v>
      </c>
      <c r="AM24">
        <f t="shared" si="33"/>
        <v>3</v>
      </c>
      <c r="AN24">
        <f t="shared" si="33"/>
        <v>3</v>
      </c>
      <c r="AO24">
        <f t="shared" si="33"/>
        <v>3</v>
      </c>
      <c r="AP24">
        <f t="shared" si="33"/>
        <v>3</v>
      </c>
      <c r="AQ24">
        <f t="shared" si="33"/>
        <v>3</v>
      </c>
      <c r="AR24">
        <f t="shared" si="34"/>
        <v>3</v>
      </c>
      <c r="AS24">
        <f t="shared" si="34"/>
        <v>3</v>
      </c>
      <c r="AT24">
        <f t="shared" si="34"/>
        <v>3</v>
      </c>
      <c r="AU24">
        <f t="shared" si="34"/>
        <v>3</v>
      </c>
      <c r="AV24">
        <f t="shared" si="34"/>
        <v>3</v>
      </c>
      <c r="AW24">
        <f t="shared" si="34"/>
        <v>3</v>
      </c>
      <c r="AX24">
        <f t="shared" si="34"/>
        <v>3</v>
      </c>
      <c r="BB24" s="35">
        <f t="shared" si="14"/>
        <v>2</v>
      </c>
      <c r="BC24" s="35">
        <f t="shared" si="15"/>
        <v>3</v>
      </c>
      <c r="BD24" s="35">
        <f t="shared" si="16"/>
        <v>0</v>
      </c>
      <c r="BE24" s="35">
        <f t="shared" si="17"/>
        <v>0</v>
      </c>
      <c r="BF24" s="35">
        <f t="shared" si="18"/>
        <v>0</v>
      </c>
      <c r="BG24" s="35">
        <f t="shared" si="19"/>
        <v>0</v>
      </c>
      <c r="BH24" s="35">
        <f t="shared" si="20"/>
        <v>0</v>
      </c>
      <c r="BI24" s="35">
        <f t="shared" si="21"/>
        <v>0</v>
      </c>
      <c r="BJ24" s="35">
        <f t="shared" si="22"/>
        <v>0</v>
      </c>
      <c r="BK24" s="35">
        <f t="shared" si="23"/>
        <v>0</v>
      </c>
      <c r="BL24" s="35">
        <f t="shared" si="24"/>
        <v>0</v>
      </c>
      <c r="BM24" s="35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9"/>
        <v>3</v>
      </c>
      <c r="N25">
        <f t="shared" si="31"/>
        <v>3</v>
      </c>
      <c r="O25">
        <f t="shared" si="31"/>
        <v>3</v>
      </c>
      <c r="P25">
        <f t="shared" si="31"/>
        <v>3</v>
      </c>
      <c r="Q25">
        <f t="shared" si="31"/>
        <v>3</v>
      </c>
      <c r="R25">
        <f t="shared" si="31"/>
        <v>3</v>
      </c>
      <c r="S25">
        <f t="shared" si="31"/>
        <v>3</v>
      </c>
      <c r="T25">
        <f t="shared" si="31"/>
        <v>3</v>
      </c>
      <c r="U25">
        <f t="shared" si="31"/>
        <v>3</v>
      </c>
      <c r="V25">
        <f t="shared" si="31"/>
        <v>3</v>
      </c>
      <c r="W25">
        <f t="shared" si="31"/>
        <v>3</v>
      </c>
      <c r="X25">
        <f t="shared" si="32"/>
        <v>3</v>
      </c>
      <c r="Y25">
        <f t="shared" si="32"/>
        <v>3</v>
      </c>
      <c r="Z25">
        <f t="shared" si="32"/>
        <v>3</v>
      </c>
      <c r="AA25">
        <f t="shared" si="32"/>
        <v>3</v>
      </c>
      <c r="AB25">
        <f t="shared" si="32"/>
        <v>3</v>
      </c>
      <c r="AC25">
        <f t="shared" si="32"/>
        <v>3</v>
      </c>
      <c r="AD25">
        <f t="shared" si="32"/>
        <v>3</v>
      </c>
      <c r="AE25">
        <f t="shared" si="32"/>
        <v>3</v>
      </c>
      <c r="AF25">
        <f t="shared" si="32"/>
        <v>3</v>
      </c>
      <c r="AG25">
        <f t="shared" si="32"/>
        <v>3</v>
      </c>
      <c r="AH25">
        <f t="shared" si="33"/>
        <v>3</v>
      </c>
      <c r="AI25">
        <f t="shared" si="33"/>
        <v>3</v>
      </c>
      <c r="AJ25">
        <f t="shared" si="33"/>
        <v>3</v>
      </c>
      <c r="AK25">
        <f t="shared" si="33"/>
        <v>3</v>
      </c>
      <c r="AL25">
        <f t="shared" si="33"/>
        <v>3</v>
      </c>
      <c r="AM25">
        <f t="shared" si="33"/>
        <v>3</v>
      </c>
      <c r="AN25">
        <f t="shared" si="33"/>
        <v>3</v>
      </c>
      <c r="AO25">
        <f t="shared" si="33"/>
        <v>3</v>
      </c>
      <c r="AP25">
        <f t="shared" si="33"/>
        <v>3</v>
      </c>
      <c r="AQ25">
        <f t="shared" si="33"/>
        <v>3</v>
      </c>
      <c r="AR25">
        <f t="shared" si="34"/>
        <v>3</v>
      </c>
      <c r="AS25">
        <f t="shared" si="34"/>
        <v>3</v>
      </c>
      <c r="AT25">
        <f t="shared" si="34"/>
        <v>3</v>
      </c>
      <c r="AU25">
        <f t="shared" si="34"/>
        <v>3</v>
      </c>
      <c r="AV25">
        <f t="shared" si="34"/>
        <v>3</v>
      </c>
      <c r="AW25">
        <f t="shared" si="34"/>
        <v>3</v>
      </c>
      <c r="AX25">
        <f t="shared" si="34"/>
        <v>3</v>
      </c>
      <c r="BB25" s="35">
        <f t="shared" si="14"/>
        <v>0</v>
      </c>
      <c r="BC25" s="35">
        <f t="shared" si="15"/>
        <v>0</v>
      </c>
      <c r="BD25" s="35">
        <f t="shared" si="16"/>
        <v>2</v>
      </c>
      <c r="BE25" s="35">
        <f t="shared" si="17"/>
        <v>3</v>
      </c>
      <c r="BF25" s="35">
        <f t="shared" si="18"/>
        <v>0</v>
      </c>
      <c r="BG25" s="35">
        <f t="shared" si="19"/>
        <v>0</v>
      </c>
      <c r="BH25" s="35">
        <f t="shared" si="20"/>
        <v>0</v>
      </c>
      <c r="BI25" s="35">
        <f t="shared" si="21"/>
        <v>0</v>
      </c>
      <c r="BJ25" s="35">
        <f t="shared" si="22"/>
        <v>0</v>
      </c>
      <c r="BK25" s="35">
        <f t="shared" si="23"/>
        <v>0</v>
      </c>
      <c r="BL25" s="35">
        <f t="shared" si="24"/>
        <v>0</v>
      </c>
      <c r="BM25" s="35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9"/>
        <v>5</v>
      </c>
      <c r="N26">
        <f t="shared" si="31"/>
        <v>5</v>
      </c>
      <c r="O26">
        <f t="shared" si="31"/>
        <v>5</v>
      </c>
      <c r="P26">
        <f t="shared" si="31"/>
        <v>5</v>
      </c>
      <c r="Q26">
        <f t="shared" si="31"/>
        <v>5</v>
      </c>
      <c r="R26">
        <f t="shared" si="31"/>
        <v>5</v>
      </c>
      <c r="S26">
        <f t="shared" si="31"/>
        <v>5</v>
      </c>
      <c r="T26">
        <f t="shared" si="31"/>
        <v>5</v>
      </c>
      <c r="U26">
        <f t="shared" si="31"/>
        <v>5</v>
      </c>
      <c r="V26">
        <f t="shared" si="31"/>
        <v>5</v>
      </c>
      <c r="W26">
        <f t="shared" si="31"/>
        <v>5</v>
      </c>
      <c r="X26">
        <f t="shared" si="32"/>
        <v>5</v>
      </c>
      <c r="Y26">
        <f t="shared" si="32"/>
        <v>5</v>
      </c>
      <c r="Z26">
        <f t="shared" si="32"/>
        <v>5</v>
      </c>
      <c r="AA26">
        <f t="shared" si="32"/>
        <v>5</v>
      </c>
      <c r="AB26">
        <f t="shared" si="32"/>
        <v>5</v>
      </c>
      <c r="AC26">
        <f t="shared" si="32"/>
        <v>5</v>
      </c>
      <c r="AD26">
        <f t="shared" si="32"/>
        <v>5</v>
      </c>
      <c r="AE26">
        <f t="shared" si="32"/>
        <v>5</v>
      </c>
      <c r="AF26">
        <f t="shared" si="32"/>
        <v>5</v>
      </c>
      <c r="AG26">
        <f t="shared" si="32"/>
        <v>5</v>
      </c>
      <c r="AH26">
        <f t="shared" si="33"/>
        <v>5</v>
      </c>
      <c r="AI26">
        <f t="shared" si="33"/>
        <v>5</v>
      </c>
      <c r="AJ26">
        <f t="shared" si="33"/>
        <v>5</v>
      </c>
      <c r="AK26">
        <f t="shared" si="33"/>
        <v>5</v>
      </c>
      <c r="AL26">
        <f t="shared" si="33"/>
        <v>5</v>
      </c>
      <c r="AM26">
        <f t="shared" si="33"/>
        <v>5</v>
      </c>
      <c r="AN26">
        <f t="shared" si="33"/>
        <v>5</v>
      </c>
      <c r="AO26">
        <f t="shared" si="33"/>
        <v>5</v>
      </c>
      <c r="AP26">
        <f t="shared" si="33"/>
        <v>5</v>
      </c>
      <c r="AQ26">
        <f t="shared" si="33"/>
        <v>5</v>
      </c>
      <c r="AR26">
        <f t="shared" si="34"/>
        <v>5</v>
      </c>
      <c r="AS26">
        <f t="shared" si="34"/>
        <v>5</v>
      </c>
      <c r="AT26">
        <f t="shared" si="34"/>
        <v>5</v>
      </c>
      <c r="AU26">
        <f t="shared" si="34"/>
        <v>5</v>
      </c>
      <c r="AV26">
        <f t="shared" si="34"/>
        <v>5</v>
      </c>
      <c r="AW26">
        <f t="shared" si="34"/>
        <v>5</v>
      </c>
      <c r="AX26">
        <f t="shared" si="34"/>
        <v>5</v>
      </c>
      <c r="BB26" s="35">
        <f t="shared" si="14"/>
        <v>0</v>
      </c>
      <c r="BC26" s="35">
        <f t="shared" si="15"/>
        <v>0</v>
      </c>
      <c r="BD26" s="35">
        <f t="shared" si="16"/>
        <v>0</v>
      </c>
      <c r="BE26" s="35">
        <f t="shared" si="17"/>
        <v>0</v>
      </c>
      <c r="BF26" s="35">
        <f t="shared" si="18"/>
        <v>0</v>
      </c>
      <c r="BG26" s="35">
        <f t="shared" si="19"/>
        <v>0</v>
      </c>
      <c r="BH26" s="35">
        <f t="shared" si="20"/>
        <v>0</v>
      </c>
      <c r="BI26" s="35">
        <f t="shared" si="21"/>
        <v>0</v>
      </c>
      <c r="BJ26" s="35">
        <f t="shared" si="22"/>
        <v>0</v>
      </c>
      <c r="BK26" s="35">
        <f t="shared" si="23"/>
        <v>0</v>
      </c>
      <c r="BL26" s="35">
        <f t="shared" si="24"/>
        <v>1</v>
      </c>
      <c r="BM26" s="35">
        <f t="shared" si="25"/>
        <v>5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9"/>
        <v>3</v>
      </c>
      <c r="N27">
        <f t="shared" si="31"/>
        <v>3</v>
      </c>
      <c r="O27">
        <f t="shared" si="31"/>
        <v>3</v>
      </c>
      <c r="P27">
        <f t="shared" si="31"/>
        <v>3</v>
      </c>
      <c r="Q27">
        <f t="shared" si="31"/>
        <v>3</v>
      </c>
      <c r="R27">
        <f t="shared" si="31"/>
        <v>3</v>
      </c>
      <c r="S27">
        <f t="shared" si="31"/>
        <v>3</v>
      </c>
      <c r="T27">
        <f t="shared" si="31"/>
        <v>3</v>
      </c>
      <c r="U27">
        <f t="shared" si="31"/>
        <v>3</v>
      </c>
      <c r="V27">
        <f t="shared" si="31"/>
        <v>3</v>
      </c>
      <c r="W27">
        <f t="shared" si="31"/>
        <v>3</v>
      </c>
      <c r="X27">
        <f t="shared" si="32"/>
        <v>3</v>
      </c>
      <c r="Y27">
        <f t="shared" si="32"/>
        <v>3</v>
      </c>
      <c r="Z27">
        <f t="shared" si="32"/>
        <v>3</v>
      </c>
      <c r="AA27">
        <f t="shared" si="32"/>
        <v>3</v>
      </c>
      <c r="AB27">
        <f t="shared" si="32"/>
        <v>3</v>
      </c>
      <c r="AC27">
        <f t="shared" si="32"/>
        <v>3</v>
      </c>
      <c r="AD27">
        <f t="shared" si="32"/>
        <v>3</v>
      </c>
      <c r="AE27">
        <f t="shared" si="32"/>
        <v>3</v>
      </c>
      <c r="AF27">
        <f t="shared" si="32"/>
        <v>3</v>
      </c>
      <c r="AG27">
        <f t="shared" si="32"/>
        <v>3</v>
      </c>
      <c r="AH27">
        <f t="shared" si="33"/>
        <v>3</v>
      </c>
      <c r="AI27">
        <f t="shared" si="33"/>
        <v>3</v>
      </c>
      <c r="AJ27">
        <f t="shared" si="33"/>
        <v>3</v>
      </c>
      <c r="AK27">
        <f t="shared" si="33"/>
        <v>3</v>
      </c>
      <c r="AL27">
        <f t="shared" si="33"/>
        <v>3</v>
      </c>
      <c r="AM27">
        <f t="shared" si="33"/>
        <v>3</v>
      </c>
      <c r="AN27">
        <f t="shared" si="33"/>
        <v>3</v>
      </c>
      <c r="AO27">
        <f t="shared" si="33"/>
        <v>3</v>
      </c>
      <c r="AP27">
        <f t="shared" si="33"/>
        <v>3</v>
      </c>
      <c r="AQ27">
        <f t="shared" si="33"/>
        <v>3</v>
      </c>
      <c r="AR27">
        <f t="shared" si="34"/>
        <v>3</v>
      </c>
      <c r="AS27">
        <f t="shared" si="34"/>
        <v>3</v>
      </c>
      <c r="AT27">
        <f t="shared" si="34"/>
        <v>3</v>
      </c>
      <c r="AU27">
        <f t="shared" si="34"/>
        <v>3</v>
      </c>
      <c r="AV27">
        <f t="shared" si="34"/>
        <v>3</v>
      </c>
      <c r="AW27">
        <f t="shared" si="34"/>
        <v>3</v>
      </c>
      <c r="AX27">
        <f t="shared" si="34"/>
        <v>3</v>
      </c>
      <c r="BB27" s="35">
        <f t="shared" si="14"/>
        <v>2</v>
      </c>
      <c r="BC27" s="35">
        <f t="shared" si="15"/>
        <v>3</v>
      </c>
      <c r="BD27" s="35">
        <f t="shared" si="16"/>
        <v>0</v>
      </c>
      <c r="BE27" s="35">
        <f t="shared" si="17"/>
        <v>0</v>
      </c>
      <c r="BF27" s="35">
        <f t="shared" si="18"/>
        <v>0</v>
      </c>
      <c r="BG27" s="35">
        <f t="shared" si="19"/>
        <v>0</v>
      </c>
      <c r="BH27" s="35">
        <f t="shared" si="20"/>
        <v>0</v>
      </c>
      <c r="BI27" s="35">
        <f t="shared" si="21"/>
        <v>0</v>
      </c>
      <c r="BJ27" s="35">
        <f t="shared" si="22"/>
        <v>0</v>
      </c>
      <c r="BK27" s="35">
        <f t="shared" si="23"/>
        <v>0</v>
      </c>
      <c r="BL27" s="35">
        <f t="shared" si="24"/>
        <v>0</v>
      </c>
      <c r="BM27" s="35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9"/>
        <v>6</v>
      </c>
      <c r="N28">
        <f t="shared" si="31"/>
        <v>6</v>
      </c>
      <c r="O28">
        <f t="shared" si="31"/>
        <v>6</v>
      </c>
      <c r="P28">
        <f t="shared" si="31"/>
        <v>6</v>
      </c>
      <c r="Q28">
        <f t="shared" si="31"/>
        <v>6</v>
      </c>
      <c r="R28">
        <f t="shared" si="31"/>
        <v>6</v>
      </c>
      <c r="S28">
        <f t="shared" si="31"/>
        <v>6</v>
      </c>
      <c r="T28">
        <f t="shared" si="31"/>
        <v>6</v>
      </c>
      <c r="U28">
        <f t="shared" si="31"/>
        <v>6</v>
      </c>
      <c r="V28">
        <f t="shared" si="31"/>
        <v>6</v>
      </c>
      <c r="W28">
        <f t="shared" si="31"/>
        <v>6</v>
      </c>
      <c r="X28">
        <f t="shared" si="32"/>
        <v>6</v>
      </c>
      <c r="Y28">
        <f t="shared" si="32"/>
        <v>6</v>
      </c>
      <c r="Z28">
        <f t="shared" si="32"/>
        <v>6</v>
      </c>
      <c r="AA28">
        <f t="shared" si="32"/>
        <v>6</v>
      </c>
      <c r="AB28">
        <f t="shared" si="32"/>
        <v>6</v>
      </c>
      <c r="AC28">
        <f t="shared" si="32"/>
        <v>6</v>
      </c>
      <c r="AD28">
        <f t="shared" si="32"/>
        <v>6</v>
      </c>
      <c r="AE28">
        <f t="shared" si="32"/>
        <v>6</v>
      </c>
      <c r="AF28">
        <f t="shared" si="32"/>
        <v>6</v>
      </c>
      <c r="AG28">
        <f t="shared" si="32"/>
        <v>6</v>
      </c>
      <c r="AH28">
        <f t="shared" si="33"/>
        <v>6</v>
      </c>
      <c r="AI28">
        <f t="shared" si="33"/>
        <v>6</v>
      </c>
      <c r="AJ28">
        <f t="shared" si="33"/>
        <v>6</v>
      </c>
      <c r="AK28">
        <f t="shared" si="33"/>
        <v>6</v>
      </c>
      <c r="AL28">
        <f t="shared" si="33"/>
        <v>6</v>
      </c>
      <c r="AM28">
        <f t="shared" si="33"/>
        <v>6</v>
      </c>
      <c r="AN28">
        <f t="shared" si="33"/>
        <v>6</v>
      </c>
      <c r="AO28">
        <f t="shared" si="33"/>
        <v>6</v>
      </c>
      <c r="AP28">
        <f t="shared" si="33"/>
        <v>6</v>
      </c>
      <c r="AQ28">
        <f t="shared" si="33"/>
        <v>6</v>
      </c>
      <c r="AR28">
        <f t="shared" si="34"/>
        <v>6</v>
      </c>
      <c r="AS28">
        <f t="shared" si="34"/>
        <v>6</v>
      </c>
      <c r="AT28">
        <f t="shared" si="34"/>
        <v>6</v>
      </c>
      <c r="AU28">
        <f t="shared" si="34"/>
        <v>6</v>
      </c>
      <c r="AV28">
        <f t="shared" si="34"/>
        <v>6</v>
      </c>
      <c r="AW28">
        <f t="shared" si="34"/>
        <v>6</v>
      </c>
      <c r="AX28">
        <f t="shared" si="34"/>
        <v>6</v>
      </c>
      <c r="BB28" s="35">
        <f t="shared" si="14"/>
        <v>2</v>
      </c>
      <c r="BC28" s="35">
        <f t="shared" si="15"/>
        <v>6</v>
      </c>
      <c r="BD28" s="35">
        <f t="shared" si="16"/>
        <v>0</v>
      </c>
      <c r="BE28" s="35">
        <f t="shared" si="17"/>
        <v>0</v>
      </c>
      <c r="BF28" s="35">
        <f t="shared" si="18"/>
        <v>0</v>
      </c>
      <c r="BG28" s="35">
        <f t="shared" si="19"/>
        <v>0</v>
      </c>
      <c r="BH28" s="35">
        <f t="shared" si="20"/>
        <v>0</v>
      </c>
      <c r="BI28" s="35">
        <f t="shared" si="21"/>
        <v>0</v>
      </c>
      <c r="BJ28" s="35">
        <f t="shared" si="22"/>
        <v>0</v>
      </c>
      <c r="BK28" s="35">
        <f t="shared" si="23"/>
        <v>0</v>
      </c>
      <c r="BL28" s="35">
        <f t="shared" si="24"/>
        <v>0</v>
      </c>
      <c r="BM28" s="35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9"/>
        <v>4</v>
      </c>
      <c r="N29">
        <f t="shared" si="31"/>
        <v>4</v>
      </c>
      <c r="O29">
        <f t="shared" si="31"/>
        <v>4</v>
      </c>
      <c r="P29">
        <f t="shared" si="31"/>
        <v>4</v>
      </c>
      <c r="Q29">
        <f t="shared" si="31"/>
        <v>4</v>
      </c>
      <c r="R29">
        <f t="shared" si="31"/>
        <v>4</v>
      </c>
      <c r="S29">
        <f t="shared" si="31"/>
        <v>4</v>
      </c>
      <c r="T29">
        <f t="shared" si="31"/>
        <v>4</v>
      </c>
      <c r="U29">
        <f t="shared" si="31"/>
        <v>4</v>
      </c>
      <c r="V29">
        <f t="shared" si="31"/>
        <v>4</v>
      </c>
      <c r="W29">
        <f t="shared" si="31"/>
        <v>4</v>
      </c>
      <c r="X29">
        <f t="shared" si="32"/>
        <v>4</v>
      </c>
      <c r="Y29">
        <f t="shared" si="32"/>
        <v>4</v>
      </c>
      <c r="Z29">
        <f t="shared" si="32"/>
        <v>4</v>
      </c>
      <c r="AA29">
        <f t="shared" si="32"/>
        <v>4</v>
      </c>
      <c r="AB29">
        <f t="shared" si="32"/>
        <v>4</v>
      </c>
      <c r="AC29">
        <f t="shared" si="32"/>
        <v>4</v>
      </c>
      <c r="AD29">
        <f t="shared" si="32"/>
        <v>4</v>
      </c>
      <c r="AE29">
        <f t="shared" si="32"/>
        <v>4</v>
      </c>
      <c r="AF29">
        <f t="shared" si="32"/>
        <v>4</v>
      </c>
      <c r="AG29">
        <f t="shared" si="32"/>
        <v>4</v>
      </c>
      <c r="AH29">
        <f t="shared" si="33"/>
        <v>4</v>
      </c>
      <c r="AI29">
        <f t="shared" si="33"/>
        <v>4</v>
      </c>
      <c r="AJ29">
        <f t="shared" si="33"/>
        <v>4</v>
      </c>
      <c r="AK29">
        <f t="shared" si="33"/>
        <v>4</v>
      </c>
      <c r="AL29">
        <f t="shared" si="33"/>
        <v>4</v>
      </c>
      <c r="AM29">
        <f t="shared" si="33"/>
        <v>4</v>
      </c>
      <c r="AN29">
        <f t="shared" si="33"/>
        <v>4</v>
      </c>
      <c r="AO29">
        <f t="shared" si="33"/>
        <v>4</v>
      </c>
      <c r="AP29">
        <f t="shared" si="33"/>
        <v>4</v>
      </c>
      <c r="AQ29">
        <f t="shared" si="33"/>
        <v>4</v>
      </c>
      <c r="AR29">
        <f t="shared" si="34"/>
        <v>4</v>
      </c>
      <c r="AS29">
        <f t="shared" si="34"/>
        <v>4</v>
      </c>
      <c r="AT29">
        <f t="shared" si="34"/>
        <v>4</v>
      </c>
      <c r="AU29">
        <f t="shared" si="34"/>
        <v>4</v>
      </c>
      <c r="AV29">
        <f t="shared" si="34"/>
        <v>4</v>
      </c>
      <c r="AW29">
        <f t="shared" si="34"/>
        <v>4</v>
      </c>
      <c r="AX29">
        <f t="shared" si="34"/>
        <v>4</v>
      </c>
      <c r="BB29" s="35">
        <f t="shared" si="14"/>
        <v>3</v>
      </c>
      <c r="BC29" s="35">
        <f t="shared" si="15"/>
        <v>2</v>
      </c>
      <c r="BD29" s="35">
        <f t="shared" si="16"/>
        <v>0</v>
      </c>
      <c r="BE29" s="35">
        <f t="shared" si="17"/>
        <v>0</v>
      </c>
      <c r="BF29" s="35">
        <f t="shared" si="18"/>
        <v>0</v>
      </c>
      <c r="BG29" s="35">
        <f t="shared" si="19"/>
        <v>0</v>
      </c>
      <c r="BH29" s="35">
        <f t="shared" si="20"/>
        <v>0</v>
      </c>
      <c r="BI29" s="35">
        <f t="shared" si="21"/>
        <v>0</v>
      </c>
      <c r="BJ29" s="35">
        <f t="shared" si="22"/>
        <v>0</v>
      </c>
      <c r="BK29" s="35">
        <f t="shared" si="23"/>
        <v>0</v>
      </c>
      <c r="BL29" s="35">
        <f t="shared" si="24"/>
        <v>0</v>
      </c>
      <c r="BM29" s="35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5">
        <f t="shared" si="14"/>
        <v>0</v>
      </c>
      <c r="BC30" s="35">
        <f t="shared" si="15"/>
        <v>0</v>
      </c>
      <c r="BD30" s="35">
        <f t="shared" si="16"/>
        <v>0</v>
      </c>
      <c r="BE30" s="35">
        <f t="shared" si="17"/>
        <v>0</v>
      </c>
      <c r="BF30" s="35">
        <f t="shared" si="18"/>
        <v>0</v>
      </c>
      <c r="BG30" s="35">
        <f t="shared" si="19"/>
        <v>0</v>
      </c>
      <c r="BH30" s="35">
        <f t="shared" si="20"/>
        <v>0</v>
      </c>
      <c r="BI30" s="35">
        <f t="shared" si="21"/>
        <v>0</v>
      </c>
      <c r="BJ30" s="35">
        <f t="shared" si="22"/>
        <v>0</v>
      </c>
      <c r="BK30" s="35">
        <f t="shared" si="23"/>
        <v>0</v>
      </c>
      <c r="BL30" s="35">
        <f t="shared" si="24"/>
        <v>0</v>
      </c>
      <c r="BM30" s="35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5">
        <f t="shared" si="14"/>
        <v>0</v>
      </c>
      <c r="BC31" s="35">
        <f t="shared" si="15"/>
        <v>0</v>
      </c>
      <c r="BD31" s="35">
        <f t="shared" si="16"/>
        <v>0</v>
      </c>
      <c r="BE31" s="35">
        <f t="shared" si="17"/>
        <v>0</v>
      </c>
      <c r="BF31" s="35">
        <f t="shared" si="18"/>
        <v>0</v>
      </c>
      <c r="BG31" s="35">
        <f t="shared" si="19"/>
        <v>0</v>
      </c>
      <c r="BH31" s="35">
        <f t="shared" si="20"/>
        <v>0</v>
      </c>
      <c r="BI31" s="35">
        <f t="shared" si="21"/>
        <v>0</v>
      </c>
      <c r="BJ31" s="35">
        <f t="shared" si="22"/>
        <v>0</v>
      </c>
      <c r="BK31" s="35">
        <f t="shared" si="23"/>
        <v>0</v>
      </c>
      <c r="BL31" s="35">
        <f t="shared" si="24"/>
        <v>0</v>
      </c>
      <c r="BM31" s="35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5">
        <f t="shared" si="14"/>
        <v>0</v>
      </c>
      <c r="BC32" s="35">
        <f t="shared" si="15"/>
        <v>0</v>
      </c>
      <c r="BD32" s="35">
        <f t="shared" si="16"/>
        <v>0</v>
      </c>
      <c r="BE32" s="35">
        <f t="shared" si="17"/>
        <v>0</v>
      </c>
      <c r="BF32" s="35">
        <f t="shared" si="18"/>
        <v>0</v>
      </c>
      <c r="BG32" s="35">
        <f t="shared" si="19"/>
        <v>0</v>
      </c>
      <c r="BH32" s="35">
        <f t="shared" si="20"/>
        <v>0</v>
      </c>
      <c r="BI32" s="35">
        <f t="shared" si="21"/>
        <v>0</v>
      </c>
      <c r="BJ32" s="35">
        <f t="shared" si="22"/>
        <v>0</v>
      </c>
      <c r="BK32" s="35">
        <f t="shared" si="23"/>
        <v>0</v>
      </c>
      <c r="BL32" s="35">
        <f t="shared" si="24"/>
        <v>0</v>
      </c>
      <c r="BM32" s="35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5">
        <f t="shared" si="14"/>
        <v>0</v>
      </c>
      <c r="BC33" s="35">
        <f t="shared" si="15"/>
        <v>0</v>
      </c>
      <c r="BD33" s="35">
        <f t="shared" si="16"/>
        <v>0</v>
      </c>
      <c r="BE33" s="35">
        <f t="shared" si="17"/>
        <v>0</v>
      </c>
      <c r="BF33" s="35">
        <f t="shared" si="18"/>
        <v>0</v>
      </c>
      <c r="BG33" s="35">
        <f t="shared" si="19"/>
        <v>0</v>
      </c>
      <c r="BH33" s="35">
        <f t="shared" si="20"/>
        <v>0</v>
      </c>
      <c r="BI33" s="35">
        <f t="shared" si="21"/>
        <v>0</v>
      </c>
      <c r="BJ33" s="35">
        <f t="shared" si="22"/>
        <v>0</v>
      </c>
      <c r="BK33" s="35">
        <f t="shared" si="23"/>
        <v>0</v>
      </c>
      <c r="BL33" s="35">
        <f t="shared" si="24"/>
        <v>0</v>
      </c>
      <c r="BM33" s="35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5">
        <f t="shared" si="14"/>
        <v>0</v>
      </c>
      <c r="BC34" s="35">
        <f t="shared" si="15"/>
        <v>0</v>
      </c>
      <c r="BD34" s="35">
        <f t="shared" si="16"/>
        <v>0</v>
      </c>
      <c r="BE34" s="35">
        <f t="shared" si="17"/>
        <v>0</v>
      </c>
      <c r="BF34" s="35">
        <f t="shared" si="18"/>
        <v>0</v>
      </c>
      <c r="BG34" s="35">
        <f t="shared" si="19"/>
        <v>0</v>
      </c>
      <c r="BH34" s="35">
        <f t="shared" si="20"/>
        <v>0</v>
      </c>
      <c r="BI34" s="35">
        <f t="shared" si="21"/>
        <v>0</v>
      </c>
      <c r="BJ34" s="35">
        <f t="shared" si="22"/>
        <v>0</v>
      </c>
      <c r="BK34" s="35">
        <f t="shared" si="23"/>
        <v>0</v>
      </c>
      <c r="BL34" s="35">
        <f t="shared" si="24"/>
        <v>0</v>
      </c>
      <c r="BM34" s="35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5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5">
        <f t="shared" si="14"/>
        <v>0</v>
      </c>
      <c r="BC35" s="35">
        <f t="shared" si="15"/>
        <v>0</v>
      </c>
      <c r="BD35" s="35">
        <f t="shared" si="16"/>
        <v>0</v>
      </c>
      <c r="BE35" s="35">
        <f t="shared" si="17"/>
        <v>0</v>
      </c>
      <c r="BF35" s="35">
        <f t="shared" si="18"/>
        <v>0</v>
      </c>
      <c r="BG35" s="35">
        <f t="shared" si="19"/>
        <v>0</v>
      </c>
      <c r="BH35" s="35">
        <f t="shared" si="20"/>
        <v>0</v>
      </c>
      <c r="BI35" s="35">
        <f t="shared" si="21"/>
        <v>0</v>
      </c>
      <c r="BJ35" s="35">
        <f t="shared" si="22"/>
        <v>0</v>
      </c>
      <c r="BK35" s="35">
        <f t="shared" si="23"/>
        <v>0</v>
      </c>
      <c r="BL35" s="35">
        <f t="shared" si="24"/>
        <v>0</v>
      </c>
      <c r="BM35" s="35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5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5">
        <f t="shared" si="14"/>
        <v>0</v>
      </c>
      <c r="BC36" s="35">
        <f t="shared" si="15"/>
        <v>0</v>
      </c>
      <c r="BD36" s="35">
        <f t="shared" si="16"/>
        <v>0</v>
      </c>
      <c r="BE36" s="35">
        <f t="shared" si="17"/>
        <v>0</v>
      </c>
      <c r="BF36" s="35">
        <f t="shared" si="18"/>
        <v>0</v>
      </c>
      <c r="BG36" s="35">
        <f t="shared" si="19"/>
        <v>0</v>
      </c>
      <c r="BH36" s="35">
        <f t="shared" si="20"/>
        <v>0</v>
      </c>
      <c r="BI36" s="35">
        <f t="shared" si="21"/>
        <v>0</v>
      </c>
      <c r="BJ36" s="35">
        <f t="shared" si="22"/>
        <v>0</v>
      </c>
      <c r="BK36" s="35">
        <f t="shared" si="23"/>
        <v>0</v>
      </c>
      <c r="BL36" s="35">
        <f t="shared" si="24"/>
        <v>0</v>
      </c>
      <c r="BM36" s="35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5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5">
        <f t="shared" si="14"/>
        <v>0</v>
      </c>
      <c r="BC37" s="35">
        <f t="shared" si="15"/>
        <v>0</v>
      </c>
      <c r="BD37" s="35">
        <f t="shared" si="16"/>
        <v>0</v>
      </c>
      <c r="BE37" s="35">
        <f t="shared" si="17"/>
        <v>0</v>
      </c>
      <c r="BF37" s="35">
        <f t="shared" si="18"/>
        <v>0</v>
      </c>
      <c r="BG37" s="35">
        <f t="shared" si="19"/>
        <v>0</v>
      </c>
      <c r="BH37" s="35">
        <f t="shared" si="20"/>
        <v>0</v>
      </c>
      <c r="BI37" s="35">
        <f t="shared" si="21"/>
        <v>0</v>
      </c>
      <c r="BJ37" s="35">
        <f t="shared" si="22"/>
        <v>0</v>
      </c>
      <c r="BK37" s="35">
        <f t="shared" si="23"/>
        <v>0</v>
      </c>
      <c r="BL37" s="35">
        <f t="shared" si="24"/>
        <v>0</v>
      </c>
      <c r="BM37" s="35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5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5">
        <f t="shared" si="14"/>
        <v>0</v>
      </c>
      <c r="BC38" s="35">
        <f t="shared" si="15"/>
        <v>0</v>
      </c>
      <c r="BD38" s="35">
        <f t="shared" si="16"/>
        <v>0</v>
      </c>
      <c r="BE38" s="35">
        <f t="shared" si="17"/>
        <v>0</v>
      </c>
      <c r="BF38" s="35">
        <f t="shared" si="18"/>
        <v>0</v>
      </c>
      <c r="BG38" s="35">
        <f t="shared" si="19"/>
        <v>0</v>
      </c>
      <c r="BH38" s="35">
        <f t="shared" si="20"/>
        <v>0</v>
      </c>
      <c r="BI38" s="35">
        <f t="shared" si="21"/>
        <v>0</v>
      </c>
      <c r="BJ38" s="35">
        <f t="shared" si="22"/>
        <v>0</v>
      </c>
      <c r="BK38" s="35">
        <f t="shared" si="23"/>
        <v>0</v>
      </c>
      <c r="BL38" s="35">
        <f t="shared" si="24"/>
        <v>0</v>
      </c>
      <c r="BM38" s="35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5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5">
        <f t="shared" si="14"/>
        <v>0</v>
      </c>
      <c r="BC39" s="35">
        <f t="shared" si="15"/>
        <v>0</v>
      </c>
      <c r="BD39" s="35">
        <f t="shared" si="16"/>
        <v>0</v>
      </c>
      <c r="BE39" s="35">
        <f t="shared" si="17"/>
        <v>0</v>
      </c>
      <c r="BF39" s="35">
        <f t="shared" si="18"/>
        <v>0</v>
      </c>
      <c r="BG39" s="35">
        <f t="shared" si="19"/>
        <v>0</v>
      </c>
      <c r="BH39" s="35">
        <f t="shared" si="20"/>
        <v>0</v>
      </c>
      <c r="BI39" s="35">
        <f t="shared" si="21"/>
        <v>0</v>
      </c>
      <c r="BJ39" s="35">
        <f t="shared" si="22"/>
        <v>0</v>
      </c>
      <c r="BK39" s="35">
        <f t="shared" si="23"/>
        <v>0</v>
      </c>
      <c r="BL39" s="35">
        <f t="shared" si="24"/>
        <v>0</v>
      </c>
      <c r="BM39" s="35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5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5">
        <f t="shared" si="14"/>
        <v>0</v>
      </c>
      <c r="BC40" s="35">
        <f t="shared" si="15"/>
        <v>0</v>
      </c>
      <c r="BD40" s="35">
        <f t="shared" si="16"/>
        <v>0</v>
      </c>
      <c r="BE40" s="35">
        <f t="shared" si="17"/>
        <v>0</v>
      </c>
      <c r="BF40" s="35">
        <f t="shared" si="18"/>
        <v>0</v>
      </c>
      <c r="BG40" s="35">
        <f t="shared" si="19"/>
        <v>0</v>
      </c>
      <c r="BH40" s="35">
        <f t="shared" si="20"/>
        <v>0</v>
      </c>
      <c r="BI40" s="35">
        <f t="shared" si="21"/>
        <v>0</v>
      </c>
      <c r="BJ40" s="35">
        <f t="shared" si="22"/>
        <v>0</v>
      </c>
      <c r="BK40" s="35">
        <f t="shared" si="23"/>
        <v>0</v>
      </c>
      <c r="BL40" s="35">
        <f t="shared" si="24"/>
        <v>0</v>
      </c>
      <c r="BM40" s="35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5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5">
        <f t="shared" si="14"/>
        <v>0</v>
      </c>
      <c r="BC41" s="35">
        <f t="shared" si="15"/>
        <v>0</v>
      </c>
      <c r="BD41" s="35">
        <f t="shared" si="16"/>
        <v>0</v>
      </c>
      <c r="BE41" s="35">
        <f t="shared" si="17"/>
        <v>0</v>
      </c>
      <c r="BF41" s="35">
        <f t="shared" si="18"/>
        <v>0</v>
      </c>
      <c r="BG41" s="35">
        <f t="shared" si="19"/>
        <v>0</v>
      </c>
      <c r="BH41" s="35">
        <f t="shared" si="20"/>
        <v>0</v>
      </c>
      <c r="BI41" s="35">
        <f t="shared" si="21"/>
        <v>0</v>
      </c>
      <c r="BJ41" s="35">
        <f t="shared" si="22"/>
        <v>0</v>
      </c>
      <c r="BK41" s="35">
        <f t="shared" si="23"/>
        <v>0</v>
      </c>
      <c r="BL41" s="35">
        <f t="shared" si="24"/>
        <v>0</v>
      </c>
      <c r="BM41" s="35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5">
        <f t="shared" si="14"/>
        <v>0</v>
      </c>
      <c r="BC42" s="35">
        <f t="shared" si="15"/>
        <v>0</v>
      </c>
      <c r="BD42" s="35">
        <f t="shared" si="16"/>
        <v>0</v>
      </c>
      <c r="BE42" s="35">
        <f t="shared" si="17"/>
        <v>0</v>
      </c>
      <c r="BF42" s="35">
        <f t="shared" si="18"/>
        <v>0</v>
      </c>
      <c r="BG42" s="35">
        <f t="shared" si="19"/>
        <v>0</v>
      </c>
      <c r="BH42" s="35">
        <f t="shared" si="20"/>
        <v>0</v>
      </c>
      <c r="BI42" s="35">
        <f t="shared" si="21"/>
        <v>0</v>
      </c>
      <c r="BJ42" s="35">
        <f t="shared" si="22"/>
        <v>0</v>
      </c>
      <c r="BK42" s="35">
        <f t="shared" si="23"/>
        <v>0</v>
      </c>
      <c r="BL42" s="35">
        <f t="shared" si="24"/>
        <v>0</v>
      </c>
      <c r="BM42" s="35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5">
        <f t="shared" si="14"/>
        <v>0</v>
      </c>
      <c r="BC43" s="35">
        <f t="shared" si="15"/>
        <v>0</v>
      </c>
      <c r="BD43" s="35">
        <f t="shared" si="16"/>
        <v>0</v>
      </c>
      <c r="BE43" s="35">
        <f t="shared" si="17"/>
        <v>0</v>
      </c>
      <c r="BF43" s="35">
        <f t="shared" si="18"/>
        <v>0</v>
      </c>
      <c r="BG43" s="35">
        <f t="shared" si="19"/>
        <v>0</v>
      </c>
      <c r="BH43" s="35">
        <f t="shared" si="20"/>
        <v>0</v>
      </c>
      <c r="BI43" s="35">
        <f t="shared" si="21"/>
        <v>0</v>
      </c>
      <c r="BJ43" s="35">
        <f t="shared" si="22"/>
        <v>0</v>
      </c>
      <c r="BK43" s="35">
        <f t="shared" si="23"/>
        <v>0</v>
      </c>
      <c r="BL43" s="35">
        <f t="shared" si="24"/>
        <v>0</v>
      </c>
      <c r="BM43" s="35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5">
        <f t="shared" si="14"/>
        <v>0</v>
      </c>
      <c r="BC44" s="35">
        <f t="shared" si="15"/>
        <v>0</v>
      </c>
      <c r="BD44" s="35">
        <f t="shared" si="16"/>
        <v>0</v>
      </c>
      <c r="BE44" s="35">
        <f t="shared" si="17"/>
        <v>0</v>
      </c>
      <c r="BF44" s="35">
        <f t="shared" si="18"/>
        <v>0</v>
      </c>
      <c r="BG44" s="35">
        <f t="shared" si="19"/>
        <v>0</v>
      </c>
      <c r="BH44" s="35">
        <f t="shared" si="20"/>
        <v>0</v>
      </c>
      <c r="BI44" s="35">
        <f t="shared" si="21"/>
        <v>0</v>
      </c>
      <c r="BJ44" s="35">
        <f t="shared" si="22"/>
        <v>0</v>
      </c>
      <c r="BK44" s="35">
        <f t="shared" si="23"/>
        <v>0</v>
      </c>
      <c r="BL44" s="35">
        <f t="shared" si="24"/>
        <v>0</v>
      </c>
      <c r="BM44" s="35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5">
        <f t="shared" si="14"/>
        <v>0</v>
      </c>
      <c r="BC45" s="35">
        <f t="shared" si="15"/>
        <v>0</v>
      </c>
      <c r="BD45" s="35">
        <f t="shared" si="16"/>
        <v>0</v>
      </c>
      <c r="BE45" s="35">
        <f t="shared" si="17"/>
        <v>0</v>
      </c>
      <c r="BF45" s="35">
        <f t="shared" si="18"/>
        <v>0</v>
      </c>
      <c r="BG45" s="35">
        <f t="shared" si="19"/>
        <v>0</v>
      </c>
      <c r="BH45" s="35">
        <f t="shared" si="20"/>
        <v>0</v>
      </c>
      <c r="BI45" s="35">
        <f t="shared" si="21"/>
        <v>0</v>
      </c>
      <c r="BJ45" s="35">
        <f t="shared" si="22"/>
        <v>0</v>
      </c>
      <c r="BK45" s="35">
        <f t="shared" si="23"/>
        <v>0</v>
      </c>
      <c r="BL45" s="35">
        <f t="shared" si="24"/>
        <v>0</v>
      </c>
      <c r="BM45" s="35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5">
        <f t="shared" si="14"/>
        <v>0</v>
      </c>
      <c r="BC46" s="35">
        <f t="shared" si="15"/>
        <v>0</v>
      </c>
      <c r="BD46" s="35">
        <f t="shared" si="16"/>
        <v>0</v>
      </c>
      <c r="BE46" s="35">
        <f t="shared" si="17"/>
        <v>0</v>
      </c>
      <c r="BF46" s="35">
        <f t="shared" si="18"/>
        <v>0</v>
      </c>
      <c r="BG46" s="35">
        <f t="shared" si="19"/>
        <v>0</v>
      </c>
      <c r="BH46" s="35">
        <f t="shared" si="20"/>
        <v>0</v>
      </c>
      <c r="BI46" s="35">
        <f t="shared" si="21"/>
        <v>0</v>
      </c>
      <c r="BJ46" s="35">
        <f t="shared" si="22"/>
        <v>0</v>
      </c>
      <c r="BK46" s="35">
        <f t="shared" si="23"/>
        <v>0</v>
      </c>
      <c r="BL46" s="35">
        <f t="shared" si="24"/>
        <v>0</v>
      </c>
      <c r="BM46" s="35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5">
        <f t="shared" si="14"/>
        <v>0</v>
      </c>
      <c r="BC47" s="35">
        <f t="shared" si="15"/>
        <v>0</v>
      </c>
      <c r="BD47" s="35">
        <f t="shared" si="16"/>
        <v>0</v>
      </c>
      <c r="BE47" s="35">
        <f t="shared" si="17"/>
        <v>0</v>
      </c>
      <c r="BF47" s="35">
        <f t="shared" si="18"/>
        <v>0</v>
      </c>
      <c r="BG47" s="35">
        <f t="shared" si="19"/>
        <v>0</v>
      </c>
      <c r="BH47" s="35">
        <f t="shared" si="20"/>
        <v>0</v>
      </c>
      <c r="BI47" s="35">
        <f t="shared" si="21"/>
        <v>0</v>
      </c>
      <c r="BJ47" s="35">
        <f t="shared" si="22"/>
        <v>0</v>
      </c>
      <c r="BK47" s="35">
        <f t="shared" si="23"/>
        <v>0</v>
      </c>
      <c r="BL47" s="35">
        <f t="shared" si="24"/>
        <v>0</v>
      </c>
      <c r="BM47" s="35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5">
        <f t="shared" si="14"/>
        <v>0</v>
      </c>
      <c r="BC48" s="35">
        <f t="shared" si="15"/>
        <v>0</v>
      </c>
      <c r="BD48" s="35">
        <f t="shared" si="16"/>
        <v>0</v>
      </c>
      <c r="BE48" s="35">
        <f t="shared" si="17"/>
        <v>0</v>
      </c>
      <c r="BF48" s="35">
        <f t="shared" si="18"/>
        <v>0</v>
      </c>
      <c r="BG48" s="35">
        <f t="shared" si="19"/>
        <v>0</v>
      </c>
      <c r="BH48" s="35">
        <f t="shared" si="20"/>
        <v>0</v>
      </c>
      <c r="BI48" s="35">
        <f t="shared" si="21"/>
        <v>0</v>
      </c>
      <c r="BJ48" s="35">
        <f t="shared" si="22"/>
        <v>0</v>
      </c>
      <c r="BK48" s="35">
        <f t="shared" si="23"/>
        <v>0</v>
      </c>
      <c r="BL48" s="35">
        <f t="shared" si="24"/>
        <v>0</v>
      </c>
      <c r="BM48" s="35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5">
        <f t="shared" si="14"/>
        <v>0</v>
      </c>
      <c r="BC49" s="35">
        <f t="shared" si="15"/>
        <v>0</v>
      </c>
      <c r="BD49" s="35">
        <f t="shared" si="16"/>
        <v>0</v>
      </c>
      <c r="BE49" s="35">
        <f t="shared" si="17"/>
        <v>0</v>
      </c>
      <c r="BF49" s="35">
        <f t="shared" si="18"/>
        <v>0</v>
      </c>
      <c r="BG49" s="35">
        <f t="shared" si="19"/>
        <v>0</v>
      </c>
      <c r="BH49" s="35">
        <f t="shared" si="20"/>
        <v>0</v>
      </c>
      <c r="BI49" s="35">
        <f t="shared" si="21"/>
        <v>0</v>
      </c>
      <c r="BJ49" s="35">
        <f t="shared" si="22"/>
        <v>0</v>
      </c>
      <c r="BK49" s="35">
        <f t="shared" si="23"/>
        <v>0</v>
      </c>
      <c r="BL49" s="35">
        <f t="shared" si="24"/>
        <v>0</v>
      </c>
      <c r="BM49" s="35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5">
        <f t="shared" si="14"/>
        <v>0</v>
      </c>
      <c r="BC50" s="35">
        <f t="shared" si="15"/>
        <v>0</v>
      </c>
      <c r="BD50" s="35">
        <f t="shared" si="16"/>
        <v>0</v>
      </c>
      <c r="BE50" s="35">
        <f t="shared" si="17"/>
        <v>0</v>
      </c>
      <c r="BF50" s="35">
        <f t="shared" si="18"/>
        <v>0</v>
      </c>
      <c r="BG50" s="35">
        <f t="shared" si="19"/>
        <v>0</v>
      </c>
      <c r="BH50" s="35">
        <f t="shared" si="20"/>
        <v>0</v>
      </c>
      <c r="BI50" s="35">
        <f t="shared" si="21"/>
        <v>0</v>
      </c>
      <c r="BJ50" s="35">
        <f t="shared" si="22"/>
        <v>0</v>
      </c>
      <c r="BK50" s="35">
        <f t="shared" si="23"/>
        <v>0</v>
      </c>
      <c r="BL50" s="35">
        <f t="shared" si="24"/>
        <v>0</v>
      </c>
      <c r="BM50" s="35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5">
        <f t="shared" si="14"/>
        <v>0</v>
      </c>
      <c r="BC51" s="35">
        <f t="shared" si="15"/>
        <v>0</v>
      </c>
      <c r="BD51" s="35">
        <f t="shared" si="16"/>
        <v>0</v>
      </c>
      <c r="BE51" s="35">
        <f t="shared" si="17"/>
        <v>0</v>
      </c>
      <c r="BF51" s="35">
        <f t="shared" si="18"/>
        <v>0</v>
      </c>
      <c r="BG51" s="35">
        <f t="shared" si="19"/>
        <v>0</v>
      </c>
      <c r="BH51" s="35">
        <f t="shared" si="20"/>
        <v>0</v>
      </c>
      <c r="BI51" s="35">
        <f t="shared" si="21"/>
        <v>0</v>
      </c>
      <c r="BJ51" s="35">
        <f t="shared" si="22"/>
        <v>0</v>
      </c>
      <c r="BK51" s="35">
        <f t="shared" si="23"/>
        <v>0</v>
      </c>
      <c r="BL51" s="35">
        <f t="shared" si="24"/>
        <v>0</v>
      </c>
      <c r="BM51" s="35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5">
        <f t="shared" si="14"/>
        <v>0</v>
      </c>
      <c r="BC52" s="35">
        <f t="shared" si="15"/>
        <v>0</v>
      </c>
      <c r="BD52" s="35">
        <f t="shared" si="16"/>
        <v>0</v>
      </c>
      <c r="BE52" s="35">
        <f t="shared" si="17"/>
        <v>0</v>
      </c>
      <c r="BF52" s="35">
        <f t="shared" si="18"/>
        <v>0</v>
      </c>
      <c r="BG52" s="35">
        <f t="shared" si="19"/>
        <v>0</v>
      </c>
      <c r="BH52" s="35">
        <f t="shared" si="20"/>
        <v>0</v>
      </c>
      <c r="BI52" s="35">
        <f t="shared" si="21"/>
        <v>0</v>
      </c>
      <c r="BJ52" s="35">
        <f t="shared" si="22"/>
        <v>0</v>
      </c>
      <c r="BK52" s="35">
        <f t="shared" si="23"/>
        <v>0</v>
      </c>
      <c r="BL52" s="35">
        <f t="shared" si="24"/>
        <v>0</v>
      </c>
      <c r="BM52" s="35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5">
        <f t="shared" si="14"/>
        <v>0</v>
      </c>
      <c r="BC53" s="35">
        <f t="shared" si="15"/>
        <v>0</v>
      </c>
      <c r="BD53" s="35">
        <f t="shared" si="16"/>
        <v>0</v>
      </c>
      <c r="BE53" s="35">
        <f t="shared" si="17"/>
        <v>0</v>
      </c>
      <c r="BF53" s="35">
        <f t="shared" si="18"/>
        <v>0</v>
      </c>
      <c r="BG53" s="35">
        <f t="shared" si="19"/>
        <v>0</v>
      </c>
      <c r="BH53" s="35">
        <f t="shared" si="20"/>
        <v>0</v>
      </c>
      <c r="BI53" s="35">
        <f t="shared" si="21"/>
        <v>0</v>
      </c>
      <c r="BJ53" s="35">
        <f t="shared" si="22"/>
        <v>0</v>
      </c>
      <c r="BK53" s="35">
        <f t="shared" si="23"/>
        <v>0</v>
      </c>
      <c r="BL53" s="35">
        <f t="shared" si="24"/>
        <v>0</v>
      </c>
      <c r="BM53" s="35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5">
        <f t="shared" si="14"/>
        <v>0</v>
      </c>
      <c r="BC54" s="35">
        <f t="shared" si="15"/>
        <v>0</v>
      </c>
      <c r="BD54" s="35">
        <f t="shared" si="16"/>
        <v>0</v>
      </c>
      <c r="BE54" s="35">
        <f t="shared" si="17"/>
        <v>0</v>
      </c>
      <c r="BF54" s="35">
        <f t="shared" si="18"/>
        <v>0</v>
      </c>
      <c r="BG54" s="35">
        <f t="shared" si="19"/>
        <v>0</v>
      </c>
      <c r="BH54" s="35">
        <f t="shared" si="20"/>
        <v>0</v>
      </c>
      <c r="BI54" s="35">
        <f t="shared" si="21"/>
        <v>0</v>
      </c>
      <c r="BJ54" s="35">
        <f t="shared" si="22"/>
        <v>0</v>
      </c>
      <c r="BK54" s="35">
        <f t="shared" si="23"/>
        <v>0</v>
      </c>
      <c r="BL54" s="35">
        <f t="shared" si="24"/>
        <v>0</v>
      </c>
      <c r="BM54" s="35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14"/>
        <v>0</v>
      </c>
      <c r="BC55" s="35">
        <f t="shared" si="15"/>
        <v>0</v>
      </c>
      <c r="BD55" s="35">
        <f t="shared" si="16"/>
        <v>0</v>
      </c>
      <c r="BE55" s="35">
        <f t="shared" si="17"/>
        <v>0</v>
      </c>
      <c r="BF55" s="35">
        <f t="shared" si="18"/>
        <v>0</v>
      </c>
      <c r="BG55" s="35">
        <f t="shared" si="19"/>
        <v>0</v>
      </c>
      <c r="BH55" s="35">
        <f t="shared" si="20"/>
        <v>0</v>
      </c>
      <c r="BI55" s="35">
        <f t="shared" si="21"/>
        <v>0</v>
      </c>
      <c r="BJ55" s="35">
        <f t="shared" si="22"/>
        <v>0</v>
      </c>
      <c r="BK55" s="35">
        <f t="shared" si="23"/>
        <v>0</v>
      </c>
      <c r="BL55" s="35">
        <f t="shared" si="24"/>
        <v>0</v>
      </c>
      <c r="BM55" s="35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14"/>
        <v>0</v>
      </c>
      <c r="BC56" s="35">
        <f t="shared" si="15"/>
        <v>0</v>
      </c>
      <c r="BD56" s="35">
        <f t="shared" si="16"/>
        <v>0</v>
      </c>
      <c r="BE56" s="35">
        <f t="shared" si="17"/>
        <v>0</v>
      </c>
      <c r="BF56" s="35">
        <f t="shared" si="18"/>
        <v>0</v>
      </c>
      <c r="BG56" s="35">
        <f t="shared" si="19"/>
        <v>0</v>
      </c>
      <c r="BH56" s="35">
        <f t="shared" si="20"/>
        <v>0</v>
      </c>
      <c r="BI56" s="35">
        <f t="shared" si="21"/>
        <v>0</v>
      </c>
      <c r="BJ56" s="35">
        <f t="shared" si="22"/>
        <v>0</v>
      </c>
      <c r="BK56" s="35">
        <f t="shared" si="23"/>
        <v>0</v>
      </c>
      <c r="BL56" s="35">
        <f t="shared" si="24"/>
        <v>0</v>
      </c>
      <c r="BM56" s="35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14"/>
        <v>0</v>
      </c>
      <c r="BC57" s="35">
        <f t="shared" si="15"/>
        <v>0</v>
      </c>
      <c r="BD57" s="35">
        <f t="shared" si="16"/>
        <v>0</v>
      </c>
      <c r="BE57" s="35">
        <f t="shared" si="17"/>
        <v>0</v>
      </c>
      <c r="BF57" s="35">
        <f t="shared" si="18"/>
        <v>0</v>
      </c>
      <c r="BG57" s="35">
        <f t="shared" si="19"/>
        <v>0</v>
      </c>
      <c r="BH57" s="35">
        <f t="shared" si="20"/>
        <v>0</v>
      </c>
      <c r="BI57" s="35">
        <f t="shared" si="21"/>
        <v>0</v>
      </c>
      <c r="BJ57" s="35">
        <f t="shared" si="22"/>
        <v>0</v>
      </c>
      <c r="BK57" s="35">
        <f t="shared" si="23"/>
        <v>0</v>
      </c>
      <c r="BL57" s="35">
        <f t="shared" si="24"/>
        <v>0</v>
      </c>
      <c r="BM57" s="35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14"/>
        <v>0</v>
      </c>
      <c r="BC58" s="35">
        <f t="shared" si="15"/>
        <v>0</v>
      </c>
      <c r="BD58" s="35">
        <f t="shared" si="16"/>
        <v>0</v>
      </c>
      <c r="BE58" s="35">
        <f t="shared" si="17"/>
        <v>0</v>
      </c>
      <c r="BF58" s="35">
        <f t="shared" si="18"/>
        <v>0</v>
      </c>
      <c r="BG58" s="35">
        <f t="shared" si="19"/>
        <v>0</v>
      </c>
      <c r="BH58" s="35">
        <f t="shared" si="20"/>
        <v>0</v>
      </c>
      <c r="BI58" s="35">
        <f t="shared" si="21"/>
        <v>0</v>
      </c>
      <c r="BJ58" s="35">
        <f t="shared" si="22"/>
        <v>0</v>
      </c>
      <c r="BK58" s="35">
        <f t="shared" si="23"/>
        <v>0</v>
      </c>
      <c r="BL58" s="35">
        <f t="shared" si="24"/>
        <v>0</v>
      </c>
      <c r="BM58" s="35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14"/>
        <v>0</v>
      </c>
      <c r="BC59" s="35">
        <f t="shared" si="15"/>
        <v>0</v>
      </c>
      <c r="BD59" s="35">
        <f t="shared" si="16"/>
        <v>0</v>
      </c>
      <c r="BE59" s="35">
        <f t="shared" si="17"/>
        <v>0</v>
      </c>
      <c r="BF59" s="35">
        <f t="shared" si="18"/>
        <v>0</v>
      </c>
      <c r="BG59" s="35">
        <f t="shared" si="19"/>
        <v>0</v>
      </c>
      <c r="BH59" s="35">
        <f t="shared" si="20"/>
        <v>0</v>
      </c>
      <c r="BI59" s="35">
        <f t="shared" si="21"/>
        <v>0</v>
      </c>
      <c r="BJ59" s="35">
        <f t="shared" si="22"/>
        <v>0</v>
      </c>
      <c r="BK59" s="35">
        <f t="shared" si="23"/>
        <v>0</v>
      </c>
      <c r="BL59" s="35">
        <f t="shared" si="24"/>
        <v>0</v>
      </c>
      <c r="BM59" s="35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14"/>
        <v>0</v>
      </c>
      <c r="BC60" s="35">
        <f t="shared" si="15"/>
        <v>0</v>
      </c>
      <c r="BD60" s="35">
        <f t="shared" si="16"/>
        <v>0</v>
      </c>
      <c r="BE60" s="35">
        <f t="shared" si="17"/>
        <v>0</v>
      </c>
      <c r="BF60" s="35">
        <f t="shared" si="18"/>
        <v>0</v>
      </c>
      <c r="BG60" s="35">
        <f t="shared" si="19"/>
        <v>0</v>
      </c>
      <c r="BH60" s="35">
        <f t="shared" si="20"/>
        <v>0</v>
      </c>
      <c r="BI60" s="35">
        <f t="shared" si="21"/>
        <v>0</v>
      </c>
      <c r="BJ60" s="35">
        <f t="shared" si="22"/>
        <v>0</v>
      </c>
      <c r="BK60" s="35">
        <f t="shared" si="23"/>
        <v>0</v>
      </c>
      <c r="BL60" s="35">
        <f t="shared" si="24"/>
        <v>0</v>
      </c>
      <c r="BM60" s="35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14"/>
        <v>0</v>
      </c>
      <c r="BC61" s="35">
        <f t="shared" si="15"/>
        <v>0</v>
      </c>
      <c r="BD61" s="35">
        <f t="shared" si="16"/>
        <v>0</v>
      </c>
      <c r="BE61" s="35">
        <f t="shared" si="17"/>
        <v>0</v>
      </c>
      <c r="BF61" s="35">
        <f t="shared" si="18"/>
        <v>0</v>
      </c>
      <c r="BG61" s="35">
        <f t="shared" si="19"/>
        <v>0</v>
      </c>
      <c r="BH61" s="35">
        <f t="shared" si="20"/>
        <v>0</v>
      </c>
      <c r="BI61" s="35">
        <f t="shared" si="21"/>
        <v>0</v>
      </c>
      <c r="BJ61" s="35">
        <f t="shared" si="22"/>
        <v>0</v>
      </c>
      <c r="BK61" s="35">
        <f t="shared" si="23"/>
        <v>0</v>
      </c>
      <c r="BL61" s="35">
        <f t="shared" si="24"/>
        <v>0</v>
      </c>
      <c r="BM61" s="35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14"/>
        <v>0</v>
      </c>
      <c r="BC62" s="35">
        <f t="shared" si="15"/>
        <v>0</v>
      </c>
      <c r="BD62" s="35">
        <f t="shared" si="16"/>
        <v>0</v>
      </c>
      <c r="BE62" s="35">
        <f t="shared" si="17"/>
        <v>0</v>
      </c>
      <c r="BF62" s="35">
        <f t="shared" si="18"/>
        <v>0</v>
      </c>
      <c r="BG62" s="35">
        <f t="shared" si="19"/>
        <v>0</v>
      </c>
      <c r="BH62" s="35">
        <f t="shared" si="20"/>
        <v>0</v>
      </c>
      <c r="BI62" s="35">
        <f t="shared" si="21"/>
        <v>0</v>
      </c>
      <c r="BJ62" s="35">
        <f t="shared" si="22"/>
        <v>0</v>
      </c>
      <c r="BK62" s="35">
        <f t="shared" si="23"/>
        <v>0</v>
      </c>
      <c r="BL62" s="35">
        <f t="shared" si="24"/>
        <v>0</v>
      </c>
      <c r="BM62" s="35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5">
        <f t="shared" si="14"/>
        <v>0</v>
      </c>
      <c r="BC63" s="35">
        <f t="shared" si="15"/>
        <v>0</v>
      </c>
      <c r="BD63" s="35">
        <f t="shared" si="16"/>
        <v>0</v>
      </c>
      <c r="BE63" s="35">
        <f t="shared" si="17"/>
        <v>0</v>
      </c>
      <c r="BF63" s="35">
        <f t="shared" si="18"/>
        <v>0</v>
      </c>
      <c r="BG63" s="35">
        <f t="shared" si="19"/>
        <v>0</v>
      </c>
      <c r="BH63" s="35">
        <f t="shared" si="20"/>
        <v>0</v>
      </c>
      <c r="BI63" s="35">
        <f t="shared" si="21"/>
        <v>0</v>
      </c>
      <c r="BJ63" s="35">
        <f t="shared" si="22"/>
        <v>0</v>
      </c>
      <c r="BK63" s="35">
        <f t="shared" si="23"/>
        <v>0</v>
      </c>
      <c r="BL63" s="35">
        <f t="shared" si="24"/>
        <v>0</v>
      </c>
      <c r="BM63" s="35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5">
        <f t="shared" si="14"/>
        <v>0</v>
      </c>
      <c r="BC64" s="35">
        <f t="shared" si="15"/>
        <v>0</v>
      </c>
      <c r="BD64" s="35">
        <f t="shared" si="16"/>
        <v>0</v>
      </c>
      <c r="BE64" s="35">
        <f t="shared" si="17"/>
        <v>0</v>
      </c>
      <c r="BF64" s="35">
        <f t="shared" si="18"/>
        <v>0</v>
      </c>
      <c r="BG64" s="35">
        <f t="shared" si="19"/>
        <v>0</v>
      </c>
      <c r="BH64" s="35">
        <f t="shared" si="20"/>
        <v>0</v>
      </c>
      <c r="BI64" s="35">
        <f t="shared" si="21"/>
        <v>0</v>
      </c>
      <c r="BJ64" s="35">
        <f t="shared" si="22"/>
        <v>0</v>
      </c>
      <c r="BK64" s="35">
        <f t="shared" si="23"/>
        <v>0</v>
      </c>
      <c r="BL64" s="35">
        <f t="shared" si="24"/>
        <v>0</v>
      </c>
      <c r="BM64" s="35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5">
        <f t="shared" si="14"/>
        <v>0</v>
      </c>
      <c r="BC65" s="35">
        <f t="shared" si="15"/>
        <v>0</v>
      </c>
      <c r="BD65" s="35">
        <f t="shared" si="16"/>
        <v>0</v>
      </c>
      <c r="BE65" s="35">
        <f t="shared" si="17"/>
        <v>0</v>
      </c>
      <c r="BF65" s="35">
        <f t="shared" si="18"/>
        <v>0</v>
      </c>
      <c r="BG65" s="35">
        <f t="shared" si="19"/>
        <v>0</v>
      </c>
      <c r="BH65" s="35">
        <f t="shared" si="20"/>
        <v>0</v>
      </c>
      <c r="BI65" s="35">
        <f t="shared" si="21"/>
        <v>0</v>
      </c>
      <c r="BJ65" s="35">
        <f t="shared" si="22"/>
        <v>0</v>
      </c>
      <c r="BK65" s="35">
        <f t="shared" si="23"/>
        <v>0</v>
      </c>
      <c r="BL65" s="35">
        <f t="shared" si="24"/>
        <v>0</v>
      </c>
      <c r="BM65" s="35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5">
        <f t="shared" si="14"/>
        <v>0</v>
      </c>
      <c r="BC66" s="35">
        <f t="shared" si="15"/>
        <v>0</v>
      </c>
      <c r="BD66" s="35">
        <f t="shared" si="16"/>
        <v>0</v>
      </c>
      <c r="BE66" s="35">
        <f t="shared" si="17"/>
        <v>0</v>
      </c>
      <c r="BF66" s="35">
        <f t="shared" si="18"/>
        <v>0</v>
      </c>
      <c r="BG66" s="35">
        <f t="shared" si="19"/>
        <v>0</v>
      </c>
      <c r="BH66" s="35">
        <f t="shared" si="20"/>
        <v>0</v>
      </c>
      <c r="BI66" s="35">
        <f t="shared" si="21"/>
        <v>0</v>
      </c>
      <c r="BJ66" s="35">
        <f t="shared" si="22"/>
        <v>0</v>
      </c>
      <c r="BK66" s="35">
        <f t="shared" si="23"/>
        <v>0</v>
      </c>
      <c r="BL66" s="35">
        <f t="shared" si="24"/>
        <v>0</v>
      </c>
      <c r="BM66" s="35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5">
        <f t="shared" si="14"/>
        <v>0</v>
      </c>
      <c r="BC67" s="35">
        <f t="shared" si="15"/>
        <v>0</v>
      </c>
      <c r="BD67" s="35">
        <f t="shared" si="16"/>
        <v>0</v>
      </c>
      <c r="BE67" s="35">
        <f t="shared" si="17"/>
        <v>0</v>
      </c>
      <c r="BF67" s="35">
        <f t="shared" si="18"/>
        <v>0</v>
      </c>
      <c r="BG67" s="35">
        <f t="shared" si="19"/>
        <v>0</v>
      </c>
      <c r="BH67" s="35">
        <f t="shared" si="20"/>
        <v>0</v>
      </c>
      <c r="BI67" s="35">
        <f t="shared" si="21"/>
        <v>0</v>
      </c>
      <c r="BJ67" s="35">
        <f t="shared" si="22"/>
        <v>0</v>
      </c>
      <c r="BK67" s="35">
        <f t="shared" si="23"/>
        <v>0</v>
      </c>
      <c r="BL67" s="35">
        <f t="shared" si="24"/>
        <v>0</v>
      </c>
      <c r="BM67" s="35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5">
        <f t="shared" ref="BB68:BB131" si="69">IF(AND($D68&gt;0,$G68=BB$1),$F68,0)</f>
        <v>0</v>
      </c>
      <c r="BC68" s="35">
        <f t="shared" ref="BC68:BC131" si="70">IF(AND($D68&gt;0,$G68=BC$1),$D68,0)</f>
        <v>0</v>
      </c>
      <c r="BD68" s="35">
        <f t="shared" ref="BD68:BD131" si="71">IF(AND($D68&gt;0,$G68=BD$1),$F68,0)</f>
        <v>0</v>
      </c>
      <c r="BE68" s="35">
        <f t="shared" ref="BE68:BE131" si="72">IF(AND($D68&gt;0,$G68=BE$1),$D68,0)</f>
        <v>0</v>
      </c>
      <c r="BF68" s="35">
        <f t="shared" ref="BF68:BF131" si="73">IF(AND($D68&gt;0,$G68=BF$1),$F68,0)</f>
        <v>0</v>
      </c>
      <c r="BG68" s="35">
        <f t="shared" ref="BG68:BG131" si="74">IF(AND($D68&gt;0,$G68=BG$1),$D68,0)</f>
        <v>0</v>
      </c>
      <c r="BH68" s="35">
        <f t="shared" ref="BH68:BH131" si="75">IF(AND($D68&gt;0,$G68=BH$1),$F68,0)</f>
        <v>0</v>
      </c>
      <c r="BI68" s="35">
        <f t="shared" ref="BI68:BI131" si="76">IF(AND($D68&gt;0,$G68=BI$1),$D68,0)</f>
        <v>0</v>
      </c>
      <c r="BJ68" s="35">
        <f t="shared" ref="BJ68:BJ131" si="77">IF(AND($D68&gt;0,$G68=BJ$1),$F68,0)</f>
        <v>0</v>
      </c>
      <c r="BK68" s="35">
        <f t="shared" ref="BK68:BK131" si="78">IF(AND($D68&gt;0,$G68=BK$1),$D68,0)</f>
        <v>0</v>
      </c>
      <c r="BL68" s="35">
        <f t="shared" ref="BL68:BL131" si="79">BN68+BP68+BR68+BT68</f>
        <v>0</v>
      </c>
      <c r="BM68" s="35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5">
        <f t="shared" si="69"/>
        <v>0</v>
      </c>
      <c r="BC69" s="35">
        <f t="shared" si="70"/>
        <v>0</v>
      </c>
      <c r="BD69" s="35">
        <f t="shared" si="71"/>
        <v>0</v>
      </c>
      <c r="BE69" s="35">
        <f t="shared" si="72"/>
        <v>0</v>
      </c>
      <c r="BF69" s="35">
        <f t="shared" si="73"/>
        <v>0</v>
      </c>
      <c r="BG69" s="35">
        <f t="shared" si="74"/>
        <v>0</v>
      </c>
      <c r="BH69" s="35">
        <f t="shared" si="75"/>
        <v>0</v>
      </c>
      <c r="BI69" s="35">
        <f t="shared" si="76"/>
        <v>0</v>
      </c>
      <c r="BJ69" s="35">
        <f t="shared" si="77"/>
        <v>0</v>
      </c>
      <c r="BK69" s="35">
        <f t="shared" si="78"/>
        <v>0</v>
      </c>
      <c r="BL69" s="35">
        <f t="shared" si="79"/>
        <v>0</v>
      </c>
      <c r="BM69" s="35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5">
        <f t="shared" si="69"/>
        <v>0</v>
      </c>
      <c r="BC70" s="35">
        <f t="shared" si="70"/>
        <v>0</v>
      </c>
      <c r="BD70" s="35">
        <f t="shared" si="71"/>
        <v>0</v>
      </c>
      <c r="BE70" s="35">
        <f t="shared" si="72"/>
        <v>0</v>
      </c>
      <c r="BF70" s="35">
        <f t="shared" si="73"/>
        <v>0</v>
      </c>
      <c r="BG70" s="35">
        <f t="shared" si="74"/>
        <v>0</v>
      </c>
      <c r="BH70" s="35">
        <f t="shared" si="75"/>
        <v>0</v>
      </c>
      <c r="BI70" s="35">
        <f t="shared" si="76"/>
        <v>0</v>
      </c>
      <c r="BJ70" s="35">
        <f t="shared" si="77"/>
        <v>0</v>
      </c>
      <c r="BK70" s="35">
        <f t="shared" si="78"/>
        <v>0</v>
      </c>
      <c r="BL70" s="35">
        <f t="shared" si="79"/>
        <v>0</v>
      </c>
      <c r="BM70" s="35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5">
        <f t="shared" si="69"/>
        <v>0</v>
      </c>
      <c r="BC71" s="35">
        <f t="shared" si="70"/>
        <v>0</v>
      </c>
      <c r="BD71" s="35">
        <f t="shared" si="71"/>
        <v>0</v>
      </c>
      <c r="BE71" s="35">
        <f t="shared" si="72"/>
        <v>0</v>
      </c>
      <c r="BF71" s="35">
        <f t="shared" si="73"/>
        <v>0</v>
      </c>
      <c r="BG71" s="35">
        <f t="shared" si="74"/>
        <v>0</v>
      </c>
      <c r="BH71" s="35">
        <f t="shared" si="75"/>
        <v>0</v>
      </c>
      <c r="BI71" s="35">
        <f t="shared" si="76"/>
        <v>0</v>
      </c>
      <c r="BJ71" s="35">
        <f t="shared" si="77"/>
        <v>0</v>
      </c>
      <c r="BK71" s="35">
        <f t="shared" si="78"/>
        <v>0</v>
      </c>
      <c r="BL71" s="35">
        <f t="shared" si="79"/>
        <v>0</v>
      </c>
      <c r="BM71" s="35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5">
        <f t="shared" si="69"/>
        <v>0</v>
      </c>
      <c r="BC72" s="35">
        <f t="shared" si="70"/>
        <v>0</v>
      </c>
      <c r="BD72" s="35">
        <f t="shared" si="71"/>
        <v>0</v>
      </c>
      <c r="BE72" s="35">
        <f t="shared" si="72"/>
        <v>0</v>
      </c>
      <c r="BF72" s="35">
        <f t="shared" si="73"/>
        <v>0</v>
      </c>
      <c r="BG72" s="35">
        <f t="shared" si="74"/>
        <v>0</v>
      </c>
      <c r="BH72" s="35">
        <f t="shared" si="75"/>
        <v>0</v>
      </c>
      <c r="BI72" s="35">
        <f t="shared" si="76"/>
        <v>0</v>
      </c>
      <c r="BJ72" s="35">
        <f t="shared" si="77"/>
        <v>0</v>
      </c>
      <c r="BK72" s="35">
        <f t="shared" si="78"/>
        <v>0</v>
      </c>
      <c r="BL72" s="35">
        <f t="shared" si="79"/>
        <v>0</v>
      </c>
      <c r="BM72" s="35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5">
        <f t="shared" si="69"/>
        <v>0</v>
      </c>
      <c r="BC73" s="35">
        <f t="shared" si="70"/>
        <v>0</v>
      </c>
      <c r="BD73" s="35">
        <f t="shared" si="71"/>
        <v>0</v>
      </c>
      <c r="BE73" s="35">
        <f t="shared" si="72"/>
        <v>0</v>
      </c>
      <c r="BF73" s="35">
        <f t="shared" si="73"/>
        <v>0</v>
      </c>
      <c r="BG73" s="35">
        <f t="shared" si="74"/>
        <v>0</v>
      </c>
      <c r="BH73" s="35">
        <f t="shared" si="75"/>
        <v>0</v>
      </c>
      <c r="BI73" s="35">
        <f t="shared" si="76"/>
        <v>0</v>
      </c>
      <c r="BJ73" s="35">
        <f t="shared" si="77"/>
        <v>0</v>
      </c>
      <c r="BK73" s="35">
        <f t="shared" si="78"/>
        <v>0</v>
      </c>
      <c r="BL73" s="35">
        <f t="shared" si="79"/>
        <v>0</v>
      </c>
      <c r="BM73" s="35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5">
        <f t="shared" si="69"/>
        <v>0</v>
      </c>
      <c r="BC74" s="35">
        <f t="shared" si="70"/>
        <v>0</v>
      </c>
      <c r="BD74" s="35">
        <f t="shared" si="71"/>
        <v>0</v>
      </c>
      <c r="BE74" s="35">
        <f t="shared" si="72"/>
        <v>0</v>
      </c>
      <c r="BF74" s="35">
        <f t="shared" si="73"/>
        <v>0</v>
      </c>
      <c r="BG74" s="35">
        <f t="shared" si="74"/>
        <v>0</v>
      </c>
      <c r="BH74" s="35">
        <f t="shared" si="75"/>
        <v>0</v>
      </c>
      <c r="BI74" s="35">
        <f t="shared" si="76"/>
        <v>0</v>
      </c>
      <c r="BJ74" s="35">
        <f t="shared" si="77"/>
        <v>0</v>
      </c>
      <c r="BK74" s="35">
        <f t="shared" si="78"/>
        <v>0</v>
      </c>
      <c r="BL74" s="35">
        <f t="shared" si="79"/>
        <v>0</v>
      </c>
      <c r="BM74" s="35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5">
        <f t="shared" si="69"/>
        <v>0</v>
      </c>
      <c r="BC75" s="35">
        <f t="shared" si="70"/>
        <v>0</v>
      </c>
      <c r="BD75" s="35">
        <f t="shared" si="71"/>
        <v>0</v>
      </c>
      <c r="BE75" s="35">
        <f t="shared" si="72"/>
        <v>0</v>
      </c>
      <c r="BF75" s="35">
        <f t="shared" si="73"/>
        <v>0</v>
      </c>
      <c r="BG75" s="35">
        <f t="shared" si="74"/>
        <v>0</v>
      </c>
      <c r="BH75" s="35">
        <f t="shared" si="75"/>
        <v>0</v>
      </c>
      <c r="BI75" s="35">
        <f t="shared" si="76"/>
        <v>0</v>
      </c>
      <c r="BJ75" s="35">
        <f t="shared" si="77"/>
        <v>0</v>
      </c>
      <c r="BK75" s="35">
        <f t="shared" si="78"/>
        <v>0</v>
      </c>
      <c r="BL75" s="35">
        <f t="shared" si="79"/>
        <v>0</v>
      </c>
      <c r="BM75" s="35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5">
        <f t="shared" si="69"/>
        <v>0</v>
      </c>
      <c r="BC76" s="35">
        <f t="shared" si="70"/>
        <v>0</v>
      </c>
      <c r="BD76" s="35">
        <f t="shared" si="71"/>
        <v>0</v>
      </c>
      <c r="BE76" s="35">
        <f t="shared" si="72"/>
        <v>0</v>
      </c>
      <c r="BF76" s="35">
        <f t="shared" si="73"/>
        <v>0</v>
      </c>
      <c r="BG76" s="35">
        <f t="shared" si="74"/>
        <v>0</v>
      </c>
      <c r="BH76" s="35">
        <f t="shared" si="75"/>
        <v>0</v>
      </c>
      <c r="BI76" s="35">
        <f t="shared" si="76"/>
        <v>0</v>
      </c>
      <c r="BJ76" s="35">
        <f t="shared" si="77"/>
        <v>0</v>
      </c>
      <c r="BK76" s="35">
        <f t="shared" si="78"/>
        <v>0</v>
      </c>
      <c r="BL76" s="35">
        <f t="shared" si="79"/>
        <v>0</v>
      </c>
      <c r="BM76" s="35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5">
        <f t="shared" si="69"/>
        <v>0</v>
      </c>
      <c r="BC77" s="35">
        <f t="shared" si="70"/>
        <v>0</v>
      </c>
      <c r="BD77" s="35">
        <f t="shared" si="71"/>
        <v>0</v>
      </c>
      <c r="BE77" s="35">
        <f t="shared" si="72"/>
        <v>0</v>
      </c>
      <c r="BF77" s="35">
        <f t="shared" si="73"/>
        <v>0</v>
      </c>
      <c r="BG77" s="35">
        <f t="shared" si="74"/>
        <v>0</v>
      </c>
      <c r="BH77" s="35">
        <f t="shared" si="75"/>
        <v>0</v>
      </c>
      <c r="BI77" s="35">
        <f t="shared" si="76"/>
        <v>0</v>
      </c>
      <c r="BJ77" s="35">
        <f t="shared" si="77"/>
        <v>0</v>
      </c>
      <c r="BK77" s="35">
        <f t="shared" si="78"/>
        <v>0</v>
      </c>
      <c r="BL77" s="35">
        <f t="shared" si="79"/>
        <v>0</v>
      </c>
      <c r="BM77" s="35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5">
        <f t="shared" si="69"/>
        <v>0</v>
      </c>
      <c r="BC78" s="35">
        <f t="shared" si="70"/>
        <v>0</v>
      </c>
      <c r="BD78" s="35">
        <f t="shared" si="71"/>
        <v>0</v>
      </c>
      <c r="BE78" s="35">
        <f t="shared" si="72"/>
        <v>0</v>
      </c>
      <c r="BF78" s="35">
        <f t="shared" si="73"/>
        <v>0</v>
      </c>
      <c r="BG78" s="35">
        <f t="shared" si="74"/>
        <v>0</v>
      </c>
      <c r="BH78" s="35">
        <f t="shared" si="75"/>
        <v>0</v>
      </c>
      <c r="BI78" s="35">
        <f t="shared" si="76"/>
        <v>0</v>
      </c>
      <c r="BJ78" s="35">
        <f t="shared" si="77"/>
        <v>0</v>
      </c>
      <c r="BK78" s="35">
        <f t="shared" si="78"/>
        <v>0</v>
      </c>
      <c r="BL78" s="35">
        <f t="shared" si="79"/>
        <v>0</v>
      </c>
      <c r="BM78" s="35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5">
        <f t="shared" si="69"/>
        <v>0</v>
      </c>
      <c r="BC79" s="35">
        <f t="shared" si="70"/>
        <v>0</v>
      </c>
      <c r="BD79" s="35">
        <f t="shared" si="71"/>
        <v>0</v>
      </c>
      <c r="BE79" s="35">
        <f t="shared" si="72"/>
        <v>0</v>
      </c>
      <c r="BF79" s="35">
        <f t="shared" si="73"/>
        <v>0</v>
      </c>
      <c r="BG79" s="35">
        <f t="shared" si="74"/>
        <v>0</v>
      </c>
      <c r="BH79" s="35">
        <f t="shared" si="75"/>
        <v>0</v>
      </c>
      <c r="BI79" s="35">
        <f t="shared" si="76"/>
        <v>0</v>
      </c>
      <c r="BJ79" s="35">
        <f t="shared" si="77"/>
        <v>0</v>
      </c>
      <c r="BK79" s="35">
        <f t="shared" si="78"/>
        <v>0</v>
      </c>
      <c r="BL79" s="35">
        <f t="shared" si="79"/>
        <v>0</v>
      </c>
      <c r="BM79" s="35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5">
        <f t="shared" si="69"/>
        <v>0</v>
      </c>
      <c r="BC80" s="35">
        <f t="shared" si="70"/>
        <v>0</v>
      </c>
      <c r="BD80" s="35">
        <f t="shared" si="71"/>
        <v>0</v>
      </c>
      <c r="BE80" s="35">
        <f t="shared" si="72"/>
        <v>0</v>
      </c>
      <c r="BF80" s="35">
        <f t="shared" si="73"/>
        <v>0</v>
      </c>
      <c r="BG80" s="35">
        <f t="shared" si="74"/>
        <v>0</v>
      </c>
      <c r="BH80" s="35">
        <f t="shared" si="75"/>
        <v>0</v>
      </c>
      <c r="BI80" s="35">
        <f t="shared" si="76"/>
        <v>0</v>
      </c>
      <c r="BJ80" s="35">
        <f t="shared" si="77"/>
        <v>0</v>
      </c>
      <c r="BK80" s="35">
        <f t="shared" si="78"/>
        <v>0</v>
      </c>
      <c r="BL80" s="35">
        <f t="shared" si="79"/>
        <v>0</v>
      </c>
      <c r="BM80" s="35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5">
        <f t="shared" si="69"/>
        <v>0</v>
      </c>
      <c r="BC81" s="35">
        <f t="shared" si="70"/>
        <v>0</v>
      </c>
      <c r="BD81" s="35">
        <f t="shared" si="71"/>
        <v>0</v>
      </c>
      <c r="BE81" s="35">
        <f t="shared" si="72"/>
        <v>0</v>
      </c>
      <c r="BF81" s="35">
        <f t="shared" si="73"/>
        <v>0</v>
      </c>
      <c r="BG81" s="35">
        <f t="shared" si="74"/>
        <v>0</v>
      </c>
      <c r="BH81" s="35">
        <f t="shared" si="75"/>
        <v>0</v>
      </c>
      <c r="BI81" s="35">
        <f t="shared" si="76"/>
        <v>0</v>
      </c>
      <c r="BJ81" s="35">
        <f t="shared" si="77"/>
        <v>0</v>
      </c>
      <c r="BK81" s="35">
        <f t="shared" si="78"/>
        <v>0</v>
      </c>
      <c r="BL81" s="35">
        <f t="shared" si="79"/>
        <v>0</v>
      </c>
      <c r="BM81" s="35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5">
        <f t="shared" si="69"/>
        <v>0</v>
      </c>
      <c r="BC82" s="35">
        <f t="shared" si="70"/>
        <v>0</v>
      </c>
      <c r="BD82" s="35">
        <f t="shared" si="71"/>
        <v>0</v>
      </c>
      <c r="BE82" s="35">
        <f t="shared" si="72"/>
        <v>0</v>
      </c>
      <c r="BF82" s="35">
        <f t="shared" si="73"/>
        <v>0</v>
      </c>
      <c r="BG82" s="35">
        <f t="shared" si="74"/>
        <v>0</v>
      </c>
      <c r="BH82" s="35">
        <f t="shared" si="75"/>
        <v>0</v>
      </c>
      <c r="BI82" s="35">
        <f t="shared" si="76"/>
        <v>0</v>
      </c>
      <c r="BJ82" s="35">
        <f t="shared" si="77"/>
        <v>0</v>
      </c>
      <c r="BK82" s="35">
        <f t="shared" si="78"/>
        <v>0</v>
      </c>
      <c r="BL82" s="35">
        <f t="shared" si="79"/>
        <v>0</v>
      </c>
      <c r="BM82" s="35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5">
        <f t="shared" si="69"/>
        <v>0</v>
      </c>
      <c r="BC83" s="35">
        <f t="shared" si="70"/>
        <v>0</v>
      </c>
      <c r="BD83" s="35">
        <f t="shared" si="71"/>
        <v>0</v>
      </c>
      <c r="BE83" s="35">
        <f t="shared" si="72"/>
        <v>0</v>
      </c>
      <c r="BF83" s="35">
        <f t="shared" si="73"/>
        <v>0</v>
      </c>
      <c r="BG83" s="35">
        <f t="shared" si="74"/>
        <v>0</v>
      </c>
      <c r="BH83" s="35">
        <f t="shared" si="75"/>
        <v>0</v>
      </c>
      <c r="BI83" s="35">
        <f t="shared" si="76"/>
        <v>0</v>
      </c>
      <c r="BJ83" s="35">
        <f t="shared" si="77"/>
        <v>0</v>
      </c>
      <c r="BK83" s="35">
        <f t="shared" si="78"/>
        <v>0</v>
      </c>
      <c r="BL83" s="35">
        <f t="shared" si="79"/>
        <v>0</v>
      </c>
      <c r="BM83" s="35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5">
        <f t="shared" si="69"/>
        <v>0</v>
      </c>
      <c r="BC84" s="35">
        <f t="shared" si="70"/>
        <v>0</v>
      </c>
      <c r="BD84" s="35">
        <f t="shared" si="71"/>
        <v>0</v>
      </c>
      <c r="BE84" s="35">
        <f t="shared" si="72"/>
        <v>0</v>
      </c>
      <c r="BF84" s="35">
        <f t="shared" si="73"/>
        <v>0</v>
      </c>
      <c r="BG84" s="35">
        <f t="shared" si="74"/>
        <v>0</v>
      </c>
      <c r="BH84" s="35">
        <f t="shared" si="75"/>
        <v>0</v>
      </c>
      <c r="BI84" s="35">
        <f t="shared" si="76"/>
        <v>0</v>
      </c>
      <c r="BJ84" s="35">
        <f t="shared" si="77"/>
        <v>0</v>
      </c>
      <c r="BK84" s="35">
        <f t="shared" si="78"/>
        <v>0</v>
      </c>
      <c r="BL84" s="35">
        <f t="shared" si="79"/>
        <v>0</v>
      </c>
      <c r="BM84" s="35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5">
        <f t="shared" si="69"/>
        <v>0</v>
      </c>
      <c r="BC85" s="35">
        <f t="shared" si="70"/>
        <v>0</v>
      </c>
      <c r="BD85" s="35">
        <f t="shared" si="71"/>
        <v>0</v>
      </c>
      <c r="BE85" s="35">
        <f t="shared" si="72"/>
        <v>0</v>
      </c>
      <c r="BF85" s="35">
        <f t="shared" si="73"/>
        <v>0</v>
      </c>
      <c r="BG85" s="35">
        <f t="shared" si="74"/>
        <v>0</v>
      </c>
      <c r="BH85" s="35">
        <f t="shared" si="75"/>
        <v>0</v>
      </c>
      <c r="BI85" s="35">
        <f t="shared" si="76"/>
        <v>0</v>
      </c>
      <c r="BJ85" s="35">
        <f t="shared" si="77"/>
        <v>0</v>
      </c>
      <c r="BK85" s="35">
        <f t="shared" si="78"/>
        <v>0</v>
      </c>
      <c r="BL85" s="35">
        <f t="shared" si="79"/>
        <v>0</v>
      </c>
      <c r="BM85" s="35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5">
        <f t="shared" si="69"/>
        <v>0</v>
      </c>
      <c r="BC86" s="35">
        <f t="shared" si="70"/>
        <v>0</v>
      </c>
      <c r="BD86" s="35">
        <f t="shared" si="71"/>
        <v>0</v>
      </c>
      <c r="BE86" s="35">
        <f t="shared" si="72"/>
        <v>0</v>
      </c>
      <c r="BF86" s="35">
        <f t="shared" si="73"/>
        <v>0</v>
      </c>
      <c r="BG86" s="35">
        <f t="shared" si="74"/>
        <v>0</v>
      </c>
      <c r="BH86" s="35">
        <f t="shared" si="75"/>
        <v>0</v>
      </c>
      <c r="BI86" s="35">
        <f t="shared" si="76"/>
        <v>0</v>
      </c>
      <c r="BJ86" s="35">
        <f t="shared" si="77"/>
        <v>0</v>
      </c>
      <c r="BK86" s="35">
        <f t="shared" si="78"/>
        <v>0</v>
      </c>
      <c r="BL86" s="35">
        <f t="shared" si="79"/>
        <v>0</v>
      </c>
      <c r="BM86" s="35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5">
        <f t="shared" si="69"/>
        <v>0</v>
      </c>
      <c r="BC87" s="35">
        <f t="shared" si="70"/>
        <v>0</v>
      </c>
      <c r="BD87" s="35">
        <f t="shared" si="71"/>
        <v>0</v>
      </c>
      <c r="BE87" s="35">
        <f t="shared" si="72"/>
        <v>0</v>
      </c>
      <c r="BF87" s="35">
        <f t="shared" si="73"/>
        <v>0</v>
      </c>
      <c r="BG87" s="35">
        <f t="shared" si="74"/>
        <v>0</v>
      </c>
      <c r="BH87" s="35">
        <f t="shared" si="75"/>
        <v>0</v>
      </c>
      <c r="BI87" s="35">
        <f t="shared" si="76"/>
        <v>0</v>
      </c>
      <c r="BJ87" s="35">
        <f t="shared" si="77"/>
        <v>0</v>
      </c>
      <c r="BK87" s="35">
        <f t="shared" si="78"/>
        <v>0</v>
      </c>
      <c r="BL87" s="35">
        <f t="shared" si="79"/>
        <v>0</v>
      </c>
      <c r="BM87" s="35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5">
        <f t="shared" si="69"/>
        <v>0</v>
      </c>
      <c r="BC88" s="35">
        <f t="shared" si="70"/>
        <v>0</v>
      </c>
      <c r="BD88" s="35">
        <f t="shared" si="71"/>
        <v>0</v>
      </c>
      <c r="BE88" s="35">
        <f t="shared" si="72"/>
        <v>0</v>
      </c>
      <c r="BF88" s="35">
        <f t="shared" si="73"/>
        <v>0</v>
      </c>
      <c r="BG88" s="35">
        <f t="shared" si="74"/>
        <v>0</v>
      </c>
      <c r="BH88" s="35">
        <f t="shared" si="75"/>
        <v>0</v>
      </c>
      <c r="BI88" s="35">
        <f t="shared" si="76"/>
        <v>0</v>
      </c>
      <c r="BJ88" s="35">
        <f t="shared" si="77"/>
        <v>0</v>
      </c>
      <c r="BK88" s="35">
        <f t="shared" si="78"/>
        <v>0</v>
      </c>
      <c r="BL88" s="35">
        <f t="shared" si="79"/>
        <v>0</v>
      </c>
      <c r="BM88" s="35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5">
        <f t="shared" si="69"/>
        <v>0</v>
      </c>
      <c r="BC89" s="35">
        <f t="shared" si="70"/>
        <v>0</v>
      </c>
      <c r="BD89" s="35">
        <f t="shared" si="71"/>
        <v>0</v>
      </c>
      <c r="BE89" s="35">
        <f t="shared" si="72"/>
        <v>0</v>
      </c>
      <c r="BF89" s="35">
        <f t="shared" si="73"/>
        <v>0</v>
      </c>
      <c r="BG89" s="35">
        <f t="shared" si="74"/>
        <v>0</v>
      </c>
      <c r="BH89" s="35">
        <f t="shared" si="75"/>
        <v>0</v>
      </c>
      <c r="BI89" s="35">
        <f t="shared" si="76"/>
        <v>0</v>
      </c>
      <c r="BJ89" s="35">
        <f t="shared" si="77"/>
        <v>0</v>
      </c>
      <c r="BK89" s="35">
        <f t="shared" si="78"/>
        <v>0</v>
      </c>
      <c r="BL89" s="35">
        <f t="shared" si="79"/>
        <v>0</v>
      </c>
      <c r="BM89" s="35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5">
        <f t="shared" si="69"/>
        <v>0</v>
      </c>
      <c r="BC90" s="35">
        <f t="shared" si="70"/>
        <v>0</v>
      </c>
      <c r="BD90" s="35">
        <f t="shared" si="71"/>
        <v>0</v>
      </c>
      <c r="BE90" s="35">
        <f t="shared" si="72"/>
        <v>0</v>
      </c>
      <c r="BF90" s="35">
        <f t="shared" si="73"/>
        <v>0</v>
      </c>
      <c r="BG90" s="35">
        <f t="shared" si="74"/>
        <v>0</v>
      </c>
      <c r="BH90" s="35">
        <f t="shared" si="75"/>
        <v>0</v>
      </c>
      <c r="BI90" s="35">
        <f t="shared" si="76"/>
        <v>0</v>
      </c>
      <c r="BJ90" s="35">
        <f t="shared" si="77"/>
        <v>0</v>
      </c>
      <c r="BK90" s="35">
        <f t="shared" si="78"/>
        <v>0</v>
      </c>
      <c r="BL90" s="35">
        <f t="shared" si="79"/>
        <v>0</v>
      </c>
      <c r="BM90" s="35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5">
        <f t="shared" si="69"/>
        <v>0</v>
      </c>
      <c r="BC91" s="35">
        <f t="shared" si="70"/>
        <v>0</v>
      </c>
      <c r="BD91" s="35">
        <f t="shared" si="71"/>
        <v>0</v>
      </c>
      <c r="BE91" s="35">
        <f t="shared" si="72"/>
        <v>0</v>
      </c>
      <c r="BF91" s="35">
        <f t="shared" si="73"/>
        <v>0</v>
      </c>
      <c r="BG91" s="35">
        <f t="shared" si="74"/>
        <v>0</v>
      </c>
      <c r="BH91" s="35">
        <f t="shared" si="75"/>
        <v>0</v>
      </c>
      <c r="BI91" s="35">
        <f t="shared" si="76"/>
        <v>0</v>
      </c>
      <c r="BJ91" s="35">
        <f t="shared" si="77"/>
        <v>0</v>
      </c>
      <c r="BK91" s="35">
        <f t="shared" si="78"/>
        <v>0</v>
      </c>
      <c r="BL91" s="35">
        <f t="shared" si="79"/>
        <v>0</v>
      </c>
      <c r="BM91" s="35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5">
        <f t="shared" si="69"/>
        <v>0</v>
      </c>
      <c r="BC92" s="35">
        <f t="shared" si="70"/>
        <v>0</v>
      </c>
      <c r="BD92" s="35">
        <f t="shared" si="71"/>
        <v>0</v>
      </c>
      <c r="BE92" s="35">
        <f t="shared" si="72"/>
        <v>0</v>
      </c>
      <c r="BF92" s="35">
        <f t="shared" si="73"/>
        <v>0</v>
      </c>
      <c r="BG92" s="35">
        <f t="shared" si="74"/>
        <v>0</v>
      </c>
      <c r="BH92" s="35">
        <f t="shared" si="75"/>
        <v>0</v>
      </c>
      <c r="BI92" s="35">
        <f t="shared" si="76"/>
        <v>0</v>
      </c>
      <c r="BJ92" s="35">
        <f t="shared" si="77"/>
        <v>0</v>
      </c>
      <c r="BK92" s="35">
        <f t="shared" si="78"/>
        <v>0</v>
      </c>
      <c r="BL92" s="35">
        <f t="shared" si="79"/>
        <v>0</v>
      </c>
      <c r="BM92" s="35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5">
        <f t="shared" si="69"/>
        <v>0</v>
      </c>
      <c r="BC93" s="35">
        <f t="shared" si="70"/>
        <v>0</v>
      </c>
      <c r="BD93" s="35">
        <f t="shared" si="71"/>
        <v>0</v>
      </c>
      <c r="BE93" s="35">
        <f t="shared" si="72"/>
        <v>0</v>
      </c>
      <c r="BF93" s="35">
        <f t="shared" si="73"/>
        <v>0</v>
      </c>
      <c r="BG93" s="35">
        <f t="shared" si="74"/>
        <v>0</v>
      </c>
      <c r="BH93" s="35">
        <f t="shared" si="75"/>
        <v>0</v>
      </c>
      <c r="BI93" s="35">
        <f t="shared" si="76"/>
        <v>0</v>
      </c>
      <c r="BJ93" s="35">
        <f t="shared" si="77"/>
        <v>0</v>
      </c>
      <c r="BK93" s="35">
        <f t="shared" si="78"/>
        <v>0</v>
      </c>
      <c r="BL93" s="35">
        <f t="shared" si="79"/>
        <v>0</v>
      </c>
      <c r="BM93" s="35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5">
        <f t="shared" si="69"/>
        <v>0</v>
      </c>
      <c r="BC94" s="35">
        <f t="shared" si="70"/>
        <v>0</v>
      </c>
      <c r="BD94" s="35">
        <f t="shared" si="71"/>
        <v>0</v>
      </c>
      <c r="BE94" s="35">
        <f t="shared" si="72"/>
        <v>0</v>
      </c>
      <c r="BF94" s="35">
        <f t="shared" si="73"/>
        <v>0</v>
      </c>
      <c r="BG94" s="35">
        <f t="shared" si="74"/>
        <v>0</v>
      </c>
      <c r="BH94" s="35">
        <f t="shared" si="75"/>
        <v>0</v>
      </c>
      <c r="BI94" s="35">
        <f t="shared" si="76"/>
        <v>0</v>
      </c>
      <c r="BJ94" s="35">
        <f t="shared" si="77"/>
        <v>0</v>
      </c>
      <c r="BK94" s="35">
        <f t="shared" si="78"/>
        <v>0</v>
      </c>
      <c r="BL94" s="35">
        <f t="shared" si="79"/>
        <v>0</v>
      </c>
      <c r="BM94" s="35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5">
        <f t="shared" si="69"/>
        <v>0</v>
      </c>
      <c r="BC95" s="35">
        <f t="shared" si="70"/>
        <v>0</v>
      </c>
      <c r="BD95" s="35">
        <f t="shared" si="71"/>
        <v>0</v>
      </c>
      <c r="BE95" s="35">
        <f t="shared" si="72"/>
        <v>0</v>
      </c>
      <c r="BF95" s="35">
        <f t="shared" si="73"/>
        <v>0</v>
      </c>
      <c r="BG95" s="35">
        <f t="shared" si="74"/>
        <v>0</v>
      </c>
      <c r="BH95" s="35">
        <f t="shared" si="75"/>
        <v>0</v>
      </c>
      <c r="BI95" s="35">
        <f t="shared" si="76"/>
        <v>0</v>
      </c>
      <c r="BJ95" s="35">
        <f t="shared" si="77"/>
        <v>0</v>
      </c>
      <c r="BK95" s="35">
        <f t="shared" si="78"/>
        <v>0</v>
      </c>
      <c r="BL95" s="35">
        <f t="shared" si="79"/>
        <v>0</v>
      </c>
      <c r="BM95" s="35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5">
        <f t="shared" si="69"/>
        <v>0</v>
      </c>
      <c r="BC96" s="35">
        <f t="shared" si="70"/>
        <v>0</v>
      </c>
      <c r="BD96" s="35">
        <f t="shared" si="71"/>
        <v>0</v>
      </c>
      <c r="BE96" s="35">
        <f t="shared" si="72"/>
        <v>0</v>
      </c>
      <c r="BF96" s="35">
        <f t="shared" si="73"/>
        <v>0</v>
      </c>
      <c r="BG96" s="35">
        <f t="shared" si="74"/>
        <v>0</v>
      </c>
      <c r="BH96" s="35">
        <f t="shared" si="75"/>
        <v>0</v>
      </c>
      <c r="BI96" s="35">
        <f t="shared" si="76"/>
        <v>0</v>
      </c>
      <c r="BJ96" s="35">
        <f t="shared" si="77"/>
        <v>0</v>
      </c>
      <c r="BK96" s="35">
        <f t="shared" si="78"/>
        <v>0</v>
      </c>
      <c r="BL96" s="35">
        <f t="shared" si="79"/>
        <v>0</v>
      </c>
      <c r="BM96" s="35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5">
        <f t="shared" si="69"/>
        <v>0</v>
      </c>
      <c r="BC97" s="35">
        <f t="shared" si="70"/>
        <v>0</v>
      </c>
      <c r="BD97" s="35">
        <f t="shared" si="71"/>
        <v>0</v>
      </c>
      <c r="BE97" s="35">
        <f t="shared" si="72"/>
        <v>0</v>
      </c>
      <c r="BF97" s="35">
        <f t="shared" si="73"/>
        <v>0</v>
      </c>
      <c r="BG97" s="35">
        <f t="shared" si="74"/>
        <v>0</v>
      </c>
      <c r="BH97" s="35">
        <f t="shared" si="75"/>
        <v>0</v>
      </c>
      <c r="BI97" s="35">
        <f t="shared" si="76"/>
        <v>0</v>
      </c>
      <c r="BJ97" s="35">
        <f t="shared" si="77"/>
        <v>0</v>
      </c>
      <c r="BK97" s="35">
        <f t="shared" si="78"/>
        <v>0</v>
      </c>
      <c r="BL97" s="35">
        <f t="shared" si="79"/>
        <v>0</v>
      </c>
      <c r="BM97" s="35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5">
        <f t="shared" si="69"/>
        <v>0</v>
      </c>
      <c r="BC98" s="35">
        <f t="shared" si="70"/>
        <v>0</v>
      </c>
      <c r="BD98" s="35">
        <f t="shared" si="71"/>
        <v>0</v>
      </c>
      <c r="BE98" s="35">
        <f t="shared" si="72"/>
        <v>0</v>
      </c>
      <c r="BF98" s="35">
        <f t="shared" si="73"/>
        <v>0</v>
      </c>
      <c r="BG98" s="35">
        <f t="shared" si="74"/>
        <v>0</v>
      </c>
      <c r="BH98" s="35">
        <f t="shared" si="75"/>
        <v>0</v>
      </c>
      <c r="BI98" s="35">
        <f t="shared" si="76"/>
        <v>0</v>
      </c>
      <c r="BJ98" s="35">
        <f t="shared" si="77"/>
        <v>0</v>
      </c>
      <c r="BK98" s="35">
        <f t="shared" si="78"/>
        <v>0</v>
      </c>
      <c r="BL98" s="35">
        <f t="shared" si="79"/>
        <v>0</v>
      </c>
      <c r="BM98" s="35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5">
        <f t="shared" si="69"/>
        <v>0</v>
      </c>
      <c r="BC99" s="35">
        <f t="shared" si="70"/>
        <v>0</v>
      </c>
      <c r="BD99" s="35">
        <f t="shared" si="71"/>
        <v>0</v>
      </c>
      <c r="BE99" s="35">
        <f t="shared" si="72"/>
        <v>0</v>
      </c>
      <c r="BF99" s="35">
        <f t="shared" si="73"/>
        <v>0</v>
      </c>
      <c r="BG99" s="35">
        <f t="shared" si="74"/>
        <v>0</v>
      </c>
      <c r="BH99" s="35">
        <f t="shared" si="75"/>
        <v>0</v>
      </c>
      <c r="BI99" s="35">
        <f t="shared" si="76"/>
        <v>0</v>
      </c>
      <c r="BJ99" s="35">
        <f t="shared" si="77"/>
        <v>0</v>
      </c>
      <c r="BK99" s="35">
        <f t="shared" si="78"/>
        <v>0</v>
      </c>
      <c r="BL99" s="35">
        <f t="shared" si="79"/>
        <v>0</v>
      </c>
      <c r="BM99" s="35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5">
        <f t="shared" si="69"/>
        <v>0</v>
      </c>
      <c r="BC100" s="35">
        <f t="shared" si="70"/>
        <v>0</v>
      </c>
      <c r="BD100" s="35">
        <f t="shared" si="71"/>
        <v>0</v>
      </c>
      <c r="BE100" s="35">
        <f t="shared" si="72"/>
        <v>0</v>
      </c>
      <c r="BF100" s="35">
        <f t="shared" si="73"/>
        <v>0</v>
      </c>
      <c r="BG100" s="35">
        <f t="shared" si="74"/>
        <v>0</v>
      </c>
      <c r="BH100" s="35">
        <f t="shared" si="75"/>
        <v>0</v>
      </c>
      <c r="BI100" s="35">
        <f t="shared" si="76"/>
        <v>0</v>
      </c>
      <c r="BJ100" s="35">
        <f t="shared" si="77"/>
        <v>0</v>
      </c>
      <c r="BK100" s="35">
        <f t="shared" si="78"/>
        <v>0</v>
      </c>
      <c r="BL100" s="35">
        <f t="shared" si="79"/>
        <v>0</v>
      </c>
      <c r="BM100" s="35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5">
        <f t="shared" si="69"/>
        <v>0</v>
      </c>
      <c r="BC101" s="35">
        <f t="shared" si="70"/>
        <v>0</v>
      </c>
      <c r="BD101" s="35">
        <f t="shared" si="71"/>
        <v>0</v>
      </c>
      <c r="BE101" s="35">
        <f t="shared" si="72"/>
        <v>0</v>
      </c>
      <c r="BF101" s="35">
        <f t="shared" si="73"/>
        <v>0</v>
      </c>
      <c r="BG101" s="35">
        <f t="shared" si="74"/>
        <v>0</v>
      </c>
      <c r="BH101" s="35">
        <f t="shared" si="75"/>
        <v>0</v>
      </c>
      <c r="BI101" s="35">
        <f t="shared" si="76"/>
        <v>0</v>
      </c>
      <c r="BJ101" s="35">
        <f t="shared" si="77"/>
        <v>0</v>
      </c>
      <c r="BK101" s="35">
        <f t="shared" si="78"/>
        <v>0</v>
      </c>
      <c r="BL101" s="35">
        <f t="shared" si="79"/>
        <v>0</v>
      </c>
      <c r="BM101" s="35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5">
        <f t="shared" si="69"/>
        <v>0</v>
      </c>
      <c r="BC102" s="35">
        <f t="shared" si="70"/>
        <v>0</v>
      </c>
      <c r="BD102" s="35">
        <f t="shared" si="71"/>
        <v>0</v>
      </c>
      <c r="BE102" s="35">
        <f t="shared" si="72"/>
        <v>0</v>
      </c>
      <c r="BF102" s="35">
        <f t="shared" si="73"/>
        <v>0</v>
      </c>
      <c r="BG102" s="35">
        <f t="shared" si="74"/>
        <v>0</v>
      </c>
      <c r="BH102" s="35">
        <f t="shared" si="75"/>
        <v>0</v>
      </c>
      <c r="BI102" s="35">
        <f t="shared" si="76"/>
        <v>0</v>
      </c>
      <c r="BJ102" s="35">
        <f t="shared" si="77"/>
        <v>0</v>
      </c>
      <c r="BK102" s="35">
        <f t="shared" si="78"/>
        <v>0</v>
      </c>
      <c r="BL102" s="35">
        <f t="shared" si="79"/>
        <v>0</v>
      </c>
      <c r="BM102" s="35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69"/>
        <v>0</v>
      </c>
      <c r="BC103" s="35">
        <f t="shared" si="70"/>
        <v>0</v>
      </c>
      <c r="BD103" s="35">
        <f t="shared" si="71"/>
        <v>0</v>
      </c>
      <c r="BE103" s="35">
        <f t="shared" si="72"/>
        <v>0</v>
      </c>
      <c r="BF103" s="35">
        <f t="shared" si="73"/>
        <v>0</v>
      </c>
      <c r="BG103" s="35">
        <f t="shared" si="74"/>
        <v>0</v>
      </c>
      <c r="BH103" s="35">
        <f t="shared" si="75"/>
        <v>0</v>
      </c>
      <c r="BI103" s="35">
        <f t="shared" si="76"/>
        <v>0</v>
      </c>
      <c r="BJ103" s="35">
        <f t="shared" si="77"/>
        <v>0</v>
      </c>
      <c r="BK103" s="35">
        <f t="shared" si="78"/>
        <v>0</v>
      </c>
      <c r="BL103" s="35">
        <f t="shared" si="79"/>
        <v>0</v>
      </c>
      <c r="BM103" s="35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69"/>
        <v>0</v>
      </c>
      <c r="BC104" s="35">
        <f t="shared" si="70"/>
        <v>0</v>
      </c>
      <c r="BD104" s="35">
        <f t="shared" si="71"/>
        <v>0</v>
      </c>
      <c r="BE104" s="35">
        <f t="shared" si="72"/>
        <v>0</v>
      </c>
      <c r="BF104" s="35">
        <f t="shared" si="73"/>
        <v>0</v>
      </c>
      <c r="BG104" s="35">
        <f t="shared" si="74"/>
        <v>0</v>
      </c>
      <c r="BH104" s="35">
        <f t="shared" si="75"/>
        <v>0</v>
      </c>
      <c r="BI104" s="35">
        <f t="shared" si="76"/>
        <v>0</v>
      </c>
      <c r="BJ104" s="35">
        <f t="shared" si="77"/>
        <v>0</v>
      </c>
      <c r="BK104" s="35">
        <f t="shared" si="78"/>
        <v>0</v>
      </c>
      <c r="BL104" s="35">
        <f t="shared" si="79"/>
        <v>0</v>
      </c>
      <c r="BM104" s="35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69"/>
        <v>0</v>
      </c>
      <c r="BC105" s="35">
        <f t="shared" si="70"/>
        <v>0</v>
      </c>
      <c r="BD105" s="35">
        <f t="shared" si="71"/>
        <v>0</v>
      </c>
      <c r="BE105" s="35">
        <f t="shared" si="72"/>
        <v>0</v>
      </c>
      <c r="BF105" s="35">
        <f t="shared" si="73"/>
        <v>0</v>
      </c>
      <c r="BG105" s="35">
        <f t="shared" si="74"/>
        <v>0</v>
      </c>
      <c r="BH105" s="35">
        <f t="shared" si="75"/>
        <v>0</v>
      </c>
      <c r="BI105" s="35">
        <f t="shared" si="76"/>
        <v>0</v>
      </c>
      <c r="BJ105" s="35">
        <f t="shared" si="77"/>
        <v>0</v>
      </c>
      <c r="BK105" s="35">
        <f t="shared" si="78"/>
        <v>0</v>
      </c>
      <c r="BL105" s="35">
        <f t="shared" si="79"/>
        <v>0</v>
      </c>
      <c r="BM105" s="35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69"/>
        <v>0</v>
      </c>
      <c r="BC106" s="35">
        <f t="shared" si="70"/>
        <v>0</v>
      </c>
      <c r="BD106" s="35">
        <f t="shared" si="71"/>
        <v>0</v>
      </c>
      <c r="BE106" s="35">
        <f t="shared" si="72"/>
        <v>0</v>
      </c>
      <c r="BF106" s="35">
        <f t="shared" si="73"/>
        <v>0</v>
      </c>
      <c r="BG106" s="35">
        <f t="shared" si="74"/>
        <v>0</v>
      </c>
      <c r="BH106" s="35">
        <f t="shared" si="75"/>
        <v>0</v>
      </c>
      <c r="BI106" s="35">
        <f t="shared" si="76"/>
        <v>0</v>
      </c>
      <c r="BJ106" s="35">
        <f t="shared" si="77"/>
        <v>0</v>
      </c>
      <c r="BK106" s="35">
        <f t="shared" si="78"/>
        <v>0</v>
      </c>
      <c r="BL106" s="35">
        <f t="shared" si="79"/>
        <v>0</v>
      </c>
      <c r="BM106" s="35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69"/>
        <v>0</v>
      </c>
      <c r="BC107" s="35">
        <f t="shared" si="70"/>
        <v>0</v>
      </c>
      <c r="BD107" s="35">
        <f t="shared" si="71"/>
        <v>0</v>
      </c>
      <c r="BE107" s="35">
        <f t="shared" si="72"/>
        <v>0</v>
      </c>
      <c r="BF107" s="35">
        <f t="shared" si="73"/>
        <v>0</v>
      </c>
      <c r="BG107" s="35">
        <f t="shared" si="74"/>
        <v>0</v>
      </c>
      <c r="BH107" s="35">
        <f t="shared" si="75"/>
        <v>0</v>
      </c>
      <c r="BI107" s="35">
        <f t="shared" si="76"/>
        <v>0</v>
      </c>
      <c r="BJ107" s="35">
        <f t="shared" si="77"/>
        <v>0</v>
      </c>
      <c r="BK107" s="35">
        <f t="shared" si="78"/>
        <v>0</v>
      </c>
      <c r="BL107" s="35">
        <f t="shared" si="79"/>
        <v>0</v>
      </c>
      <c r="BM107" s="35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69"/>
        <v>0</v>
      </c>
      <c r="BC108" s="35">
        <f t="shared" si="70"/>
        <v>0</v>
      </c>
      <c r="BD108" s="35">
        <f t="shared" si="71"/>
        <v>0</v>
      </c>
      <c r="BE108" s="35">
        <f t="shared" si="72"/>
        <v>0</v>
      </c>
      <c r="BF108" s="35">
        <f t="shared" si="73"/>
        <v>0</v>
      </c>
      <c r="BG108" s="35">
        <f t="shared" si="74"/>
        <v>0</v>
      </c>
      <c r="BH108" s="35">
        <f t="shared" si="75"/>
        <v>0</v>
      </c>
      <c r="BI108" s="35">
        <f t="shared" si="76"/>
        <v>0</v>
      </c>
      <c r="BJ108" s="35">
        <f t="shared" si="77"/>
        <v>0</v>
      </c>
      <c r="BK108" s="35">
        <f t="shared" si="78"/>
        <v>0</v>
      </c>
      <c r="BL108" s="35">
        <f t="shared" si="79"/>
        <v>0</v>
      </c>
      <c r="BM108" s="35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69"/>
        <v>0</v>
      </c>
      <c r="BC109" s="35">
        <f t="shared" si="70"/>
        <v>0</v>
      </c>
      <c r="BD109" s="35">
        <f t="shared" si="71"/>
        <v>0</v>
      </c>
      <c r="BE109" s="35">
        <f t="shared" si="72"/>
        <v>0</v>
      </c>
      <c r="BF109" s="35">
        <f t="shared" si="73"/>
        <v>0</v>
      </c>
      <c r="BG109" s="35">
        <f t="shared" si="74"/>
        <v>0</v>
      </c>
      <c r="BH109" s="35">
        <f t="shared" si="75"/>
        <v>0</v>
      </c>
      <c r="BI109" s="35">
        <f t="shared" si="76"/>
        <v>0</v>
      </c>
      <c r="BJ109" s="35">
        <f t="shared" si="77"/>
        <v>0</v>
      </c>
      <c r="BK109" s="35">
        <f t="shared" si="78"/>
        <v>0</v>
      </c>
      <c r="BL109" s="35">
        <f t="shared" si="79"/>
        <v>0</v>
      </c>
      <c r="BM109" s="35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69"/>
        <v>0</v>
      </c>
      <c r="BC110" s="35">
        <f t="shared" si="70"/>
        <v>0</v>
      </c>
      <c r="BD110" s="35">
        <f t="shared" si="71"/>
        <v>0</v>
      </c>
      <c r="BE110" s="35">
        <f t="shared" si="72"/>
        <v>0</v>
      </c>
      <c r="BF110" s="35">
        <f t="shared" si="73"/>
        <v>0</v>
      </c>
      <c r="BG110" s="35">
        <f t="shared" si="74"/>
        <v>0</v>
      </c>
      <c r="BH110" s="35">
        <f t="shared" si="75"/>
        <v>0</v>
      </c>
      <c r="BI110" s="35">
        <f t="shared" si="76"/>
        <v>0</v>
      </c>
      <c r="BJ110" s="35">
        <f t="shared" si="77"/>
        <v>0</v>
      </c>
      <c r="BK110" s="35">
        <f t="shared" si="78"/>
        <v>0</v>
      </c>
      <c r="BL110" s="35">
        <f t="shared" si="79"/>
        <v>0</v>
      </c>
      <c r="BM110" s="35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69"/>
        <v>0</v>
      </c>
      <c r="BC111" s="35">
        <f t="shared" si="70"/>
        <v>0</v>
      </c>
      <c r="BD111" s="35">
        <f t="shared" si="71"/>
        <v>0</v>
      </c>
      <c r="BE111" s="35">
        <f t="shared" si="72"/>
        <v>0</v>
      </c>
      <c r="BF111" s="35">
        <f t="shared" si="73"/>
        <v>0</v>
      </c>
      <c r="BG111" s="35">
        <f t="shared" si="74"/>
        <v>0</v>
      </c>
      <c r="BH111" s="35">
        <f t="shared" si="75"/>
        <v>0</v>
      </c>
      <c r="BI111" s="35">
        <f t="shared" si="76"/>
        <v>0</v>
      </c>
      <c r="BJ111" s="35">
        <f t="shared" si="77"/>
        <v>0</v>
      </c>
      <c r="BK111" s="35">
        <f t="shared" si="78"/>
        <v>0</v>
      </c>
      <c r="BL111" s="35">
        <f t="shared" si="79"/>
        <v>0</v>
      </c>
      <c r="BM111" s="35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69"/>
        <v>0</v>
      </c>
      <c r="BC112" s="35">
        <f t="shared" si="70"/>
        <v>0</v>
      </c>
      <c r="BD112" s="35">
        <f t="shared" si="71"/>
        <v>0</v>
      </c>
      <c r="BE112" s="35">
        <f t="shared" si="72"/>
        <v>0</v>
      </c>
      <c r="BF112" s="35">
        <f t="shared" si="73"/>
        <v>0</v>
      </c>
      <c r="BG112" s="35">
        <f t="shared" si="74"/>
        <v>0</v>
      </c>
      <c r="BH112" s="35">
        <f t="shared" si="75"/>
        <v>0</v>
      </c>
      <c r="BI112" s="35">
        <f t="shared" si="76"/>
        <v>0</v>
      </c>
      <c r="BJ112" s="35">
        <f t="shared" si="77"/>
        <v>0</v>
      </c>
      <c r="BK112" s="35">
        <f t="shared" si="78"/>
        <v>0</v>
      </c>
      <c r="BL112" s="35">
        <f t="shared" si="79"/>
        <v>0</v>
      </c>
      <c r="BM112" s="35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69"/>
        <v>0</v>
      </c>
      <c r="BC113" s="35">
        <f t="shared" si="70"/>
        <v>0</v>
      </c>
      <c r="BD113" s="35">
        <f t="shared" si="71"/>
        <v>0</v>
      </c>
      <c r="BE113" s="35">
        <f t="shared" si="72"/>
        <v>0</v>
      </c>
      <c r="BF113" s="35">
        <f t="shared" si="73"/>
        <v>0</v>
      </c>
      <c r="BG113" s="35">
        <f t="shared" si="74"/>
        <v>0</v>
      </c>
      <c r="BH113" s="35">
        <f t="shared" si="75"/>
        <v>0</v>
      </c>
      <c r="BI113" s="35">
        <f t="shared" si="76"/>
        <v>0</v>
      </c>
      <c r="BJ113" s="35">
        <f t="shared" si="77"/>
        <v>0</v>
      </c>
      <c r="BK113" s="35">
        <f t="shared" si="78"/>
        <v>0</v>
      </c>
      <c r="BL113" s="35">
        <f t="shared" si="79"/>
        <v>0</v>
      </c>
      <c r="BM113" s="35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69"/>
        <v>0</v>
      </c>
      <c r="BC114" s="35">
        <f t="shared" si="70"/>
        <v>0</v>
      </c>
      <c r="BD114" s="35">
        <f t="shared" si="71"/>
        <v>0</v>
      </c>
      <c r="BE114" s="35">
        <f t="shared" si="72"/>
        <v>0</v>
      </c>
      <c r="BF114" s="35">
        <f t="shared" si="73"/>
        <v>0</v>
      </c>
      <c r="BG114" s="35">
        <f t="shared" si="74"/>
        <v>0</v>
      </c>
      <c r="BH114" s="35">
        <f t="shared" si="75"/>
        <v>0</v>
      </c>
      <c r="BI114" s="35">
        <f t="shared" si="76"/>
        <v>0</v>
      </c>
      <c r="BJ114" s="35">
        <f t="shared" si="77"/>
        <v>0</v>
      </c>
      <c r="BK114" s="35">
        <f t="shared" si="78"/>
        <v>0</v>
      </c>
      <c r="BL114" s="35">
        <f t="shared" si="79"/>
        <v>0</v>
      </c>
      <c r="BM114" s="35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69"/>
        <v>0</v>
      </c>
      <c r="BC115" s="35">
        <f t="shared" si="70"/>
        <v>0</v>
      </c>
      <c r="BD115" s="35">
        <f t="shared" si="71"/>
        <v>0</v>
      </c>
      <c r="BE115" s="35">
        <f t="shared" si="72"/>
        <v>0</v>
      </c>
      <c r="BF115" s="35">
        <f t="shared" si="73"/>
        <v>0</v>
      </c>
      <c r="BG115" s="35">
        <f t="shared" si="74"/>
        <v>0</v>
      </c>
      <c r="BH115" s="35">
        <f t="shared" si="75"/>
        <v>0</v>
      </c>
      <c r="BI115" s="35">
        <f t="shared" si="76"/>
        <v>0</v>
      </c>
      <c r="BJ115" s="35">
        <f t="shared" si="77"/>
        <v>0</v>
      </c>
      <c r="BK115" s="35">
        <f t="shared" si="78"/>
        <v>0</v>
      </c>
      <c r="BL115" s="35">
        <f t="shared" si="79"/>
        <v>0</v>
      </c>
      <c r="BM115" s="35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69"/>
        <v>0</v>
      </c>
      <c r="BC116" s="35">
        <f t="shared" si="70"/>
        <v>0</v>
      </c>
      <c r="BD116" s="35">
        <f t="shared" si="71"/>
        <v>0</v>
      </c>
      <c r="BE116" s="35">
        <f t="shared" si="72"/>
        <v>0</v>
      </c>
      <c r="BF116" s="35">
        <f t="shared" si="73"/>
        <v>0</v>
      </c>
      <c r="BG116" s="35">
        <f t="shared" si="74"/>
        <v>0</v>
      </c>
      <c r="BH116" s="35">
        <f t="shared" si="75"/>
        <v>0</v>
      </c>
      <c r="BI116" s="35">
        <f t="shared" si="76"/>
        <v>0</v>
      </c>
      <c r="BJ116" s="35">
        <f t="shared" si="77"/>
        <v>0</v>
      </c>
      <c r="BK116" s="35">
        <f t="shared" si="78"/>
        <v>0</v>
      </c>
      <c r="BL116" s="35">
        <f t="shared" si="79"/>
        <v>0</v>
      </c>
      <c r="BM116" s="35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69"/>
        <v>0</v>
      </c>
      <c r="BC117" s="35">
        <f t="shared" si="70"/>
        <v>0</v>
      </c>
      <c r="BD117" s="35">
        <f t="shared" si="71"/>
        <v>0</v>
      </c>
      <c r="BE117" s="35">
        <f t="shared" si="72"/>
        <v>0</v>
      </c>
      <c r="BF117" s="35">
        <f t="shared" si="73"/>
        <v>0</v>
      </c>
      <c r="BG117" s="35">
        <f t="shared" si="74"/>
        <v>0</v>
      </c>
      <c r="BH117" s="35">
        <f t="shared" si="75"/>
        <v>0</v>
      </c>
      <c r="BI117" s="35">
        <f t="shared" si="76"/>
        <v>0</v>
      </c>
      <c r="BJ117" s="35">
        <f t="shared" si="77"/>
        <v>0</v>
      </c>
      <c r="BK117" s="35">
        <f t="shared" si="78"/>
        <v>0</v>
      </c>
      <c r="BL117" s="35">
        <f t="shared" si="79"/>
        <v>0</v>
      </c>
      <c r="BM117" s="35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69"/>
        <v>0</v>
      </c>
      <c r="BC118" s="35">
        <f t="shared" si="70"/>
        <v>0</v>
      </c>
      <c r="BD118" s="35">
        <f t="shared" si="71"/>
        <v>0</v>
      </c>
      <c r="BE118" s="35">
        <f t="shared" si="72"/>
        <v>0</v>
      </c>
      <c r="BF118" s="35">
        <f t="shared" si="73"/>
        <v>0</v>
      </c>
      <c r="BG118" s="35">
        <f t="shared" si="74"/>
        <v>0</v>
      </c>
      <c r="BH118" s="35">
        <f t="shared" si="75"/>
        <v>0</v>
      </c>
      <c r="BI118" s="35">
        <f t="shared" si="76"/>
        <v>0</v>
      </c>
      <c r="BJ118" s="35">
        <f t="shared" si="77"/>
        <v>0</v>
      </c>
      <c r="BK118" s="35">
        <f t="shared" si="78"/>
        <v>0</v>
      </c>
      <c r="BL118" s="35">
        <f t="shared" si="79"/>
        <v>0</v>
      </c>
      <c r="BM118" s="35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5">
        <f t="shared" si="69"/>
        <v>0</v>
      </c>
      <c r="BC119" s="35">
        <f t="shared" si="70"/>
        <v>0</v>
      </c>
      <c r="BD119" s="35">
        <f t="shared" si="71"/>
        <v>0</v>
      </c>
      <c r="BE119" s="35">
        <f t="shared" si="72"/>
        <v>0</v>
      </c>
      <c r="BF119" s="35">
        <f t="shared" si="73"/>
        <v>0</v>
      </c>
      <c r="BG119" s="35">
        <f t="shared" si="74"/>
        <v>0</v>
      </c>
      <c r="BH119" s="35">
        <f t="shared" si="75"/>
        <v>0</v>
      </c>
      <c r="BI119" s="35">
        <f t="shared" si="76"/>
        <v>0</v>
      </c>
      <c r="BJ119" s="35">
        <f t="shared" si="77"/>
        <v>0</v>
      </c>
      <c r="BK119" s="35">
        <f t="shared" si="78"/>
        <v>0</v>
      </c>
      <c r="BL119" s="35">
        <f t="shared" si="79"/>
        <v>0</v>
      </c>
      <c r="BM119" s="35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5">
        <f t="shared" si="69"/>
        <v>0</v>
      </c>
      <c r="BC120" s="35">
        <f t="shared" si="70"/>
        <v>0</v>
      </c>
      <c r="BD120" s="35">
        <f t="shared" si="71"/>
        <v>0</v>
      </c>
      <c r="BE120" s="35">
        <f t="shared" si="72"/>
        <v>0</v>
      </c>
      <c r="BF120" s="35">
        <f t="shared" si="73"/>
        <v>0</v>
      </c>
      <c r="BG120" s="35">
        <f t="shared" si="74"/>
        <v>0</v>
      </c>
      <c r="BH120" s="35">
        <f t="shared" si="75"/>
        <v>0</v>
      </c>
      <c r="BI120" s="35">
        <f t="shared" si="76"/>
        <v>0</v>
      </c>
      <c r="BJ120" s="35">
        <f t="shared" si="77"/>
        <v>0</v>
      </c>
      <c r="BK120" s="35">
        <f t="shared" si="78"/>
        <v>0</v>
      </c>
      <c r="BL120" s="35">
        <f t="shared" si="79"/>
        <v>0</v>
      </c>
      <c r="BM120" s="35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5">
        <f t="shared" si="69"/>
        <v>0</v>
      </c>
      <c r="BC121" s="35">
        <f t="shared" si="70"/>
        <v>0</v>
      </c>
      <c r="BD121" s="35">
        <f t="shared" si="71"/>
        <v>0</v>
      </c>
      <c r="BE121" s="35">
        <f t="shared" si="72"/>
        <v>0</v>
      </c>
      <c r="BF121" s="35">
        <f t="shared" si="73"/>
        <v>0</v>
      </c>
      <c r="BG121" s="35">
        <f t="shared" si="74"/>
        <v>0</v>
      </c>
      <c r="BH121" s="35">
        <f t="shared" si="75"/>
        <v>0</v>
      </c>
      <c r="BI121" s="35">
        <f t="shared" si="76"/>
        <v>0</v>
      </c>
      <c r="BJ121" s="35">
        <f t="shared" si="77"/>
        <v>0</v>
      </c>
      <c r="BK121" s="35">
        <f t="shared" si="78"/>
        <v>0</v>
      </c>
      <c r="BL121" s="35">
        <f t="shared" si="79"/>
        <v>0</v>
      </c>
      <c r="BM121" s="35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5">
        <f t="shared" si="69"/>
        <v>0</v>
      </c>
      <c r="BC122" s="35">
        <f t="shared" si="70"/>
        <v>0</v>
      </c>
      <c r="BD122" s="35">
        <f t="shared" si="71"/>
        <v>0</v>
      </c>
      <c r="BE122" s="35">
        <f t="shared" si="72"/>
        <v>0</v>
      </c>
      <c r="BF122" s="35">
        <f t="shared" si="73"/>
        <v>0</v>
      </c>
      <c r="BG122" s="35">
        <f t="shared" si="74"/>
        <v>0</v>
      </c>
      <c r="BH122" s="35">
        <f t="shared" si="75"/>
        <v>0</v>
      </c>
      <c r="BI122" s="35">
        <f t="shared" si="76"/>
        <v>0</v>
      </c>
      <c r="BJ122" s="35">
        <f t="shared" si="77"/>
        <v>0</v>
      </c>
      <c r="BK122" s="35">
        <f t="shared" si="78"/>
        <v>0</v>
      </c>
      <c r="BL122" s="35">
        <f t="shared" si="79"/>
        <v>0</v>
      </c>
      <c r="BM122" s="35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5">
        <f t="shared" si="69"/>
        <v>0</v>
      </c>
      <c r="BC123" s="35">
        <f t="shared" si="70"/>
        <v>0</v>
      </c>
      <c r="BD123" s="35">
        <f t="shared" si="71"/>
        <v>0</v>
      </c>
      <c r="BE123" s="35">
        <f t="shared" si="72"/>
        <v>0</v>
      </c>
      <c r="BF123" s="35">
        <f t="shared" si="73"/>
        <v>0</v>
      </c>
      <c r="BG123" s="35">
        <f t="shared" si="74"/>
        <v>0</v>
      </c>
      <c r="BH123" s="35">
        <f t="shared" si="75"/>
        <v>0</v>
      </c>
      <c r="BI123" s="35">
        <f t="shared" si="76"/>
        <v>0</v>
      </c>
      <c r="BJ123" s="35">
        <f t="shared" si="77"/>
        <v>0</v>
      </c>
      <c r="BK123" s="35">
        <f t="shared" si="78"/>
        <v>0</v>
      </c>
      <c r="BL123" s="35">
        <f t="shared" si="79"/>
        <v>0</v>
      </c>
      <c r="BM123" s="35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5">
        <f t="shared" si="69"/>
        <v>0</v>
      </c>
      <c r="BC124" s="35">
        <f t="shared" si="70"/>
        <v>0</v>
      </c>
      <c r="BD124" s="35">
        <f t="shared" si="71"/>
        <v>0</v>
      </c>
      <c r="BE124" s="35">
        <f t="shared" si="72"/>
        <v>0</v>
      </c>
      <c r="BF124" s="35">
        <f t="shared" si="73"/>
        <v>0</v>
      </c>
      <c r="BG124" s="35">
        <f t="shared" si="74"/>
        <v>0</v>
      </c>
      <c r="BH124" s="35">
        <f t="shared" si="75"/>
        <v>0</v>
      </c>
      <c r="BI124" s="35">
        <f t="shared" si="76"/>
        <v>0</v>
      </c>
      <c r="BJ124" s="35">
        <f t="shared" si="77"/>
        <v>0</v>
      </c>
      <c r="BK124" s="35">
        <f t="shared" si="78"/>
        <v>0</v>
      </c>
      <c r="BL124" s="35">
        <f t="shared" si="79"/>
        <v>0</v>
      </c>
      <c r="BM124" s="35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5">
        <f t="shared" si="69"/>
        <v>0</v>
      </c>
      <c r="BC125" s="35">
        <f t="shared" si="70"/>
        <v>0</v>
      </c>
      <c r="BD125" s="35">
        <f t="shared" si="71"/>
        <v>0</v>
      </c>
      <c r="BE125" s="35">
        <f t="shared" si="72"/>
        <v>0</v>
      </c>
      <c r="BF125" s="35">
        <f t="shared" si="73"/>
        <v>0</v>
      </c>
      <c r="BG125" s="35">
        <f t="shared" si="74"/>
        <v>0</v>
      </c>
      <c r="BH125" s="35">
        <f t="shared" si="75"/>
        <v>0</v>
      </c>
      <c r="BI125" s="35">
        <f t="shared" si="76"/>
        <v>0</v>
      </c>
      <c r="BJ125" s="35">
        <f t="shared" si="77"/>
        <v>0</v>
      </c>
      <c r="BK125" s="35">
        <f t="shared" si="78"/>
        <v>0</v>
      </c>
      <c r="BL125" s="35">
        <f t="shared" si="79"/>
        <v>0</v>
      </c>
      <c r="BM125" s="35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5">
        <f t="shared" si="69"/>
        <v>0</v>
      </c>
      <c r="BC126" s="35">
        <f t="shared" si="70"/>
        <v>0</v>
      </c>
      <c r="BD126" s="35">
        <f t="shared" si="71"/>
        <v>0</v>
      </c>
      <c r="BE126" s="35">
        <f t="shared" si="72"/>
        <v>0</v>
      </c>
      <c r="BF126" s="35">
        <f t="shared" si="73"/>
        <v>0</v>
      </c>
      <c r="BG126" s="35">
        <f t="shared" si="74"/>
        <v>0</v>
      </c>
      <c r="BH126" s="35">
        <f t="shared" si="75"/>
        <v>0</v>
      </c>
      <c r="BI126" s="35">
        <f t="shared" si="76"/>
        <v>0</v>
      </c>
      <c r="BJ126" s="35">
        <f t="shared" si="77"/>
        <v>0</v>
      </c>
      <c r="BK126" s="35">
        <f t="shared" si="78"/>
        <v>0</v>
      </c>
      <c r="BL126" s="35">
        <f t="shared" si="79"/>
        <v>0</v>
      </c>
      <c r="BM126" s="35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5">
        <f t="shared" si="69"/>
        <v>0</v>
      </c>
      <c r="BC127" s="35">
        <f t="shared" si="70"/>
        <v>0</v>
      </c>
      <c r="BD127" s="35">
        <f t="shared" si="71"/>
        <v>0</v>
      </c>
      <c r="BE127" s="35">
        <f t="shared" si="72"/>
        <v>0</v>
      </c>
      <c r="BF127" s="35">
        <f t="shared" si="73"/>
        <v>0</v>
      </c>
      <c r="BG127" s="35">
        <f t="shared" si="74"/>
        <v>0</v>
      </c>
      <c r="BH127" s="35">
        <f t="shared" si="75"/>
        <v>0</v>
      </c>
      <c r="BI127" s="35">
        <f t="shared" si="76"/>
        <v>0</v>
      </c>
      <c r="BJ127" s="35">
        <f t="shared" si="77"/>
        <v>0</v>
      </c>
      <c r="BK127" s="35">
        <f t="shared" si="78"/>
        <v>0</v>
      </c>
      <c r="BL127" s="35">
        <f t="shared" si="79"/>
        <v>0</v>
      </c>
      <c r="BM127" s="35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5">
        <f t="shared" si="69"/>
        <v>0</v>
      </c>
      <c r="BC128" s="35">
        <f t="shared" si="70"/>
        <v>0</v>
      </c>
      <c r="BD128" s="35">
        <f t="shared" si="71"/>
        <v>0</v>
      </c>
      <c r="BE128" s="35">
        <f t="shared" si="72"/>
        <v>0</v>
      </c>
      <c r="BF128" s="35">
        <f t="shared" si="73"/>
        <v>0</v>
      </c>
      <c r="BG128" s="35">
        <f t="shared" si="74"/>
        <v>0</v>
      </c>
      <c r="BH128" s="35">
        <f t="shared" si="75"/>
        <v>0</v>
      </c>
      <c r="BI128" s="35">
        <f t="shared" si="76"/>
        <v>0</v>
      </c>
      <c r="BJ128" s="35">
        <f t="shared" si="77"/>
        <v>0</v>
      </c>
      <c r="BK128" s="35">
        <f t="shared" si="78"/>
        <v>0</v>
      </c>
      <c r="BL128" s="35">
        <f t="shared" si="79"/>
        <v>0</v>
      </c>
      <c r="BM128" s="35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5">
        <f t="shared" si="69"/>
        <v>0</v>
      </c>
      <c r="BC129" s="35">
        <f t="shared" si="70"/>
        <v>0</v>
      </c>
      <c r="BD129" s="35">
        <f t="shared" si="71"/>
        <v>0</v>
      </c>
      <c r="BE129" s="35">
        <f t="shared" si="72"/>
        <v>0</v>
      </c>
      <c r="BF129" s="35">
        <f t="shared" si="73"/>
        <v>0</v>
      </c>
      <c r="BG129" s="35">
        <f t="shared" si="74"/>
        <v>0</v>
      </c>
      <c r="BH129" s="35">
        <f t="shared" si="75"/>
        <v>0</v>
      </c>
      <c r="BI129" s="35">
        <f t="shared" si="76"/>
        <v>0</v>
      </c>
      <c r="BJ129" s="35">
        <f t="shared" si="77"/>
        <v>0</v>
      </c>
      <c r="BK129" s="35">
        <f t="shared" si="78"/>
        <v>0</v>
      </c>
      <c r="BL129" s="35">
        <f t="shared" si="79"/>
        <v>0</v>
      </c>
      <c r="BM129" s="35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5">
        <f t="shared" si="69"/>
        <v>0</v>
      </c>
      <c r="BC130" s="35">
        <f t="shared" si="70"/>
        <v>0</v>
      </c>
      <c r="BD130" s="35">
        <f t="shared" si="71"/>
        <v>0</v>
      </c>
      <c r="BE130" s="35">
        <f t="shared" si="72"/>
        <v>0</v>
      </c>
      <c r="BF130" s="35">
        <f t="shared" si="73"/>
        <v>0</v>
      </c>
      <c r="BG130" s="35">
        <f t="shared" si="74"/>
        <v>0</v>
      </c>
      <c r="BH130" s="35">
        <f t="shared" si="75"/>
        <v>0</v>
      </c>
      <c r="BI130" s="35">
        <f t="shared" si="76"/>
        <v>0</v>
      </c>
      <c r="BJ130" s="35">
        <f t="shared" si="77"/>
        <v>0</v>
      </c>
      <c r="BK130" s="35">
        <f t="shared" si="78"/>
        <v>0</v>
      </c>
      <c r="BL130" s="35">
        <f t="shared" si="79"/>
        <v>0</v>
      </c>
      <c r="BM130" s="35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5">
        <f t="shared" si="69"/>
        <v>0</v>
      </c>
      <c r="BC131" s="35">
        <f t="shared" si="70"/>
        <v>0</v>
      </c>
      <c r="BD131" s="35">
        <f t="shared" si="71"/>
        <v>0</v>
      </c>
      <c r="BE131" s="35">
        <f t="shared" si="72"/>
        <v>0</v>
      </c>
      <c r="BF131" s="35">
        <f t="shared" si="73"/>
        <v>0</v>
      </c>
      <c r="BG131" s="35">
        <f t="shared" si="74"/>
        <v>0</v>
      </c>
      <c r="BH131" s="35">
        <f t="shared" si="75"/>
        <v>0</v>
      </c>
      <c r="BI131" s="35">
        <f t="shared" si="76"/>
        <v>0</v>
      </c>
      <c r="BJ131" s="35">
        <f t="shared" si="77"/>
        <v>0</v>
      </c>
      <c r="BK131" s="35">
        <f t="shared" si="78"/>
        <v>0</v>
      </c>
      <c r="BL131" s="35">
        <f t="shared" si="79"/>
        <v>0</v>
      </c>
      <c r="BM131" s="35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3">SUM(BB2:BB195)</f>
        <v>54</v>
      </c>
      <c r="BC196" s="35">
        <f t="shared" si="153"/>
        <v>122</v>
      </c>
      <c r="BD196" s="35">
        <f t="shared" si="153"/>
        <v>4</v>
      </c>
      <c r="BE196" s="35">
        <f t="shared" si="153"/>
        <v>8</v>
      </c>
      <c r="BF196" s="35">
        <f t="shared" si="153"/>
        <v>0</v>
      </c>
      <c r="BG196" s="35">
        <f t="shared" si="153"/>
        <v>0</v>
      </c>
      <c r="BH196" s="35">
        <f t="shared" si="153"/>
        <v>6</v>
      </c>
      <c r="BI196" s="35">
        <f t="shared" si="153"/>
        <v>21</v>
      </c>
      <c r="BJ196" s="35">
        <f t="shared" si="153"/>
        <v>0</v>
      </c>
      <c r="BK196" s="35">
        <f t="shared" si="153"/>
        <v>0</v>
      </c>
      <c r="BL196" s="35">
        <f t="shared" ref="BL196" si="154">BN196+BP196+BR196+BT196</f>
        <v>1</v>
      </c>
      <c r="BM196" s="35">
        <f t="shared" si="153"/>
        <v>5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1</v>
      </c>
      <c r="BS196">
        <f t="shared" si="153"/>
        <v>5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159</v>
      </c>
      <c r="K198">
        <f t="shared" ref="K198:AX198" si="155">SUM(K2:K195)</f>
        <v>169</v>
      </c>
      <c r="L198">
        <f t="shared" si="155"/>
        <v>179</v>
      </c>
      <c r="M198">
        <f t="shared" si="155"/>
        <v>179</v>
      </c>
      <c r="N198">
        <f t="shared" si="155"/>
        <v>179</v>
      </c>
      <c r="O198">
        <f t="shared" si="155"/>
        <v>179</v>
      </c>
      <c r="P198">
        <f t="shared" si="155"/>
        <v>179</v>
      </c>
      <c r="Q198">
        <f t="shared" si="155"/>
        <v>179</v>
      </c>
      <c r="R198">
        <f t="shared" si="155"/>
        <v>179</v>
      </c>
      <c r="S198">
        <f t="shared" si="155"/>
        <v>179</v>
      </c>
      <c r="T198">
        <f t="shared" si="155"/>
        <v>179</v>
      </c>
      <c r="U198">
        <f t="shared" si="155"/>
        <v>179</v>
      </c>
      <c r="V198">
        <f t="shared" si="155"/>
        <v>179</v>
      </c>
      <c r="W198">
        <f t="shared" si="155"/>
        <v>179</v>
      </c>
      <c r="X198">
        <f t="shared" si="155"/>
        <v>179</v>
      </c>
      <c r="Y198">
        <f t="shared" si="155"/>
        <v>179</v>
      </c>
      <c r="Z198">
        <f t="shared" si="155"/>
        <v>179</v>
      </c>
      <c r="AA198">
        <f t="shared" si="155"/>
        <v>179</v>
      </c>
      <c r="AB198">
        <f t="shared" si="155"/>
        <v>179</v>
      </c>
      <c r="AC198">
        <f t="shared" si="155"/>
        <v>179</v>
      </c>
      <c r="AD198">
        <f t="shared" si="155"/>
        <v>179</v>
      </c>
      <c r="AE198">
        <f t="shared" si="155"/>
        <v>179</v>
      </c>
      <c r="AF198">
        <f t="shared" si="155"/>
        <v>179</v>
      </c>
      <c r="AG198">
        <f t="shared" si="155"/>
        <v>179</v>
      </c>
      <c r="AH198">
        <f t="shared" si="155"/>
        <v>179</v>
      </c>
      <c r="AI198">
        <f t="shared" si="155"/>
        <v>179</v>
      </c>
      <c r="AJ198">
        <f t="shared" si="155"/>
        <v>179</v>
      </c>
      <c r="AK198">
        <f t="shared" si="155"/>
        <v>179</v>
      </c>
      <c r="AL198">
        <f t="shared" si="155"/>
        <v>179</v>
      </c>
      <c r="AM198">
        <f t="shared" si="155"/>
        <v>179</v>
      </c>
      <c r="AN198">
        <f t="shared" si="155"/>
        <v>179</v>
      </c>
      <c r="AO198">
        <f t="shared" si="155"/>
        <v>179</v>
      </c>
      <c r="AP198">
        <f t="shared" si="155"/>
        <v>179</v>
      </c>
      <c r="AQ198">
        <f t="shared" si="155"/>
        <v>179</v>
      </c>
      <c r="AR198">
        <f t="shared" si="155"/>
        <v>179</v>
      </c>
      <c r="AS198">
        <f t="shared" si="155"/>
        <v>179</v>
      </c>
      <c r="AT198">
        <f t="shared" si="155"/>
        <v>179</v>
      </c>
      <c r="AU198">
        <f t="shared" si="155"/>
        <v>179</v>
      </c>
      <c r="AV198">
        <f t="shared" si="155"/>
        <v>179</v>
      </c>
      <c r="AW198">
        <f t="shared" si="155"/>
        <v>179</v>
      </c>
      <c r="AX198">
        <f t="shared" si="155"/>
        <v>179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179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54</v>
      </c>
      <c r="BE202" s="35">
        <f>BD196</f>
        <v>4</v>
      </c>
      <c r="BF202" s="35">
        <f>BF196</f>
        <v>0</v>
      </c>
      <c r="BG202" s="35">
        <f>BH196</f>
        <v>6</v>
      </c>
      <c r="BH202" s="35">
        <f>BJ196</f>
        <v>0</v>
      </c>
      <c r="BI202" s="36">
        <f>BL196</f>
        <v>1</v>
      </c>
      <c r="BJ202" s="37">
        <f>BN196</f>
        <v>0</v>
      </c>
      <c r="BK202" s="38">
        <f>BP196</f>
        <v>0</v>
      </c>
      <c r="BL202" s="38">
        <f>BR196</f>
        <v>1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122</v>
      </c>
      <c r="BE203" s="41">
        <f>BE196</f>
        <v>8</v>
      </c>
      <c r="BF203" s="41">
        <f>BG196</f>
        <v>0</v>
      </c>
      <c r="BG203" s="41">
        <f>BI196</f>
        <v>21</v>
      </c>
      <c r="BH203" s="41">
        <f>BK196</f>
        <v>0</v>
      </c>
      <c r="BI203" s="42">
        <f>BM196</f>
        <v>5</v>
      </c>
      <c r="BJ203" s="43">
        <f>BO196</f>
        <v>0</v>
      </c>
      <c r="BK203" s="44">
        <f>BQ196</f>
        <v>0</v>
      </c>
      <c r="BL203" s="44">
        <f>BS196</f>
        <v>5</v>
      </c>
      <c r="BM203" s="45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4" workbookViewId="0">
      <selection activeCell="R22" sqref="R22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54</v>
      </c>
      <c r="C30" s="35">
        <f>'book stat'!BE202</f>
        <v>4</v>
      </c>
      <c r="D30" s="35">
        <f>'book stat'!BF202</f>
        <v>0</v>
      </c>
      <c r="E30" s="35">
        <f>'book stat'!BG202</f>
        <v>6</v>
      </c>
      <c r="F30" s="35">
        <f>'book stat'!BH202</f>
        <v>0</v>
      </c>
      <c r="G30" s="35">
        <f>'book stat'!BI202</f>
        <v>1</v>
      </c>
      <c r="H30" s="35">
        <f>'book stat'!BJ202</f>
        <v>0</v>
      </c>
      <c r="I30" s="35">
        <f>'book stat'!BK202</f>
        <v>0</v>
      </c>
      <c r="J30" s="35">
        <f>'book stat'!BL202</f>
        <v>1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122</v>
      </c>
      <c r="C31" s="35">
        <f>'book stat'!BE203</f>
        <v>8</v>
      </c>
      <c r="D31" s="35">
        <f>'book stat'!BF203</f>
        <v>0</v>
      </c>
      <c r="E31" s="35">
        <f>'book stat'!BG203</f>
        <v>21</v>
      </c>
      <c r="F31" s="35">
        <f>'book stat'!BH203</f>
        <v>0</v>
      </c>
      <c r="G31" s="35">
        <f>'book stat'!BI203</f>
        <v>5</v>
      </c>
      <c r="H31" s="35">
        <f>'book stat'!BJ203</f>
        <v>0</v>
      </c>
      <c r="I31" s="35">
        <f>'book stat'!BK203</f>
        <v>0</v>
      </c>
      <c r="J31" s="35">
        <f>'book stat'!BL203</f>
        <v>5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54" activePane="bottomLeft" state="frozen"/>
      <selection pane="bottomLeft" activeCell="W6" sqref="W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4">
        <v>1</v>
      </c>
      <c r="E1" s="175"/>
      <c r="F1" s="67" t="s">
        <v>117</v>
      </c>
      <c r="G1" s="68" t="s">
        <v>8</v>
      </c>
      <c r="H1" s="176">
        <v>2</v>
      </c>
      <c r="I1" s="175"/>
      <c r="J1" s="67" t="s">
        <v>117</v>
      </c>
      <c r="K1" s="69" t="s">
        <v>8</v>
      </c>
      <c r="L1" s="176">
        <v>3</v>
      </c>
      <c r="M1" s="175"/>
      <c r="N1" s="67" t="s">
        <v>117</v>
      </c>
      <c r="O1" s="70" t="s">
        <v>8</v>
      </c>
      <c r="P1" s="174">
        <v>4</v>
      </c>
      <c r="Q1" s="175"/>
      <c r="R1" s="67" t="s">
        <v>117</v>
      </c>
      <c r="S1" s="69" t="s">
        <v>8</v>
      </c>
      <c r="T1" s="177">
        <v>5</v>
      </c>
      <c r="U1" s="178"/>
      <c r="V1" s="67" t="s">
        <v>117</v>
      </c>
      <c r="W1" s="69" t="s">
        <v>8</v>
      </c>
      <c r="X1" s="174">
        <v>6</v>
      </c>
      <c r="Y1" s="175"/>
      <c r="Z1" s="71" t="s">
        <v>118</v>
      </c>
      <c r="AA1" s="140">
        <f>SUM(AA2:AA171)</f>
        <v>178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/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4</v>
      </c>
      <c r="AB27" s="8">
        <f t="shared" si="0"/>
        <v>0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/>
      <c r="E28" s="9"/>
      <c r="F28" s="21"/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8</v>
      </c>
      <c r="AA28" s="141">
        <f t="shared" si="3"/>
        <v>4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/>
      <c r="E29" s="9"/>
      <c r="F29" s="21"/>
      <c r="G29" s="20"/>
      <c r="H29" s="171">
        <v>20</v>
      </c>
      <c r="I29" s="8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8</v>
      </c>
      <c r="AA29" s="141">
        <f t="shared" si="3"/>
        <v>3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/>
      <c r="E30" s="9"/>
      <c r="F30" s="125"/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6</v>
      </c>
      <c r="AA30" s="141">
        <f t="shared" si="3"/>
        <v>0</v>
      </c>
      <c r="AB30" s="8">
        <f t="shared" si="0"/>
        <v>0</v>
      </c>
      <c r="AC30" s="24">
        <f t="shared" si="1"/>
        <v>3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/>
      <c r="S36" s="122"/>
      <c r="T36" s="122"/>
      <c r="U36" s="122"/>
      <c r="V36" s="21"/>
      <c r="W36" s="21"/>
      <c r="X36" s="23"/>
      <c r="Y36" s="23"/>
      <c r="Z36" s="147">
        <f t="shared" si="2"/>
        <v>2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/>
      <c r="S37" s="125"/>
      <c r="T37" s="122"/>
      <c r="U37" s="122"/>
      <c r="V37" s="21"/>
      <c r="W37" s="21"/>
      <c r="X37" s="23"/>
      <c r="Y37" s="23"/>
      <c r="Z37" s="147">
        <f t="shared" si="2"/>
        <v>0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/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0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/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0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/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2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/>
      <c r="S41" s="125"/>
      <c r="T41" s="151">
        <v>12</v>
      </c>
      <c r="U41" s="151">
        <v>12</v>
      </c>
      <c r="V41" s="21"/>
      <c r="W41" s="21"/>
      <c r="X41" s="23"/>
      <c r="Y41" s="23"/>
      <c r="Z41" s="147">
        <f t="shared" si="2"/>
        <v>2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/>
      <c r="S42" s="125"/>
      <c r="T42" s="151">
        <v>12</v>
      </c>
      <c r="U42" s="122"/>
      <c r="V42" s="21"/>
      <c r="W42" s="21"/>
      <c r="X42" s="23"/>
      <c r="Y42" s="23"/>
      <c r="Z42" s="147">
        <f t="shared" si="2"/>
        <v>2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/>
      <c r="S43" s="125"/>
      <c r="T43" s="122"/>
      <c r="U43" s="122"/>
      <c r="V43" s="21"/>
      <c r="W43" s="21"/>
      <c r="X43" s="23"/>
      <c r="Y43" s="23"/>
      <c r="Z43" s="147">
        <f t="shared" si="2"/>
        <v>2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8"/>
      <c r="V53" s="21"/>
      <c r="W53" s="21"/>
      <c r="X53" s="23"/>
      <c r="Y53" s="23"/>
      <c r="Z53" s="147">
        <f t="shared" si="2"/>
        <v>0</v>
      </c>
      <c r="AA53" s="141">
        <f t="shared" si="3"/>
        <v>0</v>
      </c>
      <c r="AB53" s="8">
        <f t="shared" si="4"/>
        <v>0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8"/>
      <c r="U54" s="8"/>
      <c r="V54" s="21"/>
      <c r="W54" s="21"/>
      <c r="X54" s="23"/>
      <c r="Y54" s="23"/>
      <c r="Z54" s="147">
        <f t="shared" si="2"/>
        <v>0</v>
      </c>
      <c r="AA54" s="141">
        <f t="shared" si="3"/>
        <v>0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8"/>
      <c r="U55" s="8"/>
      <c r="V55" s="21"/>
      <c r="W55" s="21"/>
      <c r="X55" s="23"/>
      <c r="Y55" s="23"/>
      <c r="Z55" s="147">
        <f t="shared" si="2"/>
        <v>0</v>
      </c>
      <c r="AA55" s="141">
        <f t="shared" si="3"/>
        <v>0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8"/>
      <c r="U56" s="8"/>
      <c r="V56" s="21"/>
      <c r="W56" s="21"/>
      <c r="X56" s="23"/>
      <c r="Y56" s="23"/>
      <c r="Z56" s="147">
        <f t="shared" si="2"/>
        <v>0</v>
      </c>
      <c r="AA56" s="141">
        <f t="shared" si="3"/>
        <v>0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8"/>
      <c r="U57" s="8"/>
      <c r="V57" s="21"/>
      <c r="W57" s="21"/>
      <c r="X57" s="23"/>
      <c r="Y57" s="23"/>
      <c r="Z57" s="147">
        <f t="shared" si="2"/>
        <v>0</v>
      </c>
      <c r="AA57" s="141">
        <f t="shared" si="3"/>
        <v>0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8"/>
      <c r="U58" s="8"/>
      <c r="V58" s="21"/>
      <c r="W58" s="21"/>
      <c r="X58" s="23"/>
      <c r="Y58" s="23"/>
      <c r="Z58" s="147">
        <f t="shared" si="2"/>
        <v>0</v>
      </c>
      <c r="AA58" s="141">
        <f t="shared" si="3"/>
        <v>0</v>
      </c>
      <c r="AB58" s="8">
        <f t="shared" si="4"/>
        <v>0</v>
      </c>
      <c r="AC58" s="24">
        <f t="shared" si="5"/>
        <v>0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/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0</v>
      </c>
      <c r="AB61" s="8">
        <f t="shared" si="4"/>
        <v>0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/>
      <c r="M62" s="8"/>
      <c r="N62" s="21"/>
      <c r="O62" s="21"/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0</v>
      </c>
      <c r="AA62" s="141">
        <f t="shared" si="3"/>
        <v>0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/>
      <c r="M63" s="8"/>
      <c r="N63" s="21"/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0</v>
      </c>
      <c r="AA63" s="141">
        <f t="shared" si="3"/>
        <v>0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/>
      <c r="M64" s="8"/>
      <c r="N64" s="21"/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0</v>
      </c>
      <c r="AA64" s="141">
        <f t="shared" si="3"/>
        <v>0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/>
      <c r="M65" s="8"/>
      <c r="N65" s="21"/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0</v>
      </c>
      <c r="AA65" s="141">
        <f t="shared" si="3"/>
        <v>0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/>
      <c r="M66" s="8"/>
      <c r="N66" s="21"/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0</v>
      </c>
      <c r="AA66" s="141">
        <f t="shared" si="3"/>
        <v>0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/>
      <c r="M67" s="8"/>
      <c r="N67" s="21"/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0</v>
      </c>
      <c r="AA67" s="141">
        <f t="shared" ref="AA67:AA130" si="7">COUNT(E67,I67,M67,Q67,U67)</f>
        <v>0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/>
      <c r="M68" s="8"/>
      <c r="N68" s="21"/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0</v>
      </c>
      <c r="AA68" s="141">
        <f t="shared" si="7"/>
        <v>1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/>
      <c r="M69" s="8"/>
      <c r="N69" s="21"/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2</v>
      </c>
      <c r="AA69" s="141">
        <f t="shared" si="7"/>
        <v>3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/>
      <c r="M70" s="8"/>
      <c r="N70" s="21"/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4</v>
      </c>
      <c r="AA70" s="141">
        <f t="shared" si="7"/>
        <v>3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/>
      <c r="M71" s="8"/>
      <c r="N71" s="21"/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4</v>
      </c>
      <c r="AA71" s="141">
        <f t="shared" si="7"/>
        <v>2</v>
      </c>
      <c r="AB71" s="8">
        <f t="shared" si="4"/>
        <v>0</v>
      </c>
      <c r="AC71" s="24">
        <f t="shared" si="5"/>
        <v>1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/>
      <c r="F72" s="125"/>
      <c r="G72" s="144"/>
      <c r="H72" s="8"/>
      <c r="I72" s="8"/>
      <c r="J72" s="21"/>
      <c r="K72" s="20"/>
      <c r="L72" s="8"/>
      <c r="M72" s="8"/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2</v>
      </c>
      <c r="AB72" s="8">
        <f t="shared" si="4"/>
        <v>0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/>
      <c r="E73" s="8"/>
      <c r="F73" s="125"/>
      <c r="G73" s="144"/>
      <c r="H73" s="8"/>
      <c r="I73" s="8"/>
      <c r="J73" s="21"/>
      <c r="K73" s="20"/>
      <c r="L73" s="8"/>
      <c r="M73" s="8"/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2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/>
      <c r="E74" s="8"/>
      <c r="F74" s="125"/>
      <c r="G74" s="144"/>
      <c r="H74" s="8"/>
      <c r="I74" s="151">
        <v>13</v>
      </c>
      <c r="J74" s="21"/>
      <c r="K74" s="20"/>
      <c r="L74" s="8"/>
      <c r="M74" s="8"/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3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/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/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0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2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0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3</v>
      </c>
      <c r="AA80" s="141">
        <f t="shared" si="7"/>
        <v>2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3</v>
      </c>
      <c r="AA81" s="141">
        <f t="shared" si="7"/>
        <v>1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1</v>
      </c>
      <c r="AA82" s="141">
        <f t="shared" si="7"/>
        <v>1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/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1</v>
      </c>
      <c r="AB84" s="8">
        <f t="shared" si="8"/>
        <v>0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/>
      <c r="M85" s="8"/>
      <c r="N85" s="21"/>
      <c r="O85" s="21"/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2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/>
      <c r="M86" s="8"/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2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/>
      <c r="M87" s="8"/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2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/>
      <c r="M88" s="8"/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3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/>
      <c r="M89" s="8"/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3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/>
      <c r="M90" s="8"/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3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/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2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/>
      <c r="N93" s="21"/>
      <c r="O93" s="21"/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0</v>
      </c>
      <c r="AB93" s="8">
        <f t="shared" si="8"/>
        <v>0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/>
      <c r="M94" s="8"/>
      <c r="N94" s="21"/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0</v>
      </c>
      <c r="AA94" s="141">
        <f t="shared" si="7"/>
        <v>0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/>
      <c r="M95" s="8"/>
      <c r="N95" s="21"/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0</v>
      </c>
      <c r="AA95" s="141">
        <f t="shared" si="7"/>
        <v>0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/>
      <c r="M96" s="8"/>
      <c r="N96" s="21"/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0</v>
      </c>
      <c r="AA96" s="141">
        <f t="shared" si="7"/>
        <v>0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/>
      <c r="M97" s="8"/>
      <c r="N97" s="21"/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0</v>
      </c>
      <c r="AA97" s="141">
        <f t="shared" si="7"/>
        <v>0</v>
      </c>
      <c r="AB97" s="8">
        <f t="shared" si="8"/>
        <v>0</v>
      </c>
      <c r="AC97" s="24">
        <f t="shared" si="9"/>
        <v>0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/>
      <c r="J103" s="21"/>
      <c r="K103" s="20"/>
      <c r="L103" s="8"/>
      <c r="M103" s="8"/>
      <c r="N103" s="21"/>
      <c r="O103" s="21"/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1</v>
      </c>
      <c r="AB103" s="8">
        <f t="shared" si="8"/>
        <v>0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/>
      <c r="I104" s="158"/>
      <c r="J104" s="158"/>
      <c r="K104" s="159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0</v>
      </c>
      <c r="AA104" s="141">
        <f t="shared" si="7"/>
        <v>1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/>
      <c r="I105" s="158"/>
      <c r="J105" s="158"/>
      <c r="K105" s="159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0</v>
      </c>
      <c r="AA105" s="141">
        <f t="shared" si="7"/>
        <v>0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/>
      <c r="I106" s="8"/>
      <c r="J106" s="21"/>
      <c r="K106" s="20"/>
      <c r="L106" s="8"/>
      <c r="M106" s="8"/>
      <c r="N106" s="21"/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0</v>
      </c>
      <c r="AA106" s="141">
        <f t="shared" si="7"/>
        <v>0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/>
      <c r="I107" s="8"/>
      <c r="J107" s="21"/>
      <c r="K107" s="20"/>
      <c r="L107" s="8"/>
      <c r="M107" s="8"/>
      <c r="N107" s="21"/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0</v>
      </c>
      <c r="AA107" s="141">
        <f t="shared" si="7"/>
        <v>0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/>
      <c r="I108" s="8"/>
      <c r="J108" s="21"/>
      <c r="K108" s="20"/>
      <c r="L108" s="8"/>
      <c r="M108" s="8"/>
      <c r="N108" s="21"/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 t="shared" si="6"/>
        <v>0</v>
      </c>
      <c r="AA108" s="141">
        <f t="shared" si="7"/>
        <v>0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/>
      <c r="I109" s="9"/>
      <c r="J109" s="21"/>
      <c r="K109" s="20"/>
      <c r="L109" s="8"/>
      <c r="M109" s="8"/>
      <c r="N109" s="21"/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>
        <f t="shared" si="6"/>
        <v>0</v>
      </c>
      <c r="AA109" s="141">
        <f t="shared" si="7"/>
        <v>2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/>
      <c r="I110" s="9"/>
      <c r="J110" s="21"/>
      <c r="K110" s="20"/>
      <c r="L110" s="8"/>
      <c r="M110" s="8">
        <v>23</v>
      </c>
      <c r="N110" s="21"/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4</v>
      </c>
      <c r="AA110" s="141">
        <f t="shared" si="7"/>
        <v>3</v>
      </c>
      <c r="AB110" s="8">
        <f t="shared" si="8"/>
        <v>1</v>
      </c>
      <c r="AC110" s="24">
        <f t="shared" si="9"/>
        <v>0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3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3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0</v>
      </c>
      <c r="AB113" s="8">
        <f t="shared" si="10"/>
        <v>0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0</v>
      </c>
      <c r="AA114" s="141">
        <f t="shared" si="7"/>
        <v>2</v>
      </c>
      <c r="AB114" s="8">
        <f t="shared" si="10"/>
        <v>2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 t="s">
        <v>236</v>
      </c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151">
        <v>21</v>
      </c>
      <c r="U115" s="151">
        <v>21</v>
      </c>
      <c r="V115" s="21">
        <v>2</v>
      </c>
      <c r="W115" s="21"/>
      <c r="X115" s="23"/>
      <c r="Y115" s="23"/>
      <c r="Z115" s="147">
        <f t="shared" si="6"/>
        <v>4</v>
      </c>
      <c r="AA115" s="141">
        <f t="shared" si="7"/>
        <v>2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4</v>
      </c>
      <c r="AA116" s="141">
        <f t="shared" si="7"/>
        <v>2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/>
      <c r="F117" s="21">
        <v>2</v>
      </c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4</v>
      </c>
      <c r="AA117" s="141">
        <f t="shared" si="7"/>
        <v>1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2</v>
      </c>
      <c r="AA118" s="141">
        <f t="shared" si="7"/>
        <v>1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8"/>
      <c r="V124" s="125"/>
      <c r="W124" s="125"/>
      <c r="X124" s="23"/>
      <c r="Y124" s="23"/>
      <c r="Z124" s="147">
        <f t="shared" si="6"/>
        <v>0</v>
      </c>
      <c r="AA124" s="141">
        <f t="shared" si="7"/>
        <v>0</v>
      </c>
      <c r="AB124" s="8">
        <f t="shared" si="10"/>
        <v>0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8"/>
      <c r="U125" s="8"/>
      <c r="V125" s="125"/>
      <c r="W125" s="125"/>
      <c r="X125" s="23"/>
      <c r="Y125" s="23"/>
      <c r="Z125" s="147">
        <f t="shared" si="6"/>
        <v>0</v>
      </c>
      <c r="AA125" s="141">
        <f t="shared" si="7"/>
        <v>0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8"/>
      <c r="U126" s="8"/>
      <c r="V126" s="125"/>
      <c r="W126" s="125"/>
      <c r="X126" s="23"/>
      <c r="Y126" s="23"/>
      <c r="Z126" s="147">
        <f t="shared" si="6"/>
        <v>0</v>
      </c>
      <c r="AA126" s="141">
        <f t="shared" si="7"/>
        <v>0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8"/>
      <c r="U127" s="8"/>
      <c r="V127" s="125"/>
      <c r="W127" s="125"/>
      <c r="X127" s="23"/>
      <c r="Y127" s="23"/>
      <c r="Z127" s="147">
        <f t="shared" si="6"/>
        <v>0</v>
      </c>
      <c r="AA127" s="141">
        <f t="shared" si="7"/>
        <v>0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8"/>
      <c r="U128" s="8"/>
      <c r="V128" s="125"/>
      <c r="W128" s="125"/>
      <c r="X128" s="23"/>
      <c r="Y128" s="23"/>
      <c r="Z128" s="147">
        <f t="shared" si="6"/>
        <v>0</v>
      </c>
      <c r="AA128" s="141">
        <f t="shared" si="7"/>
        <v>0</v>
      </c>
      <c r="AB128" s="8">
        <f t="shared" si="10"/>
        <v>0</v>
      </c>
      <c r="AC128" s="24">
        <f t="shared" si="11"/>
        <v>0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1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>
        <v>22</v>
      </c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18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18</v>
      </c>
      <c r="U147" s="150">
        <v>18</v>
      </c>
      <c r="V147" s="21"/>
      <c r="W147" s="21"/>
      <c r="X147" s="23"/>
      <c r="Y147" s="23"/>
      <c r="Z147" s="147">
        <f t="shared" si="12"/>
        <v>0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18</v>
      </c>
      <c r="U148" s="8"/>
      <c r="V148" s="21"/>
      <c r="W148" s="21"/>
      <c r="X148" s="23"/>
      <c r="Y148" s="23"/>
      <c r="Z148" s="147">
        <f t="shared" si="12"/>
        <v>0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D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46023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-</v>
      </c>
      <c r="G27" s="50" t="str">
        <f>IFERROR(IF(AND(booking!AB27&gt;0,booking!D27&lt;&gt;booking!E27),VLOOKUP(booking!E27,Database!$A$1:'Database'!$L$175,9,FALSE),"-"),"-")</f>
        <v>-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-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-</v>
      </c>
      <c r="S53" s="50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-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-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-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-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-</v>
      </c>
      <c r="G72" s="50" t="str">
        <f>IFERROR(IF(AND(booking!AB72&gt;0,booking!D72&lt;&gt;booking!E72),VLOOKUP(booking!E72,Database!$A$1:'Database'!$L$175,9,FALSE),"-"),"-")</f>
        <v>-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-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-</v>
      </c>
      <c r="E75" s="54" t="str">
        <f>IF(AND(booking!D75&lt;&gt;booking!E75,booking!D75&gt;0),"udc","-")</f>
        <v>-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-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-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-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-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-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-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-</v>
      </c>
      <c r="J103" s="50" t="str">
        <f>IFERROR(IF(AND(booking!AB103&gt;0,booking!H103&lt;&gt;booking!I103),VLOOKUP(booking!I103,Database!$A$1:'Database'!$L$175,9,FALSE),"-"),"-")</f>
        <v>-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-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-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-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-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udc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>
        <f>IFERROR(IF(AND(booking!AB119&gt;0,booking!P119&lt;&gt;booking!Q119),VLOOKUP(booking!Q119,Database!$A$1:'Database'!$L$175,9,FALSE),"-"),"-")</f>
        <v>0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>
        <f>IFERROR(IF(AND(booking!AB123&gt;0,booking!P123&lt;&gt;booking!Q123),VLOOKUP(booking!Q123,Database!$A$1:'Database'!$L$175,9,FALSE),"-"),"-")</f>
        <v>0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-</v>
      </c>
      <c r="S124" s="50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-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-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46023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-</v>
      </c>
      <c r="E27" s="103" t="str">
        <f>IF(AND(D27="Y",booking!D27&lt;&gt;booking!E27,booking!E27&gt;0),booking!E27,"-")</f>
        <v>-</v>
      </c>
      <c r="F27" s="85" t="str">
        <f>IFERROR(VLOOKUP(E27,Database!$A$2:$L$175,8,FALSE),"-")</f>
        <v>-</v>
      </c>
      <c r="G27" s="85" t="str">
        <f>IFERROR(VLOOKUP(E27,Database!$A$2:$L$175,6,FALSE),"-")</f>
        <v>-</v>
      </c>
      <c r="H27" s="101" t="str">
        <f>IFERROR(VLOOKUP(E27,Database!$A$2:$L$175,9,FALSE),"-")</f>
        <v>-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 t="e">
        <f>IF(AND(D45="Y",booking!L45&lt;&gt;booking!#REF!,booking!#REF!&gt;0),booking!#REF!,"-")</f>
        <v>#REF!</v>
      </c>
      <c r="O45" s="85" t="str">
        <f>IFERROR(VLOOKUP(N45,Database!$A$2:$L$175,8,FALSE),"-")</f>
        <v>-</v>
      </c>
      <c r="P45" s="85" t="str">
        <f>IFERROR(VLOOKUP(N45,Database!$A$2:$L$175,6,FALSE),"-")</f>
        <v>-</v>
      </c>
      <c r="Q45" s="89" t="str">
        <f>IFERROR(VLOOKUP(N45,Database!$A$2:$L$175,9,FALSE),"-")</f>
        <v>-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-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 t="str">
        <f>IF(AND(D53="Y",booking!T53&lt;&gt;booking!U53,booking!U53&gt;0),booking!U53,"-")</f>
        <v>-</v>
      </c>
      <c r="W53" s="86" t="str">
        <f>IFERROR(VLOOKUP(V53,Database!$A$2:$L$175,8,FALSE),"-")</f>
        <v>-</v>
      </c>
      <c r="X53" s="86" t="str">
        <f>IFERROR(VLOOKUP(V53,Database!$A$2:$L$175,6,FALSE),"-")</f>
        <v>-</v>
      </c>
      <c r="Y53" s="88" t="str">
        <f>IFERROR(VLOOKUP(V53,Database!$A$2:$L$175,9,FALSE),"-")</f>
        <v>-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-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 t="str">
        <f>IF(AND(D61="Y",booking!L61&lt;&gt;booking!M61,booking!M61&gt;0),booking!M61,"-")</f>
        <v>-</v>
      </c>
      <c r="O61" s="85" t="str">
        <f>IFERROR(VLOOKUP(N61,Database!$A$2:$L$175,8,FALSE),"-")</f>
        <v>-</v>
      </c>
      <c r="P61" s="85" t="str">
        <f>IFERROR(VLOOKUP(N61,Database!$A$2:$L$175,6,FALSE),"-")</f>
        <v>-</v>
      </c>
      <c r="Q61" s="89" t="str">
        <f>IFERROR(VLOOKUP(N61,Database!$A$2:$L$175,9,FALSE),"-")</f>
        <v>-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-</v>
      </c>
      <c r="E72" s="103" t="str">
        <f>IF(AND(D72="Y",booking!D72&lt;&gt;booking!E72,booking!E72&gt;0),booking!E72,"-")</f>
        <v>-</v>
      </c>
      <c r="F72" s="85" t="str">
        <f>IFERROR(VLOOKUP(E72,Database!$A$2:$L$175,8,FALSE),"-")</f>
        <v>-</v>
      </c>
      <c r="G72" s="85" t="str">
        <f>IFERROR(VLOOKUP(E72,Database!$A$2:$L$175,6,FALSE),"-")</f>
        <v>-</v>
      </c>
      <c r="H72" s="101" t="str">
        <f>IFERROR(VLOOKUP(E72,Database!$A$2:$L$175,9,FALSE),"-")</f>
        <v>-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 t="str">
        <f>IF(AND(D72="Y",booking!L72&lt;&gt;booking!M72,booking!M72&gt;0),booking!M72,"-")</f>
        <v>-</v>
      </c>
      <c r="O72" s="85" t="str">
        <f>IFERROR(VLOOKUP(N72,Database!$A$2:$L$175,8,FALSE),"-")</f>
        <v>-</v>
      </c>
      <c r="P72" s="85" t="str">
        <f>IFERROR(VLOOKUP(N72,Database!$A$2:$L$175,6,FALSE),"-")</f>
        <v>-</v>
      </c>
      <c r="Q72" s="89" t="str">
        <f>IFERROR(VLOOKUP(N72,Database!$A$2:$L$175,9,FALSE),"-")</f>
        <v>-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-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-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 t="str">
        <f>IF(AND(D84="Y",booking!L84&lt;&gt;booking!M84,booking!M84&gt;0),booking!M84,"-")</f>
        <v>-</v>
      </c>
      <c r="O84" s="85" t="str">
        <f>IFERROR(VLOOKUP(N84,Database!$A$2:$L$175,8,FALSE),"-")</f>
        <v>-</v>
      </c>
      <c r="P84" s="85" t="str">
        <f>IFERROR(VLOOKUP(N84,Database!$A$2:$L$175,6,FALSE),"-")</f>
        <v>-</v>
      </c>
      <c r="Q84" s="89" t="str">
        <f>IFERROR(VLOOKUP(N84,Database!$A$2:$L$175,9,FALSE),"-")</f>
        <v>-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-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 t="str">
        <f>IF(AND(D93="Y",booking!L93&lt;&gt;booking!M93,booking!M93&gt;0),booking!M93,"-")</f>
        <v>-</v>
      </c>
      <c r="O93" s="85" t="str">
        <f>IFERROR(VLOOKUP(N93,Database!$A$2:$L$175,8,FALSE),"-")</f>
        <v>-</v>
      </c>
      <c r="P93" s="85" t="str">
        <f>IFERROR(VLOOKUP(N93,Database!$A$2:$L$175,6,FALSE),"-")</f>
        <v>-</v>
      </c>
      <c r="Q93" s="89" t="str">
        <f>IFERROR(VLOOKUP(N93,Database!$A$2:$L$175,9,FALSE),"-")</f>
        <v>-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-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 t="str">
        <f>IF(AND(D103="Y",booking!H103&lt;&gt;booking!I103,booking!I103&gt;0),booking!I103,"-")</f>
        <v>-</v>
      </c>
      <c r="K103" s="85" t="str">
        <f>IFERROR(VLOOKUP(J103,Database!$A$2:$L$175,8,FALSE),"-")</f>
        <v>-</v>
      </c>
      <c r="L103" s="85" t="str">
        <f>IFERROR(VLOOKUP(J103,Database!$A$2:$L$175,6,FALSE),"-")</f>
        <v>-</v>
      </c>
      <c r="M103" s="101" t="str">
        <f>IFERROR(VLOOKUP(J103,Database!$A$2:$L$175,9,FALSE),"-")</f>
        <v>-</v>
      </c>
      <c r="N103" s="104" t="str">
        <f>IF(AND(D103="Y",booking!L103&lt;&gt;booking!M103,booking!M103&gt;0),booking!M103,"-")</f>
        <v>-</v>
      </c>
      <c r="O103" s="85" t="str">
        <f>IFERROR(VLOOKUP(N103,Database!$A$2:$L$175,8,FALSE),"-")</f>
        <v>-</v>
      </c>
      <c r="P103" s="85" t="str">
        <f>IFERROR(VLOOKUP(N103,Database!$A$2:$L$175,6,FALSE),"-")</f>
        <v>-</v>
      </c>
      <c r="Q103" s="89" t="str">
        <f>IFERROR(VLOOKUP(N103,Database!$A$2:$L$175,9,FALSE),"-")</f>
        <v>-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 t="str">
        <f>IFERROR(VLOOKUP(N110,Database!$A$2:$L$175,6,FALSE),"-")</f>
        <v>DK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>
        <f>IFERROR(VLOOKUP(R119,Database!$A$2:$L$175,9,FALSE),"-")</f>
        <v>0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>
        <f>IFERROR(VLOOKUP(R123,Database!$A$2:$L$175,9,FALSE),"-")</f>
        <v>0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-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 t="str">
        <f>IF(AND(D124="Y",booking!T124&lt;&gt;booking!U124,booking!U124&gt;0),booking!U124,"-")</f>
        <v>-</v>
      </c>
      <c r="W124" s="86" t="str">
        <f>IFERROR(VLOOKUP(V124,Database!$A$2:$L$175,8,FALSE),"-")</f>
        <v>-</v>
      </c>
      <c r="X124" s="86" t="str">
        <f>IFERROR(VLOOKUP(V124,Database!$A$2:$L$175,6,FALSE),"-")</f>
        <v>-</v>
      </c>
      <c r="Y124" s="88" t="str">
        <f>IFERROR(VLOOKUP(V124,Database!$A$2:$L$175,9,FALSE),"-")</f>
        <v>-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18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va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va</v>
      </c>
      <c r="G94" s="139" t="str">
        <f>IF(booking!M94&gt;0,"oc","va")</f>
        <v>va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va</v>
      </c>
      <c r="G95" s="139" t="str">
        <f>IF(booking!M95&gt;0,"oc","va")</f>
        <v>va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va</v>
      </c>
      <c r="G96" s="139" t="str">
        <f>IF(booking!M96&gt;0,"oc","va")</f>
        <v>va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va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2026-01-01T14:31:05Z</dcterms:modified>
  <cp:category/>
  <cp:contentStatus/>
</cp:coreProperties>
</file>