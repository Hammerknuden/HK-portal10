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2975" documentId="8_{48B37ED3-8953-4CF0-98FF-01FF5DFD1860}" xr6:coauthVersionLast="47" xr6:coauthVersionMax="47" xr10:uidLastSave="{D73EC538-5CB6-4109-8715-34A9E2A82398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1" i="5" l="1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M49" i="3" s="1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84" i="3"/>
  <c r="BL84" i="3" s="1"/>
  <c r="BO84" i="3"/>
  <c r="BM84" i="3" s="1"/>
  <c r="BP84" i="3"/>
  <c r="BQ84" i="3"/>
  <c r="BR84" i="3"/>
  <c r="BS84" i="3"/>
  <c r="BT84" i="3"/>
  <c r="BU84" i="3"/>
  <c r="BV84" i="3"/>
  <c r="BW84" i="3"/>
  <c r="BX84" i="3"/>
  <c r="BY84" i="3"/>
  <c r="BL85" i="3"/>
  <c r="BN85" i="3"/>
  <c r="BO85" i="3"/>
  <c r="BP85" i="3"/>
  <c r="BQ85" i="3"/>
  <c r="BR85" i="3"/>
  <c r="BS85" i="3"/>
  <c r="BT85" i="3"/>
  <c r="BU85" i="3"/>
  <c r="BV85" i="3"/>
  <c r="BW85" i="3"/>
  <c r="BX85" i="3"/>
  <c r="BY85" i="3"/>
  <c r="BM85" i="3" s="1"/>
  <c r="BN86" i="3"/>
  <c r="BO86" i="3"/>
  <c r="BP86" i="3"/>
  <c r="BQ86" i="3"/>
  <c r="BR86" i="3"/>
  <c r="BL86" i="3" s="1"/>
  <c r="BS86" i="3"/>
  <c r="BT86" i="3"/>
  <c r="BU86" i="3"/>
  <c r="BM86" i="3" s="1"/>
  <c r="BV86" i="3"/>
  <c r="BW86" i="3"/>
  <c r="BX86" i="3"/>
  <c r="BY86" i="3"/>
  <c r="BN87" i="3"/>
  <c r="BL87" i="3" s="1"/>
  <c r="BO87" i="3"/>
  <c r="BP87" i="3"/>
  <c r="BQ87" i="3"/>
  <c r="BM87" i="3" s="1"/>
  <c r="BR87" i="3"/>
  <c r="BS87" i="3"/>
  <c r="BT87" i="3"/>
  <c r="BU87" i="3"/>
  <c r="BV87" i="3"/>
  <c r="BW87" i="3"/>
  <c r="BX87" i="3"/>
  <c r="BY87" i="3"/>
  <c r="BN88" i="3"/>
  <c r="BL88" i="3" s="1"/>
  <c r="BO88" i="3"/>
  <c r="BM88" i="3" s="1"/>
  <c r="BP88" i="3"/>
  <c r="BQ88" i="3"/>
  <c r="BR88" i="3"/>
  <c r="BS88" i="3"/>
  <c r="BT88" i="3"/>
  <c r="BU88" i="3"/>
  <c r="BV88" i="3"/>
  <c r="BW88" i="3"/>
  <c r="BX88" i="3"/>
  <c r="BY88" i="3"/>
  <c r="BN89" i="3"/>
  <c r="BL89" i="3" s="1"/>
  <c r="BO89" i="3"/>
  <c r="BM89" i="3" s="1"/>
  <c r="BP89" i="3"/>
  <c r="BQ89" i="3"/>
  <c r="BR89" i="3"/>
  <c r="BS89" i="3"/>
  <c r="BT89" i="3"/>
  <c r="BU89" i="3"/>
  <c r="BV89" i="3"/>
  <c r="BW89" i="3"/>
  <c r="BX89" i="3"/>
  <c r="BY89" i="3"/>
  <c r="BN90" i="3"/>
  <c r="BL90" i="3" s="1"/>
  <c r="BO90" i="3"/>
  <c r="BM90" i="3" s="1"/>
  <c r="BP90" i="3"/>
  <c r="BQ90" i="3"/>
  <c r="BR90" i="3"/>
  <c r="BS90" i="3"/>
  <c r="BT90" i="3"/>
  <c r="BU90" i="3"/>
  <c r="BV90" i="3"/>
  <c r="BW90" i="3"/>
  <c r="BX90" i="3"/>
  <c r="BY90" i="3"/>
  <c r="BN91" i="3"/>
  <c r="BO91" i="3"/>
  <c r="BP91" i="3"/>
  <c r="BQ91" i="3"/>
  <c r="BR91" i="3"/>
  <c r="BS91" i="3"/>
  <c r="BT91" i="3"/>
  <c r="BU91" i="3"/>
  <c r="BV91" i="3"/>
  <c r="BW91" i="3"/>
  <c r="BX91" i="3"/>
  <c r="BL91" i="3" s="1"/>
  <c r="BY91" i="3"/>
  <c r="BM91" i="3" s="1"/>
  <c r="BN92" i="3"/>
  <c r="BO92" i="3"/>
  <c r="BP92" i="3"/>
  <c r="BQ92" i="3"/>
  <c r="BR92" i="3"/>
  <c r="BL92" i="3" s="1"/>
  <c r="BS92" i="3"/>
  <c r="BT92" i="3"/>
  <c r="BU92" i="3"/>
  <c r="BM92" i="3" s="1"/>
  <c r="BV92" i="3"/>
  <c r="BW92" i="3"/>
  <c r="BX92" i="3"/>
  <c r="BY92" i="3"/>
  <c r="BN93" i="3"/>
  <c r="BL93" i="3" s="1"/>
  <c r="BO93" i="3"/>
  <c r="BP93" i="3"/>
  <c r="BQ93" i="3"/>
  <c r="BM93" i="3" s="1"/>
  <c r="BR93" i="3"/>
  <c r="BS93" i="3"/>
  <c r="BT93" i="3"/>
  <c r="BU93" i="3"/>
  <c r="BV93" i="3"/>
  <c r="BW93" i="3"/>
  <c r="BX93" i="3"/>
  <c r="BY93" i="3"/>
  <c r="BN94" i="3"/>
  <c r="BL94" i="3" s="1"/>
  <c r="BO94" i="3"/>
  <c r="BM94" i="3" s="1"/>
  <c r="BP94" i="3"/>
  <c r="BQ94" i="3"/>
  <c r="BR94" i="3"/>
  <c r="BS94" i="3"/>
  <c r="BT94" i="3"/>
  <c r="BU94" i="3"/>
  <c r="BV94" i="3"/>
  <c r="BW94" i="3"/>
  <c r="BX94" i="3"/>
  <c r="BY94" i="3"/>
  <c r="BN95" i="3"/>
  <c r="BL95" i="3" s="1"/>
  <c r="BO95" i="3"/>
  <c r="BM95" i="3" s="1"/>
  <c r="BP95" i="3"/>
  <c r="BQ95" i="3"/>
  <c r="BR95" i="3"/>
  <c r="BS95" i="3"/>
  <c r="BT95" i="3"/>
  <c r="BU95" i="3"/>
  <c r="BV95" i="3"/>
  <c r="BW95" i="3"/>
  <c r="BX95" i="3"/>
  <c r="BY95" i="3"/>
  <c r="BN96" i="3"/>
  <c r="BL96" i="3" s="1"/>
  <c r="BO96" i="3"/>
  <c r="BM96" i="3" s="1"/>
  <c r="BP96" i="3"/>
  <c r="BQ96" i="3"/>
  <c r="BR96" i="3"/>
  <c r="BS96" i="3"/>
  <c r="BT96" i="3"/>
  <c r="BU96" i="3"/>
  <c r="BV96" i="3"/>
  <c r="BW96" i="3"/>
  <c r="BX96" i="3"/>
  <c r="BY96" i="3"/>
  <c r="BN97" i="3"/>
  <c r="BO97" i="3"/>
  <c r="BP97" i="3"/>
  <c r="BQ97" i="3"/>
  <c r="BR97" i="3"/>
  <c r="BS97" i="3"/>
  <c r="BT97" i="3"/>
  <c r="BU97" i="3"/>
  <c r="BV97" i="3"/>
  <c r="BW97" i="3"/>
  <c r="BX97" i="3"/>
  <c r="BL97" i="3" s="1"/>
  <c r="BY97" i="3"/>
  <c r="BM97" i="3" s="1"/>
  <c r="BN98" i="3"/>
  <c r="BO98" i="3"/>
  <c r="BP98" i="3"/>
  <c r="BQ98" i="3"/>
  <c r="BR98" i="3"/>
  <c r="BL98" i="3" s="1"/>
  <c r="BS98" i="3"/>
  <c r="BT98" i="3"/>
  <c r="BU98" i="3"/>
  <c r="BM98" i="3" s="1"/>
  <c r="BV98" i="3"/>
  <c r="BW98" i="3"/>
  <c r="BX98" i="3"/>
  <c r="BY98" i="3"/>
  <c r="BN99" i="3"/>
  <c r="BL99" i="3" s="1"/>
  <c r="BO99" i="3"/>
  <c r="BP99" i="3"/>
  <c r="BQ99" i="3"/>
  <c r="BM99" i="3" s="1"/>
  <c r="BR99" i="3"/>
  <c r="BS99" i="3"/>
  <c r="BT99" i="3"/>
  <c r="BU99" i="3"/>
  <c r="BV99" i="3"/>
  <c r="BW99" i="3"/>
  <c r="BX99" i="3"/>
  <c r="BY99" i="3"/>
  <c r="BN100" i="3"/>
  <c r="BL100" i="3" s="1"/>
  <c r="BO100" i="3"/>
  <c r="BM100" i="3" s="1"/>
  <c r="BP100" i="3"/>
  <c r="BQ100" i="3"/>
  <c r="BR100" i="3"/>
  <c r="BS100" i="3"/>
  <c r="BT100" i="3"/>
  <c r="BU100" i="3"/>
  <c r="BV100" i="3"/>
  <c r="BW100" i="3"/>
  <c r="BX100" i="3"/>
  <c r="BY100" i="3"/>
  <c r="BN101" i="3"/>
  <c r="BL101" i="3" s="1"/>
  <c r="BO101" i="3"/>
  <c r="BM101" i="3" s="1"/>
  <c r="BP101" i="3"/>
  <c r="BQ101" i="3"/>
  <c r="BR101" i="3"/>
  <c r="BS101" i="3"/>
  <c r="BT101" i="3"/>
  <c r="BU101" i="3"/>
  <c r="BV101" i="3"/>
  <c r="BW101" i="3"/>
  <c r="BX101" i="3"/>
  <c r="BY101" i="3"/>
  <c r="BN102" i="3"/>
  <c r="BL102" i="3" s="1"/>
  <c r="BO102" i="3"/>
  <c r="BM102" i="3" s="1"/>
  <c r="BP102" i="3"/>
  <c r="BQ102" i="3"/>
  <c r="BR102" i="3"/>
  <c r="BS102" i="3"/>
  <c r="BT102" i="3"/>
  <c r="BU102" i="3"/>
  <c r="BV102" i="3"/>
  <c r="BW102" i="3"/>
  <c r="BX102" i="3"/>
  <c r="BY102" i="3"/>
  <c r="BL103" i="3"/>
  <c r="BN103" i="3"/>
  <c r="BO103" i="3"/>
  <c r="BP103" i="3"/>
  <c r="BQ103" i="3"/>
  <c r="BR103" i="3"/>
  <c r="BS103" i="3"/>
  <c r="BT103" i="3"/>
  <c r="BU103" i="3"/>
  <c r="BV103" i="3"/>
  <c r="BW103" i="3"/>
  <c r="BX103" i="3"/>
  <c r="BY103" i="3"/>
  <c r="BM103" i="3" s="1"/>
  <c r="BN104" i="3"/>
  <c r="BO104" i="3"/>
  <c r="BP104" i="3"/>
  <c r="BQ104" i="3"/>
  <c r="BR104" i="3"/>
  <c r="BL104" i="3" s="1"/>
  <c r="BS104" i="3"/>
  <c r="BT104" i="3"/>
  <c r="BU104" i="3"/>
  <c r="BM104" i="3" s="1"/>
  <c r="BV104" i="3"/>
  <c r="BW104" i="3"/>
  <c r="BX104" i="3"/>
  <c r="BY104" i="3"/>
  <c r="BN105" i="3"/>
  <c r="BL105" i="3" s="1"/>
  <c r="BO105" i="3"/>
  <c r="BP105" i="3"/>
  <c r="BQ105" i="3"/>
  <c r="BM105" i="3" s="1"/>
  <c r="BR105" i="3"/>
  <c r="BS105" i="3"/>
  <c r="BT105" i="3"/>
  <c r="BU105" i="3"/>
  <c r="BV105" i="3"/>
  <c r="BW105" i="3"/>
  <c r="BX105" i="3"/>
  <c r="BY105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B49" i="3"/>
  <c r="BC49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84" i="3"/>
  <c r="BC84" i="3"/>
  <c r="BD84" i="3"/>
  <c r="BE84" i="3"/>
  <c r="BF84" i="3"/>
  <c r="BG84" i="3"/>
  <c r="BH84" i="3"/>
  <c r="BI84" i="3"/>
  <c r="BJ84" i="3"/>
  <c r="BK84" i="3"/>
  <c r="BB85" i="3"/>
  <c r="BC85" i="3"/>
  <c r="BD85" i="3"/>
  <c r="BE85" i="3"/>
  <c r="BF85" i="3"/>
  <c r="BG85" i="3"/>
  <c r="BH85" i="3"/>
  <c r="BI85" i="3"/>
  <c r="BJ85" i="3"/>
  <c r="BK85" i="3"/>
  <c r="BB86" i="3"/>
  <c r="BC86" i="3"/>
  <c r="BD86" i="3"/>
  <c r="BE86" i="3"/>
  <c r="BF86" i="3"/>
  <c r="BG86" i="3"/>
  <c r="BH86" i="3"/>
  <c r="BI86" i="3"/>
  <c r="BJ86" i="3"/>
  <c r="BK86" i="3"/>
  <c r="BB87" i="3"/>
  <c r="BC87" i="3"/>
  <c r="BD87" i="3"/>
  <c r="BE87" i="3"/>
  <c r="BF87" i="3"/>
  <c r="BG87" i="3"/>
  <c r="BH87" i="3"/>
  <c r="BI87" i="3"/>
  <c r="BJ87" i="3"/>
  <c r="BK87" i="3"/>
  <c r="BB88" i="3"/>
  <c r="BC88" i="3"/>
  <c r="BD88" i="3"/>
  <c r="BE88" i="3"/>
  <c r="BF88" i="3"/>
  <c r="BG88" i="3"/>
  <c r="BH88" i="3"/>
  <c r="BI88" i="3"/>
  <c r="BJ88" i="3"/>
  <c r="BK88" i="3"/>
  <c r="BB89" i="3"/>
  <c r="BC89" i="3"/>
  <c r="BD89" i="3"/>
  <c r="BE89" i="3"/>
  <c r="BF89" i="3"/>
  <c r="BG89" i="3"/>
  <c r="BH89" i="3"/>
  <c r="BI89" i="3"/>
  <c r="BJ89" i="3"/>
  <c r="BK89" i="3"/>
  <c r="BB90" i="3"/>
  <c r="BC90" i="3"/>
  <c r="BD90" i="3"/>
  <c r="BE90" i="3"/>
  <c r="BF90" i="3"/>
  <c r="BG90" i="3"/>
  <c r="BH90" i="3"/>
  <c r="BI90" i="3"/>
  <c r="BJ90" i="3"/>
  <c r="BK90" i="3"/>
  <c r="BB91" i="3"/>
  <c r="BC91" i="3"/>
  <c r="BD91" i="3"/>
  <c r="BE91" i="3"/>
  <c r="BF91" i="3"/>
  <c r="BG91" i="3"/>
  <c r="BH91" i="3"/>
  <c r="BI91" i="3"/>
  <c r="BJ91" i="3"/>
  <c r="BK91" i="3"/>
  <c r="BB92" i="3"/>
  <c r="BC92" i="3"/>
  <c r="BD92" i="3"/>
  <c r="BE92" i="3"/>
  <c r="BF92" i="3"/>
  <c r="BG92" i="3"/>
  <c r="BH92" i="3"/>
  <c r="BI92" i="3"/>
  <c r="BJ92" i="3"/>
  <c r="BK92" i="3"/>
  <c r="BB93" i="3"/>
  <c r="BC93" i="3"/>
  <c r="BD93" i="3"/>
  <c r="BE93" i="3"/>
  <c r="BF93" i="3"/>
  <c r="BG93" i="3"/>
  <c r="BH93" i="3"/>
  <c r="BI93" i="3"/>
  <c r="BJ93" i="3"/>
  <c r="BK93" i="3"/>
  <c r="BB94" i="3"/>
  <c r="BC94" i="3"/>
  <c r="BD94" i="3"/>
  <c r="BE94" i="3"/>
  <c r="BF94" i="3"/>
  <c r="BG94" i="3"/>
  <c r="BH94" i="3"/>
  <c r="BI94" i="3"/>
  <c r="BJ94" i="3"/>
  <c r="BK94" i="3"/>
  <c r="BB95" i="3"/>
  <c r="BC95" i="3"/>
  <c r="BD95" i="3"/>
  <c r="BE95" i="3"/>
  <c r="BF95" i="3"/>
  <c r="BG95" i="3"/>
  <c r="BH95" i="3"/>
  <c r="BI95" i="3"/>
  <c r="BJ95" i="3"/>
  <c r="BK95" i="3"/>
  <c r="BB96" i="3"/>
  <c r="BC96" i="3"/>
  <c r="BD96" i="3"/>
  <c r="BE96" i="3"/>
  <c r="BF96" i="3"/>
  <c r="BG96" i="3"/>
  <c r="BH96" i="3"/>
  <c r="BI96" i="3"/>
  <c r="BJ96" i="3"/>
  <c r="BK96" i="3"/>
  <c r="BB97" i="3"/>
  <c r="BC97" i="3"/>
  <c r="BD97" i="3"/>
  <c r="BE97" i="3"/>
  <c r="BF97" i="3"/>
  <c r="BG97" i="3"/>
  <c r="BH97" i="3"/>
  <c r="BI97" i="3"/>
  <c r="BJ97" i="3"/>
  <c r="BK97" i="3"/>
  <c r="BB98" i="3"/>
  <c r="BC98" i="3"/>
  <c r="BD98" i="3"/>
  <c r="BE98" i="3"/>
  <c r="BF98" i="3"/>
  <c r="BG98" i="3"/>
  <c r="BH98" i="3"/>
  <c r="BI98" i="3"/>
  <c r="BJ98" i="3"/>
  <c r="BK98" i="3"/>
  <c r="BB99" i="3"/>
  <c r="BC99" i="3"/>
  <c r="BD99" i="3"/>
  <c r="BE99" i="3"/>
  <c r="BF99" i="3"/>
  <c r="BG99" i="3"/>
  <c r="BH99" i="3"/>
  <c r="BI99" i="3"/>
  <c r="BJ99" i="3"/>
  <c r="BK99" i="3"/>
  <c r="BB100" i="3"/>
  <c r="BC100" i="3"/>
  <c r="BD100" i="3"/>
  <c r="BE100" i="3"/>
  <c r="BF100" i="3"/>
  <c r="BG100" i="3"/>
  <c r="BH100" i="3"/>
  <c r="BI100" i="3"/>
  <c r="BJ100" i="3"/>
  <c r="BK100" i="3"/>
  <c r="BB101" i="3"/>
  <c r="BC101" i="3"/>
  <c r="BD101" i="3"/>
  <c r="BE101" i="3"/>
  <c r="BF101" i="3"/>
  <c r="BG101" i="3"/>
  <c r="BH101" i="3"/>
  <c r="BI101" i="3"/>
  <c r="BJ101" i="3"/>
  <c r="BK101" i="3"/>
  <c r="BB102" i="3"/>
  <c r="BC102" i="3"/>
  <c r="BD102" i="3"/>
  <c r="BE102" i="3"/>
  <c r="BF102" i="3"/>
  <c r="BG102" i="3"/>
  <c r="BH102" i="3"/>
  <c r="BI102" i="3"/>
  <c r="BJ102" i="3"/>
  <c r="BK102" i="3"/>
  <c r="BB103" i="3"/>
  <c r="BC103" i="3"/>
  <c r="BD103" i="3"/>
  <c r="BE103" i="3"/>
  <c r="BF103" i="3"/>
  <c r="BG103" i="3"/>
  <c r="BH103" i="3"/>
  <c r="BI103" i="3"/>
  <c r="BJ103" i="3"/>
  <c r="BK103" i="3"/>
  <c r="BB104" i="3"/>
  <c r="BC104" i="3"/>
  <c r="BD104" i="3"/>
  <c r="BE104" i="3"/>
  <c r="BF104" i="3"/>
  <c r="BG104" i="3"/>
  <c r="BH104" i="3"/>
  <c r="BI104" i="3"/>
  <c r="BJ104" i="3"/>
  <c r="BK104" i="3"/>
  <c r="BB105" i="3"/>
  <c r="BC105" i="3"/>
  <c r="BD105" i="3"/>
  <c r="BE105" i="3"/>
  <c r="BF105" i="3"/>
  <c r="BG105" i="3"/>
  <c r="BH105" i="3"/>
  <c r="BI105" i="3"/>
  <c r="BJ105" i="3"/>
  <c r="BK105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M3" i="3" l="1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D11" i="6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L84" i="3"/>
  <c r="K84" i="3"/>
  <c r="G84" i="3"/>
  <c r="F84" i="3"/>
  <c r="D84" i="3"/>
  <c r="B84" i="3"/>
  <c r="AO84" i="3" s="1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D83" i="8" l="1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7" s="1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N45" i="7" s="1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83" i="3" l="1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N44" i="7"/>
  <c r="Q44" i="7" s="1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R200" i="3" s="1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AP198" i="3"/>
  <c r="Q198" i="3"/>
  <c r="Q200" i="3" s="1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AC198" i="3"/>
  <c r="F40" i="7" l="1"/>
  <c r="M12" i="7"/>
  <c r="O9" i="7"/>
  <c r="BL196" i="3"/>
  <c r="BM196" i="3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R5" authorId="0" shapeId="0" xr:uid="{17930DFF-A267-48EB-9F39-D095630B2CE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sidste dag afr til højs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49" authorId="0" shapeId="0" xr:uid="{E9922E9A-EE0E-4D8D-B593-FF4E8BD4027F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for dobbeltv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<sst xmlns="http://schemas.openxmlformats.org/spreadsheetml/2006/main" count="1015" uniqueCount="355">
  <si>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</si>
  <si>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</si>
  <si>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</si>
  <si>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</si>
  <si>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</si>
  <si>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</si>
  <si>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</si>
  <si>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</si>
  <si>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</si>
  <si>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</si>
  <si>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</si>
  <si>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</si>
  <si>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</si>
  <si>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</si>
  <si>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</si>
  <si>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</si>
  <si>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</si>
  <si>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</si>
  <si>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</si>
  <si>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</si>
  <si>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</si>
  <si>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</si>
  <si>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</si>
  <si>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</si>
  <si>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</si>
  <si>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</si>
  <si>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</si>
  <si>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</si>
  <si>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</si>
  <si>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</si>
  <si>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</si>
  <si>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</si>
  <si>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</si>
  <si>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</si>
  <si>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</si>
  <si>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</si>
  <si>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</si>
  <si>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</si>
  <si>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</si>
  <si>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</si>
  <si>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</si>
  <si>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</si>
  <si>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</si>
  <si>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</si>
  <si>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</si>
  <si>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</si>
  <si>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</si>
  <si>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</si>
  <si>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</si>
  <si>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</si>
  <si>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</si>
  <si>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</si>
  <si>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</si>
  <si>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</si>
  <si>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</si>
  <si>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</si>
  <si>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</si>
  <si>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</si>
  <si>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</si>
  <si>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</si>
  <si>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</si>
  <si>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</si>
  <si>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</si>
  <si>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</si>
  <si>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</si>
  <si>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</si>
  <si>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</si>
  <si>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</si>
  <si>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</si>
  <si>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</si>
  <si>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</si>
  <si>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</si>
  <si>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</si>
  <si>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</si>
  <si>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</si>
  <si>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</si>
  <si>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</si>
  <si>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</si>
  <si>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</si>
  <si>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</si>
  <si>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</si>
  <si>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</si>
  <si>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</si>
  <si>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</si>
  <si>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</si>
  <si>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</si>
  <si>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</si>
  <si>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</si>
  <si>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</si>
  <si>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</si>
  <si>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</si>
  <si>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</si>
  <si>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</si>
  <si>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</si>
  <si>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</si>
  <si>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</si>
  <si>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</si>
  <si>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</si>
  <si>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</si>
  <si>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</si>
  <si>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</si>
  <si>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</si>
  <si>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</si>
  <si>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</si>
  <si>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</si>
  <si>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</si>
  <si>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</si>
  <si>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</si>
  <si>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</si>
  <si>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</si>
  <si>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</si>
  <si>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</si>
  <si>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</si>
  <si>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</si>
  <si>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</si>
  <si>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</si>
  <si>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</si>
  <si>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</si>
  <si>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</si>
  <si>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</si>
  <si>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</si>
  <si>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</si>
  <si>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</si>
  <si>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</si>
  <si>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</si>
  <si>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</si>
  <si>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</si>
  <si>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</si>
  <si>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</si>
  <si>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</si>
  <si>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</si>
  <si>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</si>
  <si>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</si>
  <si>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</si>
  <si>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</si>
  <si>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</si>
  <si>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</si>
  <si>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</si>
  <si>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</si>
  <si>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</si>
  <si>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</si>
  <si>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</si>
  <si>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</si>
  <si>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</si>
  <si>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</si>
  <si>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</si>
  <si>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</si>
  <si>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</si>
  <si>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</si>
  <si>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</si>
  <si>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</si>
  <si>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</si>
  <si>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</si>
  <si>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</si>
  <si>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</si>
  <si>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</si>
  <si>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</si>
  <si>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</si>
  <si>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</si>
  <si>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</si>
  <si>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</si>
  <si>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</si>
  <si>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</si>
  <si>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</si>
  <si>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</si>
  <si>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</si>
  <si>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</si>
  <si>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</si>
  <si>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</si>
  <si>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</si>
  <si>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</si>
  <si>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</si>
  <si>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</si>
  <si>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</si>
  <si>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</si>
  <si>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</si>
  <si>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</si>
  <si>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</si>
  <si>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</si>
  <si>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</si>
  <si>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</si>
  <si>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</si>
  <si>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</si>
  <si>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</si>
  <si>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</si>
  <si>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</si>
  <si>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</si>
  <si>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</si>
  <si>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</si>
  <si>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</si>
  <si>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</si>
  <si>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</si>
  <si>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</si>
  <si>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</si>
  <si>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</si>
  <si>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</si>
  <si>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</si>
  <si>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</si>
  <si>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</si>
  <si>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</si>
  <si>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</si>
  <si>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</si>
  <si>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</si>
  <si>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</si>
  <si>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</si>
  <si>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</si>
  <si>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</si>
  <si>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</si>
  <si>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</si>
  <si>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</si>
  <si>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</si>
  <si>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</si>
  <si>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</si>
  <si>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</si>
  <si>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</si>
  <si>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</si>
  <si>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</si>
  <si>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</si>
  <si>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</si>
  <si>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</si>
  <si>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</si>
  <si>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</si>
  <si>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</si>
  <si>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</si>
  <si>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</si>
  <si>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</si>
  <si>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</si>
  <si>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</si>
  <si>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</si>
  <si>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</si>
  <si>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</si>
  <si>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</si>
  <si>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</si>
  <si>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</si>
  <si>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</si>
  <si>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</si>
  <si>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</si>
  <si>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</si>
  <si>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</si>
  <si>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</si>
  <si>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</si>
  <si>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</si>
  <si>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</si>
  <si>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</si>
  <si>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</si>
  <si>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</si>
  <si>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</si>
  <si>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</si>
  <si>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</si>
  <si>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</si>
  <si>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</si>
  <si>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</si>
  <si>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</si>
  <si>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</si>
  <si>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</si>
  <si>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</si>
  <si>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</si>
  <si>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</si>
  <si>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</si>
  <si>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</si>
  <si>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</si>
  <si>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</si>
  <si>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</si>
  <si>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</si>
  <si>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</si>
  <si>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</si>
  <si>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</si>
  <si>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</si>
  <si>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</si>
  <si>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</si>
  <si>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</si>
  <si>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</si>
  <si>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</si>
  <si>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</si>
  <si>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</si>
  <si>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</si>
  <si>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</si>
  <si>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</si>
  <si>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</si>
  <si>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</si>
  <si>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</si>
  <si>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</si>
  <si>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" + 1 barn 9 år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</si>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</sst>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98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7" fillId="13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7" fillId="15" borderId="4" xfId="0" applyFont="1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6" borderId="8" xfId="0" applyFill="1" applyBorder="1"/>
    <xf numFmtId="0" fontId="0" fillId="16" borderId="4" xfId="0" applyFill="1" applyBorder="1"/>
    <xf numFmtId="0" fontId="0" fillId="16" borderId="15" xfId="0" applyFill="1" applyBorder="1"/>
    <xf numFmtId="0" fontId="0" fillId="16" borderId="13" xfId="0" applyFill="1" applyBorder="1"/>
    <xf numFmtId="0" fontId="0" fillId="16" borderId="14" xfId="0" applyFill="1" applyBorder="1"/>
    <xf numFmtId="0" fontId="0" fillId="16" borderId="10" xfId="0" applyFill="1" applyBorder="1"/>
    <xf numFmtId="0" fontId="0" fillId="16" borderId="11" xfId="0" applyFill="1" applyBorder="1"/>
    <xf numFmtId="0" fontId="0" fillId="16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1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7" fillId="11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  <xf numFmtId="0" fontId="11" fillId="0" borderId="0" xfId="0" applyFont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265</c:v>
                </c:pt>
                <c:pt idx="4">
                  <c:v>321</c:v>
                </c:pt>
                <c:pt idx="5">
                  <c:v>337</c:v>
                </c:pt>
                <c:pt idx="6">
                  <c:v>363</c:v>
                </c:pt>
                <c:pt idx="7">
                  <c:v>375</c:v>
                </c:pt>
                <c:pt idx="8">
                  <c:v>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125</c:v>
                </c:pt>
                <c:pt idx="1">
                  <c:v>15</c:v>
                </c:pt>
                <c:pt idx="2">
                  <c:v>0</c:v>
                </c:pt>
                <c:pt idx="3">
                  <c:v>18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556</c:v>
                </c:pt>
                <c:pt idx="1">
                  <c:v>55</c:v>
                </c:pt>
                <c:pt idx="2">
                  <c:v>0</c:v>
                </c:pt>
                <c:pt idx="3">
                  <c:v>119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125</c:v>
                </c:pt>
                <c:pt idx="1">
                  <c:v>15</c:v>
                </c:pt>
                <c:pt idx="2">
                  <c:v>0</c:v>
                </c:pt>
                <c:pt idx="3">
                  <c:v>18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556</c:v>
                </c:pt>
                <c:pt idx="1">
                  <c:v>55</c:v>
                </c:pt>
                <c:pt idx="2">
                  <c:v>0</c:v>
                </c:pt>
                <c:pt idx="3">
                  <c:v>119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265</c:v>
                </c:pt>
                <c:pt idx="4">
                  <c:v>321</c:v>
                </c:pt>
                <c:pt idx="5">
                  <c:v>337</c:v>
                </c:pt>
                <c:pt idx="6">
                  <c:v>363</c:v>
                </c:pt>
                <c:pt idx="7">
                  <c:v>375</c:v>
                </c:pt>
                <c:pt idx="8">
                  <c:v>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" Type="http://schemas.openxmlformats.org/officeDocument/2006/relationships/hyperlink" Target="mailto:stinechri@hotmail.com" TargetMode="External"/><Relationship Id="rId21" Type="http://schemas.openxmlformats.org/officeDocument/2006/relationships/hyperlink" Target="mailto:lentonssonken@hotmail.com" TargetMode="External"/><Relationship Id="rId34" Type="http://schemas.openxmlformats.org/officeDocument/2006/relationships/vmlDrawing" Target="../drawings/vmlDrawing1.vml"/><Relationship Id="rId7" Type="http://schemas.openxmlformats.org/officeDocument/2006/relationships/hyperlink" Target="mailto:d.lange_45@t-online.de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comments" Target="../comments1.xml"/><Relationship Id="rId8" Type="http://schemas.openxmlformats.org/officeDocument/2006/relationships/hyperlink" Target="mailto:erik@erikfriis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0"/>
      <c r="B2" s="111"/>
      <c r="C2" s="114"/>
      <c r="D2" s="114"/>
      <c r="E2" s="114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5"/>
    </row>
    <row r="3" spans="1:19" x14ac:dyDescent="0.35">
      <c r="A3" s="112"/>
      <c r="B3" s="113"/>
      <c r="C3" s="116"/>
      <c r="D3" s="116"/>
      <c r="E3" s="116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7"/>
    </row>
    <row r="4" spans="1:19" x14ac:dyDescent="0.35">
      <c r="A4" s="110"/>
      <c r="B4" s="111"/>
      <c r="C4" s="114"/>
      <c r="D4" s="114"/>
      <c r="E4" s="114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5"/>
    </row>
    <row r="12" spans="1:19" x14ac:dyDescent="0.35">
      <c r="C12" s="120"/>
      <c r="D12" s="120"/>
      <c r="E12" s="120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3"/>
  <sheetViews>
    <sheetView workbookViewId="0">
      <pane ySplit="1" topLeftCell="A2" activePane="bottomLeft" state="frozen"/>
      <selection pane="bottomLeft" activeCell="A3" sqref="A3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160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32" bestFit="1" customWidth="1"/>
    <col min="19" max="19" width="8.81640625" style="2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09" t="s">
        <v>40</v>
      </c>
      <c r="D1" s="109" t="s">
        <v>41</v>
      </c>
      <c r="E1" s="109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84" t="s">
        <v>48</v>
      </c>
      <c r="O1" s="3" t="s">
        <v>49</v>
      </c>
      <c r="P1" s="3" t="s">
        <v>32</v>
      </c>
      <c r="Q1" s="3" t="s">
        <v>50</v>
      </c>
      <c r="R1" s="132" t="s">
        <v>51</v>
      </c>
      <c r="S1" s="3" t="s">
        <v>18</v>
      </c>
      <c r="T1" s="3" t="s">
        <v>52</v>
      </c>
    </row>
    <row r="2" spans="1:20" x14ac:dyDescent="0.35">
      <c r="A2" s="146">
        <v>1</v>
      </c>
      <c r="B2" s="111" t="s">
        <v>169</v>
      </c>
      <c r="C2" s="114">
        <v>46222</v>
      </c>
      <c r="D2" s="114">
        <v>46228</v>
      </c>
      <c r="E2" s="114">
        <v>45868</v>
      </c>
      <c r="F2" s="111" t="s">
        <v>53</v>
      </c>
      <c r="G2" s="111" t="s">
        <v>6</v>
      </c>
      <c r="H2" s="111"/>
      <c r="I2" s="133"/>
      <c r="J2" s="111">
        <v>5</v>
      </c>
      <c r="K2" s="111">
        <v>1</v>
      </c>
      <c r="L2" s="111">
        <v>2</v>
      </c>
      <c r="M2" s="157" t="s">
        <v>170</v>
      </c>
      <c r="N2" s="185"/>
      <c r="O2" s="133" t="s">
        <v>171</v>
      </c>
      <c r="P2" s="133"/>
      <c r="Q2" s="133" t="s">
        <v>21</v>
      </c>
      <c r="R2" s="167">
        <v>7267.5</v>
      </c>
      <c r="S2" s="161" t="s">
        <v>20</v>
      </c>
      <c r="T2" t="s">
        <v>172</v>
      </c>
    </row>
    <row r="3" spans="1:20" x14ac:dyDescent="0.35">
      <c r="A3" s="147">
        <v>2</v>
      </c>
      <c r="B3" s="113" t="s">
        <v>173</v>
      </c>
      <c r="C3" s="116">
        <v>46172</v>
      </c>
      <c r="D3" s="116">
        <v>46180</v>
      </c>
      <c r="E3" s="116">
        <v>45889</v>
      </c>
      <c r="F3" s="113" t="s">
        <v>53</v>
      </c>
      <c r="G3" s="113" t="s">
        <v>273</v>
      </c>
      <c r="H3" s="113"/>
      <c r="I3" s="134"/>
      <c r="J3" s="113"/>
      <c r="K3" s="113"/>
      <c r="L3" s="113"/>
      <c r="M3" s="158"/>
      <c r="N3" s="186"/>
      <c r="O3" s="134"/>
      <c r="P3" s="134"/>
      <c r="Q3" s="134"/>
      <c r="R3" s="167"/>
      <c r="S3" s="162"/>
    </row>
    <row r="4" spans="1:20" x14ac:dyDescent="0.35">
      <c r="A4" s="146">
        <v>3</v>
      </c>
      <c r="B4" s="111" t="s">
        <v>173</v>
      </c>
      <c r="C4" s="114">
        <v>46283</v>
      </c>
      <c r="D4" s="114">
        <v>46285</v>
      </c>
      <c r="E4" s="114">
        <v>45889</v>
      </c>
      <c r="F4" s="111" t="s">
        <v>53</v>
      </c>
      <c r="G4" s="111" t="s">
        <v>6</v>
      </c>
      <c r="H4" s="111"/>
      <c r="I4" s="133"/>
      <c r="J4" s="111">
        <v>10</v>
      </c>
      <c r="K4" s="111">
        <v>1</v>
      </c>
      <c r="L4" s="111">
        <v>2</v>
      </c>
      <c r="M4" s="157" t="s">
        <v>174</v>
      </c>
      <c r="N4" s="185"/>
      <c r="O4" s="133" t="s">
        <v>175</v>
      </c>
      <c r="P4" s="133"/>
      <c r="Q4" s="133" t="s">
        <v>21</v>
      </c>
      <c r="R4" s="167">
        <v>2070</v>
      </c>
      <c r="S4" s="161" t="s">
        <v>20</v>
      </c>
      <c r="T4" s="131"/>
    </row>
    <row r="5" spans="1:20" x14ac:dyDescent="0.35">
      <c r="A5" s="147">
        <v>4</v>
      </c>
      <c r="B5" s="113" t="s">
        <v>176</v>
      </c>
      <c r="C5" s="116">
        <v>46246</v>
      </c>
      <c r="D5" s="116">
        <v>46250</v>
      </c>
      <c r="E5" s="116">
        <v>45891</v>
      </c>
      <c r="F5" s="113" t="s">
        <v>53</v>
      </c>
      <c r="G5" s="113" t="s">
        <v>6</v>
      </c>
      <c r="H5" s="113"/>
      <c r="I5" s="134"/>
      <c r="J5" s="113">
        <v>10</v>
      </c>
      <c r="K5" s="113">
        <v>2</v>
      </c>
      <c r="L5" s="113">
        <v>4</v>
      </c>
      <c r="M5" s="158" t="s">
        <v>178</v>
      </c>
      <c r="N5" s="187">
        <v>4530267986</v>
      </c>
      <c r="O5" s="134" t="s">
        <v>179</v>
      </c>
      <c r="P5" s="134"/>
      <c r="Q5" s="134" t="s">
        <v>21</v>
      </c>
      <c r="R5" s="167">
        <v>9180</v>
      </c>
      <c r="S5" s="162" t="s">
        <v>21</v>
      </c>
      <c r="T5" t="s">
        <v>177</v>
      </c>
    </row>
    <row r="6" spans="1:20" x14ac:dyDescent="0.35">
      <c r="A6" s="146">
        <v>5</v>
      </c>
      <c r="B6" s="111" t="s">
        <v>180</v>
      </c>
      <c r="C6" s="114">
        <v>46169</v>
      </c>
      <c r="D6" s="114">
        <v>46174</v>
      </c>
      <c r="E6" s="114">
        <v>45903</v>
      </c>
      <c r="F6" s="111" t="s">
        <v>53</v>
      </c>
      <c r="G6" s="111" t="s">
        <v>6</v>
      </c>
      <c r="H6" s="111"/>
      <c r="I6" s="133"/>
      <c r="J6" s="111">
        <v>10</v>
      </c>
      <c r="K6" s="111">
        <v>1</v>
      </c>
      <c r="L6" s="111">
        <v>2</v>
      </c>
      <c r="M6" s="157" t="s">
        <v>181</v>
      </c>
      <c r="N6" s="185"/>
      <c r="O6" s="133"/>
      <c r="P6" s="133"/>
      <c r="Q6" s="133" t="s">
        <v>21</v>
      </c>
      <c r="R6" s="167">
        <v>5175</v>
      </c>
      <c r="S6" s="161" t="s">
        <v>20</v>
      </c>
    </row>
    <row r="7" spans="1:20" x14ac:dyDescent="0.35">
      <c r="A7" s="146">
        <v>6</v>
      </c>
      <c r="B7" s="126" t="s">
        <v>182</v>
      </c>
      <c r="C7" s="129">
        <v>46178</v>
      </c>
      <c r="D7" s="129">
        <v>46180</v>
      </c>
      <c r="E7" s="129">
        <v>45910</v>
      </c>
      <c r="F7" s="126" t="s">
        <v>53</v>
      </c>
      <c r="G7" s="2" t="s">
        <v>6</v>
      </c>
      <c r="H7" s="2"/>
      <c r="J7" s="128">
        <v>10</v>
      </c>
      <c r="K7" s="128">
        <v>2</v>
      </c>
      <c r="L7" s="128">
        <v>4</v>
      </c>
      <c r="M7" s="130" t="s">
        <v>183</v>
      </c>
      <c r="Q7" s="2" t="s">
        <v>21</v>
      </c>
      <c r="R7" s="132">
        <v>4140</v>
      </c>
      <c r="S7" s="2" t="s">
        <v>38</v>
      </c>
      <c r="T7" t="s">
        <v>184</v>
      </c>
    </row>
    <row r="8" spans="1:20" x14ac:dyDescent="0.35">
      <c r="A8" s="147">
        <v>7</v>
      </c>
      <c r="B8" s="126" t="s">
        <v>185</v>
      </c>
      <c r="C8" s="129">
        <v>46207</v>
      </c>
      <c r="D8" s="129">
        <v>46214</v>
      </c>
      <c r="E8" s="129">
        <v>45927</v>
      </c>
      <c r="F8" s="126" t="s">
        <v>53</v>
      </c>
      <c r="G8" s="2" t="s">
        <v>6</v>
      </c>
      <c r="H8" s="2"/>
      <c r="J8" s="128">
        <v>10</v>
      </c>
      <c r="K8" s="128">
        <v>1</v>
      </c>
      <c r="L8" s="128">
        <v>2</v>
      </c>
      <c r="M8" s="130" t="s">
        <v>186</v>
      </c>
      <c r="N8" s="187">
        <v>4522701312</v>
      </c>
      <c r="O8" s="2" t="s">
        <v>187</v>
      </c>
      <c r="Q8" s="2" t="s">
        <v>20</v>
      </c>
      <c r="R8" s="167">
        <v>6772.5</v>
      </c>
      <c r="S8" s="2" t="s">
        <v>21</v>
      </c>
    </row>
    <row r="9" spans="1:20" x14ac:dyDescent="0.35">
      <c r="A9" s="146">
        <v>8</v>
      </c>
      <c r="B9" s="126" t="s">
        <v>188</v>
      </c>
      <c r="C9" s="129">
        <v>46158</v>
      </c>
      <c r="D9" s="129">
        <v>46163</v>
      </c>
      <c r="E9" s="129">
        <v>45953</v>
      </c>
      <c r="F9" s="126" t="s">
        <v>31</v>
      </c>
      <c r="G9" s="2" t="s">
        <v>6</v>
      </c>
      <c r="H9" s="2"/>
      <c r="J9" s="128">
        <v>10</v>
      </c>
      <c r="K9" s="128">
        <v>1</v>
      </c>
      <c r="L9" s="128">
        <v>2</v>
      </c>
      <c r="M9" s="130" t="s">
        <v>189</v>
      </c>
      <c r="N9" s="187">
        <v>4917643882286</v>
      </c>
      <c r="O9" s="2" t="s">
        <v>190</v>
      </c>
      <c r="Q9" s="2" t="s">
        <v>21</v>
      </c>
      <c r="R9" s="132">
        <v>4275</v>
      </c>
      <c r="S9" s="2" t="s">
        <v>21</v>
      </c>
      <c r="T9" s="126" t="s">
        <v>191</v>
      </c>
    </row>
    <row r="10" spans="1:20" x14ac:dyDescent="0.35">
      <c r="A10" s="146">
        <v>9</v>
      </c>
      <c r="B10" s="126" t="s">
        <v>192</v>
      </c>
      <c r="C10" s="129">
        <v>46159</v>
      </c>
      <c r="D10" s="129">
        <v>46166</v>
      </c>
      <c r="E10" s="129">
        <v>45954</v>
      </c>
      <c r="F10" s="126" t="s">
        <v>53</v>
      </c>
      <c r="G10" s="2" t="s">
        <v>6</v>
      </c>
      <c r="H10" s="2"/>
      <c r="J10" s="128">
        <v>10</v>
      </c>
      <c r="K10" s="128">
        <v>1</v>
      </c>
      <c r="L10" s="128">
        <v>2</v>
      </c>
      <c r="M10" s="130" t="s">
        <v>193</v>
      </c>
      <c r="O10" s="2" t="s">
        <v>194</v>
      </c>
      <c r="Q10" s="2" t="s">
        <v>21</v>
      </c>
      <c r="R10" s="167">
        <v>7245</v>
      </c>
      <c r="S10" s="2" t="s">
        <v>21</v>
      </c>
    </row>
    <row r="11" spans="1:20" x14ac:dyDescent="0.35">
      <c r="A11" s="147">
        <v>10</v>
      </c>
      <c r="B11" s="126" t="s">
        <v>195</v>
      </c>
      <c r="C11" s="129">
        <v>46225</v>
      </c>
      <c r="D11" s="129">
        <v>46228</v>
      </c>
      <c r="E11" s="129">
        <v>45932</v>
      </c>
      <c r="F11" s="126" t="s">
        <v>53</v>
      </c>
      <c r="G11" s="2" t="s">
        <v>6</v>
      </c>
      <c r="H11" s="2"/>
      <c r="J11" s="128">
        <v>10</v>
      </c>
      <c r="K11" s="128">
        <v>1</v>
      </c>
      <c r="L11" s="128">
        <v>2</v>
      </c>
      <c r="M11" s="127" t="s">
        <v>196</v>
      </c>
      <c r="N11" s="160">
        <v>4561557600</v>
      </c>
      <c r="Q11" s="2" t="s">
        <v>21</v>
      </c>
      <c r="R11" s="132">
        <v>3442</v>
      </c>
      <c r="S11" s="2" t="s">
        <v>21</v>
      </c>
      <c r="T11" t="s">
        <v>197</v>
      </c>
    </row>
    <row r="12" spans="1:20" x14ac:dyDescent="0.35">
      <c r="A12" s="146">
        <v>11</v>
      </c>
      <c r="B12" s="126" t="s">
        <v>198</v>
      </c>
      <c r="C12" s="24">
        <v>46237</v>
      </c>
      <c r="D12" s="24">
        <v>46242</v>
      </c>
      <c r="E12" s="24">
        <v>45932</v>
      </c>
      <c r="F12" s="126" t="s">
        <v>31</v>
      </c>
      <c r="G12" s="2" t="s">
        <v>6</v>
      </c>
      <c r="H12" s="2"/>
      <c r="J12" s="128">
        <v>10</v>
      </c>
      <c r="K12" s="128">
        <v>1</v>
      </c>
      <c r="L12" s="128">
        <v>2</v>
      </c>
      <c r="M12" s="130" t="s">
        <v>200</v>
      </c>
      <c r="Q12" s="2" t="s">
        <v>21</v>
      </c>
      <c r="R12" s="132">
        <v>5737.5</v>
      </c>
      <c r="S12" s="2" t="s">
        <v>20</v>
      </c>
      <c r="T12" t="s">
        <v>199</v>
      </c>
    </row>
    <row r="13" spans="1:20" x14ac:dyDescent="0.35">
      <c r="A13" s="146">
        <v>12</v>
      </c>
      <c r="B13" s="126" t="s">
        <v>201</v>
      </c>
      <c r="C13" s="129">
        <v>46175</v>
      </c>
      <c r="D13" s="129">
        <v>46179</v>
      </c>
      <c r="E13" s="129">
        <v>45977</v>
      </c>
      <c r="F13" s="126" t="s">
        <v>53</v>
      </c>
      <c r="G13" s="2" t="s">
        <v>6</v>
      </c>
      <c r="H13" s="2"/>
      <c r="I13" s="2" t="s">
        <v>165</v>
      </c>
      <c r="J13" s="128">
        <v>10</v>
      </c>
      <c r="K13" s="128">
        <v>1</v>
      </c>
      <c r="L13" s="128">
        <v>2</v>
      </c>
      <c r="M13" s="130" t="s">
        <v>202</v>
      </c>
      <c r="N13" s="188">
        <v>4540552384</v>
      </c>
      <c r="O13" s="2" t="s">
        <v>203</v>
      </c>
      <c r="Q13" s="2" t="s">
        <v>21</v>
      </c>
      <c r="R13" s="132">
        <v>4140</v>
      </c>
      <c r="S13" s="2" t="s">
        <v>21</v>
      </c>
      <c r="T13" t="s">
        <v>204</v>
      </c>
    </row>
    <row r="14" spans="1:20" x14ac:dyDescent="0.35">
      <c r="A14" s="147">
        <v>13</v>
      </c>
      <c r="B14" s="126" t="s">
        <v>205</v>
      </c>
      <c r="C14" s="24">
        <v>46211</v>
      </c>
      <c r="D14" s="24">
        <v>46218</v>
      </c>
      <c r="E14" s="24">
        <v>45998</v>
      </c>
      <c r="F14" s="126" t="s">
        <v>53</v>
      </c>
      <c r="G14" s="2" t="s">
        <v>6</v>
      </c>
      <c r="J14" s="128">
        <v>10</v>
      </c>
      <c r="K14" s="128">
        <v>1</v>
      </c>
      <c r="L14" s="128">
        <v>2</v>
      </c>
      <c r="M14" s="123" t="s">
        <v>206</v>
      </c>
      <c r="N14" s="188">
        <v>4525582842</v>
      </c>
      <c r="O14" s="2" t="s">
        <v>208</v>
      </c>
      <c r="Q14" s="2" t="s">
        <v>21</v>
      </c>
      <c r="R14" s="132">
        <v>8032.5</v>
      </c>
      <c r="S14" s="2" t="s">
        <v>38</v>
      </c>
      <c r="T14" t="s">
        <v>207</v>
      </c>
    </row>
    <row r="15" spans="1:20" x14ac:dyDescent="0.35">
      <c r="A15" s="146">
        <v>14</v>
      </c>
      <c r="B15" s="126" t="s">
        <v>209</v>
      </c>
      <c r="C15" s="24">
        <v>46206</v>
      </c>
      <c r="D15" s="24">
        <v>46213</v>
      </c>
      <c r="E15" s="24">
        <v>46001</v>
      </c>
      <c r="F15" s="126" t="s">
        <v>53</v>
      </c>
      <c r="G15" s="2" t="s">
        <v>6</v>
      </c>
      <c r="J15" s="128">
        <v>10</v>
      </c>
      <c r="K15" s="128">
        <v>1</v>
      </c>
      <c r="L15" s="128">
        <v>2</v>
      </c>
      <c r="M15" s="159" t="s">
        <v>212</v>
      </c>
      <c r="N15" s="188">
        <v>4591191885</v>
      </c>
      <c r="O15" s="2" t="s">
        <v>210</v>
      </c>
      <c r="Q15" s="2" t="s">
        <v>21</v>
      </c>
      <c r="R15" s="132">
        <v>9180</v>
      </c>
      <c r="S15" s="2" t="s">
        <v>38</v>
      </c>
      <c r="T15" s="126" t="s">
        <v>211</v>
      </c>
    </row>
    <row r="16" spans="1:20" x14ac:dyDescent="0.35">
      <c r="A16" s="146">
        <v>15</v>
      </c>
      <c r="B16" s="126" t="s">
        <v>213</v>
      </c>
      <c r="C16" s="24">
        <v>46181</v>
      </c>
      <c r="D16" s="24">
        <v>46188</v>
      </c>
      <c r="E16" s="24">
        <v>45866</v>
      </c>
      <c r="F16" s="126" t="s">
        <v>53</v>
      </c>
      <c r="G16" s="2" t="s">
        <v>56</v>
      </c>
      <c r="K16" s="128">
        <v>1</v>
      </c>
      <c r="L16" s="128">
        <v>2</v>
      </c>
      <c r="M16" s="123" t="s">
        <v>214</v>
      </c>
      <c r="N16" s="160">
        <v>4531534745</v>
      </c>
      <c r="O16" s="2" t="s">
        <v>215</v>
      </c>
      <c r="Q16" s="2" t="s">
        <v>21</v>
      </c>
      <c r="R16" s="132">
        <v>8925</v>
      </c>
      <c r="S16" s="2" t="s">
        <v>38</v>
      </c>
      <c r="T16" t="s">
        <v>216</v>
      </c>
    </row>
    <row r="17" spans="1:20" x14ac:dyDescent="0.35">
      <c r="A17" s="147">
        <v>16</v>
      </c>
      <c r="B17" s="126" t="s">
        <v>227</v>
      </c>
      <c r="C17" s="24">
        <v>46182</v>
      </c>
      <c r="D17" s="24">
        <v>46188</v>
      </c>
      <c r="E17" s="24">
        <v>45832</v>
      </c>
      <c r="F17" s="126" t="s">
        <v>53</v>
      </c>
      <c r="G17" s="2" t="s">
        <v>56</v>
      </c>
      <c r="K17" s="128">
        <v>2</v>
      </c>
      <c r="L17" s="128">
        <v>4</v>
      </c>
      <c r="M17" s="123" t="s">
        <v>228</v>
      </c>
      <c r="N17" s="188">
        <v>4530604703</v>
      </c>
      <c r="Q17" s="2" t="s">
        <v>21</v>
      </c>
      <c r="R17" s="132">
        <v>17850</v>
      </c>
      <c r="S17" s="2" t="s">
        <v>38</v>
      </c>
      <c r="T17" t="s">
        <v>229</v>
      </c>
    </row>
    <row r="18" spans="1:20" x14ac:dyDescent="0.35">
      <c r="A18" s="146">
        <v>17</v>
      </c>
      <c r="B18" s="126" t="s">
        <v>221</v>
      </c>
      <c r="C18" s="24">
        <v>46181</v>
      </c>
      <c r="D18" s="24">
        <v>46188</v>
      </c>
      <c r="E18" s="24">
        <v>45824</v>
      </c>
      <c r="F18" s="126" t="s">
        <v>53</v>
      </c>
      <c r="G18" s="2" t="s">
        <v>56</v>
      </c>
      <c r="K18" s="128">
        <v>1</v>
      </c>
      <c r="L18" s="128">
        <v>2</v>
      </c>
      <c r="M18" s="123" t="s">
        <v>224</v>
      </c>
      <c r="N18" s="188">
        <v>4524669843</v>
      </c>
      <c r="O18" s="2" t="s">
        <v>225</v>
      </c>
      <c r="Q18" s="2" t="s">
        <v>21</v>
      </c>
      <c r="R18" s="132">
        <v>8925</v>
      </c>
      <c r="S18" s="2" t="s">
        <v>38</v>
      </c>
      <c r="T18" t="s">
        <v>226</v>
      </c>
    </row>
    <row r="19" spans="1:20" x14ac:dyDescent="0.35">
      <c r="A19" s="146">
        <v>18</v>
      </c>
      <c r="B19" s="126" t="s">
        <v>219</v>
      </c>
      <c r="C19" s="24">
        <v>46182</v>
      </c>
      <c r="D19" s="24">
        <v>46187</v>
      </c>
      <c r="E19" s="24">
        <v>45834</v>
      </c>
      <c r="F19" s="126" t="s">
        <v>53</v>
      </c>
      <c r="G19" s="2" t="s">
        <v>56</v>
      </c>
      <c r="K19" s="128">
        <v>1</v>
      </c>
      <c r="L19" s="128">
        <v>2</v>
      </c>
      <c r="M19" s="159" t="s">
        <v>220</v>
      </c>
      <c r="N19" s="188">
        <v>4531909358</v>
      </c>
      <c r="O19" s="2" t="s">
        <v>223</v>
      </c>
      <c r="Q19" s="2" t="s">
        <v>21</v>
      </c>
      <c r="R19" s="132">
        <v>6375</v>
      </c>
      <c r="S19" s="2" t="s">
        <v>38</v>
      </c>
      <c r="T19" t="s">
        <v>222</v>
      </c>
    </row>
    <row r="20" spans="1:20" x14ac:dyDescent="0.35">
      <c r="A20" s="147">
        <v>19</v>
      </c>
      <c r="B20" t="s">
        <v>217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3" t="s">
        <v>218</v>
      </c>
      <c r="N20" s="188">
        <v>4541515960</v>
      </c>
      <c r="P20" s="2" t="s">
        <v>21</v>
      </c>
      <c r="Q20" s="2" t="s">
        <v>21</v>
      </c>
      <c r="R20" s="132">
        <v>14805</v>
      </c>
      <c r="S20" s="2" t="s">
        <v>38</v>
      </c>
      <c r="T20" s="2" t="s">
        <v>207</v>
      </c>
    </row>
    <row r="21" spans="1:20" x14ac:dyDescent="0.35">
      <c r="A21" s="146">
        <v>20</v>
      </c>
      <c r="B21" s="126" t="s">
        <v>247</v>
      </c>
      <c r="C21" s="24">
        <v>46163</v>
      </c>
      <c r="D21" s="24">
        <v>46167</v>
      </c>
      <c r="E21" s="24">
        <v>46008</v>
      </c>
      <c r="F21" s="126" t="s">
        <v>53</v>
      </c>
      <c r="G21" s="2" t="s">
        <v>6</v>
      </c>
      <c r="K21" s="128">
        <v>3</v>
      </c>
      <c r="L21" s="128">
        <v>6</v>
      </c>
      <c r="M21" s="123" t="s">
        <v>248</v>
      </c>
      <c r="Q21" s="2" t="s">
        <v>21</v>
      </c>
      <c r="R21" s="167">
        <v>12420</v>
      </c>
      <c r="S21" s="2" t="s">
        <v>38</v>
      </c>
      <c r="T21" t="s">
        <v>249</v>
      </c>
    </row>
    <row r="22" spans="1:20" x14ac:dyDescent="0.35">
      <c r="A22" s="146">
        <v>21</v>
      </c>
      <c r="B22" s="126" t="s">
        <v>270</v>
      </c>
      <c r="C22" s="24">
        <v>46251</v>
      </c>
      <c r="D22" s="24">
        <v>46256</v>
      </c>
      <c r="E22" s="24">
        <v>46009</v>
      </c>
      <c r="F22" s="126" t="s">
        <v>54</v>
      </c>
      <c r="G22" s="2" t="s">
        <v>6</v>
      </c>
      <c r="J22">
        <v>10</v>
      </c>
      <c r="K22" s="128">
        <v>1</v>
      </c>
      <c r="L22" s="128">
        <v>2</v>
      </c>
      <c r="M22" s="123" t="s">
        <v>245</v>
      </c>
      <c r="N22" s="188">
        <v>46705125490</v>
      </c>
      <c r="O22" s="2" t="s">
        <v>244</v>
      </c>
      <c r="Q22" s="2" t="s">
        <v>21</v>
      </c>
      <c r="R22" s="167">
        <v>5175</v>
      </c>
      <c r="S22" s="2" t="s">
        <v>38</v>
      </c>
      <c r="T22" t="s">
        <v>246</v>
      </c>
    </row>
    <row r="23" spans="1:20" x14ac:dyDescent="0.35">
      <c r="A23" s="147">
        <v>22</v>
      </c>
      <c r="B23" t="s">
        <v>242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8">
        <v>1</v>
      </c>
      <c r="L23" s="128">
        <v>2</v>
      </c>
      <c r="M23" s="123"/>
      <c r="Q23" s="2" t="s">
        <v>21</v>
      </c>
      <c r="R23" s="132">
        <v>11500</v>
      </c>
      <c r="S23" s="2" t="s">
        <v>20</v>
      </c>
      <c r="T23" t="s">
        <v>243</v>
      </c>
    </row>
    <row r="24" spans="1:20" x14ac:dyDescent="0.35">
      <c r="A24" s="146">
        <v>23</v>
      </c>
      <c r="B24" t="s">
        <v>241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260</v>
      </c>
      <c r="I24" s="2" t="s">
        <v>162</v>
      </c>
      <c r="K24" s="128">
        <v>1</v>
      </c>
      <c r="L24" s="128">
        <v>2</v>
      </c>
      <c r="Q24" s="2" t="s">
        <v>21</v>
      </c>
      <c r="R24" s="167">
        <v>3825</v>
      </c>
      <c r="S24" s="2" t="s">
        <v>20</v>
      </c>
    </row>
    <row r="25" spans="1:20" x14ac:dyDescent="0.35">
      <c r="A25" s="146">
        <v>24</v>
      </c>
      <c r="B25" t="s">
        <v>240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8">
        <v>1</v>
      </c>
      <c r="L25" s="128">
        <v>2</v>
      </c>
      <c r="M25" s="123"/>
      <c r="Q25" s="2" t="s">
        <v>21</v>
      </c>
      <c r="R25" s="167">
        <v>3825</v>
      </c>
      <c r="S25" s="2" t="s">
        <v>20</v>
      </c>
    </row>
    <row r="26" spans="1:20" x14ac:dyDescent="0.35">
      <c r="A26" s="147">
        <v>25</v>
      </c>
      <c r="B26" t="s">
        <v>239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8">
        <v>1</v>
      </c>
      <c r="L26" s="128">
        <v>1</v>
      </c>
      <c r="M26" s="123"/>
      <c r="P26" s="2" t="s">
        <v>21</v>
      </c>
      <c r="Q26" s="2" t="s">
        <v>20</v>
      </c>
      <c r="R26" s="132">
        <v>4250</v>
      </c>
      <c r="S26" s="2" t="s">
        <v>20</v>
      </c>
    </row>
    <row r="27" spans="1:20" x14ac:dyDescent="0.35">
      <c r="A27" s="146">
        <v>26</v>
      </c>
      <c r="B27" t="s">
        <v>238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8">
        <v>1</v>
      </c>
      <c r="L27" s="128">
        <v>2</v>
      </c>
      <c r="N27" s="189"/>
      <c r="Q27" s="2" t="s">
        <v>21</v>
      </c>
      <c r="R27" s="132">
        <v>3450</v>
      </c>
      <c r="S27" s="2" t="s">
        <v>20</v>
      </c>
      <c r="T27" t="s">
        <v>328</v>
      </c>
    </row>
    <row r="28" spans="1:20" x14ac:dyDescent="0.35">
      <c r="A28" s="146">
        <v>27</v>
      </c>
      <c r="B28" t="s">
        <v>236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8">
        <v>1</v>
      </c>
      <c r="L28" s="128">
        <v>2</v>
      </c>
      <c r="M28" s="123" t="s">
        <v>237</v>
      </c>
      <c r="N28" s="188">
        <v>4561283743</v>
      </c>
      <c r="Q28" s="2" t="s">
        <v>21</v>
      </c>
      <c r="R28" s="132">
        <v>6210</v>
      </c>
      <c r="S28" s="2" t="s">
        <v>21</v>
      </c>
      <c r="T28" t="s">
        <v>269</v>
      </c>
    </row>
    <row r="29" spans="1:20" x14ac:dyDescent="0.35">
      <c r="A29" s="147">
        <v>28</v>
      </c>
      <c r="B29" t="s">
        <v>235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23"/>
      <c r="Q29" s="2" t="s">
        <v>21</v>
      </c>
      <c r="R29" s="132">
        <v>1900</v>
      </c>
      <c r="S29" s="2" t="s">
        <v>20</v>
      </c>
    </row>
    <row r="30" spans="1:20" x14ac:dyDescent="0.35">
      <c r="A30" s="146">
        <v>29</v>
      </c>
      <c r="B30" t="s">
        <v>252</v>
      </c>
      <c r="C30" s="24">
        <v>46177</v>
      </c>
      <c r="D30" s="24">
        <v>46179</v>
      </c>
      <c r="E30" s="24">
        <v>46023</v>
      </c>
      <c r="F30" t="s">
        <v>58</v>
      </c>
      <c r="G30" t="s">
        <v>273</v>
      </c>
      <c r="K30" s="128"/>
      <c r="L30" s="128"/>
      <c r="M30" s="123"/>
    </row>
    <row r="31" spans="1:20" x14ac:dyDescent="0.35">
      <c r="A31" s="146">
        <v>30</v>
      </c>
      <c r="B31" t="s">
        <v>250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8">
        <v>1</v>
      </c>
      <c r="L31" s="128">
        <v>2</v>
      </c>
      <c r="N31" s="188">
        <v>4526241192</v>
      </c>
      <c r="Q31" s="2" t="s">
        <v>21</v>
      </c>
      <c r="R31" s="132">
        <v>5100</v>
      </c>
      <c r="S31" s="2" t="s">
        <v>21</v>
      </c>
      <c r="T31" t="s">
        <v>251</v>
      </c>
    </row>
    <row r="32" spans="1:20" x14ac:dyDescent="0.35">
      <c r="A32" s="147">
        <v>31</v>
      </c>
      <c r="B32" t="s">
        <v>253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8">
        <v>1</v>
      </c>
      <c r="L32" s="128">
        <v>1</v>
      </c>
      <c r="M32" s="123" t="s">
        <v>254</v>
      </c>
      <c r="N32" s="160">
        <v>4541125671</v>
      </c>
      <c r="P32" s="2" t="s">
        <v>21</v>
      </c>
      <c r="Q32" s="2" t="s">
        <v>21</v>
      </c>
      <c r="R32" s="132">
        <v>4275</v>
      </c>
      <c r="S32" s="2" t="s">
        <v>21</v>
      </c>
      <c r="T32" s="126" t="s">
        <v>255</v>
      </c>
    </row>
    <row r="33" spans="1:20" x14ac:dyDescent="0.35">
      <c r="A33" s="146">
        <v>32</v>
      </c>
      <c r="B33" t="s">
        <v>268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8">
        <v>1</v>
      </c>
      <c r="L33" s="128">
        <v>2</v>
      </c>
      <c r="Q33" s="2" t="s">
        <v>21</v>
      </c>
      <c r="R33" s="132">
        <v>8925</v>
      </c>
      <c r="S33" s="2" t="s">
        <v>20</v>
      </c>
    </row>
    <row r="34" spans="1:20" x14ac:dyDescent="0.35">
      <c r="A34" s="146">
        <v>33</v>
      </c>
      <c r="B34" t="s">
        <v>267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8">
        <v>1</v>
      </c>
      <c r="L34" s="128">
        <v>1</v>
      </c>
      <c r="M34" s="123"/>
      <c r="P34" s="2" t="s">
        <v>21</v>
      </c>
      <c r="Q34" s="2" t="s">
        <v>21</v>
      </c>
      <c r="R34" s="132">
        <v>7525</v>
      </c>
      <c r="S34" s="2" t="s">
        <v>20</v>
      </c>
    </row>
    <row r="35" spans="1:20" x14ac:dyDescent="0.35">
      <c r="A35" s="147">
        <v>34</v>
      </c>
      <c r="B35" t="s">
        <v>266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8">
        <v>1</v>
      </c>
      <c r="L35" s="128">
        <v>2</v>
      </c>
      <c r="Q35" s="2" t="s">
        <v>21</v>
      </c>
      <c r="R35" s="132">
        <v>12375</v>
      </c>
      <c r="S35" s="2" t="s">
        <v>20</v>
      </c>
    </row>
    <row r="36" spans="1:20" x14ac:dyDescent="0.35">
      <c r="A36" s="146">
        <v>35</v>
      </c>
      <c r="B36" t="s">
        <v>262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68" t="s">
        <v>263</v>
      </c>
      <c r="N36" s="188">
        <v>46733448215</v>
      </c>
      <c r="O36" s="2" t="s">
        <v>264</v>
      </c>
      <c r="Q36" s="2" t="s">
        <v>21</v>
      </c>
      <c r="R36" s="132">
        <v>4140</v>
      </c>
      <c r="S36" s="2" t="s">
        <v>38</v>
      </c>
      <c r="T36" t="s">
        <v>265</v>
      </c>
    </row>
    <row r="37" spans="1:20" x14ac:dyDescent="0.35">
      <c r="A37" s="146">
        <v>36</v>
      </c>
      <c r="B37" t="s">
        <v>261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23"/>
      <c r="Q37" s="2" t="s">
        <v>20</v>
      </c>
      <c r="R37" s="132">
        <v>6450</v>
      </c>
      <c r="S37" s="2" t="s">
        <v>20</v>
      </c>
    </row>
    <row r="38" spans="1:20" x14ac:dyDescent="0.35">
      <c r="A38" s="147">
        <v>37</v>
      </c>
      <c r="B38" t="s">
        <v>259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260</v>
      </c>
      <c r="K38">
        <v>1</v>
      </c>
      <c r="L38">
        <v>2</v>
      </c>
      <c r="M38" s="123"/>
      <c r="Q38" s="2" t="s">
        <v>21</v>
      </c>
      <c r="R38" s="132">
        <v>3450</v>
      </c>
      <c r="S38" s="2" t="s">
        <v>20</v>
      </c>
    </row>
    <row r="39" spans="1:20" x14ac:dyDescent="0.35">
      <c r="A39" s="146">
        <v>38</v>
      </c>
      <c r="B39" t="s">
        <v>258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23"/>
      <c r="Q39" s="2" t="s">
        <v>20</v>
      </c>
      <c r="R39" s="132">
        <v>7525</v>
      </c>
      <c r="S39" s="2" t="s">
        <v>20</v>
      </c>
    </row>
    <row r="40" spans="1:20" x14ac:dyDescent="0.35">
      <c r="A40" s="2">
        <v>39</v>
      </c>
      <c r="B40" t="s">
        <v>257</v>
      </c>
      <c r="C40" s="24">
        <v>46216</v>
      </c>
      <c r="D40" s="24">
        <v>46220</v>
      </c>
      <c r="E40" s="24">
        <v>46032</v>
      </c>
      <c r="G40" t="s">
        <v>273</v>
      </c>
    </row>
    <row r="41" spans="1:20" x14ac:dyDescent="0.35">
      <c r="A41" s="2">
        <v>40</v>
      </c>
      <c r="B41" t="s">
        <v>256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23"/>
      <c r="Q41" s="2" t="s">
        <v>21</v>
      </c>
      <c r="R41" s="132">
        <v>3450</v>
      </c>
      <c r="S41" s="2" t="s">
        <v>20</v>
      </c>
    </row>
    <row r="42" spans="1:20" x14ac:dyDescent="0.35">
      <c r="A42" s="2">
        <v>41</v>
      </c>
      <c r="B42" t="s">
        <v>272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3"/>
      <c r="Q42" s="2" t="s">
        <v>20</v>
      </c>
      <c r="R42" s="132">
        <v>2850</v>
      </c>
      <c r="S42" s="2" t="s">
        <v>20</v>
      </c>
    </row>
    <row r="43" spans="1:20" x14ac:dyDescent="0.35">
      <c r="A43" s="2">
        <v>42</v>
      </c>
      <c r="B43" t="s">
        <v>271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23"/>
      <c r="P43" s="2" t="s">
        <v>21</v>
      </c>
      <c r="Q43" s="2" t="s">
        <v>20</v>
      </c>
      <c r="R43" s="132">
        <v>2550</v>
      </c>
      <c r="S43" s="2" t="s">
        <v>20</v>
      </c>
    </row>
    <row r="44" spans="1:20" x14ac:dyDescent="0.35">
      <c r="A44" s="2">
        <v>43</v>
      </c>
      <c r="B44" t="s">
        <v>290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260</v>
      </c>
      <c r="I44" s="2" t="s">
        <v>293</v>
      </c>
      <c r="K44">
        <v>1</v>
      </c>
      <c r="L44">
        <v>2</v>
      </c>
      <c r="M44" s="123" t="s">
        <v>292</v>
      </c>
      <c r="N44" s="160">
        <v>4526140610</v>
      </c>
      <c r="Q44" s="2" t="s">
        <v>21</v>
      </c>
      <c r="R44" s="132">
        <v>4500</v>
      </c>
      <c r="S44" s="2" t="s">
        <v>20</v>
      </c>
      <c r="T44" t="s">
        <v>291</v>
      </c>
    </row>
    <row r="45" spans="1:20" x14ac:dyDescent="0.35">
      <c r="A45" s="2">
        <v>44</v>
      </c>
      <c r="B45" t="s">
        <v>289</v>
      </c>
      <c r="C45" s="24">
        <v>46222</v>
      </c>
      <c r="D45" s="24">
        <v>46227</v>
      </c>
      <c r="E45" s="24">
        <v>46037</v>
      </c>
      <c r="F45" t="s">
        <v>296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2">
        <v>6375</v>
      </c>
      <c r="S45" s="2" t="s">
        <v>20</v>
      </c>
    </row>
    <row r="46" spans="1:20" x14ac:dyDescent="0.35">
      <c r="A46" s="2">
        <v>45</v>
      </c>
      <c r="B46" t="s">
        <v>288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2">
        <v>3825</v>
      </c>
      <c r="S46" s="2" t="s">
        <v>20</v>
      </c>
    </row>
    <row r="47" spans="1:20" x14ac:dyDescent="0.35">
      <c r="A47" s="2">
        <v>46</v>
      </c>
      <c r="B47" t="s">
        <v>285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23"/>
      <c r="Q47" s="2" t="s">
        <v>20</v>
      </c>
      <c r="R47" s="132">
        <v>5125</v>
      </c>
      <c r="S47" s="2" t="s">
        <v>287</v>
      </c>
      <c r="T47" t="s">
        <v>286</v>
      </c>
    </row>
    <row r="48" spans="1:20" x14ac:dyDescent="0.35">
      <c r="A48" s="2">
        <v>47</v>
      </c>
      <c r="B48" t="s">
        <v>219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23" t="s">
        <v>220</v>
      </c>
      <c r="N48" s="188">
        <v>4531909358</v>
      </c>
      <c r="O48" s="190" t="s">
        <v>283</v>
      </c>
      <c r="Q48" s="2" t="s">
        <v>21</v>
      </c>
      <c r="S48" s="2" t="s">
        <v>21</v>
      </c>
      <c r="T48" t="s">
        <v>284</v>
      </c>
    </row>
    <row r="49" spans="1:20" x14ac:dyDescent="0.35">
      <c r="A49" s="2">
        <v>48</v>
      </c>
      <c r="B49" t="s">
        <v>281</v>
      </c>
      <c r="C49" s="24">
        <v>46156</v>
      </c>
      <c r="D49" s="24">
        <v>46159</v>
      </c>
      <c r="E49" s="24">
        <v>46040</v>
      </c>
      <c r="F49" t="s">
        <v>53</v>
      </c>
      <c r="G49" t="s">
        <v>35</v>
      </c>
      <c r="K49">
        <v>1</v>
      </c>
      <c r="L49">
        <v>1</v>
      </c>
      <c r="M49" s="123"/>
      <c r="Q49" s="2" t="s">
        <v>20</v>
      </c>
      <c r="R49" s="132">
        <v>2850</v>
      </c>
      <c r="S49" s="2" t="s">
        <v>20</v>
      </c>
      <c r="T49" t="s">
        <v>282</v>
      </c>
    </row>
    <row r="50" spans="1:20" x14ac:dyDescent="0.35">
      <c r="A50" s="2">
        <v>49</v>
      </c>
      <c r="B50" t="s">
        <v>280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3"/>
      <c r="Q50" s="2" t="s">
        <v>21</v>
      </c>
      <c r="R50" s="132">
        <v>8925</v>
      </c>
      <c r="S50" s="2" t="s">
        <v>20</v>
      </c>
    </row>
    <row r="51" spans="1:20" x14ac:dyDescent="0.35">
      <c r="A51" s="2">
        <v>50</v>
      </c>
      <c r="B51" t="s">
        <v>279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2">
        <v>5100</v>
      </c>
      <c r="S51" s="2" t="s">
        <v>20</v>
      </c>
    </row>
    <row r="52" spans="1:20" x14ac:dyDescent="0.35">
      <c r="A52" s="2">
        <v>51</v>
      </c>
      <c r="B52" t="s">
        <v>276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68" t="s">
        <v>278</v>
      </c>
      <c r="N52" s="188">
        <v>4540474386</v>
      </c>
      <c r="O52" s="190" t="s">
        <v>277</v>
      </c>
      <c r="Q52" s="2" t="s">
        <v>21</v>
      </c>
      <c r="R52" s="132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295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23"/>
      <c r="Q53" s="2" t="s">
        <v>21</v>
      </c>
      <c r="R53" s="132">
        <v>4600</v>
      </c>
      <c r="S53" s="2" t="s">
        <v>20</v>
      </c>
    </row>
    <row r="54" spans="1:20" x14ac:dyDescent="0.35">
      <c r="A54" s="2">
        <v>53</v>
      </c>
      <c r="B54" t="s">
        <v>294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2">
        <v>2850</v>
      </c>
      <c r="S54" s="2" t="s">
        <v>20</v>
      </c>
    </row>
    <row r="55" spans="1:20" x14ac:dyDescent="0.35">
      <c r="A55" s="2">
        <v>54</v>
      </c>
      <c r="B55" t="s">
        <v>310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23"/>
      <c r="Q55" s="2" t="s">
        <v>20</v>
      </c>
      <c r="R55" s="167">
        <v>5700</v>
      </c>
    </row>
    <row r="56" spans="1:20" x14ac:dyDescent="0.35">
      <c r="A56" s="2">
        <v>55</v>
      </c>
      <c r="B56" t="s">
        <v>309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23"/>
      <c r="Q56" s="2" t="s">
        <v>20</v>
      </c>
      <c r="R56" s="132">
        <v>4300</v>
      </c>
      <c r="S56" s="2" t="s">
        <v>20</v>
      </c>
    </row>
    <row r="57" spans="1:20" x14ac:dyDescent="0.35">
      <c r="A57" s="2">
        <v>56</v>
      </c>
      <c r="B57" t="s">
        <v>306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319</v>
      </c>
      <c r="I57" s="2" t="s">
        <v>307</v>
      </c>
      <c r="K57">
        <v>1</v>
      </c>
      <c r="L57">
        <v>2</v>
      </c>
      <c r="M57" s="123"/>
      <c r="Q57" s="2" t="s">
        <v>20</v>
      </c>
      <c r="R57" s="132">
        <v>1900</v>
      </c>
      <c r="S57" s="2" t="s">
        <v>20</v>
      </c>
      <c r="T57" t="s">
        <v>308</v>
      </c>
    </row>
    <row r="58" spans="1:20" x14ac:dyDescent="0.35">
      <c r="A58" s="2">
        <v>57</v>
      </c>
      <c r="B58" t="s">
        <v>303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8">
        <v>466700686</v>
      </c>
      <c r="O58" s="2" t="s">
        <v>304</v>
      </c>
      <c r="Q58" s="2" t="s">
        <v>20</v>
      </c>
      <c r="R58" s="167">
        <v>6450</v>
      </c>
      <c r="S58" s="2" t="s">
        <v>38</v>
      </c>
      <c r="T58" t="s">
        <v>305</v>
      </c>
    </row>
    <row r="59" spans="1:20" x14ac:dyDescent="0.35">
      <c r="A59" s="2">
        <v>58</v>
      </c>
      <c r="B59" t="s">
        <v>301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23"/>
      <c r="Q59" s="2" t="s">
        <v>21</v>
      </c>
      <c r="R59" s="167">
        <v>4590</v>
      </c>
      <c r="S59" s="2" t="s">
        <v>38</v>
      </c>
      <c r="T59" t="s">
        <v>302</v>
      </c>
    </row>
    <row r="60" spans="1:20" x14ac:dyDescent="0.35">
      <c r="A60" s="2">
        <v>59</v>
      </c>
      <c r="B60" t="s">
        <v>311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312</v>
      </c>
      <c r="I60" s="2" t="s">
        <v>162</v>
      </c>
      <c r="K60">
        <v>1</v>
      </c>
      <c r="L60">
        <v>2</v>
      </c>
      <c r="M60" s="123"/>
      <c r="N60" s="160">
        <v>4542401010</v>
      </c>
      <c r="Q60" s="2" t="s">
        <v>21</v>
      </c>
      <c r="R60" s="167">
        <v>5100</v>
      </c>
      <c r="S60" s="2" t="s">
        <v>20</v>
      </c>
    </row>
    <row r="61" spans="1:20" x14ac:dyDescent="0.35">
      <c r="A61" s="2">
        <v>60</v>
      </c>
      <c r="B61" t="s">
        <v>318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67">
        <v>3800</v>
      </c>
      <c r="S61" s="2" t="s">
        <v>20</v>
      </c>
    </row>
    <row r="62" spans="1:20" x14ac:dyDescent="0.35">
      <c r="A62" s="2">
        <v>61</v>
      </c>
      <c r="B62" t="s">
        <v>316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317</v>
      </c>
      <c r="I62" s="2" t="s">
        <v>307</v>
      </c>
      <c r="K62">
        <v>1</v>
      </c>
      <c r="L62">
        <v>2</v>
      </c>
      <c r="M62" s="123"/>
      <c r="Q62" s="2" t="s">
        <v>20</v>
      </c>
      <c r="R62" s="167">
        <v>2975</v>
      </c>
      <c r="S62" s="2" t="s">
        <v>20</v>
      </c>
    </row>
    <row r="63" spans="1:20" x14ac:dyDescent="0.35">
      <c r="A63" s="2">
        <v>62</v>
      </c>
      <c r="B63" t="s">
        <v>315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307</v>
      </c>
      <c r="J63">
        <v>10</v>
      </c>
      <c r="K63">
        <v>1</v>
      </c>
      <c r="L63">
        <v>2</v>
      </c>
      <c r="Q63" s="2" t="s">
        <v>21</v>
      </c>
      <c r="R63" s="167">
        <f>8925+3442.5</f>
        <v>12367.5</v>
      </c>
      <c r="S63" s="2" t="s">
        <v>20</v>
      </c>
      <c r="T63" t="s">
        <v>327</v>
      </c>
    </row>
    <row r="64" spans="1:20" x14ac:dyDescent="0.35">
      <c r="A64" s="2">
        <v>63</v>
      </c>
      <c r="B64" t="s">
        <v>313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>
        <v>5</v>
      </c>
      <c r="K64">
        <v>1</v>
      </c>
      <c r="L64">
        <v>2</v>
      </c>
      <c r="M64" s="123" t="s">
        <v>314</v>
      </c>
      <c r="Q64" s="2" t="s">
        <v>20</v>
      </c>
      <c r="R64" s="167">
        <v>1805</v>
      </c>
      <c r="S64" s="2" t="s">
        <v>20</v>
      </c>
    </row>
    <row r="65" spans="1:20" x14ac:dyDescent="0.35">
      <c r="A65" s="2">
        <v>64</v>
      </c>
      <c r="B65" t="s">
        <v>320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165</v>
      </c>
      <c r="K65">
        <v>1</v>
      </c>
      <c r="L65">
        <v>2</v>
      </c>
      <c r="Q65" s="2" t="s">
        <v>20</v>
      </c>
      <c r="R65" s="132">
        <v>2850</v>
      </c>
      <c r="S65" s="2" t="s">
        <v>20</v>
      </c>
    </row>
    <row r="66" spans="1:20" x14ac:dyDescent="0.35">
      <c r="A66" s="2">
        <v>65</v>
      </c>
      <c r="B66" t="s">
        <v>324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307</v>
      </c>
      <c r="K66">
        <v>1</v>
      </c>
      <c r="L66">
        <v>2</v>
      </c>
      <c r="Q66" s="2" t="s">
        <v>20</v>
      </c>
      <c r="R66" s="167">
        <v>2850</v>
      </c>
      <c r="S66" s="2" t="s">
        <v>20</v>
      </c>
    </row>
    <row r="67" spans="1:20" x14ac:dyDescent="0.35">
      <c r="A67" s="2">
        <v>66</v>
      </c>
      <c r="B67" t="s">
        <v>322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>
        <v>10</v>
      </c>
      <c r="K67">
        <v>1</v>
      </c>
      <c r="L67">
        <v>2</v>
      </c>
      <c r="M67" s="123" t="s">
        <v>323</v>
      </c>
      <c r="N67" s="159">
        <v>4521261488</v>
      </c>
      <c r="O67" s="2" t="s">
        <v>187</v>
      </c>
      <c r="Q67" s="2" t="s">
        <v>21</v>
      </c>
      <c r="R67" s="167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321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23"/>
      <c r="Q68" s="2" t="s">
        <v>21</v>
      </c>
      <c r="R68" s="167">
        <v>5750</v>
      </c>
      <c r="S68" s="2" t="s">
        <v>20</v>
      </c>
    </row>
    <row r="69" spans="1:20" x14ac:dyDescent="0.35">
      <c r="A69" s="2">
        <v>68</v>
      </c>
      <c r="B69" t="s">
        <v>326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165</v>
      </c>
      <c r="K69">
        <v>1</v>
      </c>
      <c r="L69">
        <v>1</v>
      </c>
      <c r="P69" s="2" t="s">
        <v>21</v>
      </c>
      <c r="Q69" s="2" t="s">
        <v>20</v>
      </c>
      <c r="R69" s="167">
        <v>1700</v>
      </c>
      <c r="S69" s="2" t="s">
        <v>20</v>
      </c>
    </row>
    <row r="70" spans="1:20" x14ac:dyDescent="0.35">
      <c r="A70" s="2">
        <v>69</v>
      </c>
      <c r="B70" t="s">
        <v>325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67">
        <v>3225</v>
      </c>
      <c r="S70" s="2" t="s">
        <v>20</v>
      </c>
    </row>
    <row r="71" spans="1:20" x14ac:dyDescent="0.35">
      <c r="A71" s="2">
        <v>70</v>
      </c>
      <c r="B71" t="s">
        <v>333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23" t="s">
        <v>334</v>
      </c>
      <c r="N71" s="159">
        <v>4561793423</v>
      </c>
      <c r="Q71" s="2" t="s">
        <v>21</v>
      </c>
      <c r="R71" s="167">
        <v>5175</v>
      </c>
      <c r="S71" s="2" t="s">
        <v>21</v>
      </c>
      <c r="T71" t="s">
        <v>335</v>
      </c>
    </row>
    <row r="72" spans="1:20" x14ac:dyDescent="0.35">
      <c r="A72" s="2">
        <v>71</v>
      </c>
      <c r="B72" t="s">
        <v>336</v>
      </c>
      <c r="C72" s="24">
        <v>46260</v>
      </c>
      <c r="D72" s="24">
        <v>46264</v>
      </c>
      <c r="E72" s="24">
        <v>46057</v>
      </c>
      <c r="F72" t="s">
        <v>31</v>
      </c>
      <c r="G72" t="s">
        <v>35</v>
      </c>
      <c r="I72" s="2" t="s">
        <v>165</v>
      </c>
      <c r="K72">
        <v>1</v>
      </c>
      <c r="L72">
        <v>1</v>
      </c>
      <c r="P72" s="2" t="s">
        <v>21</v>
      </c>
      <c r="Q72" s="2" t="s">
        <v>20</v>
      </c>
      <c r="R72" s="132">
        <v>3400</v>
      </c>
      <c r="S72" s="2" t="s">
        <v>20</v>
      </c>
    </row>
    <row r="73" spans="1:20" x14ac:dyDescent="0.35">
      <c r="A73" s="2">
        <v>72</v>
      </c>
      <c r="B73" t="s">
        <v>330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260</v>
      </c>
      <c r="K73">
        <v>1</v>
      </c>
      <c r="L73">
        <v>2</v>
      </c>
      <c r="M73" s="168" t="s">
        <v>331</v>
      </c>
      <c r="N73" s="159">
        <v>4527139833</v>
      </c>
      <c r="Q73" s="2" t="s">
        <v>21</v>
      </c>
      <c r="R73" s="167">
        <v>8050</v>
      </c>
      <c r="S73" s="2" t="s">
        <v>21</v>
      </c>
      <c r="T73" t="s">
        <v>332</v>
      </c>
    </row>
    <row r="74" spans="1:20" x14ac:dyDescent="0.35">
      <c r="A74" s="2">
        <v>73</v>
      </c>
      <c r="B74" t="s">
        <v>329</v>
      </c>
      <c r="C74" s="24">
        <v>46143</v>
      </c>
      <c r="D74" s="24">
        <v>46145</v>
      </c>
      <c r="E74" s="24">
        <v>46061</v>
      </c>
      <c r="F74" t="s">
        <v>53</v>
      </c>
      <c r="G74" t="s">
        <v>273</v>
      </c>
    </row>
    <row r="75" spans="1:20" x14ac:dyDescent="0.35">
      <c r="A75" s="2">
        <v>74</v>
      </c>
      <c r="B75" t="s">
        <v>339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>
        <v>10</v>
      </c>
      <c r="K75">
        <v>2</v>
      </c>
      <c r="L75">
        <v>3</v>
      </c>
      <c r="M75" s="123" t="s">
        <v>340</v>
      </c>
      <c r="Q75" s="2" t="s">
        <v>21</v>
      </c>
      <c r="R75" s="167">
        <v>8460</v>
      </c>
      <c r="S75" s="2" t="s">
        <v>21</v>
      </c>
      <c r="T75" t="s">
        <v>341</v>
      </c>
    </row>
    <row r="76" spans="1:20" x14ac:dyDescent="0.35">
      <c r="A76" s="2">
        <v>75</v>
      </c>
      <c r="B76" t="s">
        <v>338</v>
      </c>
      <c r="C76" s="24">
        <v>46276</v>
      </c>
      <c r="D76" s="24">
        <v>46279</v>
      </c>
      <c r="E76" s="24">
        <v>46067</v>
      </c>
      <c r="F76" t="s">
        <v>53</v>
      </c>
      <c r="G76" t="s">
        <v>273</v>
      </c>
      <c r="R76" s="167"/>
    </row>
    <row r="77" spans="1:20" x14ac:dyDescent="0.35">
      <c r="A77" s="2">
        <v>76</v>
      </c>
      <c r="B77" t="s">
        <v>337</v>
      </c>
      <c r="C77" s="24">
        <v>46201</v>
      </c>
      <c r="D77" s="24">
        <v>46205</v>
      </c>
      <c r="E77" s="24">
        <v>46068</v>
      </c>
      <c r="F77" t="s">
        <v>53</v>
      </c>
      <c r="G77" t="s">
        <v>35</v>
      </c>
      <c r="I77" s="2" t="s">
        <v>165</v>
      </c>
      <c r="K77">
        <v>1</v>
      </c>
      <c r="L77">
        <v>2</v>
      </c>
      <c r="Q77" s="2" t="s">
        <v>21</v>
      </c>
      <c r="R77" s="167">
        <v>5100</v>
      </c>
      <c r="S77" s="2" t="s">
        <v>20</v>
      </c>
    </row>
    <row r="78" spans="1:20" x14ac:dyDescent="0.35">
      <c r="A78" s="2">
        <v>77</v>
      </c>
      <c r="B78" t="s">
        <v>342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8" t="s">
        <v>343</v>
      </c>
      <c r="N78" s="159">
        <v>4525240507</v>
      </c>
      <c r="Q78" s="2" t="s">
        <v>21</v>
      </c>
      <c r="R78" s="132">
        <v>8032.5</v>
      </c>
      <c r="S78" s="2" t="s">
        <v>21</v>
      </c>
      <c r="T78" t="s">
        <v>344</v>
      </c>
    </row>
    <row r="79" spans="1:20" x14ac:dyDescent="0.35">
      <c r="A79" s="2">
        <v>78</v>
      </c>
      <c r="B79" t="s">
        <v>352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K79">
        <v>1</v>
      </c>
      <c r="L79">
        <v>2</v>
      </c>
      <c r="Q79" s="2" t="s">
        <v>21</v>
      </c>
      <c r="R79" s="132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>
        <v>10</v>
      </c>
      <c r="K80">
        <v>1</v>
      </c>
      <c r="L80">
        <v>2</v>
      </c>
      <c r="M80" s="123" t="s">
        <v>350</v>
      </c>
      <c r="N80" s="159">
        <v>4520646004</v>
      </c>
      <c r="Q80" s="2" t="s">
        <v>21</v>
      </c>
      <c r="R80" s="167">
        <v>5175</v>
      </c>
      <c r="S80" s="2" t="s">
        <v>38</v>
      </c>
      <c r="T80" t="s">
        <v>351</v>
      </c>
    </row>
    <row r="81" spans="1:20" x14ac:dyDescent="0.35">
      <c r="A81" s="2">
        <v>80</v>
      </c>
      <c r="B81" t="s">
        <v>347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>
        <v>10</v>
      </c>
      <c r="K81">
        <v>2</v>
      </c>
      <c r="L81">
        <v>4</v>
      </c>
      <c r="M81" s="123" t="s">
        <v>348</v>
      </c>
      <c r="N81" s="159">
        <v>4520143818</v>
      </c>
      <c r="Q81" s="2" t="s">
        <v>21</v>
      </c>
      <c r="R81" s="132">
        <v>10350</v>
      </c>
      <c r="S81" s="2" t="s">
        <v>21</v>
      </c>
      <c r="T81" t="s">
        <v>349</v>
      </c>
    </row>
    <row r="82" spans="1:20" x14ac:dyDescent="0.35">
      <c r="A82" s="2">
        <v>81</v>
      </c>
      <c r="B82" t="s">
        <v>353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32">
        <v>3825</v>
      </c>
      <c r="S82" s="2" t="s">
        <v>20</v>
      </c>
    </row>
    <row r="83" spans="1:20" x14ac:dyDescent="0.35">
      <c r="A83" s="2">
        <v>82</v>
      </c>
      <c r="B83" s="197" t="s">
        <v>354</v>
      </c>
      <c r="C83" s="24">
        <v>46143</v>
      </c>
      <c r="D83" s="24">
        <v>46145</v>
      </c>
      <c r="E83" s="24">
        <v>46075</v>
      </c>
      <c r="F83" t="s">
        <v>53</v>
      </c>
      <c r="G83" t="s">
        <v>35</v>
      </c>
      <c r="K83">
        <v>1</v>
      </c>
      <c r="L83">
        <v>2</v>
      </c>
      <c r="Q83" s="2" t="s">
        <v>21</v>
      </c>
      <c r="R83" s="167">
        <v>2300</v>
      </c>
      <c r="S83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</hyperlinks>
  <pageMargins left="0.7" right="0.7" top="0.75" bottom="0.75" header="0.3" footer="0.3"/>
  <pageSetup paperSize="9" orientation="portrait" r:id="rId33"/>
  <legacyDrawing r:id="rId3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H1" workbookViewId="0">
      <pane ySplit="1" topLeftCell="A188" activePane="bottomLeft" state="frozen"/>
      <selection pane="bottomLeft" activeCell="R200" sqref="R200:S200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296</v>
      </c>
      <c r="BU1" s="2" t="str">
        <f>BT1</f>
        <v>CZ</v>
      </c>
      <c r="BV1" s="183" t="s">
        <v>299</v>
      </c>
      <c r="BW1" s="183" t="s">
        <v>299</v>
      </c>
      <c r="BX1" s="141" t="s">
        <v>300</v>
      </c>
      <c r="BY1" s="141" t="s">
        <v>300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1</v>
      </c>
      <c r="D49">
        <f>Database!D49-Database!C49</f>
        <v>3</v>
      </c>
      <c r="F49">
        <f>Database!L49</f>
        <v>1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3</v>
      </c>
      <c r="O49">
        <f t="shared" si="48"/>
        <v>3</v>
      </c>
      <c r="P49">
        <f t="shared" si="48"/>
        <v>3</v>
      </c>
      <c r="Q49">
        <f t="shared" si="48"/>
        <v>3</v>
      </c>
      <c r="R49">
        <f t="shared" si="48"/>
        <v>3</v>
      </c>
      <c r="S49">
        <f t="shared" si="48"/>
        <v>3</v>
      </c>
      <c r="T49">
        <f t="shared" si="48"/>
        <v>3</v>
      </c>
      <c r="U49">
        <f t="shared" si="48"/>
        <v>3</v>
      </c>
      <c r="V49">
        <f t="shared" si="48"/>
        <v>3</v>
      </c>
      <c r="W49">
        <f t="shared" si="48"/>
        <v>3</v>
      </c>
      <c r="X49">
        <f t="shared" si="49"/>
        <v>3</v>
      </c>
      <c r="Y49">
        <f t="shared" si="49"/>
        <v>3</v>
      </c>
      <c r="Z49">
        <f t="shared" si="49"/>
        <v>3</v>
      </c>
      <c r="AA49">
        <f t="shared" si="49"/>
        <v>3</v>
      </c>
      <c r="AB49">
        <f t="shared" si="49"/>
        <v>3</v>
      </c>
      <c r="AC49">
        <f t="shared" si="49"/>
        <v>3</v>
      </c>
      <c r="AD49">
        <f t="shared" si="49"/>
        <v>3</v>
      </c>
      <c r="AE49">
        <f t="shared" si="49"/>
        <v>3</v>
      </c>
      <c r="AF49">
        <f t="shared" si="49"/>
        <v>3</v>
      </c>
      <c r="AG49">
        <f t="shared" si="49"/>
        <v>3</v>
      </c>
      <c r="AH49">
        <f t="shared" si="50"/>
        <v>3</v>
      </c>
      <c r="AI49">
        <f t="shared" si="50"/>
        <v>3</v>
      </c>
      <c r="AJ49">
        <f t="shared" si="50"/>
        <v>3</v>
      </c>
      <c r="AK49">
        <f t="shared" si="50"/>
        <v>3</v>
      </c>
      <c r="AL49">
        <f t="shared" si="50"/>
        <v>3</v>
      </c>
      <c r="AM49">
        <f t="shared" si="50"/>
        <v>3</v>
      </c>
      <c r="AN49">
        <f t="shared" si="50"/>
        <v>3</v>
      </c>
      <c r="AO49">
        <f t="shared" si="50"/>
        <v>3</v>
      </c>
      <c r="AP49">
        <f t="shared" si="50"/>
        <v>3</v>
      </c>
      <c r="AQ49">
        <f t="shared" si="50"/>
        <v>3</v>
      </c>
      <c r="AR49">
        <f t="shared" si="51"/>
        <v>3</v>
      </c>
      <c r="AS49">
        <f t="shared" si="51"/>
        <v>3</v>
      </c>
      <c r="AT49">
        <f t="shared" si="51"/>
        <v>3</v>
      </c>
      <c r="AU49">
        <f t="shared" si="51"/>
        <v>3</v>
      </c>
      <c r="AV49">
        <f t="shared" si="51"/>
        <v>3</v>
      </c>
      <c r="AW49">
        <f t="shared" si="51"/>
        <v>3</v>
      </c>
      <c r="AX49">
        <f t="shared" si="51"/>
        <v>3</v>
      </c>
      <c r="BB49" s="34">
        <f t="shared" si="9"/>
        <v>1</v>
      </c>
      <c r="BC49" s="34">
        <f t="shared" si="10"/>
        <v>3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1</v>
      </c>
      <c r="D72">
        <f>Database!D72-Database!C72</f>
        <v>4</v>
      </c>
      <c r="F72">
        <f>Database!L72</f>
        <v>1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4</v>
      </c>
      <c r="R72">
        <f t="shared" si="56"/>
        <v>4</v>
      </c>
      <c r="S72">
        <f t="shared" si="56"/>
        <v>4</v>
      </c>
      <c r="T72">
        <f t="shared" si="56"/>
        <v>4</v>
      </c>
      <c r="U72">
        <f t="shared" si="56"/>
        <v>4</v>
      </c>
      <c r="V72">
        <f t="shared" si="56"/>
        <v>4</v>
      </c>
      <c r="W72">
        <f t="shared" si="56"/>
        <v>4</v>
      </c>
      <c r="X72">
        <f t="shared" si="57"/>
        <v>4</v>
      </c>
      <c r="Y72">
        <f t="shared" si="57"/>
        <v>4</v>
      </c>
      <c r="Z72">
        <f t="shared" si="57"/>
        <v>4</v>
      </c>
      <c r="AA72">
        <f t="shared" si="57"/>
        <v>4</v>
      </c>
      <c r="AB72">
        <f t="shared" si="57"/>
        <v>4</v>
      </c>
      <c r="AC72">
        <f t="shared" si="57"/>
        <v>4</v>
      </c>
      <c r="AD72">
        <f t="shared" si="57"/>
        <v>4</v>
      </c>
      <c r="AE72">
        <f t="shared" si="57"/>
        <v>4</v>
      </c>
      <c r="AF72">
        <f t="shared" si="57"/>
        <v>4</v>
      </c>
      <c r="AG72">
        <f t="shared" si="57"/>
        <v>4</v>
      </c>
      <c r="AH72">
        <f t="shared" si="58"/>
        <v>4</v>
      </c>
      <c r="AI72">
        <f t="shared" si="58"/>
        <v>4</v>
      </c>
      <c r="AJ72">
        <f t="shared" si="58"/>
        <v>4</v>
      </c>
      <c r="AK72">
        <f t="shared" si="58"/>
        <v>4</v>
      </c>
      <c r="AL72">
        <f t="shared" si="58"/>
        <v>4</v>
      </c>
      <c r="AM72">
        <f t="shared" si="58"/>
        <v>4</v>
      </c>
      <c r="AN72">
        <f t="shared" si="58"/>
        <v>4</v>
      </c>
      <c r="AO72">
        <f t="shared" si="58"/>
        <v>4</v>
      </c>
      <c r="AP72">
        <f t="shared" si="58"/>
        <v>4</v>
      </c>
      <c r="AQ72">
        <f t="shared" si="58"/>
        <v>4</v>
      </c>
      <c r="AR72">
        <f t="shared" si="59"/>
        <v>4</v>
      </c>
      <c r="AS72">
        <f t="shared" si="59"/>
        <v>4</v>
      </c>
      <c r="AT72">
        <f t="shared" si="59"/>
        <v>4</v>
      </c>
      <c r="AU72">
        <f t="shared" si="59"/>
        <v>4</v>
      </c>
      <c r="AV72">
        <f t="shared" si="59"/>
        <v>4</v>
      </c>
      <c r="AW72">
        <f t="shared" si="59"/>
        <v>4</v>
      </c>
      <c r="AX72">
        <f t="shared" si="59"/>
        <v>4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1</v>
      </c>
      <c r="BI72" s="34">
        <f t="shared" si="70"/>
        <v>4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1</v>
      </c>
      <c r="D83">
        <f>Database!D83-Database!C83</f>
        <v>2</v>
      </c>
      <c r="F83">
        <f>Database!L83</f>
        <v>2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2</v>
      </c>
      <c r="T83">
        <f t="shared" si="89"/>
        <v>2</v>
      </c>
      <c r="U83">
        <f t="shared" si="89"/>
        <v>2</v>
      </c>
      <c r="V83">
        <f t="shared" si="89"/>
        <v>2</v>
      </c>
      <c r="W83">
        <f t="shared" si="89"/>
        <v>2</v>
      </c>
      <c r="X83">
        <f t="shared" ref="X83:AG92" si="90">IF($B83&lt;X$1,$C83*$D83,0)</f>
        <v>2</v>
      </c>
      <c r="Y83">
        <f t="shared" si="90"/>
        <v>2</v>
      </c>
      <c r="Z83">
        <f t="shared" si="90"/>
        <v>2</v>
      </c>
      <c r="AA83">
        <f t="shared" si="90"/>
        <v>2</v>
      </c>
      <c r="AB83">
        <f t="shared" si="90"/>
        <v>2</v>
      </c>
      <c r="AC83">
        <f t="shared" si="90"/>
        <v>2</v>
      </c>
      <c r="AD83">
        <f t="shared" si="90"/>
        <v>2</v>
      </c>
      <c r="AE83">
        <f t="shared" si="90"/>
        <v>2</v>
      </c>
      <c r="AF83">
        <f t="shared" si="90"/>
        <v>2</v>
      </c>
      <c r="AG83">
        <f t="shared" si="90"/>
        <v>2</v>
      </c>
      <c r="AH83">
        <f t="shared" ref="AH83:AQ92" si="91">IF($B83&lt;AH$1,$C83*$D83,0)</f>
        <v>2</v>
      </c>
      <c r="AI83">
        <f t="shared" si="91"/>
        <v>2</v>
      </c>
      <c r="AJ83">
        <f t="shared" si="91"/>
        <v>2</v>
      </c>
      <c r="AK83">
        <f t="shared" si="91"/>
        <v>2</v>
      </c>
      <c r="AL83">
        <f t="shared" si="91"/>
        <v>2</v>
      </c>
      <c r="AM83">
        <f t="shared" si="91"/>
        <v>2</v>
      </c>
      <c r="AN83">
        <f t="shared" si="91"/>
        <v>2</v>
      </c>
      <c r="AO83">
        <f t="shared" si="91"/>
        <v>2</v>
      </c>
      <c r="AP83">
        <f t="shared" si="91"/>
        <v>2</v>
      </c>
      <c r="AQ83">
        <f t="shared" si="91"/>
        <v>2</v>
      </c>
      <c r="AR83">
        <f t="shared" ref="AR83:AX92" si="92">IF($B83&lt;AR$1,$C83*$D83,0)</f>
        <v>2</v>
      </c>
      <c r="AS83">
        <f t="shared" si="92"/>
        <v>2</v>
      </c>
      <c r="AT83">
        <f t="shared" si="92"/>
        <v>2</v>
      </c>
      <c r="AU83">
        <f t="shared" si="92"/>
        <v>2</v>
      </c>
      <c r="AV83">
        <f t="shared" si="92"/>
        <v>2</v>
      </c>
      <c r="AW83">
        <f t="shared" si="92"/>
        <v>2</v>
      </c>
      <c r="AX83">
        <f t="shared" si="92"/>
        <v>2</v>
      </c>
      <c r="BB83" s="34">
        <f t="shared" si="63"/>
        <v>2</v>
      </c>
      <c r="BC83" s="34">
        <f t="shared" si="64"/>
        <v>4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0</v>
      </c>
      <c r="B84" s="24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0</v>
      </c>
      <c r="U84">
        <f t="shared" si="89"/>
        <v>0</v>
      </c>
      <c r="V84">
        <f t="shared" si="89"/>
        <v>0</v>
      </c>
      <c r="W84">
        <f t="shared" si="89"/>
        <v>0</v>
      </c>
      <c r="X84">
        <f t="shared" si="90"/>
        <v>0</v>
      </c>
      <c r="Y84">
        <f t="shared" si="90"/>
        <v>0</v>
      </c>
      <c r="Z84">
        <f t="shared" si="90"/>
        <v>0</v>
      </c>
      <c r="AA84">
        <f t="shared" si="90"/>
        <v>0</v>
      </c>
      <c r="AB84">
        <f t="shared" si="90"/>
        <v>0</v>
      </c>
      <c r="AC84">
        <f t="shared" si="90"/>
        <v>0</v>
      </c>
      <c r="AD84">
        <f t="shared" si="90"/>
        <v>0</v>
      </c>
      <c r="AE84">
        <f t="shared" si="90"/>
        <v>0</v>
      </c>
      <c r="AF84">
        <f t="shared" si="90"/>
        <v>0</v>
      </c>
      <c r="AG84">
        <f t="shared" si="90"/>
        <v>0</v>
      </c>
      <c r="AH84">
        <f t="shared" si="91"/>
        <v>0</v>
      </c>
      <c r="AI84">
        <f t="shared" si="91"/>
        <v>0</v>
      </c>
      <c r="AJ84">
        <f t="shared" si="91"/>
        <v>0</v>
      </c>
      <c r="AK84">
        <f t="shared" si="91"/>
        <v>0</v>
      </c>
      <c r="AL84">
        <f t="shared" si="91"/>
        <v>0</v>
      </c>
      <c r="AM84">
        <f t="shared" si="91"/>
        <v>0</v>
      </c>
      <c r="AN84">
        <f t="shared" si="91"/>
        <v>0</v>
      </c>
      <c r="AO84">
        <f t="shared" si="91"/>
        <v>0</v>
      </c>
      <c r="AP84">
        <f t="shared" si="91"/>
        <v>0</v>
      </c>
      <c r="AQ84">
        <f t="shared" si="91"/>
        <v>0</v>
      </c>
      <c r="AR84">
        <f t="shared" si="92"/>
        <v>0</v>
      </c>
      <c r="AS84">
        <f t="shared" si="92"/>
        <v>0</v>
      </c>
      <c r="AT84">
        <f t="shared" si="92"/>
        <v>0</v>
      </c>
      <c r="AU84">
        <f t="shared" si="92"/>
        <v>0</v>
      </c>
      <c r="AV84">
        <f t="shared" si="92"/>
        <v>0</v>
      </c>
      <c r="AW84">
        <f t="shared" si="92"/>
        <v>0</v>
      </c>
      <c r="AX84">
        <f t="shared" si="92"/>
        <v>0</v>
      </c>
      <c r="BB84" s="34">
        <f t="shared" si="63"/>
        <v>0</v>
      </c>
      <c r="BC84" s="34">
        <f t="shared" si="64"/>
        <v>0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0</v>
      </c>
      <c r="B85" s="24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0</v>
      </c>
      <c r="U85">
        <f t="shared" si="89"/>
        <v>0</v>
      </c>
      <c r="V85">
        <f t="shared" si="89"/>
        <v>0</v>
      </c>
      <c r="W85">
        <f t="shared" si="89"/>
        <v>0</v>
      </c>
      <c r="X85">
        <f t="shared" si="90"/>
        <v>0</v>
      </c>
      <c r="Y85">
        <f t="shared" si="90"/>
        <v>0</v>
      </c>
      <c r="Z85">
        <f t="shared" si="90"/>
        <v>0</v>
      </c>
      <c r="AA85">
        <f t="shared" si="90"/>
        <v>0</v>
      </c>
      <c r="AB85">
        <f t="shared" si="90"/>
        <v>0</v>
      </c>
      <c r="AC85">
        <f t="shared" si="90"/>
        <v>0</v>
      </c>
      <c r="AD85">
        <f t="shared" si="90"/>
        <v>0</v>
      </c>
      <c r="AE85">
        <f t="shared" si="90"/>
        <v>0</v>
      </c>
      <c r="AF85">
        <f t="shared" si="90"/>
        <v>0</v>
      </c>
      <c r="AG85">
        <f t="shared" si="90"/>
        <v>0</v>
      </c>
      <c r="AH85">
        <f t="shared" si="91"/>
        <v>0</v>
      </c>
      <c r="AI85">
        <f t="shared" si="91"/>
        <v>0</v>
      </c>
      <c r="AJ85">
        <f t="shared" si="91"/>
        <v>0</v>
      </c>
      <c r="AK85">
        <f t="shared" si="91"/>
        <v>0</v>
      </c>
      <c r="AL85">
        <f t="shared" si="91"/>
        <v>0</v>
      </c>
      <c r="AM85">
        <f t="shared" si="91"/>
        <v>0</v>
      </c>
      <c r="AN85">
        <f t="shared" si="91"/>
        <v>0</v>
      </c>
      <c r="AO85">
        <f t="shared" si="91"/>
        <v>0</v>
      </c>
      <c r="AP85">
        <f t="shared" si="91"/>
        <v>0</v>
      </c>
      <c r="AQ85">
        <f t="shared" si="91"/>
        <v>0</v>
      </c>
      <c r="AR85">
        <f t="shared" si="92"/>
        <v>0</v>
      </c>
      <c r="AS85">
        <f t="shared" si="92"/>
        <v>0</v>
      </c>
      <c r="AT85">
        <f t="shared" si="92"/>
        <v>0</v>
      </c>
      <c r="AU85">
        <f t="shared" si="92"/>
        <v>0</v>
      </c>
      <c r="AV85">
        <f t="shared" si="92"/>
        <v>0</v>
      </c>
      <c r="AW85">
        <f t="shared" si="92"/>
        <v>0</v>
      </c>
      <c r="AX85">
        <f t="shared" si="92"/>
        <v>0</v>
      </c>
      <c r="BB85" s="34">
        <f t="shared" si="63"/>
        <v>0</v>
      </c>
      <c r="BC85" s="34">
        <f t="shared" si="64"/>
        <v>0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0</v>
      </c>
      <c r="B86" s="24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0</v>
      </c>
      <c r="U86">
        <f t="shared" si="89"/>
        <v>0</v>
      </c>
      <c r="V86">
        <f t="shared" si="89"/>
        <v>0</v>
      </c>
      <c r="W86">
        <f t="shared" si="89"/>
        <v>0</v>
      </c>
      <c r="X86">
        <f t="shared" si="90"/>
        <v>0</v>
      </c>
      <c r="Y86">
        <f t="shared" si="90"/>
        <v>0</v>
      </c>
      <c r="Z86">
        <f t="shared" si="90"/>
        <v>0</v>
      </c>
      <c r="AA86">
        <f t="shared" si="90"/>
        <v>0</v>
      </c>
      <c r="AB86">
        <f t="shared" si="90"/>
        <v>0</v>
      </c>
      <c r="AC86">
        <f t="shared" si="90"/>
        <v>0</v>
      </c>
      <c r="AD86">
        <f t="shared" si="90"/>
        <v>0</v>
      </c>
      <c r="AE86">
        <f t="shared" si="90"/>
        <v>0</v>
      </c>
      <c r="AF86">
        <f t="shared" si="90"/>
        <v>0</v>
      </c>
      <c r="AG86">
        <f t="shared" si="90"/>
        <v>0</v>
      </c>
      <c r="AH86">
        <f t="shared" si="91"/>
        <v>0</v>
      </c>
      <c r="AI86">
        <f t="shared" si="91"/>
        <v>0</v>
      </c>
      <c r="AJ86">
        <f t="shared" si="91"/>
        <v>0</v>
      </c>
      <c r="AK86">
        <f t="shared" si="91"/>
        <v>0</v>
      </c>
      <c r="AL86">
        <f t="shared" si="91"/>
        <v>0</v>
      </c>
      <c r="AM86">
        <f t="shared" si="91"/>
        <v>0</v>
      </c>
      <c r="AN86">
        <f t="shared" si="91"/>
        <v>0</v>
      </c>
      <c r="AO86">
        <f t="shared" si="91"/>
        <v>0</v>
      </c>
      <c r="AP86">
        <f t="shared" si="91"/>
        <v>0</v>
      </c>
      <c r="AQ86">
        <f t="shared" si="91"/>
        <v>0</v>
      </c>
      <c r="AR86">
        <f t="shared" si="92"/>
        <v>0</v>
      </c>
      <c r="AS86">
        <f t="shared" si="92"/>
        <v>0</v>
      </c>
      <c r="AT86">
        <f t="shared" si="92"/>
        <v>0</v>
      </c>
      <c r="AU86">
        <f t="shared" si="92"/>
        <v>0</v>
      </c>
      <c r="AV86">
        <f t="shared" si="92"/>
        <v>0</v>
      </c>
      <c r="AW86">
        <f t="shared" si="92"/>
        <v>0</v>
      </c>
      <c r="AX86">
        <f t="shared" si="92"/>
        <v>0</v>
      </c>
      <c r="BB86" s="34">
        <f t="shared" si="63"/>
        <v>0</v>
      </c>
      <c r="BC86" s="34">
        <f t="shared" si="64"/>
        <v>0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0</v>
      </c>
      <c r="B87" s="24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0</v>
      </c>
      <c r="U87">
        <f t="shared" si="89"/>
        <v>0</v>
      </c>
      <c r="V87">
        <f t="shared" si="89"/>
        <v>0</v>
      </c>
      <c r="W87">
        <f t="shared" si="89"/>
        <v>0</v>
      </c>
      <c r="X87">
        <f t="shared" si="90"/>
        <v>0</v>
      </c>
      <c r="Y87">
        <f t="shared" si="90"/>
        <v>0</v>
      </c>
      <c r="Z87">
        <f t="shared" si="90"/>
        <v>0</v>
      </c>
      <c r="AA87">
        <f t="shared" si="90"/>
        <v>0</v>
      </c>
      <c r="AB87">
        <f t="shared" si="90"/>
        <v>0</v>
      </c>
      <c r="AC87">
        <f t="shared" si="90"/>
        <v>0</v>
      </c>
      <c r="AD87">
        <f t="shared" si="90"/>
        <v>0</v>
      </c>
      <c r="AE87">
        <f t="shared" si="90"/>
        <v>0</v>
      </c>
      <c r="AF87">
        <f t="shared" si="90"/>
        <v>0</v>
      </c>
      <c r="AG87">
        <f t="shared" si="90"/>
        <v>0</v>
      </c>
      <c r="AH87">
        <f t="shared" si="91"/>
        <v>0</v>
      </c>
      <c r="AI87">
        <f t="shared" si="91"/>
        <v>0</v>
      </c>
      <c r="AJ87">
        <f t="shared" si="91"/>
        <v>0</v>
      </c>
      <c r="AK87">
        <f t="shared" si="91"/>
        <v>0</v>
      </c>
      <c r="AL87">
        <f t="shared" si="91"/>
        <v>0</v>
      </c>
      <c r="AM87">
        <f t="shared" si="91"/>
        <v>0</v>
      </c>
      <c r="AN87">
        <f t="shared" si="91"/>
        <v>0</v>
      </c>
      <c r="AO87">
        <f t="shared" si="91"/>
        <v>0</v>
      </c>
      <c r="AP87">
        <f t="shared" si="91"/>
        <v>0</v>
      </c>
      <c r="AQ87">
        <f t="shared" si="91"/>
        <v>0</v>
      </c>
      <c r="AR87">
        <f t="shared" si="92"/>
        <v>0</v>
      </c>
      <c r="AS87">
        <f t="shared" si="92"/>
        <v>0</v>
      </c>
      <c r="AT87">
        <f t="shared" si="92"/>
        <v>0</v>
      </c>
      <c r="AU87">
        <f t="shared" si="92"/>
        <v>0</v>
      </c>
      <c r="AV87">
        <f t="shared" si="92"/>
        <v>0</v>
      </c>
      <c r="AW87">
        <f t="shared" si="92"/>
        <v>0</v>
      </c>
      <c r="AX87">
        <f t="shared" si="92"/>
        <v>0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0</v>
      </c>
      <c r="BI87" s="34">
        <f t="shared" si="70"/>
        <v>0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0</v>
      </c>
      <c r="B88" s="24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0</v>
      </c>
      <c r="V88">
        <f t="shared" si="89"/>
        <v>0</v>
      </c>
      <c r="W88">
        <f t="shared" si="89"/>
        <v>0</v>
      </c>
      <c r="X88">
        <f t="shared" si="90"/>
        <v>0</v>
      </c>
      <c r="Y88">
        <f t="shared" si="90"/>
        <v>0</v>
      </c>
      <c r="Z88">
        <f t="shared" si="90"/>
        <v>0</v>
      </c>
      <c r="AA88">
        <f t="shared" si="90"/>
        <v>0</v>
      </c>
      <c r="AB88">
        <f t="shared" si="90"/>
        <v>0</v>
      </c>
      <c r="AC88">
        <f t="shared" si="90"/>
        <v>0</v>
      </c>
      <c r="AD88">
        <f t="shared" si="90"/>
        <v>0</v>
      </c>
      <c r="AE88">
        <f t="shared" si="90"/>
        <v>0</v>
      </c>
      <c r="AF88">
        <f t="shared" si="90"/>
        <v>0</v>
      </c>
      <c r="AG88">
        <f t="shared" si="90"/>
        <v>0</v>
      </c>
      <c r="AH88">
        <f t="shared" si="91"/>
        <v>0</v>
      </c>
      <c r="AI88">
        <f t="shared" si="91"/>
        <v>0</v>
      </c>
      <c r="AJ88">
        <f t="shared" si="91"/>
        <v>0</v>
      </c>
      <c r="AK88">
        <f t="shared" si="91"/>
        <v>0</v>
      </c>
      <c r="AL88">
        <f t="shared" si="91"/>
        <v>0</v>
      </c>
      <c r="AM88">
        <f t="shared" si="91"/>
        <v>0</v>
      </c>
      <c r="AN88">
        <f t="shared" si="91"/>
        <v>0</v>
      </c>
      <c r="AO88">
        <f t="shared" si="91"/>
        <v>0</v>
      </c>
      <c r="AP88">
        <f t="shared" si="91"/>
        <v>0</v>
      </c>
      <c r="AQ88">
        <f t="shared" si="91"/>
        <v>0</v>
      </c>
      <c r="AR88">
        <f t="shared" si="92"/>
        <v>0</v>
      </c>
      <c r="AS88">
        <f t="shared" si="92"/>
        <v>0</v>
      </c>
      <c r="AT88">
        <f t="shared" si="92"/>
        <v>0</v>
      </c>
      <c r="AU88">
        <f t="shared" si="92"/>
        <v>0</v>
      </c>
      <c r="AV88">
        <f t="shared" si="92"/>
        <v>0</v>
      </c>
      <c r="AW88">
        <f t="shared" si="92"/>
        <v>0</v>
      </c>
      <c r="AX88">
        <f t="shared" si="92"/>
        <v>0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0</v>
      </c>
      <c r="BI88" s="34">
        <f t="shared" si="70"/>
        <v>0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0</v>
      </c>
      <c r="B89" s="24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0</v>
      </c>
      <c r="B90" s="24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0</v>
      </c>
      <c r="W90">
        <f t="shared" si="89"/>
        <v>0</v>
      </c>
      <c r="X90">
        <f t="shared" si="90"/>
        <v>0</v>
      </c>
      <c r="Y90">
        <f t="shared" si="90"/>
        <v>0</v>
      </c>
      <c r="Z90">
        <f t="shared" si="90"/>
        <v>0</v>
      </c>
      <c r="AA90">
        <f t="shared" si="90"/>
        <v>0</v>
      </c>
      <c r="AB90">
        <f t="shared" si="90"/>
        <v>0</v>
      </c>
      <c r="AC90">
        <f t="shared" si="90"/>
        <v>0</v>
      </c>
      <c r="AD90">
        <f t="shared" si="90"/>
        <v>0</v>
      </c>
      <c r="AE90">
        <f t="shared" si="90"/>
        <v>0</v>
      </c>
      <c r="AF90">
        <f t="shared" si="90"/>
        <v>0</v>
      </c>
      <c r="AG90">
        <f t="shared" si="90"/>
        <v>0</v>
      </c>
      <c r="AH90">
        <f t="shared" si="91"/>
        <v>0</v>
      </c>
      <c r="AI90">
        <f t="shared" si="91"/>
        <v>0</v>
      </c>
      <c r="AJ90">
        <f t="shared" si="91"/>
        <v>0</v>
      </c>
      <c r="AK90">
        <f t="shared" si="91"/>
        <v>0</v>
      </c>
      <c r="AL90">
        <f t="shared" si="91"/>
        <v>0</v>
      </c>
      <c r="AM90">
        <f t="shared" si="91"/>
        <v>0</v>
      </c>
      <c r="AN90">
        <f t="shared" si="91"/>
        <v>0</v>
      </c>
      <c r="AO90">
        <f t="shared" si="91"/>
        <v>0</v>
      </c>
      <c r="AP90">
        <f t="shared" si="91"/>
        <v>0</v>
      </c>
      <c r="AQ90">
        <f t="shared" si="91"/>
        <v>0</v>
      </c>
      <c r="AR90">
        <f t="shared" si="92"/>
        <v>0</v>
      </c>
      <c r="AS90">
        <f t="shared" si="92"/>
        <v>0</v>
      </c>
      <c r="AT90">
        <f t="shared" si="92"/>
        <v>0</v>
      </c>
      <c r="AU90">
        <f t="shared" si="92"/>
        <v>0</v>
      </c>
      <c r="AV90">
        <f t="shared" si="92"/>
        <v>0</v>
      </c>
      <c r="AW90">
        <f t="shared" si="92"/>
        <v>0</v>
      </c>
      <c r="AX90">
        <f t="shared" si="92"/>
        <v>0</v>
      </c>
      <c r="BB90" s="34">
        <f t="shared" si="63"/>
        <v>0</v>
      </c>
      <c r="BC90" s="34">
        <f t="shared" si="64"/>
        <v>0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0</v>
      </c>
      <c r="B91" s="24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0</v>
      </c>
      <c r="W91">
        <f t="shared" si="89"/>
        <v>0</v>
      </c>
      <c r="X91">
        <f t="shared" si="90"/>
        <v>0</v>
      </c>
      <c r="Y91">
        <f t="shared" si="90"/>
        <v>0</v>
      </c>
      <c r="Z91">
        <f t="shared" si="90"/>
        <v>0</v>
      </c>
      <c r="AA91">
        <f t="shared" si="90"/>
        <v>0</v>
      </c>
      <c r="AB91">
        <f t="shared" si="90"/>
        <v>0</v>
      </c>
      <c r="AC91">
        <f t="shared" si="90"/>
        <v>0</v>
      </c>
      <c r="AD91">
        <f t="shared" si="90"/>
        <v>0</v>
      </c>
      <c r="AE91">
        <f t="shared" si="90"/>
        <v>0</v>
      </c>
      <c r="AF91">
        <f t="shared" si="90"/>
        <v>0</v>
      </c>
      <c r="AG91">
        <f t="shared" si="90"/>
        <v>0</v>
      </c>
      <c r="AH91">
        <f t="shared" si="91"/>
        <v>0</v>
      </c>
      <c r="AI91">
        <f t="shared" si="91"/>
        <v>0</v>
      </c>
      <c r="AJ91">
        <f t="shared" si="91"/>
        <v>0</v>
      </c>
      <c r="AK91">
        <f t="shared" si="91"/>
        <v>0</v>
      </c>
      <c r="AL91">
        <f t="shared" si="91"/>
        <v>0</v>
      </c>
      <c r="AM91">
        <f t="shared" si="91"/>
        <v>0</v>
      </c>
      <c r="AN91">
        <f t="shared" si="91"/>
        <v>0</v>
      </c>
      <c r="AO91">
        <f t="shared" si="91"/>
        <v>0</v>
      </c>
      <c r="AP91">
        <f t="shared" si="91"/>
        <v>0</v>
      </c>
      <c r="AQ91">
        <f t="shared" si="91"/>
        <v>0</v>
      </c>
      <c r="AR91">
        <f t="shared" si="92"/>
        <v>0</v>
      </c>
      <c r="AS91">
        <f t="shared" si="92"/>
        <v>0</v>
      </c>
      <c r="AT91">
        <f t="shared" si="92"/>
        <v>0</v>
      </c>
      <c r="AU91">
        <f t="shared" si="92"/>
        <v>0</v>
      </c>
      <c r="AV91">
        <f t="shared" si="92"/>
        <v>0</v>
      </c>
      <c r="AW91">
        <f t="shared" si="92"/>
        <v>0</v>
      </c>
      <c r="AX91">
        <f t="shared" si="92"/>
        <v>0</v>
      </c>
      <c r="BB91" s="34">
        <f t="shared" si="63"/>
        <v>0</v>
      </c>
      <c r="BC91" s="34">
        <f t="shared" si="64"/>
        <v>0</v>
      </c>
      <c r="BD91" s="34">
        <f t="shared" si="65"/>
        <v>0</v>
      </c>
      <c r="BE91" s="34">
        <f t="shared" si="66"/>
        <v>0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0</v>
      </c>
      <c r="B92" s="24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4">
        <f t="shared" si="63"/>
        <v>0</v>
      </c>
      <c r="BC92" s="34">
        <f t="shared" si="64"/>
        <v>0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0</v>
      </c>
      <c r="B93" s="24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0</v>
      </c>
      <c r="W93">
        <f t="shared" si="94"/>
        <v>0</v>
      </c>
      <c r="X93">
        <f t="shared" ref="X93:AG102" si="95">IF($B93&lt;X$1,$C93*$D93,0)</f>
        <v>0</v>
      </c>
      <c r="Y93">
        <f t="shared" si="95"/>
        <v>0</v>
      </c>
      <c r="Z93">
        <f t="shared" si="95"/>
        <v>0</v>
      </c>
      <c r="AA93">
        <f t="shared" si="95"/>
        <v>0</v>
      </c>
      <c r="AB93">
        <f t="shared" si="95"/>
        <v>0</v>
      </c>
      <c r="AC93">
        <f t="shared" si="95"/>
        <v>0</v>
      </c>
      <c r="AD93">
        <f t="shared" si="95"/>
        <v>0</v>
      </c>
      <c r="AE93">
        <f t="shared" si="95"/>
        <v>0</v>
      </c>
      <c r="AF93">
        <f t="shared" si="95"/>
        <v>0</v>
      </c>
      <c r="AG93">
        <f t="shared" si="95"/>
        <v>0</v>
      </c>
      <c r="AH93">
        <f t="shared" ref="AH93:AQ102" si="96">IF($B93&lt;AH$1,$C93*$D93,0)</f>
        <v>0</v>
      </c>
      <c r="AI93">
        <f t="shared" si="96"/>
        <v>0</v>
      </c>
      <c r="AJ93">
        <f t="shared" si="96"/>
        <v>0</v>
      </c>
      <c r="AK93">
        <f t="shared" si="96"/>
        <v>0</v>
      </c>
      <c r="AL93">
        <f t="shared" si="96"/>
        <v>0</v>
      </c>
      <c r="AM93">
        <f t="shared" si="96"/>
        <v>0</v>
      </c>
      <c r="AN93">
        <f t="shared" si="96"/>
        <v>0</v>
      </c>
      <c r="AO93">
        <f t="shared" si="96"/>
        <v>0</v>
      </c>
      <c r="AP93">
        <f t="shared" si="96"/>
        <v>0</v>
      </c>
      <c r="AQ93">
        <f t="shared" si="96"/>
        <v>0</v>
      </c>
      <c r="AR93">
        <f t="shared" ref="AR93:AX102" si="97">IF($B93&lt;AR$1,$C93*$D93,0)</f>
        <v>0</v>
      </c>
      <c r="AS93">
        <f t="shared" si="97"/>
        <v>0</v>
      </c>
      <c r="AT93">
        <f t="shared" si="97"/>
        <v>0</v>
      </c>
      <c r="AU93">
        <f t="shared" si="97"/>
        <v>0</v>
      </c>
      <c r="AV93">
        <f t="shared" si="97"/>
        <v>0</v>
      </c>
      <c r="AW93">
        <f t="shared" si="97"/>
        <v>0</v>
      </c>
      <c r="AX93">
        <f t="shared" si="97"/>
        <v>0</v>
      </c>
      <c r="BB93" s="34">
        <f t="shared" si="63"/>
        <v>0</v>
      </c>
      <c r="BC93" s="34">
        <f t="shared" si="64"/>
        <v>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0</v>
      </c>
      <c r="B94" s="24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0</v>
      </c>
      <c r="BI94" s="34">
        <f t="shared" si="70"/>
        <v>0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0</v>
      </c>
      <c r="B95" s="24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0</v>
      </c>
      <c r="X95">
        <f t="shared" si="95"/>
        <v>0</v>
      </c>
      <c r="Y95">
        <f t="shared" si="95"/>
        <v>0</v>
      </c>
      <c r="Z95">
        <f t="shared" si="95"/>
        <v>0</v>
      </c>
      <c r="AA95">
        <f t="shared" si="95"/>
        <v>0</v>
      </c>
      <c r="AB95">
        <f t="shared" si="95"/>
        <v>0</v>
      </c>
      <c r="AC95">
        <f t="shared" si="95"/>
        <v>0</v>
      </c>
      <c r="AD95">
        <f t="shared" si="95"/>
        <v>0</v>
      </c>
      <c r="AE95">
        <f t="shared" si="95"/>
        <v>0</v>
      </c>
      <c r="AF95">
        <f t="shared" si="95"/>
        <v>0</v>
      </c>
      <c r="AG95">
        <f t="shared" si="95"/>
        <v>0</v>
      </c>
      <c r="AH95">
        <f t="shared" si="96"/>
        <v>0</v>
      </c>
      <c r="AI95">
        <f t="shared" si="96"/>
        <v>0</v>
      </c>
      <c r="AJ95">
        <f t="shared" si="96"/>
        <v>0</v>
      </c>
      <c r="AK95">
        <f t="shared" si="96"/>
        <v>0</v>
      </c>
      <c r="AL95">
        <f t="shared" si="96"/>
        <v>0</v>
      </c>
      <c r="AM95">
        <f t="shared" si="96"/>
        <v>0</v>
      </c>
      <c r="AN95">
        <f t="shared" si="96"/>
        <v>0</v>
      </c>
      <c r="AO95">
        <f t="shared" si="96"/>
        <v>0</v>
      </c>
      <c r="AP95">
        <f t="shared" si="96"/>
        <v>0</v>
      </c>
      <c r="AQ95">
        <f t="shared" si="96"/>
        <v>0</v>
      </c>
      <c r="AR95">
        <f t="shared" si="97"/>
        <v>0</v>
      </c>
      <c r="AS95">
        <f t="shared" si="97"/>
        <v>0</v>
      </c>
      <c r="AT95">
        <f t="shared" si="97"/>
        <v>0</v>
      </c>
      <c r="AU95">
        <f t="shared" si="97"/>
        <v>0</v>
      </c>
      <c r="AV95">
        <f t="shared" si="97"/>
        <v>0</v>
      </c>
      <c r="AW95">
        <f t="shared" si="97"/>
        <v>0</v>
      </c>
      <c r="AX95">
        <f t="shared" si="97"/>
        <v>0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0</v>
      </c>
      <c r="BI95" s="34">
        <f t="shared" si="70"/>
        <v>0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0</v>
      </c>
      <c r="B96" s="24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0</v>
      </c>
      <c r="X96">
        <f t="shared" si="95"/>
        <v>0</v>
      </c>
      <c r="Y96">
        <f t="shared" si="95"/>
        <v>0</v>
      </c>
      <c r="Z96">
        <f t="shared" si="95"/>
        <v>0</v>
      </c>
      <c r="AA96">
        <f t="shared" si="95"/>
        <v>0</v>
      </c>
      <c r="AB96">
        <f t="shared" si="95"/>
        <v>0</v>
      </c>
      <c r="AC96">
        <f t="shared" si="95"/>
        <v>0</v>
      </c>
      <c r="AD96">
        <f t="shared" si="95"/>
        <v>0</v>
      </c>
      <c r="AE96">
        <f t="shared" si="95"/>
        <v>0</v>
      </c>
      <c r="AF96">
        <f t="shared" si="95"/>
        <v>0</v>
      </c>
      <c r="AG96">
        <f t="shared" si="95"/>
        <v>0</v>
      </c>
      <c r="AH96">
        <f t="shared" si="96"/>
        <v>0</v>
      </c>
      <c r="AI96">
        <f t="shared" si="96"/>
        <v>0</v>
      </c>
      <c r="AJ96">
        <f t="shared" si="96"/>
        <v>0</v>
      </c>
      <c r="AK96">
        <f t="shared" si="96"/>
        <v>0</v>
      </c>
      <c r="AL96">
        <f t="shared" si="96"/>
        <v>0</v>
      </c>
      <c r="AM96">
        <f t="shared" si="96"/>
        <v>0</v>
      </c>
      <c r="AN96">
        <f t="shared" si="96"/>
        <v>0</v>
      </c>
      <c r="AO96">
        <f t="shared" si="96"/>
        <v>0</v>
      </c>
      <c r="AP96">
        <f t="shared" si="96"/>
        <v>0</v>
      </c>
      <c r="AQ96">
        <f t="shared" si="96"/>
        <v>0</v>
      </c>
      <c r="AR96">
        <f t="shared" si="97"/>
        <v>0</v>
      </c>
      <c r="AS96">
        <f t="shared" si="97"/>
        <v>0</v>
      </c>
      <c r="AT96">
        <f t="shared" si="97"/>
        <v>0</v>
      </c>
      <c r="AU96">
        <f t="shared" si="97"/>
        <v>0</v>
      </c>
      <c r="AV96">
        <f t="shared" si="97"/>
        <v>0</v>
      </c>
      <c r="AW96">
        <f t="shared" si="97"/>
        <v>0</v>
      </c>
      <c r="AX96">
        <f t="shared" si="97"/>
        <v>0</v>
      </c>
      <c r="BB96" s="34">
        <f t="shared" si="63"/>
        <v>0</v>
      </c>
      <c r="BC96" s="34">
        <f t="shared" si="64"/>
        <v>0</v>
      </c>
      <c r="BD96" s="34">
        <f t="shared" si="65"/>
        <v>0</v>
      </c>
      <c r="BE96" s="34">
        <f t="shared" si="66"/>
        <v>0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0</v>
      </c>
      <c r="B97" s="24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0</v>
      </c>
      <c r="X97">
        <f t="shared" si="95"/>
        <v>0</v>
      </c>
      <c r="Y97">
        <f t="shared" si="95"/>
        <v>0</v>
      </c>
      <c r="Z97">
        <f t="shared" si="95"/>
        <v>0</v>
      </c>
      <c r="AA97">
        <f t="shared" si="95"/>
        <v>0</v>
      </c>
      <c r="AB97">
        <f t="shared" si="95"/>
        <v>0</v>
      </c>
      <c r="AC97">
        <f t="shared" si="95"/>
        <v>0</v>
      </c>
      <c r="AD97">
        <f t="shared" si="95"/>
        <v>0</v>
      </c>
      <c r="AE97">
        <f t="shared" si="95"/>
        <v>0</v>
      </c>
      <c r="AF97">
        <f t="shared" si="95"/>
        <v>0</v>
      </c>
      <c r="AG97">
        <f t="shared" si="95"/>
        <v>0</v>
      </c>
      <c r="AH97">
        <f t="shared" si="96"/>
        <v>0</v>
      </c>
      <c r="AI97">
        <f t="shared" si="96"/>
        <v>0</v>
      </c>
      <c r="AJ97">
        <f t="shared" si="96"/>
        <v>0</v>
      </c>
      <c r="AK97">
        <f t="shared" si="96"/>
        <v>0</v>
      </c>
      <c r="AL97">
        <f t="shared" si="96"/>
        <v>0</v>
      </c>
      <c r="AM97">
        <f t="shared" si="96"/>
        <v>0</v>
      </c>
      <c r="AN97">
        <f t="shared" si="96"/>
        <v>0</v>
      </c>
      <c r="AO97">
        <f t="shared" si="96"/>
        <v>0</v>
      </c>
      <c r="AP97">
        <f t="shared" si="96"/>
        <v>0</v>
      </c>
      <c r="AQ97">
        <f t="shared" si="96"/>
        <v>0</v>
      </c>
      <c r="AR97">
        <f t="shared" si="97"/>
        <v>0</v>
      </c>
      <c r="AS97">
        <f t="shared" si="97"/>
        <v>0</v>
      </c>
      <c r="AT97">
        <f t="shared" si="97"/>
        <v>0</v>
      </c>
      <c r="AU97">
        <f t="shared" si="97"/>
        <v>0</v>
      </c>
      <c r="AV97">
        <f t="shared" si="97"/>
        <v>0</v>
      </c>
      <c r="AW97">
        <f t="shared" si="97"/>
        <v>0</v>
      </c>
      <c r="AX97">
        <f t="shared" si="97"/>
        <v>0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0</v>
      </c>
      <c r="BI97" s="34">
        <f t="shared" si="70"/>
        <v>0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0</v>
      </c>
      <c r="B98" s="24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0</v>
      </c>
      <c r="X98">
        <f t="shared" si="95"/>
        <v>0</v>
      </c>
      <c r="Y98">
        <f t="shared" si="95"/>
        <v>0</v>
      </c>
      <c r="Z98">
        <f t="shared" si="95"/>
        <v>0</v>
      </c>
      <c r="AA98">
        <f t="shared" si="95"/>
        <v>0</v>
      </c>
      <c r="AB98">
        <f t="shared" si="95"/>
        <v>0</v>
      </c>
      <c r="AC98">
        <f t="shared" si="95"/>
        <v>0</v>
      </c>
      <c r="AD98">
        <f t="shared" si="95"/>
        <v>0</v>
      </c>
      <c r="AE98">
        <f t="shared" si="95"/>
        <v>0</v>
      </c>
      <c r="AF98">
        <f t="shared" si="95"/>
        <v>0</v>
      </c>
      <c r="AG98">
        <f t="shared" si="95"/>
        <v>0</v>
      </c>
      <c r="AH98">
        <f t="shared" si="96"/>
        <v>0</v>
      </c>
      <c r="AI98">
        <f t="shared" si="96"/>
        <v>0</v>
      </c>
      <c r="AJ98">
        <f t="shared" si="96"/>
        <v>0</v>
      </c>
      <c r="AK98">
        <f t="shared" si="96"/>
        <v>0</v>
      </c>
      <c r="AL98">
        <f t="shared" si="96"/>
        <v>0</v>
      </c>
      <c r="AM98">
        <f t="shared" si="96"/>
        <v>0</v>
      </c>
      <c r="AN98">
        <f t="shared" si="96"/>
        <v>0</v>
      </c>
      <c r="AO98">
        <f t="shared" si="96"/>
        <v>0</v>
      </c>
      <c r="AP98">
        <f t="shared" si="96"/>
        <v>0</v>
      </c>
      <c r="AQ98">
        <f t="shared" si="96"/>
        <v>0</v>
      </c>
      <c r="AR98">
        <f t="shared" si="97"/>
        <v>0</v>
      </c>
      <c r="AS98">
        <f t="shared" si="97"/>
        <v>0</v>
      </c>
      <c r="AT98">
        <f t="shared" si="97"/>
        <v>0</v>
      </c>
      <c r="AU98">
        <f t="shared" si="97"/>
        <v>0</v>
      </c>
      <c r="AV98">
        <f t="shared" si="97"/>
        <v>0</v>
      </c>
      <c r="AW98">
        <f t="shared" si="97"/>
        <v>0</v>
      </c>
      <c r="AX98">
        <f t="shared" si="97"/>
        <v>0</v>
      </c>
      <c r="BB98" s="34">
        <f t="shared" si="63"/>
        <v>0</v>
      </c>
      <c r="BC98" s="34">
        <f t="shared" si="64"/>
        <v>0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0</v>
      </c>
      <c r="B99" s="24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0</v>
      </c>
      <c r="B100" s="24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4">
        <f t="shared" si="63"/>
        <v>0</v>
      </c>
      <c r="BC100" s="34">
        <f t="shared" si="64"/>
        <v>0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0</v>
      </c>
      <c r="B101" s="24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0</v>
      </c>
      <c r="Y101">
        <f t="shared" si="95"/>
        <v>0</v>
      </c>
      <c r="Z101">
        <f t="shared" si="95"/>
        <v>0</v>
      </c>
      <c r="AA101">
        <f t="shared" si="95"/>
        <v>0</v>
      </c>
      <c r="AB101">
        <f t="shared" si="95"/>
        <v>0</v>
      </c>
      <c r="AC101">
        <f t="shared" si="95"/>
        <v>0</v>
      </c>
      <c r="AD101">
        <f t="shared" si="95"/>
        <v>0</v>
      </c>
      <c r="AE101">
        <f t="shared" si="95"/>
        <v>0</v>
      </c>
      <c r="AF101">
        <f t="shared" si="95"/>
        <v>0</v>
      </c>
      <c r="AG101">
        <f t="shared" si="95"/>
        <v>0</v>
      </c>
      <c r="AH101">
        <f t="shared" si="96"/>
        <v>0</v>
      </c>
      <c r="AI101">
        <f t="shared" si="96"/>
        <v>0</v>
      </c>
      <c r="AJ101">
        <f t="shared" si="96"/>
        <v>0</v>
      </c>
      <c r="AK101">
        <f t="shared" si="96"/>
        <v>0</v>
      </c>
      <c r="AL101">
        <f t="shared" si="96"/>
        <v>0</v>
      </c>
      <c r="AM101">
        <f t="shared" si="96"/>
        <v>0</v>
      </c>
      <c r="AN101">
        <f t="shared" si="96"/>
        <v>0</v>
      </c>
      <c r="AO101">
        <f t="shared" si="96"/>
        <v>0</v>
      </c>
      <c r="AP101">
        <f t="shared" si="96"/>
        <v>0</v>
      </c>
      <c r="AQ101">
        <f t="shared" si="96"/>
        <v>0</v>
      </c>
      <c r="AR101">
        <f t="shared" si="97"/>
        <v>0</v>
      </c>
      <c r="AS101">
        <f t="shared" si="97"/>
        <v>0</v>
      </c>
      <c r="AT101">
        <f t="shared" si="97"/>
        <v>0</v>
      </c>
      <c r="AU101">
        <f t="shared" si="97"/>
        <v>0</v>
      </c>
      <c r="AV101">
        <f t="shared" si="97"/>
        <v>0</v>
      </c>
      <c r="AW101">
        <f t="shared" si="97"/>
        <v>0</v>
      </c>
      <c r="AX101">
        <f t="shared" si="97"/>
        <v>0</v>
      </c>
      <c r="BB101" s="34">
        <f t="shared" si="63"/>
        <v>0</v>
      </c>
      <c r="BC101" s="34">
        <f t="shared" si="64"/>
        <v>0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0</v>
      </c>
      <c r="B102" s="24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4">
        <f t="shared" si="63"/>
        <v>0</v>
      </c>
      <c r="BC102" s="34">
        <f t="shared" si="64"/>
        <v>0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0</v>
      </c>
      <c r="B103" s="24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0</v>
      </c>
      <c r="B104" s="24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0</v>
      </c>
      <c r="Y104">
        <f t="shared" si="101"/>
        <v>0</v>
      </c>
      <c r="Z104">
        <f t="shared" si="101"/>
        <v>0</v>
      </c>
      <c r="AA104">
        <f t="shared" si="101"/>
        <v>0</v>
      </c>
      <c r="AB104">
        <f t="shared" si="101"/>
        <v>0</v>
      </c>
      <c r="AC104">
        <f t="shared" si="101"/>
        <v>0</v>
      </c>
      <c r="AD104">
        <f t="shared" si="101"/>
        <v>0</v>
      </c>
      <c r="AE104">
        <f t="shared" si="101"/>
        <v>0</v>
      </c>
      <c r="AF104">
        <f t="shared" si="101"/>
        <v>0</v>
      </c>
      <c r="AG104">
        <f t="shared" si="101"/>
        <v>0</v>
      </c>
      <c r="AH104">
        <f t="shared" si="102"/>
        <v>0</v>
      </c>
      <c r="AI104">
        <f t="shared" si="102"/>
        <v>0</v>
      </c>
      <c r="AJ104">
        <f t="shared" si="102"/>
        <v>0</v>
      </c>
      <c r="AK104">
        <f t="shared" si="102"/>
        <v>0</v>
      </c>
      <c r="AL104">
        <f t="shared" si="102"/>
        <v>0</v>
      </c>
      <c r="AM104">
        <f t="shared" si="102"/>
        <v>0</v>
      </c>
      <c r="AN104">
        <f t="shared" si="102"/>
        <v>0</v>
      </c>
      <c r="AO104">
        <f t="shared" si="102"/>
        <v>0</v>
      </c>
      <c r="AP104">
        <f t="shared" si="102"/>
        <v>0</v>
      </c>
      <c r="AQ104">
        <f t="shared" si="102"/>
        <v>0</v>
      </c>
      <c r="AR104">
        <f t="shared" si="103"/>
        <v>0</v>
      </c>
      <c r="AS104">
        <f t="shared" si="103"/>
        <v>0</v>
      </c>
      <c r="AT104">
        <f t="shared" si="103"/>
        <v>0</v>
      </c>
      <c r="AU104">
        <f t="shared" si="103"/>
        <v>0</v>
      </c>
      <c r="AV104">
        <f t="shared" si="103"/>
        <v>0</v>
      </c>
      <c r="AW104">
        <f t="shared" si="103"/>
        <v>0</v>
      </c>
      <c r="AX104">
        <f t="shared" si="103"/>
        <v>0</v>
      </c>
      <c r="BB104" s="34">
        <f t="shared" si="63"/>
        <v>0</v>
      </c>
      <c r="BC104" s="34">
        <f t="shared" si="64"/>
        <v>0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0</v>
      </c>
      <c r="B105" s="24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0</v>
      </c>
      <c r="Y105">
        <f t="shared" si="101"/>
        <v>0</v>
      </c>
      <c r="Z105">
        <f t="shared" si="101"/>
        <v>0</v>
      </c>
      <c r="AA105">
        <f t="shared" si="101"/>
        <v>0</v>
      </c>
      <c r="AB105">
        <f t="shared" si="101"/>
        <v>0</v>
      </c>
      <c r="AC105">
        <f t="shared" si="101"/>
        <v>0</v>
      </c>
      <c r="AD105">
        <f t="shared" si="101"/>
        <v>0</v>
      </c>
      <c r="AE105">
        <f t="shared" si="101"/>
        <v>0</v>
      </c>
      <c r="AF105">
        <f t="shared" si="101"/>
        <v>0</v>
      </c>
      <c r="AG105">
        <f t="shared" si="101"/>
        <v>0</v>
      </c>
      <c r="AH105">
        <f t="shared" si="102"/>
        <v>0</v>
      </c>
      <c r="AI105">
        <f t="shared" si="102"/>
        <v>0</v>
      </c>
      <c r="AJ105">
        <f t="shared" si="102"/>
        <v>0</v>
      </c>
      <c r="AK105">
        <f t="shared" si="102"/>
        <v>0</v>
      </c>
      <c r="AL105">
        <f t="shared" si="102"/>
        <v>0</v>
      </c>
      <c r="AM105">
        <f t="shared" si="102"/>
        <v>0</v>
      </c>
      <c r="AN105">
        <f t="shared" si="102"/>
        <v>0</v>
      </c>
      <c r="AO105">
        <f t="shared" si="102"/>
        <v>0</v>
      </c>
      <c r="AP105">
        <f t="shared" si="102"/>
        <v>0</v>
      </c>
      <c r="AQ105">
        <f t="shared" si="102"/>
        <v>0</v>
      </c>
      <c r="AR105">
        <f t="shared" si="103"/>
        <v>0</v>
      </c>
      <c r="AS105">
        <f t="shared" si="103"/>
        <v>0</v>
      </c>
      <c r="AT105">
        <f t="shared" si="103"/>
        <v>0</v>
      </c>
      <c r="AU105">
        <f t="shared" si="103"/>
        <v>0</v>
      </c>
      <c r="AV105">
        <f t="shared" si="103"/>
        <v>0</v>
      </c>
      <c r="AW105">
        <f t="shared" si="103"/>
        <v>0</v>
      </c>
      <c r="AX105">
        <f t="shared" si="103"/>
        <v>0</v>
      </c>
      <c r="BB105" s="34">
        <f t="shared" si="63"/>
        <v>0</v>
      </c>
      <c r="BC105" s="34">
        <f t="shared" si="64"/>
        <v>0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125</v>
      </c>
      <c r="BC196" s="34">
        <f t="shared" si="167"/>
        <v>556</v>
      </c>
      <c r="BD196" s="34">
        <f t="shared" si="167"/>
        <v>15</v>
      </c>
      <c r="BE196" s="34">
        <f t="shared" si="167"/>
        <v>55</v>
      </c>
      <c r="BF196" s="34">
        <f t="shared" si="167"/>
        <v>0</v>
      </c>
      <c r="BG196" s="34">
        <f t="shared" si="167"/>
        <v>0</v>
      </c>
      <c r="BH196" s="34">
        <f t="shared" si="167"/>
        <v>18</v>
      </c>
      <c r="BI196" s="34">
        <f t="shared" si="167"/>
        <v>119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159</v>
      </c>
      <c r="K198">
        <f t="shared" ref="K198:AX198" si="168">SUM(K2:K195)</f>
        <v>158</v>
      </c>
      <c r="L198">
        <f t="shared" si="168"/>
        <v>172</v>
      </c>
      <c r="M198">
        <f t="shared" si="168"/>
        <v>224</v>
      </c>
      <c r="N198">
        <f t="shared" si="168"/>
        <v>265</v>
      </c>
      <c r="O198">
        <f t="shared" si="168"/>
        <v>321</v>
      </c>
      <c r="P198">
        <f t="shared" si="168"/>
        <v>337</v>
      </c>
      <c r="Q198">
        <f t="shared" si="168"/>
        <v>363</v>
      </c>
      <c r="R198">
        <f t="shared" si="168"/>
        <v>375</v>
      </c>
      <c r="S198">
        <f t="shared" si="168"/>
        <v>406</v>
      </c>
      <c r="T198">
        <f t="shared" si="168"/>
        <v>406</v>
      </c>
      <c r="U198">
        <f t="shared" si="168"/>
        <v>406</v>
      </c>
      <c r="V198">
        <f t="shared" si="168"/>
        <v>406</v>
      </c>
      <c r="W198">
        <f t="shared" si="168"/>
        <v>406</v>
      </c>
      <c r="X198">
        <f t="shared" si="168"/>
        <v>406</v>
      </c>
      <c r="Y198">
        <f t="shared" si="168"/>
        <v>406</v>
      </c>
      <c r="Z198">
        <f t="shared" si="168"/>
        <v>406</v>
      </c>
      <c r="AA198">
        <f t="shared" si="168"/>
        <v>406</v>
      </c>
      <c r="AB198">
        <f t="shared" si="168"/>
        <v>406</v>
      </c>
      <c r="AC198">
        <f t="shared" si="168"/>
        <v>406</v>
      </c>
      <c r="AD198">
        <f t="shared" si="168"/>
        <v>406</v>
      </c>
      <c r="AE198">
        <f t="shared" si="168"/>
        <v>406</v>
      </c>
      <c r="AF198">
        <f t="shared" si="168"/>
        <v>406</v>
      </c>
      <c r="AG198">
        <f t="shared" si="168"/>
        <v>406</v>
      </c>
      <c r="AH198">
        <f t="shared" si="168"/>
        <v>406</v>
      </c>
      <c r="AI198">
        <f t="shared" si="168"/>
        <v>406</v>
      </c>
      <c r="AJ198">
        <f t="shared" si="168"/>
        <v>406</v>
      </c>
      <c r="AK198">
        <f t="shared" si="168"/>
        <v>406</v>
      </c>
      <c r="AL198">
        <f t="shared" si="168"/>
        <v>406</v>
      </c>
      <c r="AM198">
        <f t="shared" si="168"/>
        <v>406</v>
      </c>
      <c r="AN198">
        <f t="shared" si="168"/>
        <v>406</v>
      </c>
      <c r="AO198">
        <f t="shared" si="168"/>
        <v>406</v>
      </c>
      <c r="AP198">
        <f t="shared" si="168"/>
        <v>406</v>
      </c>
      <c r="AQ198">
        <f t="shared" si="168"/>
        <v>406</v>
      </c>
      <c r="AR198">
        <f t="shared" si="168"/>
        <v>406</v>
      </c>
      <c r="AS198">
        <f t="shared" si="168"/>
        <v>406</v>
      </c>
      <c r="AT198">
        <f t="shared" si="168"/>
        <v>406</v>
      </c>
      <c r="AU198">
        <f t="shared" si="168"/>
        <v>406</v>
      </c>
      <c r="AV198">
        <f t="shared" si="168"/>
        <v>406</v>
      </c>
      <c r="AW198">
        <f t="shared" si="168"/>
        <v>406</v>
      </c>
      <c r="AX198">
        <f t="shared" si="168"/>
        <v>406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S200" si="169">K198</f>
        <v>158</v>
      </c>
      <c r="L200">
        <f t="shared" si="169"/>
        <v>172</v>
      </c>
      <c r="M200">
        <f t="shared" si="169"/>
        <v>224</v>
      </c>
      <c r="N200">
        <f t="shared" si="169"/>
        <v>265</v>
      </c>
      <c r="O200">
        <f t="shared" si="169"/>
        <v>321</v>
      </c>
      <c r="P200">
        <f t="shared" si="169"/>
        <v>337</v>
      </c>
      <c r="Q200">
        <f t="shared" si="169"/>
        <v>363</v>
      </c>
      <c r="R200">
        <f t="shared" si="169"/>
        <v>375</v>
      </c>
      <c r="S200">
        <f t="shared" si="169"/>
        <v>406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125</v>
      </c>
      <c r="BE202" s="34">
        <f>BD196</f>
        <v>15</v>
      </c>
      <c r="BF202" s="34">
        <f>BF196</f>
        <v>0</v>
      </c>
      <c r="BG202" s="34">
        <f>BH196</f>
        <v>18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556</v>
      </c>
      <c r="BE203" s="40">
        <f>BE196</f>
        <v>55</v>
      </c>
      <c r="BF203" s="40">
        <f>BG196</f>
        <v>0</v>
      </c>
      <c r="BG203" s="40">
        <f>BI196</f>
        <v>119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topLeftCell="A4" workbookViewId="0">
      <selection activeCell="B30" sqref="B30"/>
    </sheetView>
  </sheetViews>
  <sheetFormatPr defaultRowHeight="14.5" x14ac:dyDescent="0.35"/>
  <sheetData>
    <row r="28" spans="1:13" ht="15" customHeight="1" thickBot="1" x14ac:dyDescent="0.4">
      <c r="A28" t="s">
        <v>160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74" t="s">
        <v>296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125</v>
      </c>
      <c r="C30" s="34">
        <f>'book stat'!BE202</f>
        <v>15</v>
      </c>
      <c r="D30" s="34">
        <f>'book stat'!BF202</f>
        <v>0</v>
      </c>
      <c r="E30" s="34">
        <f>'book stat'!BG202</f>
        <v>18</v>
      </c>
      <c r="F30" s="34">
        <f>'book stat'!BH202</f>
        <v>0</v>
      </c>
      <c r="G30" s="35">
        <f>'book stat'!BI202</f>
        <v>5</v>
      </c>
      <c r="H30" s="175">
        <f>'book stat'!BJ202</f>
        <v>0</v>
      </c>
      <c r="I30" s="176">
        <f>'book stat'!BK202</f>
        <v>0</v>
      </c>
      <c r="J30" s="176">
        <f>'book stat'!BL202</f>
        <v>3</v>
      </c>
      <c r="K30" s="177">
        <f>'book stat'!BM202</f>
        <v>2</v>
      </c>
      <c r="L30" s="178">
        <f>'book stat'!BN202</f>
        <v>0</v>
      </c>
      <c r="M30" s="179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556</v>
      </c>
      <c r="C31" s="34">
        <f>'book stat'!BE203</f>
        <v>55</v>
      </c>
      <c r="D31" s="34">
        <f>'book stat'!BF203</f>
        <v>0</v>
      </c>
      <c r="E31" s="34">
        <f>'book stat'!BG203</f>
        <v>119</v>
      </c>
      <c r="F31" s="34">
        <f>'book stat'!BH203</f>
        <v>0</v>
      </c>
      <c r="G31" s="35">
        <f>'book stat'!BI203</f>
        <v>29</v>
      </c>
      <c r="H31" s="180">
        <f>'book stat'!BJ203</f>
        <v>0</v>
      </c>
      <c r="I31" s="181">
        <f>'book stat'!BK203</f>
        <v>0</v>
      </c>
      <c r="J31" s="181">
        <f>'book stat'!BL203</f>
        <v>19</v>
      </c>
      <c r="K31" s="182">
        <f>'book stat'!BM203</f>
        <v>10</v>
      </c>
      <c r="L31" s="178">
        <f>'book stat'!BN203</f>
        <v>0</v>
      </c>
      <c r="M31" s="179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2" activePane="bottomLeft" state="frozen"/>
      <selection pane="bottomLeft" activeCell="J8" sqref="J8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1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192">
        <v>1</v>
      </c>
      <c r="E1" s="193"/>
      <c r="F1" s="66" t="s">
        <v>117</v>
      </c>
      <c r="G1" s="67" t="s">
        <v>8</v>
      </c>
      <c r="H1" s="194">
        <v>2</v>
      </c>
      <c r="I1" s="193"/>
      <c r="J1" s="66" t="s">
        <v>117</v>
      </c>
      <c r="K1" s="68" t="s">
        <v>8</v>
      </c>
      <c r="L1" s="194">
        <v>3</v>
      </c>
      <c r="M1" s="193"/>
      <c r="N1" s="66" t="s">
        <v>117</v>
      </c>
      <c r="O1" s="69" t="s">
        <v>8</v>
      </c>
      <c r="P1" s="192">
        <v>4</v>
      </c>
      <c r="Q1" s="193"/>
      <c r="R1" s="66" t="s">
        <v>117</v>
      </c>
      <c r="S1" s="68" t="s">
        <v>8</v>
      </c>
      <c r="T1" s="195">
        <v>5</v>
      </c>
      <c r="U1" s="196"/>
      <c r="V1" s="66" t="s">
        <v>117</v>
      </c>
      <c r="W1" s="68" t="s">
        <v>8</v>
      </c>
      <c r="X1" s="192">
        <v>6</v>
      </c>
      <c r="Y1" s="193"/>
      <c r="Z1" s="70" t="s">
        <v>118</v>
      </c>
      <c r="AA1" s="139">
        <f>SUM(AA2:AA171)</f>
        <v>407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25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45">
        <f>F2+J2+N2+R2+V2</f>
        <v>0</v>
      </c>
      <c r="AA2" s="140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21"/>
      <c r="Q3" s="121"/>
      <c r="R3" s="60"/>
      <c r="S3" s="60"/>
      <c r="T3" s="121"/>
      <c r="U3" s="121"/>
      <c r="V3" s="124"/>
      <c r="W3" s="124"/>
      <c r="X3" s="22"/>
      <c r="Y3" s="22"/>
      <c r="Z3" s="145">
        <f t="shared" ref="Z3:Z66" si="2">F3+J3+N3+R3+V3</f>
        <v>0</v>
      </c>
      <c r="AA3" s="140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21"/>
      <c r="Q4" s="121"/>
      <c r="R4" s="60"/>
      <c r="S4" s="60"/>
      <c r="T4" s="121"/>
      <c r="U4" s="121"/>
      <c r="V4" s="124"/>
      <c r="W4" s="124"/>
      <c r="X4" s="22"/>
      <c r="Y4" s="22"/>
      <c r="Z4" s="145">
        <f t="shared" si="2"/>
        <v>0</v>
      </c>
      <c r="AA4" s="140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21"/>
      <c r="Q5" s="121"/>
      <c r="R5" s="60"/>
      <c r="S5" s="60"/>
      <c r="T5" s="8"/>
      <c r="U5" s="8"/>
      <c r="V5" s="124"/>
      <c r="W5" s="124"/>
      <c r="X5" s="22"/>
      <c r="Y5" s="22"/>
      <c r="Z5" s="145">
        <f t="shared" si="2"/>
        <v>0</v>
      </c>
      <c r="AA5" s="140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168</v>
      </c>
      <c r="B6" s="6" t="s">
        <v>126</v>
      </c>
      <c r="C6" s="7">
        <v>46143</v>
      </c>
      <c r="D6" s="10"/>
      <c r="E6" s="8"/>
      <c r="F6" s="20"/>
      <c r="G6" s="19"/>
      <c r="H6" s="14"/>
      <c r="I6" s="8">
        <v>82</v>
      </c>
      <c r="J6" s="20"/>
      <c r="K6" s="19"/>
      <c r="L6" s="14"/>
      <c r="M6" s="8">
        <v>68</v>
      </c>
      <c r="N6" s="20"/>
      <c r="O6" s="20" t="s">
        <v>32</v>
      </c>
      <c r="P6" s="122"/>
      <c r="Q6" s="121">
        <v>28</v>
      </c>
      <c r="R6" s="60"/>
      <c r="S6" s="60"/>
      <c r="T6" s="8"/>
      <c r="U6" s="8">
        <v>28</v>
      </c>
      <c r="V6" s="124"/>
      <c r="W6" s="124" t="s">
        <v>32</v>
      </c>
      <c r="X6" s="22"/>
      <c r="Y6" s="22"/>
      <c r="Z6" s="145">
        <f t="shared" si="2"/>
        <v>0</v>
      </c>
      <c r="AA6" s="140">
        <f t="shared" si="3"/>
        <v>4</v>
      </c>
      <c r="AB6" s="8">
        <f t="shared" si="0"/>
        <v>4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/>
      <c r="E7" s="8"/>
      <c r="F7" s="20"/>
      <c r="G7" s="19"/>
      <c r="H7" s="14">
        <v>82</v>
      </c>
      <c r="I7" s="8">
        <v>82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24">
        <v>1</v>
      </c>
      <c r="W7" s="124"/>
      <c r="X7" s="22"/>
      <c r="Y7" s="22"/>
      <c r="Z7" s="145">
        <f t="shared" si="2"/>
        <v>5</v>
      </c>
      <c r="AA7" s="140">
        <f t="shared" si="3"/>
        <v>4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/>
      <c r="E8" s="8"/>
      <c r="F8" s="20"/>
      <c r="G8" s="19"/>
      <c r="H8" s="14">
        <v>82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49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45">
        <f t="shared" si="2"/>
        <v>5</v>
      </c>
      <c r="AA8" s="140">
        <f t="shared" si="3"/>
        <v>1</v>
      </c>
      <c r="AB8" s="8">
        <f t="shared" si="0"/>
        <v>1</v>
      </c>
      <c r="AC8" s="23">
        <f t="shared" si="1"/>
        <v>4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9">
        <v>72</v>
      </c>
      <c r="Q9" s="149">
        <v>72</v>
      </c>
      <c r="R9" s="20">
        <v>2</v>
      </c>
      <c r="S9" s="20" t="s">
        <v>345</v>
      </c>
      <c r="T9" s="8"/>
      <c r="U9" s="8"/>
      <c r="V9" s="20"/>
      <c r="W9" s="20"/>
      <c r="X9" s="22"/>
      <c r="Y9" s="22"/>
      <c r="Z9" s="145">
        <f t="shared" si="2"/>
        <v>2</v>
      </c>
      <c r="AA9" s="140">
        <f t="shared" si="3"/>
        <v>1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9">
        <v>72</v>
      </c>
      <c r="Q10" s="149">
        <v>72</v>
      </c>
      <c r="R10" s="20">
        <v>2</v>
      </c>
      <c r="S10" s="20" t="s">
        <v>346</v>
      </c>
      <c r="T10" s="8"/>
      <c r="U10" s="8"/>
      <c r="V10" s="20"/>
      <c r="W10" s="20"/>
      <c r="X10" s="22"/>
      <c r="Y10" s="22"/>
      <c r="Z10" s="145">
        <f t="shared" si="2"/>
        <v>2</v>
      </c>
      <c r="AA10" s="140">
        <f>COUNT(E10,I11,M10,Q10,U10)</f>
        <v>1</v>
      </c>
      <c r="AB10" s="8">
        <f>IF(AND(D10&lt;&gt;E10,E10&gt;0),1,0)+IF(AND(H10&lt;&gt;I11,I11&gt;0),1,0)+IF(AND(L10&lt;&gt;M10,M10&gt;0),1,0)+IF(AND(P10&lt;&gt;Q10,Q10&gt;0),1,0)+IF(AND(T10&lt;&gt;U10,U10&gt;0),1,0)</f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9">
        <v>72</v>
      </c>
      <c r="Q11" s="149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45">
        <f t="shared" si="2"/>
        <v>2</v>
      </c>
      <c r="AA11" s="140">
        <f>COUNT(E11,#REF!,M11,Q11,U11)</f>
        <v>1</v>
      </c>
      <c r="AB11" s="8">
        <f>IF(AND(D11&lt;&gt;E11,E11&gt;0),1,0)+IF(AND(H11&lt;&gt;I12,I12&gt;0),1,0)+IF(AND(L11&lt;&gt;M11,M11&gt;0),1,0)+IF(AND(P11&lt;&gt;Q11,Q11&gt;0),1,0)+IF(AND(T11&lt;&gt;U11,U11&gt;0),1,0)</f>
        <v>1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9">
        <v>80</v>
      </c>
      <c r="J12" s="20"/>
      <c r="K12" s="19" t="s">
        <v>162</v>
      </c>
      <c r="L12" s="14"/>
      <c r="M12" s="149">
        <v>80</v>
      </c>
      <c r="N12" s="20"/>
      <c r="O12" s="20" t="s">
        <v>162</v>
      </c>
      <c r="P12" s="149">
        <v>72</v>
      </c>
      <c r="Q12" s="149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45">
        <f t="shared" si="2"/>
        <v>2</v>
      </c>
      <c r="AA12" s="140">
        <f t="shared" si="3"/>
        <v>3</v>
      </c>
      <c r="AB12" s="8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8"/>
      <c r="E13" s="8"/>
      <c r="F13" s="20"/>
      <c r="G13" s="19"/>
      <c r="H13" s="149">
        <v>80</v>
      </c>
      <c r="I13" s="149">
        <v>80</v>
      </c>
      <c r="J13" s="20">
        <v>2</v>
      </c>
      <c r="K13" s="19"/>
      <c r="L13" s="151">
        <v>80</v>
      </c>
      <c r="M13" s="149">
        <v>80</v>
      </c>
      <c r="N13" s="20">
        <v>2</v>
      </c>
      <c r="O13" s="20"/>
      <c r="P13" s="149">
        <v>72</v>
      </c>
      <c r="Q13" s="149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45">
        <f t="shared" si="2"/>
        <v>6</v>
      </c>
      <c r="AA13" s="140">
        <f t="shared" si="3"/>
        <v>3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8"/>
      <c r="E14" s="8"/>
      <c r="F14" s="20"/>
      <c r="G14" s="19"/>
      <c r="H14" s="149">
        <v>80</v>
      </c>
      <c r="I14" s="149">
        <v>80</v>
      </c>
      <c r="J14" s="20">
        <v>2</v>
      </c>
      <c r="K14" s="19"/>
      <c r="L14" s="151">
        <v>80</v>
      </c>
      <c r="M14" s="149">
        <v>80</v>
      </c>
      <c r="N14" s="20">
        <v>2</v>
      </c>
      <c r="O14" s="20"/>
      <c r="P14" s="149">
        <v>72</v>
      </c>
      <c r="Q14" s="149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45">
        <f t="shared" si="2"/>
        <v>6</v>
      </c>
      <c r="AA14" s="140">
        <f t="shared" si="3"/>
        <v>3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8"/>
      <c r="E15" s="8"/>
      <c r="F15" s="20"/>
      <c r="G15" s="19"/>
      <c r="H15" s="149">
        <v>80</v>
      </c>
      <c r="I15" s="8"/>
      <c r="J15" s="20">
        <v>2</v>
      </c>
      <c r="K15" s="19"/>
      <c r="L15" s="151">
        <v>80</v>
      </c>
      <c r="M15" s="8"/>
      <c r="N15" s="20">
        <v>2</v>
      </c>
      <c r="O15" s="20"/>
      <c r="P15" s="149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45">
        <f t="shared" si="2"/>
        <v>4</v>
      </c>
      <c r="AA15" s="140">
        <f t="shared" si="3"/>
        <v>0</v>
      </c>
      <c r="AB15" s="8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8">
        <v>63</v>
      </c>
      <c r="V16" s="20"/>
      <c r="W16" s="20"/>
      <c r="X16" s="22"/>
      <c r="Y16" s="22"/>
      <c r="Z16" s="145">
        <f t="shared" si="2"/>
        <v>0</v>
      </c>
      <c r="AA16" s="140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24"/>
      <c r="S17" s="124"/>
      <c r="T17" s="148">
        <v>63</v>
      </c>
      <c r="U17" s="148">
        <v>63</v>
      </c>
      <c r="V17" s="20"/>
      <c r="W17" s="20" t="s">
        <v>297</v>
      </c>
      <c r="X17" s="22"/>
      <c r="Y17" s="22"/>
      <c r="Z17" s="145">
        <f t="shared" si="2"/>
        <v>0</v>
      </c>
      <c r="AA17" s="140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/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>
        <v>53</v>
      </c>
      <c r="R18" s="124"/>
      <c r="S18" s="124"/>
      <c r="T18" s="148">
        <v>63</v>
      </c>
      <c r="U18" s="8"/>
      <c r="V18" s="20"/>
      <c r="W18" s="20"/>
      <c r="X18" s="22"/>
      <c r="Y18" s="22"/>
      <c r="Z18" s="145">
        <f t="shared" si="2"/>
        <v>0</v>
      </c>
      <c r="AA18" s="140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230</v>
      </c>
      <c r="B19" s="6" t="s">
        <v>125</v>
      </c>
      <c r="C19" s="7">
        <v>46156</v>
      </c>
      <c r="D19" s="10"/>
      <c r="E19" s="8"/>
      <c r="F19" s="20"/>
      <c r="G19" s="19"/>
      <c r="H19" s="8"/>
      <c r="I19" s="8"/>
      <c r="J19" s="124"/>
      <c r="K19" s="19"/>
      <c r="L19" s="14"/>
      <c r="M19" s="8"/>
      <c r="N19" s="20"/>
      <c r="O19" s="20"/>
      <c r="P19" s="8">
        <v>53</v>
      </c>
      <c r="Q19" s="8">
        <v>53</v>
      </c>
      <c r="R19" s="124"/>
      <c r="S19" s="124"/>
      <c r="T19" s="8"/>
      <c r="U19" s="8">
        <v>48</v>
      </c>
      <c r="V19" s="20"/>
      <c r="W19" s="20"/>
      <c r="X19" s="22"/>
      <c r="Y19" s="22"/>
      <c r="Z19" s="145">
        <f t="shared" si="2"/>
        <v>0</v>
      </c>
      <c r="AA19" s="140">
        <f t="shared" si="3"/>
        <v>2</v>
      </c>
      <c r="AB19" s="8">
        <f t="shared" si="0"/>
        <v>1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/>
      <c r="E20" s="8"/>
      <c r="F20" s="20"/>
      <c r="G20" s="19"/>
      <c r="H20" s="8"/>
      <c r="I20" s="8"/>
      <c r="J20" s="124"/>
      <c r="K20" s="19"/>
      <c r="L20" s="14"/>
      <c r="M20" s="8"/>
      <c r="N20" s="20"/>
      <c r="O20" s="20"/>
      <c r="P20" s="8">
        <v>53</v>
      </c>
      <c r="Q20" s="8">
        <v>53</v>
      </c>
      <c r="R20" s="124"/>
      <c r="S20" s="124"/>
      <c r="T20" s="8">
        <v>48</v>
      </c>
      <c r="U20" s="8">
        <v>48</v>
      </c>
      <c r="V20" s="20"/>
      <c r="W20" s="20"/>
      <c r="X20" s="22"/>
      <c r="Y20" s="22"/>
      <c r="Z20" s="145">
        <f t="shared" si="2"/>
        <v>0</v>
      </c>
      <c r="AA20" s="140">
        <f t="shared" si="3"/>
        <v>2</v>
      </c>
      <c r="AB20" s="8">
        <f t="shared" si="0"/>
        <v>0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/>
      <c r="E21" s="149">
        <v>8</v>
      </c>
      <c r="F21" s="20"/>
      <c r="G21" s="19"/>
      <c r="H21" s="8"/>
      <c r="I21" s="8"/>
      <c r="J21" s="124"/>
      <c r="K21" s="19"/>
      <c r="L21" s="14"/>
      <c r="M21" s="8"/>
      <c r="N21" s="20"/>
      <c r="O21" s="20"/>
      <c r="P21" s="8">
        <v>53</v>
      </c>
      <c r="Q21" s="8"/>
      <c r="R21" s="124"/>
      <c r="S21" s="124"/>
      <c r="T21" s="8">
        <v>48</v>
      </c>
      <c r="U21" s="8">
        <v>48</v>
      </c>
      <c r="V21" s="20"/>
      <c r="W21" s="20"/>
      <c r="X21" s="22"/>
      <c r="Y21" s="22"/>
      <c r="Z21" s="145">
        <f t="shared" si="2"/>
        <v>0</v>
      </c>
      <c r="AA21" s="140">
        <f t="shared" si="3"/>
        <v>2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9">
        <v>8</v>
      </c>
      <c r="E22" s="149">
        <v>8</v>
      </c>
      <c r="F22" s="20">
        <v>2</v>
      </c>
      <c r="G22" s="19" t="s">
        <v>163</v>
      </c>
      <c r="H22" s="8"/>
      <c r="I22" s="8"/>
      <c r="J22" s="124"/>
      <c r="K22" s="19"/>
      <c r="L22" s="14"/>
      <c r="M22" s="8"/>
      <c r="N22" s="20"/>
      <c r="O22" s="20"/>
      <c r="P22" s="8"/>
      <c r="Q22" s="8"/>
      <c r="R22" s="124"/>
      <c r="S22" s="124"/>
      <c r="T22" s="8">
        <v>48</v>
      </c>
      <c r="U22" s="149">
        <v>9</v>
      </c>
      <c r="V22" s="20"/>
      <c r="W22" s="20"/>
      <c r="X22" s="22"/>
      <c r="Y22" s="22"/>
      <c r="Z22" s="145">
        <f t="shared" si="2"/>
        <v>2</v>
      </c>
      <c r="AA22" s="140">
        <f t="shared" si="3"/>
        <v>2</v>
      </c>
      <c r="AB22" s="8">
        <f t="shared" si="0"/>
        <v>1</v>
      </c>
      <c r="AC22" s="23">
        <f t="shared" si="1"/>
        <v>1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9">
        <v>8</v>
      </c>
      <c r="E23" s="149">
        <v>8</v>
      </c>
      <c r="F23" s="20">
        <v>2</v>
      </c>
      <c r="G23" s="19" t="s">
        <v>130</v>
      </c>
      <c r="H23" s="14"/>
      <c r="I23" s="8"/>
      <c r="J23" s="124"/>
      <c r="K23" s="19"/>
      <c r="L23" s="14"/>
      <c r="M23" s="8"/>
      <c r="N23" s="20"/>
      <c r="O23" s="20"/>
      <c r="P23" s="8"/>
      <c r="Q23" s="8"/>
      <c r="R23" s="124"/>
      <c r="S23" s="124"/>
      <c r="T23" s="149">
        <v>9</v>
      </c>
      <c r="U23" s="149">
        <v>9</v>
      </c>
      <c r="V23" s="20">
        <v>2</v>
      </c>
      <c r="W23" s="20" t="s">
        <v>137</v>
      </c>
      <c r="X23" s="22"/>
      <c r="Y23" s="22"/>
      <c r="Z23" s="145">
        <f t="shared" si="2"/>
        <v>4</v>
      </c>
      <c r="AA23" s="140">
        <f t="shared" si="3"/>
        <v>2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9">
        <v>8</v>
      </c>
      <c r="E24" s="149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/>
      <c r="Q24" s="8"/>
      <c r="R24" s="124"/>
      <c r="S24" s="124"/>
      <c r="T24" s="149">
        <v>9</v>
      </c>
      <c r="U24" s="149">
        <v>9</v>
      </c>
      <c r="V24" s="20">
        <v>2</v>
      </c>
      <c r="W24" s="20"/>
      <c r="X24" s="22"/>
      <c r="Y24" s="22"/>
      <c r="Z24" s="145">
        <f t="shared" si="2"/>
        <v>4</v>
      </c>
      <c r="AA24" s="140">
        <f t="shared" si="3"/>
        <v>2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9">
        <v>8</v>
      </c>
      <c r="E25" s="149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/>
      <c r="Q25" s="8"/>
      <c r="R25" s="124"/>
      <c r="S25" s="124"/>
      <c r="T25" s="149">
        <v>9</v>
      </c>
      <c r="U25" s="149">
        <v>9</v>
      </c>
      <c r="V25" s="20">
        <v>2</v>
      </c>
      <c r="W25" s="20"/>
      <c r="X25" s="22"/>
      <c r="Y25" s="22"/>
      <c r="Z25" s="145">
        <f t="shared" si="2"/>
        <v>4</v>
      </c>
      <c r="AA25" s="140">
        <f t="shared" si="3"/>
        <v>2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9">
        <v>8</v>
      </c>
      <c r="E26" s="8"/>
      <c r="F26" s="20">
        <v>2</v>
      </c>
      <c r="G26" s="19"/>
      <c r="H26" s="14"/>
      <c r="I26" s="148">
        <v>20</v>
      </c>
      <c r="J26" s="20"/>
      <c r="K26" s="19"/>
      <c r="L26" s="14"/>
      <c r="M26" s="148">
        <v>20</v>
      </c>
      <c r="N26" s="20"/>
      <c r="O26" s="20"/>
      <c r="P26" s="8"/>
      <c r="Q26" s="148">
        <v>20</v>
      </c>
      <c r="R26" s="124"/>
      <c r="S26" s="124"/>
      <c r="T26" s="149">
        <v>9</v>
      </c>
      <c r="U26" s="149">
        <v>9</v>
      </c>
      <c r="V26" s="20">
        <v>2</v>
      </c>
      <c r="W26" s="20"/>
      <c r="X26" s="22"/>
      <c r="Y26" s="22"/>
      <c r="Z26" s="145">
        <f t="shared" si="2"/>
        <v>4</v>
      </c>
      <c r="AA26" s="140">
        <f t="shared" si="3"/>
        <v>4</v>
      </c>
      <c r="AB26" s="8">
        <f t="shared" si="0"/>
        <v>3</v>
      </c>
      <c r="AC26" s="23">
        <f t="shared" si="1"/>
        <v>1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63">
        <v>20</v>
      </c>
      <c r="I27" s="148">
        <v>20</v>
      </c>
      <c r="J27" s="20">
        <v>2</v>
      </c>
      <c r="K27" s="19"/>
      <c r="L27" s="163">
        <v>20</v>
      </c>
      <c r="M27" s="148">
        <v>20</v>
      </c>
      <c r="N27" s="20">
        <v>2</v>
      </c>
      <c r="O27" s="20"/>
      <c r="P27" s="148">
        <v>20</v>
      </c>
      <c r="Q27" s="148">
        <v>20</v>
      </c>
      <c r="R27" s="124">
        <v>2</v>
      </c>
      <c r="S27" s="124"/>
      <c r="T27" s="149">
        <v>9</v>
      </c>
      <c r="U27" s="149">
        <v>9</v>
      </c>
      <c r="V27" s="20">
        <v>2</v>
      </c>
      <c r="W27" s="20"/>
      <c r="X27" s="22"/>
      <c r="Y27" s="22"/>
      <c r="Z27" s="145">
        <f t="shared" si="2"/>
        <v>8</v>
      </c>
      <c r="AA27" s="140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63">
        <v>20</v>
      </c>
      <c r="I28" s="148">
        <v>20</v>
      </c>
      <c r="J28" s="20">
        <v>2</v>
      </c>
      <c r="K28" s="19"/>
      <c r="L28" s="163">
        <v>20</v>
      </c>
      <c r="M28" s="148">
        <v>20</v>
      </c>
      <c r="N28" s="20">
        <v>2</v>
      </c>
      <c r="O28" s="20"/>
      <c r="P28" s="148">
        <v>20</v>
      </c>
      <c r="Q28" s="148">
        <v>20</v>
      </c>
      <c r="R28" s="124">
        <v>2</v>
      </c>
      <c r="S28" s="124"/>
      <c r="T28" s="149">
        <v>9</v>
      </c>
      <c r="U28" s="149">
        <v>9</v>
      </c>
      <c r="V28" s="20">
        <v>2</v>
      </c>
      <c r="W28" s="20"/>
      <c r="X28" s="22"/>
      <c r="Y28" s="22"/>
      <c r="Z28" s="145">
        <f t="shared" si="2"/>
        <v>10</v>
      </c>
      <c r="AA28" s="140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231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63">
        <v>20</v>
      </c>
      <c r="I29" s="148">
        <v>20</v>
      </c>
      <c r="J29" s="20">
        <v>2</v>
      </c>
      <c r="K29" s="19"/>
      <c r="L29" s="163">
        <v>20</v>
      </c>
      <c r="M29" s="148">
        <v>20</v>
      </c>
      <c r="N29" s="20">
        <v>2</v>
      </c>
      <c r="O29" s="20"/>
      <c r="P29" s="148">
        <v>20</v>
      </c>
      <c r="Q29" s="148">
        <v>20</v>
      </c>
      <c r="R29" s="124">
        <v>2</v>
      </c>
      <c r="S29" s="124"/>
      <c r="T29" s="149">
        <v>9</v>
      </c>
      <c r="U29" s="8"/>
      <c r="V29" s="20">
        <v>2</v>
      </c>
      <c r="W29" s="20"/>
      <c r="X29" s="22"/>
      <c r="Y29" s="22"/>
      <c r="Z29" s="145">
        <f t="shared" si="2"/>
        <v>10</v>
      </c>
      <c r="AA29" s="140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232</v>
      </c>
      <c r="B30" s="6" t="s">
        <v>122</v>
      </c>
      <c r="C30" s="7">
        <v>46167</v>
      </c>
      <c r="D30" s="10">
        <v>40</v>
      </c>
      <c r="E30" s="8"/>
      <c r="F30" s="124">
        <v>2</v>
      </c>
      <c r="G30" s="143"/>
      <c r="H30" s="163">
        <v>20</v>
      </c>
      <c r="I30" s="8"/>
      <c r="J30" s="20">
        <v>2</v>
      </c>
      <c r="K30" s="19"/>
      <c r="L30" s="163">
        <v>20</v>
      </c>
      <c r="M30" s="8"/>
      <c r="N30" s="20">
        <v>2</v>
      </c>
      <c r="O30" s="20"/>
      <c r="P30" s="148">
        <v>20</v>
      </c>
      <c r="Q30" s="8"/>
      <c r="R30" s="124">
        <v>2</v>
      </c>
      <c r="S30" s="124"/>
      <c r="T30" s="8"/>
      <c r="U30" s="8"/>
      <c r="V30" s="20"/>
      <c r="W30" s="20"/>
      <c r="X30" s="22"/>
      <c r="Y30" s="22"/>
      <c r="Z30" s="145">
        <f t="shared" si="2"/>
        <v>8</v>
      </c>
      <c r="AA30" s="140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24"/>
      <c r="G31" s="143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24"/>
      <c r="S31" s="124"/>
      <c r="T31" s="8"/>
      <c r="U31" s="8"/>
      <c r="V31" s="20"/>
      <c r="W31" s="20"/>
      <c r="X31" s="22"/>
      <c r="Y31" s="22"/>
      <c r="Z31" s="145">
        <f t="shared" si="2"/>
        <v>0</v>
      </c>
      <c r="AA31" s="140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24"/>
      <c r="G32" s="143"/>
      <c r="H32" s="14"/>
      <c r="I32" s="8"/>
      <c r="J32" s="20"/>
      <c r="K32" s="19"/>
      <c r="L32" s="8"/>
      <c r="M32" s="149">
        <v>5</v>
      </c>
      <c r="N32" s="124"/>
      <c r="O32" s="124" t="s">
        <v>23</v>
      </c>
      <c r="P32" s="121"/>
      <c r="Q32" s="121"/>
      <c r="R32" s="121"/>
      <c r="S32" s="121"/>
      <c r="T32" s="8"/>
      <c r="U32" s="8"/>
      <c r="V32" s="20"/>
      <c r="W32" s="20"/>
      <c r="X32" s="22"/>
      <c r="Y32" s="22"/>
      <c r="Z32" s="145">
        <f t="shared" si="2"/>
        <v>0</v>
      </c>
      <c r="AA32" s="140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24"/>
      <c r="G33" s="143"/>
      <c r="H33" s="14"/>
      <c r="I33" s="8"/>
      <c r="J33" s="20"/>
      <c r="K33" s="19"/>
      <c r="L33" s="149">
        <v>5</v>
      </c>
      <c r="M33" s="149">
        <v>5</v>
      </c>
      <c r="N33" s="124">
        <v>2</v>
      </c>
      <c r="O33" s="124"/>
      <c r="P33" s="121"/>
      <c r="Q33" s="121"/>
      <c r="R33" s="121"/>
      <c r="S33" s="121"/>
      <c r="T33" s="8"/>
      <c r="U33" s="8"/>
      <c r="V33" s="20"/>
      <c r="W33" s="20"/>
      <c r="X33" s="22"/>
      <c r="Y33" s="22"/>
      <c r="Z33" s="145">
        <f t="shared" si="2"/>
        <v>2</v>
      </c>
      <c r="AA33" s="140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24"/>
      <c r="G34" s="143"/>
      <c r="H34" s="14"/>
      <c r="I34" s="8"/>
      <c r="J34" s="20"/>
      <c r="K34" s="19"/>
      <c r="L34" s="149">
        <v>5</v>
      </c>
      <c r="M34" s="149">
        <v>5</v>
      </c>
      <c r="N34" s="124">
        <v>2</v>
      </c>
      <c r="O34" s="124"/>
      <c r="P34" s="121"/>
      <c r="Q34" s="121"/>
      <c r="R34" s="121"/>
      <c r="S34" s="121"/>
      <c r="T34" s="8"/>
      <c r="U34" s="8"/>
      <c r="V34" s="20"/>
      <c r="W34" s="20"/>
      <c r="X34" s="22"/>
      <c r="Y34" s="22"/>
      <c r="Z34" s="145">
        <f t="shared" si="2"/>
        <v>2</v>
      </c>
      <c r="AA34" s="140">
        <f t="shared" si="3"/>
        <v>1</v>
      </c>
      <c r="AB34" s="8">
        <f t="shared" si="0"/>
        <v>0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24"/>
      <c r="G35" s="143"/>
      <c r="H35" s="14"/>
      <c r="I35" s="8"/>
      <c r="J35" s="20"/>
      <c r="K35" s="19"/>
      <c r="L35" s="149">
        <v>5</v>
      </c>
      <c r="M35" s="149">
        <v>5</v>
      </c>
      <c r="N35" s="124">
        <v>2</v>
      </c>
      <c r="O35" s="124"/>
      <c r="P35" s="121"/>
      <c r="Q35" s="121"/>
      <c r="R35" s="121"/>
      <c r="S35" s="121"/>
      <c r="T35" s="121"/>
      <c r="U35" s="121"/>
      <c r="V35" s="20"/>
      <c r="W35" s="20"/>
      <c r="X35" s="22"/>
      <c r="Y35" s="22"/>
      <c r="Z35" s="145">
        <f t="shared" si="2"/>
        <v>2</v>
      </c>
      <c r="AA35" s="140">
        <f t="shared" si="3"/>
        <v>1</v>
      </c>
      <c r="AB35" s="8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24"/>
      <c r="G36" s="143"/>
      <c r="H36" s="122"/>
      <c r="I36" s="165">
        <v>79</v>
      </c>
      <c r="J36" s="20"/>
      <c r="K36" s="19" t="s">
        <v>165</v>
      </c>
      <c r="L36" s="149">
        <v>5</v>
      </c>
      <c r="M36" s="149">
        <v>5</v>
      </c>
      <c r="N36" s="124">
        <v>2</v>
      </c>
      <c r="O36" s="124"/>
      <c r="P36" s="121"/>
      <c r="Q36" s="121"/>
      <c r="R36" s="121"/>
      <c r="S36" s="121"/>
      <c r="T36" s="121"/>
      <c r="U36" s="121"/>
      <c r="V36" s="20"/>
      <c r="W36" s="20"/>
      <c r="X36" s="22"/>
      <c r="Y36" s="22"/>
      <c r="Z36" s="145">
        <f t="shared" si="2"/>
        <v>2</v>
      </c>
      <c r="AA36" s="140">
        <f t="shared" si="3"/>
        <v>2</v>
      </c>
      <c r="AB36" s="8">
        <f t="shared" si="0"/>
        <v>1</v>
      </c>
      <c r="AC36" s="23">
        <f t="shared" si="1"/>
        <v>0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24"/>
      <c r="G37" s="143"/>
      <c r="H37" s="165">
        <v>79</v>
      </c>
      <c r="I37" s="165">
        <v>79</v>
      </c>
      <c r="J37" s="20">
        <v>2</v>
      </c>
      <c r="K37" s="19"/>
      <c r="L37" s="149">
        <v>5</v>
      </c>
      <c r="M37" s="8"/>
      <c r="N37" s="20"/>
      <c r="O37" s="20"/>
      <c r="P37" s="121"/>
      <c r="Q37" s="121"/>
      <c r="R37" s="121"/>
      <c r="S37" s="124"/>
      <c r="T37" s="121"/>
      <c r="U37" s="121"/>
      <c r="V37" s="20"/>
      <c r="W37" s="20"/>
      <c r="X37" s="22"/>
      <c r="Y37" s="22"/>
      <c r="Z37" s="145">
        <f t="shared" si="2"/>
        <v>2</v>
      </c>
      <c r="AA37" s="140">
        <f t="shared" si="3"/>
        <v>1</v>
      </c>
      <c r="AB37" s="8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24"/>
      <c r="G38" s="143"/>
      <c r="H38" s="165">
        <v>79</v>
      </c>
      <c r="I38" s="165">
        <v>79</v>
      </c>
      <c r="J38" s="20">
        <v>2</v>
      </c>
      <c r="K38" s="19"/>
      <c r="L38" s="8"/>
      <c r="M38" s="8"/>
      <c r="N38" s="20"/>
      <c r="O38" s="20"/>
      <c r="P38" s="121"/>
      <c r="Q38" s="121"/>
      <c r="R38" s="121"/>
      <c r="S38" s="124"/>
      <c r="T38" s="121"/>
      <c r="U38" s="149">
        <v>12</v>
      </c>
      <c r="V38" s="20"/>
      <c r="W38" s="20"/>
      <c r="X38" s="22"/>
      <c r="Y38" s="22"/>
      <c r="Z38" s="145">
        <f t="shared" si="2"/>
        <v>2</v>
      </c>
      <c r="AA38" s="140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24"/>
      <c r="G39" s="143"/>
      <c r="H39" s="165">
        <v>79</v>
      </c>
      <c r="I39" s="165">
        <v>79</v>
      </c>
      <c r="J39" s="20">
        <v>2</v>
      </c>
      <c r="K39" s="19"/>
      <c r="L39" s="8"/>
      <c r="M39" s="165">
        <v>27</v>
      </c>
      <c r="N39" s="20"/>
      <c r="O39" s="20" t="s">
        <v>165</v>
      </c>
      <c r="P39" s="121"/>
      <c r="Q39" s="121"/>
      <c r="R39" s="121"/>
      <c r="S39" s="124"/>
      <c r="T39" s="149">
        <v>12</v>
      </c>
      <c r="U39" s="149">
        <v>12</v>
      </c>
      <c r="V39" s="20"/>
      <c r="W39" s="20" t="s">
        <v>137</v>
      </c>
      <c r="X39" s="22"/>
      <c r="Y39" s="22"/>
      <c r="Z39" s="145">
        <f t="shared" si="2"/>
        <v>2</v>
      </c>
      <c r="AA39" s="140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24"/>
      <c r="G40" s="143"/>
      <c r="H40" s="165">
        <v>79</v>
      </c>
      <c r="I40" s="165">
        <v>79</v>
      </c>
      <c r="J40" s="20">
        <v>2</v>
      </c>
      <c r="K40" s="19"/>
      <c r="L40" s="164">
        <v>27</v>
      </c>
      <c r="M40" s="165">
        <v>27</v>
      </c>
      <c r="N40" s="20">
        <v>2</v>
      </c>
      <c r="O40" s="20"/>
      <c r="P40" s="121"/>
      <c r="Q40" s="121"/>
      <c r="R40" s="121"/>
      <c r="S40" s="124"/>
      <c r="T40" s="149">
        <v>12</v>
      </c>
      <c r="U40" s="149">
        <v>12</v>
      </c>
      <c r="V40" s="20"/>
      <c r="W40" s="20"/>
      <c r="X40" s="22"/>
      <c r="Y40" s="22"/>
      <c r="Z40" s="145">
        <f t="shared" si="2"/>
        <v>4</v>
      </c>
      <c r="AA40" s="140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49">
        <v>6</v>
      </c>
      <c r="F41" s="124"/>
      <c r="G41" s="143"/>
      <c r="H41" s="165">
        <v>79</v>
      </c>
      <c r="I41" s="149">
        <v>6</v>
      </c>
      <c r="J41" s="20">
        <v>2</v>
      </c>
      <c r="K41" s="19"/>
      <c r="L41" s="165">
        <v>27</v>
      </c>
      <c r="M41" s="165">
        <v>27</v>
      </c>
      <c r="N41" s="20">
        <v>2</v>
      </c>
      <c r="O41" s="20"/>
      <c r="P41" s="121"/>
      <c r="Q41" s="121"/>
      <c r="R41" s="121"/>
      <c r="S41" s="124"/>
      <c r="T41" s="149">
        <v>12</v>
      </c>
      <c r="U41" s="149">
        <v>12</v>
      </c>
      <c r="V41" s="20"/>
      <c r="W41" s="20"/>
      <c r="X41" s="122"/>
      <c r="Y41" s="121"/>
      <c r="Z41" s="145">
        <f t="shared" si="2"/>
        <v>4</v>
      </c>
      <c r="AA41" s="140">
        <f t="shared" si="3"/>
        <v>4</v>
      </c>
      <c r="AB41" s="8">
        <f t="shared" si="0"/>
        <v>2</v>
      </c>
      <c r="AC41" s="23">
        <f t="shared" si="1"/>
        <v>1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50">
        <v>6</v>
      </c>
      <c r="E42" s="149">
        <v>6</v>
      </c>
      <c r="F42" s="124"/>
      <c r="G42" s="143"/>
      <c r="H42" s="151">
        <v>6</v>
      </c>
      <c r="I42" s="149">
        <v>6</v>
      </c>
      <c r="J42" s="20"/>
      <c r="K42" s="19"/>
      <c r="L42" s="165">
        <v>27</v>
      </c>
      <c r="M42" s="165">
        <v>27</v>
      </c>
      <c r="N42" s="20">
        <v>2</v>
      </c>
      <c r="O42" s="20" t="s">
        <v>162</v>
      </c>
      <c r="P42" s="121"/>
      <c r="Q42" s="121"/>
      <c r="R42" s="121"/>
      <c r="S42" s="124"/>
      <c r="T42" s="149">
        <v>12</v>
      </c>
      <c r="U42" s="121"/>
      <c r="V42" s="20"/>
      <c r="W42" s="20"/>
      <c r="X42" s="122"/>
      <c r="Y42" s="121"/>
      <c r="Z42" s="145">
        <f t="shared" si="2"/>
        <v>2</v>
      </c>
      <c r="AA42" s="140">
        <f t="shared" si="3"/>
        <v>3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50">
        <v>6</v>
      </c>
      <c r="E43" s="8"/>
      <c r="F43" s="124"/>
      <c r="G43" s="143"/>
      <c r="H43" s="151">
        <v>6</v>
      </c>
      <c r="I43" s="8"/>
      <c r="J43" s="20"/>
      <c r="K43" s="19"/>
      <c r="L43" s="165">
        <v>27</v>
      </c>
      <c r="M43" s="165">
        <v>27</v>
      </c>
      <c r="N43" s="20">
        <v>2</v>
      </c>
      <c r="O43" s="20"/>
      <c r="P43" s="121"/>
      <c r="Q43" s="121"/>
      <c r="R43" s="121"/>
      <c r="S43" s="124"/>
      <c r="T43" s="121"/>
      <c r="U43" s="121"/>
      <c r="V43" s="20"/>
      <c r="W43" s="20"/>
      <c r="X43" s="122"/>
      <c r="Y43" s="121"/>
      <c r="Z43" s="145">
        <f t="shared" si="2"/>
        <v>2</v>
      </c>
      <c r="AA43" s="140">
        <f t="shared" si="3"/>
        <v>1</v>
      </c>
      <c r="AB43" s="8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24"/>
      <c r="G44" s="143"/>
      <c r="H44" s="14"/>
      <c r="I44" s="8"/>
      <c r="J44" s="20"/>
      <c r="K44" s="19"/>
      <c r="L44" s="165">
        <v>27</v>
      </c>
      <c r="M44" s="165">
        <v>27</v>
      </c>
      <c r="N44" s="20">
        <v>2</v>
      </c>
      <c r="O44" s="20"/>
      <c r="P44" s="8"/>
      <c r="Q44" s="153">
        <v>15</v>
      </c>
      <c r="R44" s="124"/>
      <c r="S44" s="124"/>
      <c r="T44" s="8"/>
      <c r="U44" s="149">
        <v>17</v>
      </c>
      <c r="V44" s="20"/>
      <c r="W44" s="20" t="s">
        <v>162</v>
      </c>
      <c r="X44" s="22"/>
      <c r="Y44" s="22"/>
      <c r="Z44" s="145">
        <f t="shared" si="2"/>
        <v>2</v>
      </c>
      <c r="AA44" s="140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49">
        <v>16</v>
      </c>
      <c r="F45" s="124"/>
      <c r="G45" s="143"/>
      <c r="H45" s="8"/>
      <c r="I45" s="149">
        <v>16</v>
      </c>
      <c r="J45" s="20"/>
      <c r="K45" s="19"/>
      <c r="L45" s="165">
        <v>27</v>
      </c>
      <c r="M45" s="149">
        <v>18</v>
      </c>
      <c r="N45" s="20">
        <v>2</v>
      </c>
      <c r="O45" s="20" t="s">
        <v>165</v>
      </c>
      <c r="P45" s="153">
        <v>15</v>
      </c>
      <c r="Q45" s="153">
        <v>15</v>
      </c>
      <c r="R45" s="124">
        <v>2</v>
      </c>
      <c r="S45" s="124"/>
      <c r="T45" s="149">
        <v>17</v>
      </c>
      <c r="U45" s="149">
        <v>17</v>
      </c>
      <c r="V45" s="20">
        <v>2</v>
      </c>
      <c r="W45" s="20"/>
      <c r="X45" s="22"/>
      <c r="Y45" s="22"/>
      <c r="Z45" s="145">
        <f t="shared" si="2"/>
        <v>6</v>
      </c>
      <c r="AA45" s="140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9">
        <v>16</v>
      </c>
      <c r="E46" s="149">
        <v>16</v>
      </c>
      <c r="F46" s="124">
        <v>2</v>
      </c>
      <c r="G46" s="143"/>
      <c r="H46" s="149">
        <v>16</v>
      </c>
      <c r="I46" s="152">
        <v>16</v>
      </c>
      <c r="J46" s="20">
        <v>2</v>
      </c>
      <c r="K46" s="19"/>
      <c r="L46" s="149">
        <v>18</v>
      </c>
      <c r="M46" s="154">
        <v>18</v>
      </c>
      <c r="N46" s="20">
        <v>2</v>
      </c>
      <c r="O46" s="20"/>
      <c r="P46" s="153">
        <v>15</v>
      </c>
      <c r="Q46" s="153">
        <v>15</v>
      </c>
      <c r="R46" s="124">
        <v>2</v>
      </c>
      <c r="S46" s="124"/>
      <c r="T46" s="149">
        <v>17</v>
      </c>
      <c r="U46" s="149">
        <v>17</v>
      </c>
      <c r="V46" s="20">
        <v>2</v>
      </c>
      <c r="W46" s="20"/>
      <c r="X46" s="22"/>
      <c r="Y46" s="22"/>
      <c r="Z46" s="145">
        <f t="shared" si="2"/>
        <v>10</v>
      </c>
      <c r="AA46" s="140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9">
        <v>16</v>
      </c>
      <c r="E47" s="149">
        <v>16</v>
      </c>
      <c r="F47" s="124">
        <v>2</v>
      </c>
      <c r="G47" s="143"/>
      <c r="H47" s="152">
        <v>16</v>
      </c>
      <c r="I47" s="152">
        <v>16</v>
      </c>
      <c r="J47" s="20">
        <v>2</v>
      </c>
      <c r="K47" s="19"/>
      <c r="L47" s="154">
        <v>18</v>
      </c>
      <c r="M47" s="149">
        <v>18</v>
      </c>
      <c r="N47" s="20">
        <v>2</v>
      </c>
      <c r="O47" s="20"/>
      <c r="P47" s="153">
        <v>15</v>
      </c>
      <c r="Q47" s="153">
        <v>15</v>
      </c>
      <c r="R47" s="124">
        <v>2</v>
      </c>
      <c r="S47" s="124"/>
      <c r="T47" s="149">
        <v>17</v>
      </c>
      <c r="U47" s="149">
        <v>17</v>
      </c>
      <c r="V47" s="20">
        <v>2</v>
      </c>
      <c r="W47" s="20"/>
      <c r="X47" s="22"/>
      <c r="Y47" s="22"/>
      <c r="Z47" s="145">
        <f t="shared" si="2"/>
        <v>10</v>
      </c>
      <c r="AA47" s="140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9">
        <v>16</v>
      </c>
      <c r="E48" s="149">
        <v>16</v>
      </c>
      <c r="F48" s="124">
        <v>2</v>
      </c>
      <c r="G48" s="143"/>
      <c r="H48" s="152">
        <v>16</v>
      </c>
      <c r="I48" s="152">
        <v>16</v>
      </c>
      <c r="J48" s="20">
        <v>2</v>
      </c>
      <c r="K48" s="19"/>
      <c r="L48" s="149">
        <v>18</v>
      </c>
      <c r="M48" s="149">
        <v>18</v>
      </c>
      <c r="N48" s="20">
        <v>2</v>
      </c>
      <c r="O48" s="20"/>
      <c r="P48" s="153">
        <v>15</v>
      </c>
      <c r="Q48" s="153">
        <v>15</v>
      </c>
      <c r="R48" s="124">
        <v>2</v>
      </c>
      <c r="S48" s="124"/>
      <c r="T48" s="149">
        <v>17</v>
      </c>
      <c r="U48" s="149">
        <v>17</v>
      </c>
      <c r="V48" s="20">
        <v>2</v>
      </c>
      <c r="W48" s="20"/>
      <c r="X48" s="22"/>
      <c r="Y48" s="22"/>
      <c r="Z48" s="145">
        <f t="shared" si="2"/>
        <v>10</v>
      </c>
      <c r="AA48" s="140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9">
        <v>16</v>
      </c>
      <c r="E49" s="149">
        <v>16</v>
      </c>
      <c r="F49" s="124">
        <v>2</v>
      </c>
      <c r="G49" s="143"/>
      <c r="H49" s="152">
        <v>16</v>
      </c>
      <c r="I49" s="152">
        <v>16</v>
      </c>
      <c r="J49" s="20">
        <v>2</v>
      </c>
      <c r="K49" s="19"/>
      <c r="L49" s="149">
        <v>18</v>
      </c>
      <c r="M49" s="149">
        <v>18</v>
      </c>
      <c r="N49" s="20">
        <v>2</v>
      </c>
      <c r="O49" s="20"/>
      <c r="P49" s="153">
        <v>15</v>
      </c>
      <c r="Q49" s="153">
        <v>15</v>
      </c>
      <c r="R49" s="124">
        <v>2</v>
      </c>
      <c r="S49" s="124"/>
      <c r="T49" s="149">
        <v>17</v>
      </c>
      <c r="U49" s="149">
        <v>17</v>
      </c>
      <c r="V49" s="20">
        <v>2</v>
      </c>
      <c r="W49" s="20"/>
      <c r="X49" s="22"/>
      <c r="Y49" s="22"/>
      <c r="Z49" s="145">
        <f t="shared" si="2"/>
        <v>10</v>
      </c>
      <c r="AA49" s="140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9">
        <v>16</v>
      </c>
      <c r="E50" s="149">
        <v>16</v>
      </c>
      <c r="F50" s="124">
        <v>2</v>
      </c>
      <c r="G50" s="143"/>
      <c r="H50" s="152">
        <v>16</v>
      </c>
      <c r="I50" s="152">
        <v>16</v>
      </c>
      <c r="J50" s="20">
        <v>2</v>
      </c>
      <c r="K50" s="19"/>
      <c r="L50" s="149">
        <v>18</v>
      </c>
      <c r="M50" s="121"/>
      <c r="N50" s="20">
        <v>2</v>
      </c>
      <c r="O50" s="20"/>
      <c r="P50" s="153">
        <v>15</v>
      </c>
      <c r="Q50" s="153">
        <v>15</v>
      </c>
      <c r="R50" s="124">
        <v>2</v>
      </c>
      <c r="S50" s="124"/>
      <c r="T50" s="149">
        <v>17</v>
      </c>
      <c r="U50" s="149">
        <v>17</v>
      </c>
      <c r="V50" s="20">
        <v>2</v>
      </c>
      <c r="W50" s="20"/>
      <c r="X50" s="22"/>
      <c r="Y50" s="22"/>
      <c r="Z50" s="145">
        <f t="shared" si="2"/>
        <v>10</v>
      </c>
      <c r="AA50" s="140">
        <f t="shared" si="3"/>
        <v>4</v>
      </c>
      <c r="AB50" s="8">
        <f t="shared" si="4"/>
        <v>0</v>
      </c>
      <c r="AC50" s="23">
        <f t="shared" si="5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9">
        <v>16</v>
      </c>
      <c r="E51" s="121"/>
      <c r="F51" s="124">
        <v>2</v>
      </c>
      <c r="G51" s="143"/>
      <c r="H51" s="152">
        <v>16</v>
      </c>
      <c r="I51" s="122"/>
      <c r="J51" s="20">
        <v>2</v>
      </c>
      <c r="K51" s="19"/>
      <c r="L51" s="121"/>
      <c r="M51" s="8"/>
      <c r="N51" s="20">
        <v>2</v>
      </c>
      <c r="O51" s="20"/>
      <c r="P51" s="153">
        <v>15</v>
      </c>
      <c r="Q51" s="191">
        <v>70</v>
      </c>
      <c r="R51" s="124"/>
      <c r="S51" s="124"/>
      <c r="T51" s="149">
        <v>17</v>
      </c>
      <c r="U51" s="121"/>
      <c r="V51" s="20">
        <v>2</v>
      </c>
      <c r="W51" s="20"/>
      <c r="X51" s="22"/>
      <c r="Y51" s="22"/>
      <c r="Z51" s="145">
        <f t="shared" si="2"/>
        <v>8</v>
      </c>
      <c r="AA51" s="140">
        <f t="shared" si="3"/>
        <v>1</v>
      </c>
      <c r="AB51" s="8">
        <f t="shared" si="4"/>
        <v>1</v>
      </c>
      <c r="AC51" s="23">
        <f t="shared" si="5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21"/>
      <c r="E52" s="8"/>
      <c r="F52" s="124"/>
      <c r="G52" s="143"/>
      <c r="H52" s="122"/>
      <c r="I52" s="8"/>
      <c r="J52" s="20"/>
      <c r="K52" s="19"/>
      <c r="L52" s="8"/>
      <c r="M52" s="8"/>
      <c r="N52" s="20"/>
      <c r="O52" s="20"/>
      <c r="P52" s="191">
        <v>70</v>
      </c>
      <c r="Q52" s="191">
        <v>70</v>
      </c>
      <c r="R52" s="124">
        <v>2</v>
      </c>
      <c r="S52" s="124"/>
      <c r="T52" s="121"/>
      <c r="U52" s="8"/>
      <c r="V52" s="20"/>
      <c r="W52" s="20"/>
      <c r="X52" s="22"/>
      <c r="Y52" s="22"/>
      <c r="Z52" s="145">
        <f t="shared" si="2"/>
        <v>2</v>
      </c>
      <c r="AA52" s="140">
        <f t="shared" si="3"/>
        <v>1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8"/>
      <c r="F53" s="124"/>
      <c r="G53" s="143"/>
      <c r="H53" s="14"/>
      <c r="I53" s="8"/>
      <c r="J53" s="20"/>
      <c r="K53" s="19"/>
      <c r="L53" s="8"/>
      <c r="M53" s="8"/>
      <c r="N53" s="20"/>
      <c r="O53" s="20"/>
      <c r="P53" s="191">
        <v>70</v>
      </c>
      <c r="Q53" s="149">
        <v>70</v>
      </c>
      <c r="R53" s="124">
        <v>2</v>
      </c>
      <c r="S53" s="124"/>
      <c r="T53" s="8"/>
      <c r="U53" s="149">
        <v>31</v>
      </c>
      <c r="V53" s="20"/>
      <c r="W53" s="20" t="s">
        <v>32</v>
      </c>
      <c r="X53" s="22"/>
      <c r="Y53" s="22"/>
      <c r="Z53" s="145">
        <f t="shared" si="2"/>
        <v>2</v>
      </c>
      <c r="AA53" s="140">
        <f t="shared" si="3"/>
        <v>2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8"/>
      <c r="E54" s="8"/>
      <c r="F54" s="124"/>
      <c r="G54" s="143"/>
      <c r="H54" s="8"/>
      <c r="I54" s="8"/>
      <c r="J54" s="20"/>
      <c r="K54" s="19"/>
      <c r="L54" s="8"/>
      <c r="M54" s="8"/>
      <c r="N54" s="20"/>
      <c r="O54" s="20"/>
      <c r="P54" s="149">
        <v>70</v>
      </c>
      <c r="Q54" s="149">
        <v>70</v>
      </c>
      <c r="R54" s="124">
        <v>2</v>
      </c>
      <c r="S54" s="124"/>
      <c r="T54" s="149">
        <v>31</v>
      </c>
      <c r="U54" s="149">
        <v>31</v>
      </c>
      <c r="V54" s="20">
        <v>1</v>
      </c>
      <c r="W54" s="20"/>
      <c r="X54" s="22"/>
      <c r="Y54" s="22"/>
      <c r="Z54" s="145">
        <f t="shared" si="2"/>
        <v>3</v>
      </c>
      <c r="AA54" s="140">
        <f t="shared" si="3"/>
        <v>2</v>
      </c>
      <c r="AB54" s="8">
        <f t="shared" si="4"/>
        <v>0</v>
      </c>
      <c r="AC54" s="23">
        <f t="shared" si="5"/>
        <v>0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8"/>
      <c r="E55" s="8"/>
      <c r="F55" s="124"/>
      <c r="G55" s="143"/>
      <c r="H55" s="8"/>
      <c r="I55" s="8"/>
      <c r="J55" s="20"/>
      <c r="K55" s="19"/>
      <c r="L55" s="8"/>
      <c r="M55" s="8">
        <v>56</v>
      </c>
      <c r="N55" s="124"/>
      <c r="O55" s="20"/>
      <c r="P55" s="149">
        <v>70</v>
      </c>
      <c r="Q55" s="149">
        <v>70</v>
      </c>
      <c r="R55" s="124">
        <v>2</v>
      </c>
      <c r="S55" s="124"/>
      <c r="T55" s="149">
        <v>31</v>
      </c>
      <c r="U55" s="149">
        <v>31</v>
      </c>
      <c r="V55" s="20">
        <v>1</v>
      </c>
      <c r="W55" s="20"/>
      <c r="X55" s="22"/>
      <c r="Y55" s="22"/>
      <c r="Z55" s="145">
        <f t="shared" si="2"/>
        <v>3</v>
      </c>
      <c r="AA55" s="140">
        <f t="shared" si="3"/>
        <v>3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8"/>
      <c r="E56" s="8"/>
      <c r="F56" s="124"/>
      <c r="G56" s="143"/>
      <c r="H56" s="8"/>
      <c r="I56" s="8"/>
      <c r="J56" s="20"/>
      <c r="K56" s="19"/>
      <c r="L56" s="8">
        <v>56</v>
      </c>
      <c r="M56" s="8">
        <v>56</v>
      </c>
      <c r="N56" s="124">
        <v>2</v>
      </c>
      <c r="O56" s="20"/>
      <c r="P56" s="149">
        <v>70</v>
      </c>
      <c r="Q56" s="8"/>
      <c r="R56" s="124">
        <v>2</v>
      </c>
      <c r="S56" s="124"/>
      <c r="T56" s="149">
        <v>31</v>
      </c>
      <c r="U56" s="149">
        <v>31</v>
      </c>
      <c r="V56" s="20">
        <v>1</v>
      </c>
      <c r="W56" s="20"/>
      <c r="X56" s="22"/>
      <c r="Y56" s="22"/>
      <c r="Z56" s="145">
        <f t="shared" si="2"/>
        <v>5</v>
      </c>
      <c r="AA56" s="140">
        <f t="shared" si="3"/>
        <v>2</v>
      </c>
      <c r="AB56" s="8">
        <f t="shared" si="4"/>
        <v>0</v>
      </c>
      <c r="AC56" s="23">
        <f t="shared" si="5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8"/>
      <c r="E57" s="8"/>
      <c r="F57" s="124"/>
      <c r="G57" s="143"/>
      <c r="H57" s="8"/>
      <c r="I57" s="8"/>
      <c r="J57" s="20"/>
      <c r="K57" s="19"/>
      <c r="L57" s="8">
        <v>56</v>
      </c>
      <c r="M57" s="8"/>
      <c r="N57" s="124">
        <v>2</v>
      </c>
      <c r="O57" s="20"/>
      <c r="P57" s="8"/>
      <c r="Q57" s="8"/>
      <c r="R57" s="124"/>
      <c r="S57" s="124"/>
      <c r="T57" s="149">
        <v>31</v>
      </c>
      <c r="U57" s="149">
        <v>31</v>
      </c>
      <c r="V57" s="20">
        <v>1</v>
      </c>
      <c r="W57" s="20"/>
      <c r="X57" s="22"/>
      <c r="Y57" s="22"/>
      <c r="Z57" s="145">
        <f t="shared" si="2"/>
        <v>3</v>
      </c>
      <c r="AA57" s="140">
        <f t="shared" si="3"/>
        <v>1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0"/>
      <c r="E58" s="8"/>
      <c r="F58" s="124"/>
      <c r="G58" s="143"/>
      <c r="H58" s="8"/>
      <c r="I58" s="8"/>
      <c r="J58" s="20"/>
      <c r="K58" s="19"/>
      <c r="L58" s="8"/>
      <c r="M58" s="8"/>
      <c r="N58" s="20"/>
      <c r="O58" s="20"/>
      <c r="P58" s="8"/>
      <c r="Q58" s="166">
        <v>37</v>
      </c>
      <c r="R58" s="124"/>
      <c r="S58" s="124"/>
      <c r="T58" s="149">
        <v>31</v>
      </c>
      <c r="U58" s="8"/>
      <c r="V58" s="20">
        <v>1</v>
      </c>
      <c r="W58" s="20"/>
      <c r="X58" s="22"/>
      <c r="Y58" s="22"/>
      <c r="Z58" s="145">
        <f t="shared" si="2"/>
        <v>1</v>
      </c>
      <c r="AA58" s="140">
        <f t="shared" si="3"/>
        <v>1</v>
      </c>
      <c r="AB58" s="8">
        <f t="shared" si="4"/>
        <v>1</v>
      </c>
      <c r="AC58" s="23">
        <f t="shared" si="5"/>
        <v>1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24"/>
      <c r="G59" s="143"/>
      <c r="H59" s="14"/>
      <c r="I59" s="8"/>
      <c r="J59" s="20"/>
      <c r="K59" s="19"/>
      <c r="L59" s="8"/>
      <c r="M59" s="8"/>
      <c r="N59" s="20"/>
      <c r="O59" s="20"/>
      <c r="P59" s="166">
        <v>37</v>
      </c>
      <c r="Q59" s="166">
        <v>37</v>
      </c>
      <c r="R59" s="124">
        <v>2</v>
      </c>
      <c r="S59" s="124"/>
      <c r="T59" s="8"/>
      <c r="U59" s="8"/>
      <c r="V59" s="20"/>
      <c r="W59" s="20"/>
      <c r="X59" s="22"/>
      <c r="Y59" s="22"/>
      <c r="Z59" s="145">
        <f t="shared" si="2"/>
        <v>2</v>
      </c>
      <c r="AA59" s="140">
        <f t="shared" si="3"/>
        <v>1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24"/>
      <c r="G60" s="143"/>
      <c r="H60" s="14"/>
      <c r="I60" s="8"/>
      <c r="J60" s="20"/>
      <c r="K60" s="19"/>
      <c r="L60" s="8"/>
      <c r="M60" s="8"/>
      <c r="N60" s="20"/>
      <c r="O60" s="20"/>
      <c r="P60" s="166">
        <v>37</v>
      </c>
      <c r="Q60" s="166">
        <v>37</v>
      </c>
      <c r="R60" s="124">
        <v>2</v>
      </c>
      <c r="S60" s="124"/>
      <c r="T60" s="8"/>
      <c r="U60" s="8"/>
      <c r="V60" s="20"/>
      <c r="W60" s="20"/>
      <c r="X60" s="22"/>
      <c r="Y60" s="22"/>
      <c r="Z60" s="145">
        <f t="shared" si="2"/>
        <v>2</v>
      </c>
      <c r="AA60" s="140">
        <f t="shared" si="3"/>
        <v>1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24"/>
      <c r="G61" s="143"/>
      <c r="H61" s="14"/>
      <c r="I61" s="9"/>
      <c r="J61" s="20"/>
      <c r="K61" s="19"/>
      <c r="L61" s="8"/>
      <c r="M61" s="8">
        <v>34</v>
      </c>
      <c r="N61" s="20"/>
      <c r="O61" s="20"/>
      <c r="P61" s="166">
        <v>37</v>
      </c>
      <c r="Q61" s="8">
        <v>64</v>
      </c>
      <c r="R61" s="124">
        <v>2</v>
      </c>
      <c r="S61" s="20" t="s">
        <v>165</v>
      </c>
      <c r="T61" s="8"/>
      <c r="U61" s="8"/>
      <c r="V61" s="20"/>
      <c r="W61" s="20"/>
      <c r="X61" s="22"/>
      <c r="Y61" s="22"/>
      <c r="Z61" s="145">
        <f t="shared" si="2"/>
        <v>2</v>
      </c>
      <c r="AA61" s="140">
        <f t="shared" si="3"/>
        <v>2</v>
      </c>
      <c r="AB61" s="8">
        <f t="shared" si="4"/>
        <v>2</v>
      </c>
      <c r="AC61" s="23">
        <f t="shared" si="5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/>
      <c r="F62" s="124"/>
      <c r="G62" s="143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233</v>
      </c>
      <c r="P62" s="8">
        <v>64</v>
      </c>
      <c r="Q62" s="8">
        <v>64</v>
      </c>
      <c r="R62" s="20"/>
      <c r="S62" s="20" t="s">
        <v>297</v>
      </c>
      <c r="T62" s="8"/>
      <c r="U62" s="8"/>
      <c r="V62" s="20"/>
      <c r="W62" s="20"/>
      <c r="X62" s="22"/>
      <c r="Y62" s="22"/>
      <c r="Z62" s="145">
        <f t="shared" si="2"/>
        <v>2</v>
      </c>
      <c r="AA62" s="140">
        <f t="shared" si="3"/>
        <v>3</v>
      </c>
      <c r="AB62" s="8">
        <f t="shared" si="4"/>
        <v>1</v>
      </c>
      <c r="AC62" s="23">
        <f t="shared" si="5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/>
      <c r="E63" s="8"/>
      <c r="F63" s="124"/>
      <c r="G63" s="143"/>
      <c r="H63" s="9">
        <v>61</v>
      </c>
      <c r="I63" s="9">
        <v>61</v>
      </c>
      <c r="J63" s="20">
        <v>2</v>
      </c>
      <c r="K63" s="19" t="s">
        <v>163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8"/>
      <c r="U63" s="165">
        <v>77</v>
      </c>
      <c r="V63" s="20"/>
      <c r="W63" s="20" t="s">
        <v>23</v>
      </c>
      <c r="X63" s="22"/>
      <c r="Y63" s="22"/>
      <c r="Z63" s="145">
        <f t="shared" si="2"/>
        <v>4</v>
      </c>
      <c r="AA63" s="140">
        <f t="shared" si="3"/>
        <v>4</v>
      </c>
      <c r="AB63" s="8">
        <f t="shared" si="4"/>
        <v>1</v>
      </c>
      <c r="AC63" s="23">
        <f t="shared" si="5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/>
      <c r="E64" s="8"/>
      <c r="F64" s="124"/>
      <c r="G64" s="143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66">
        <v>76</v>
      </c>
      <c r="R64" s="20"/>
      <c r="S64" s="20"/>
      <c r="T64" s="165">
        <v>77</v>
      </c>
      <c r="U64" s="165">
        <v>77</v>
      </c>
      <c r="V64" s="20">
        <v>2</v>
      </c>
      <c r="W64" s="20"/>
      <c r="X64" s="22"/>
      <c r="Y64" s="22"/>
      <c r="Z64" s="145">
        <f t="shared" si="2"/>
        <v>6</v>
      </c>
      <c r="AA64" s="140">
        <f t="shared" si="3"/>
        <v>4</v>
      </c>
      <c r="AB64" s="8">
        <f t="shared" si="4"/>
        <v>1</v>
      </c>
      <c r="AC64" s="23">
        <f t="shared" si="5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/>
      <c r="E65" s="8"/>
      <c r="F65" s="124"/>
      <c r="G65" s="143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66">
        <v>76</v>
      </c>
      <c r="Q65" s="166">
        <v>76</v>
      </c>
      <c r="R65" s="20">
        <v>2</v>
      </c>
      <c r="S65" s="20"/>
      <c r="T65" s="165">
        <v>77</v>
      </c>
      <c r="U65" s="165">
        <v>77</v>
      </c>
      <c r="V65" s="20">
        <v>2</v>
      </c>
      <c r="W65" s="20"/>
      <c r="X65" s="22"/>
      <c r="Y65" s="22"/>
      <c r="Z65" s="145">
        <f t="shared" si="2"/>
        <v>8</v>
      </c>
      <c r="AA65" s="140">
        <f t="shared" si="3"/>
        <v>3</v>
      </c>
      <c r="AB65" s="8">
        <f t="shared" si="4"/>
        <v>0</v>
      </c>
      <c r="AC65" s="23">
        <f t="shared" si="5"/>
        <v>1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24"/>
      <c r="G66" s="143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66">
        <v>76</v>
      </c>
      <c r="Q66" s="166">
        <v>76</v>
      </c>
      <c r="R66" s="124">
        <v>2</v>
      </c>
      <c r="S66" s="124"/>
      <c r="T66" s="165">
        <v>77</v>
      </c>
      <c r="U66" s="165">
        <v>77</v>
      </c>
      <c r="V66" s="20">
        <v>2</v>
      </c>
      <c r="W66" s="20"/>
      <c r="X66" s="22"/>
      <c r="Y66" s="22"/>
      <c r="Z66" s="145">
        <f t="shared" si="2"/>
        <v>6</v>
      </c>
      <c r="AA66" s="140">
        <f t="shared" si="3"/>
        <v>3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24"/>
      <c r="G67" s="143"/>
      <c r="H67" s="14"/>
      <c r="I67" s="8"/>
      <c r="J67" s="20"/>
      <c r="K67" s="19"/>
      <c r="L67" s="8">
        <v>34</v>
      </c>
      <c r="M67" s="8">
        <v>34</v>
      </c>
      <c r="N67" s="20">
        <v>2</v>
      </c>
      <c r="O67" s="20"/>
      <c r="P67" s="166">
        <v>76</v>
      </c>
      <c r="Q67" s="166">
        <v>76</v>
      </c>
      <c r="R67" s="124">
        <v>2</v>
      </c>
      <c r="S67" s="124"/>
      <c r="T67" s="165">
        <v>77</v>
      </c>
      <c r="U67" s="165">
        <v>77</v>
      </c>
      <c r="V67" s="20">
        <v>2</v>
      </c>
      <c r="W67" s="20"/>
      <c r="X67" s="22"/>
      <c r="Y67" s="22"/>
      <c r="Z67" s="145">
        <f t="shared" ref="Z67:Z130" si="6">F67+J67+N67+R67+V67</f>
        <v>6</v>
      </c>
      <c r="AA67" s="140">
        <f t="shared" ref="AA67:AA130" si="7">COUNT(E67,I67,M67,Q67,U67)</f>
        <v>3</v>
      </c>
      <c r="AB67" s="8">
        <f t="shared" si="4"/>
        <v>0</v>
      </c>
      <c r="AC67" s="23">
        <f t="shared" si="5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24"/>
      <c r="G68" s="143"/>
      <c r="H68" s="14"/>
      <c r="I68" s="8"/>
      <c r="J68" s="20"/>
      <c r="K68" s="19"/>
      <c r="L68" s="8">
        <v>34</v>
      </c>
      <c r="M68" s="8">
        <v>34</v>
      </c>
      <c r="N68" s="20">
        <v>2</v>
      </c>
      <c r="O68" s="20"/>
      <c r="P68" s="166">
        <v>76</v>
      </c>
      <c r="Q68" s="9"/>
      <c r="R68" s="124">
        <v>2</v>
      </c>
      <c r="S68" s="143"/>
      <c r="T68" s="165">
        <v>77</v>
      </c>
      <c r="U68" s="165">
        <v>77</v>
      </c>
      <c r="V68" s="20">
        <v>2</v>
      </c>
      <c r="W68" s="20"/>
      <c r="X68" s="135"/>
      <c r="Y68" s="136"/>
      <c r="Z68" s="145">
        <f t="shared" si="6"/>
        <v>6</v>
      </c>
      <c r="AA68" s="140">
        <f t="shared" si="7"/>
        <v>3</v>
      </c>
      <c r="AB68" s="8">
        <f t="shared" si="4"/>
        <v>1</v>
      </c>
      <c r="AC68" s="23">
        <f t="shared" si="5"/>
        <v>1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24">
        <v>2</v>
      </c>
      <c r="G69" s="143" t="s">
        <v>234</v>
      </c>
      <c r="H69" s="14"/>
      <c r="I69" s="8"/>
      <c r="J69" s="20"/>
      <c r="K69" s="19"/>
      <c r="L69" s="8">
        <v>34</v>
      </c>
      <c r="M69" s="8">
        <v>34</v>
      </c>
      <c r="N69" s="20">
        <v>2</v>
      </c>
      <c r="O69" s="20"/>
      <c r="P69" s="9"/>
      <c r="Q69" s="152">
        <v>14</v>
      </c>
      <c r="R69" s="124"/>
      <c r="S69" s="143"/>
      <c r="T69" s="165">
        <v>77</v>
      </c>
      <c r="U69" s="165">
        <v>77</v>
      </c>
      <c r="V69" s="20">
        <v>2</v>
      </c>
      <c r="W69" s="20"/>
      <c r="X69" s="136"/>
      <c r="Y69" s="136"/>
      <c r="Z69" s="145">
        <f t="shared" si="6"/>
        <v>6</v>
      </c>
      <c r="AA69" s="140">
        <f t="shared" si="7"/>
        <v>4</v>
      </c>
      <c r="AB69" s="8">
        <f t="shared" si="4"/>
        <v>1</v>
      </c>
      <c r="AC69" s="23">
        <f t="shared" si="5"/>
        <v>0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24">
        <v>2</v>
      </c>
      <c r="G70" s="143"/>
      <c r="H70" s="8"/>
      <c r="I70" s="8"/>
      <c r="J70" s="20"/>
      <c r="K70" s="19"/>
      <c r="L70" s="8">
        <v>34</v>
      </c>
      <c r="M70" s="8">
        <v>34</v>
      </c>
      <c r="N70" s="20">
        <v>2</v>
      </c>
      <c r="O70" s="20"/>
      <c r="P70" s="152">
        <v>14</v>
      </c>
      <c r="Q70" s="152">
        <v>14</v>
      </c>
      <c r="R70" s="124">
        <v>2</v>
      </c>
      <c r="S70" s="143"/>
      <c r="T70" s="165">
        <v>77</v>
      </c>
      <c r="U70" s="149">
        <v>7</v>
      </c>
      <c r="V70" s="20">
        <v>2</v>
      </c>
      <c r="W70" s="20"/>
      <c r="X70" s="136"/>
      <c r="Y70" s="136"/>
      <c r="Z70" s="145">
        <f t="shared" si="6"/>
        <v>8</v>
      </c>
      <c r="AA70" s="140">
        <f t="shared" si="7"/>
        <v>4</v>
      </c>
      <c r="AB70" s="8">
        <f t="shared" si="4"/>
        <v>1</v>
      </c>
      <c r="AC70" s="23">
        <f t="shared" si="5"/>
        <v>1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24">
        <v>2</v>
      </c>
      <c r="G71" s="143"/>
      <c r="H71" s="8"/>
      <c r="I71" s="8"/>
      <c r="J71" s="20"/>
      <c r="K71" s="19"/>
      <c r="L71" s="8">
        <v>34</v>
      </c>
      <c r="M71" s="8"/>
      <c r="N71" s="20">
        <v>2</v>
      </c>
      <c r="O71" s="20"/>
      <c r="P71" s="152">
        <v>14</v>
      </c>
      <c r="Q71" s="152">
        <v>14</v>
      </c>
      <c r="R71" s="124">
        <v>2</v>
      </c>
      <c r="S71" s="143"/>
      <c r="T71" s="149">
        <v>7</v>
      </c>
      <c r="U71" s="149">
        <v>7</v>
      </c>
      <c r="V71" s="20"/>
      <c r="W71" s="20"/>
      <c r="X71" s="136"/>
      <c r="Y71" s="136"/>
      <c r="Z71" s="145">
        <f t="shared" si="6"/>
        <v>6</v>
      </c>
      <c r="AA71" s="140">
        <f t="shared" si="7"/>
        <v>2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24"/>
      <c r="G72" s="143"/>
      <c r="H72" s="8"/>
      <c r="I72" s="8"/>
      <c r="J72" s="20"/>
      <c r="K72" s="19"/>
      <c r="L72" s="8"/>
      <c r="M72" s="8">
        <v>36</v>
      </c>
      <c r="N72" s="20"/>
      <c r="O72" s="20"/>
      <c r="P72" s="152">
        <v>14</v>
      </c>
      <c r="Q72" s="152">
        <v>14</v>
      </c>
      <c r="R72" s="124">
        <v>2</v>
      </c>
      <c r="S72" s="143"/>
      <c r="T72" s="149">
        <v>7</v>
      </c>
      <c r="U72" s="149">
        <v>7</v>
      </c>
      <c r="V72" s="20"/>
      <c r="W72" s="20"/>
      <c r="X72" s="136"/>
      <c r="Y72" s="136"/>
      <c r="Z72" s="145">
        <f t="shared" si="6"/>
        <v>2</v>
      </c>
      <c r="AA72" s="140">
        <f t="shared" si="7"/>
        <v>4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24"/>
      <c r="G73" s="143"/>
      <c r="H73" s="8"/>
      <c r="I73" s="8"/>
      <c r="J73" s="20"/>
      <c r="K73" s="19"/>
      <c r="L73" s="8">
        <v>36</v>
      </c>
      <c r="M73" s="8">
        <v>36</v>
      </c>
      <c r="N73" s="20"/>
      <c r="O73" s="20"/>
      <c r="P73" s="152">
        <v>14</v>
      </c>
      <c r="Q73" s="152">
        <v>14</v>
      </c>
      <c r="R73" s="124">
        <v>2</v>
      </c>
      <c r="S73" s="143"/>
      <c r="T73" s="149">
        <v>7</v>
      </c>
      <c r="U73" s="149">
        <v>7</v>
      </c>
      <c r="V73" s="20"/>
      <c r="W73" s="20"/>
      <c r="X73" s="136"/>
      <c r="Y73" s="136"/>
      <c r="Z73" s="145">
        <f t="shared" si="6"/>
        <v>2</v>
      </c>
      <c r="AA73" s="140">
        <f t="shared" si="7"/>
        <v>4</v>
      </c>
      <c r="AB73" s="8">
        <f t="shared" si="4"/>
        <v>0</v>
      </c>
      <c r="AC73" s="23">
        <f t="shared" si="5"/>
        <v>0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24"/>
      <c r="G74" s="143"/>
      <c r="H74" s="8"/>
      <c r="I74" s="149">
        <v>13</v>
      </c>
      <c r="J74" s="20"/>
      <c r="K74" s="19"/>
      <c r="L74" s="8">
        <v>36</v>
      </c>
      <c r="M74" s="8">
        <v>36</v>
      </c>
      <c r="N74" s="20"/>
      <c r="O74" s="20"/>
      <c r="P74" s="152">
        <v>14</v>
      </c>
      <c r="Q74" s="152">
        <v>14</v>
      </c>
      <c r="R74" s="124">
        <v>2</v>
      </c>
      <c r="S74" s="143"/>
      <c r="T74" s="149">
        <v>7</v>
      </c>
      <c r="U74" s="149">
        <v>7</v>
      </c>
      <c r="V74" s="20"/>
      <c r="W74" s="20"/>
      <c r="X74" s="136"/>
      <c r="Y74" s="136"/>
      <c r="Z74" s="145">
        <f t="shared" si="6"/>
        <v>2</v>
      </c>
      <c r="AA74" s="140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24">
        <v>69</v>
      </c>
      <c r="F75" s="124"/>
      <c r="G75" s="143"/>
      <c r="H75" s="149">
        <v>13</v>
      </c>
      <c r="I75" s="149">
        <v>13</v>
      </c>
      <c r="J75" s="20">
        <v>2</v>
      </c>
      <c r="K75" s="19"/>
      <c r="L75" s="8">
        <v>36</v>
      </c>
      <c r="M75" s="8"/>
      <c r="N75" s="20"/>
      <c r="O75" s="20"/>
      <c r="P75" s="152">
        <v>14</v>
      </c>
      <c r="Q75" s="152">
        <v>14</v>
      </c>
      <c r="R75" s="124">
        <v>2</v>
      </c>
      <c r="S75" s="143"/>
      <c r="T75" s="149">
        <v>7</v>
      </c>
      <c r="U75" s="149">
        <v>7</v>
      </c>
      <c r="V75" s="20"/>
      <c r="W75" s="20"/>
      <c r="X75" s="136"/>
      <c r="Y75" s="136"/>
      <c r="Z75" s="145">
        <f t="shared" si="6"/>
        <v>4</v>
      </c>
      <c r="AA75" s="140">
        <f t="shared" si="7"/>
        <v>4</v>
      </c>
      <c r="AB75" s="8">
        <f t="shared" si="4"/>
        <v>1</v>
      </c>
      <c r="AC75" s="23">
        <f t="shared" si="5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24">
        <v>69</v>
      </c>
      <c r="E76" s="124">
        <v>69</v>
      </c>
      <c r="F76" s="124"/>
      <c r="G76" s="143"/>
      <c r="H76" s="149">
        <v>13</v>
      </c>
      <c r="I76" s="149">
        <v>13</v>
      </c>
      <c r="J76" s="20">
        <v>2</v>
      </c>
      <c r="K76" s="19"/>
      <c r="L76" s="8"/>
      <c r="M76" s="8"/>
      <c r="N76" s="20"/>
      <c r="O76" s="20"/>
      <c r="P76" s="152">
        <v>14</v>
      </c>
      <c r="Q76" s="121"/>
      <c r="R76" s="124">
        <v>2</v>
      </c>
      <c r="S76" s="124"/>
      <c r="T76" s="149">
        <v>7</v>
      </c>
      <c r="U76" s="149">
        <v>7</v>
      </c>
      <c r="V76" s="20"/>
      <c r="W76" s="20"/>
      <c r="X76" s="22"/>
      <c r="Y76" s="22"/>
      <c r="Z76" s="145">
        <f t="shared" si="6"/>
        <v>4</v>
      </c>
      <c r="AA76" s="140">
        <f t="shared" si="7"/>
        <v>3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24">
        <v>69</v>
      </c>
      <c r="E77" s="124">
        <v>69</v>
      </c>
      <c r="F77" s="20"/>
      <c r="G77" s="19"/>
      <c r="H77" s="149">
        <v>13</v>
      </c>
      <c r="I77" s="149">
        <v>13</v>
      </c>
      <c r="J77" s="20">
        <v>2</v>
      </c>
      <c r="K77" s="19"/>
      <c r="L77" s="8"/>
      <c r="M77" s="8"/>
      <c r="N77" s="20"/>
      <c r="O77" s="20"/>
      <c r="P77" s="121"/>
      <c r="Q77" s="149">
        <v>66</v>
      </c>
      <c r="R77" s="124"/>
      <c r="S77" s="124"/>
      <c r="T77" s="149">
        <v>7</v>
      </c>
      <c r="U77" s="8">
        <v>62</v>
      </c>
      <c r="V77" s="20"/>
      <c r="W77" s="20" t="s">
        <v>164</v>
      </c>
      <c r="X77" s="22"/>
      <c r="Y77" s="22"/>
      <c r="Z77" s="145">
        <f t="shared" si="6"/>
        <v>2</v>
      </c>
      <c r="AA77" s="140">
        <f t="shared" si="7"/>
        <v>4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24">
        <v>69</v>
      </c>
      <c r="E78" s="149">
        <v>19</v>
      </c>
      <c r="F78" s="20"/>
      <c r="G78" s="19" t="s">
        <v>32</v>
      </c>
      <c r="H78" s="149">
        <v>13</v>
      </c>
      <c r="I78" s="149">
        <v>13</v>
      </c>
      <c r="J78" s="20">
        <v>2</v>
      </c>
      <c r="K78" s="19"/>
      <c r="L78" s="8"/>
      <c r="M78" s="8"/>
      <c r="N78" s="20"/>
      <c r="O78" s="20"/>
      <c r="P78" s="149">
        <v>66</v>
      </c>
      <c r="Q78" s="149">
        <v>66</v>
      </c>
      <c r="R78" s="124">
        <v>2</v>
      </c>
      <c r="S78" s="124"/>
      <c r="T78" s="8">
        <v>62</v>
      </c>
      <c r="U78" s="8">
        <v>62</v>
      </c>
      <c r="V78" s="20"/>
      <c r="W78" s="20"/>
      <c r="X78" s="22"/>
      <c r="Y78" s="22"/>
      <c r="Z78" s="145">
        <f t="shared" si="6"/>
        <v>4</v>
      </c>
      <c r="AA78" s="140">
        <f t="shared" si="7"/>
        <v>4</v>
      </c>
      <c r="AB78" s="8">
        <f t="shared" si="4"/>
        <v>1</v>
      </c>
      <c r="AC78" s="23">
        <f t="shared" si="5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9">
        <v>19</v>
      </c>
      <c r="E79" s="149">
        <v>19</v>
      </c>
      <c r="F79" s="20">
        <v>1</v>
      </c>
      <c r="G79" s="19"/>
      <c r="H79" s="149">
        <v>13</v>
      </c>
      <c r="I79" s="149">
        <v>13</v>
      </c>
      <c r="J79" s="20">
        <v>2</v>
      </c>
      <c r="K79" s="19"/>
      <c r="L79" s="8"/>
      <c r="M79" s="148">
        <v>43</v>
      </c>
      <c r="N79" s="20"/>
      <c r="O79" s="20" t="s">
        <v>164</v>
      </c>
      <c r="P79" s="149">
        <v>66</v>
      </c>
      <c r="Q79" s="149">
        <v>66</v>
      </c>
      <c r="R79" s="124">
        <v>2</v>
      </c>
      <c r="S79" s="124"/>
      <c r="T79" s="8">
        <v>62</v>
      </c>
      <c r="U79" s="8">
        <v>62</v>
      </c>
      <c r="V79" s="20"/>
      <c r="W79" s="20"/>
      <c r="X79" s="22"/>
      <c r="Y79" s="22"/>
      <c r="Z79" s="145">
        <f t="shared" si="6"/>
        <v>5</v>
      </c>
      <c r="AA79" s="140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9">
        <v>19</v>
      </c>
      <c r="E80" s="149">
        <v>19</v>
      </c>
      <c r="F80" s="20">
        <v>1</v>
      </c>
      <c r="G80" s="19"/>
      <c r="H80" s="149">
        <v>13</v>
      </c>
      <c r="I80" s="149">
        <v>13</v>
      </c>
      <c r="J80" s="20">
        <v>2</v>
      </c>
      <c r="K80" s="19"/>
      <c r="L80" s="148">
        <v>43</v>
      </c>
      <c r="M80" s="148">
        <v>43</v>
      </c>
      <c r="N80" s="20">
        <v>3</v>
      </c>
      <c r="O80" s="20"/>
      <c r="P80" s="149">
        <v>66</v>
      </c>
      <c r="Q80" s="149">
        <v>66</v>
      </c>
      <c r="R80" s="124">
        <v>2</v>
      </c>
      <c r="S80" s="124"/>
      <c r="T80" s="8">
        <v>62</v>
      </c>
      <c r="U80" s="8">
        <v>62</v>
      </c>
      <c r="V80" s="20"/>
      <c r="W80" s="20"/>
      <c r="X80" s="22"/>
      <c r="Y80" s="22"/>
      <c r="Z80" s="145">
        <f t="shared" si="6"/>
        <v>8</v>
      </c>
      <c r="AA80" s="140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9">
        <v>19</v>
      </c>
      <c r="E81" s="149">
        <v>19</v>
      </c>
      <c r="F81" s="20">
        <v>1</v>
      </c>
      <c r="G81" s="19"/>
      <c r="H81" s="149">
        <v>13</v>
      </c>
      <c r="I81" s="8">
        <v>81</v>
      </c>
      <c r="J81" s="20">
        <v>2</v>
      </c>
      <c r="K81" s="19"/>
      <c r="L81" s="148">
        <v>43</v>
      </c>
      <c r="M81" s="148">
        <v>43</v>
      </c>
      <c r="N81" s="20">
        <v>3</v>
      </c>
      <c r="O81" s="20"/>
      <c r="P81" s="149">
        <v>66</v>
      </c>
      <c r="Q81" s="149">
        <v>66</v>
      </c>
      <c r="R81" s="124">
        <v>2</v>
      </c>
      <c r="S81" s="124"/>
      <c r="T81" s="8">
        <v>62</v>
      </c>
      <c r="U81" s="8">
        <v>62</v>
      </c>
      <c r="V81" s="20"/>
      <c r="W81" s="20"/>
      <c r="X81" s="22"/>
      <c r="Y81" s="22"/>
      <c r="Z81" s="145">
        <f t="shared" si="6"/>
        <v>8</v>
      </c>
      <c r="AA81" s="140">
        <f t="shared" si="7"/>
        <v>5</v>
      </c>
      <c r="AB81" s="8">
        <f t="shared" si="8"/>
        <v>1</v>
      </c>
      <c r="AC81" s="23">
        <f t="shared" si="9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9">
        <v>19</v>
      </c>
      <c r="E82" s="149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8">
        <v>43</v>
      </c>
      <c r="M82" s="8"/>
      <c r="N82" s="20">
        <v>3</v>
      </c>
      <c r="O82" s="20"/>
      <c r="P82" s="149">
        <v>66</v>
      </c>
      <c r="Q82" s="149">
        <v>66</v>
      </c>
      <c r="R82" s="124">
        <v>2</v>
      </c>
      <c r="S82" s="124"/>
      <c r="T82" s="8">
        <v>62</v>
      </c>
      <c r="U82" s="8">
        <v>62</v>
      </c>
      <c r="V82" s="20"/>
      <c r="W82" s="20"/>
      <c r="X82" s="22"/>
      <c r="Y82" s="22"/>
      <c r="Z82" s="145">
        <f t="shared" si="6"/>
        <v>8</v>
      </c>
      <c r="AA82" s="140">
        <f t="shared" si="7"/>
        <v>4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9">
        <v>19</v>
      </c>
      <c r="E83" s="149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9">
        <v>66</v>
      </c>
      <c r="Q83" s="149">
        <v>66</v>
      </c>
      <c r="R83" s="124">
        <v>2</v>
      </c>
      <c r="S83" s="124"/>
      <c r="T83" s="8">
        <v>62</v>
      </c>
      <c r="U83" s="8">
        <v>62</v>
      </c>
      <c r="V83" s="20"/>
      <c r="W83" s="20"/>
      <c r="X83" s="22"/>
      <c r="Y83" s="22"/>
      <c r="Z83" s="145">
        <f t="shared" si="6"/>
        <v>5</v>
      </c>
      <c r="AA83" s="140">
        <f t="shared" si="7"/>
        <v>4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9">
        <v>19</v>
      </c>
      <c r="E84" s="149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9">
        <v>66</v>
      </c>
      <c r="Q84" s="149">
        <v>66</v>
      </c>
      <c r="R84" s="124">
        <v>2</v>
      </c>
      <c r="S84" s="124"/>
      <c r="T84" s="8">
        <v>62</v>
      </c>
      <c r="U84" s="8">
        <v>62</v>
      </c>
      <c r="V84" s="20"/>
      <c r="W84" s="20"/>
      <c r="X84" s="22"/>
      <c r="Y84" s="22"/>
      <c r="Z84" s="145">
        <f t="shared" si="6"/>
        <v>5</v>
      </c>
      <c r="AA84" s="140">
        <f t="shared" si="7"/>
        <v>4</v>
      </c>
      <c r="AB84" s="8">
        <f t="shared" si="8"/>
        <v>1</v>
      </c>
      <c r="AC84" s="23">
        <f t="shared" si="9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9">
        <v>19</v>
      </c>
      <c r="E85" s="149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233</v>
      </c>
      <c r="P85" s="149">
        <v>66</v>
      </c>
      <c r="Q85" s="148">
        <v>1</v>
      </c>
      <c r="R85" s="20">
        <v>2</v>
      </c>
      <c r="S85" s="124"/>
      <c r="T85" s="121">
        <v>62</v>
      </c>
      <c r="U85" s="121">
        <v>62</v>
      </c>
      <c r="V85" s="121"/>
      <c r="W85" s="20"/>
      <c r="X85" s="22"/>
      <c r="Y85" s="22"/>
      <c r="Z85" s="145">
        <f t="shared" si="6"/>
        <v>3</v>
      </c>
      <c r="AA85" s="140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9">
        <v>19</v>
      </c>
      <c r="E86" s="149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8">
        <v>1</v>
      </c>
      <c r="Q86" s="148">
        <v>1</v>
      </c>
      <c r="R86" s="20">
        <v>2</v>
      </c>
      <c r="S86" s="124"/>
      <c r="T86" s="121">
        <v>62</v>
      </c>
      <c r="U86" s="121">
        <v>62</v>
      </c>
      <c r="V86" s="121"/>
      <c r="W86" s="20"/>
      <c r="X86" s="22"/>
      <c r="Y86" s="22"/>
      <c r="Z86" s="145">
        <f t="shared" si="6"/>
        <v>5</v>
      </c>
      <c r="AA86" s="140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9">
        <v>19</v>
      </c>
      <c r="E87" s="149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8">
        <v>1</v>
      </c>
      <c r="Q87" s="148">
        <v>1</v>
      </c>
      <c r="R87" s="20">
        <v>2</v>
      </c>
      <c r="S87" s="124"/>
      <c r="T87" s="121">
        <v>62</v>
      </c>
      <c r="U87" s="121">
        <v>62</v>
      </c>
      <c r="V87" s="121"/>
      <c r="W87" s="20"/>
      <c r="X87" s="22"/>
      <c r="Y87" s="22"/>
      <c r="Z87" s="145">
        <f t="shared" si="6"/>
        <v>5</v>
      </c>
      <c r="AA87" s="140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9">
        <v>19</v>
      </c>
      <c r="E88" s="149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8">
        <v>1</v>
      </c>
      <c r="Q88" s="148">
        <v>1</v>
      </c>
      <c r="R88" s="20">
        <v>2</v>
      </c>
      <c r="S88" s="124"/>
      <c r="T88" s="121">
        <v>62</v>
      </c>
      <c r="U88" s="149">
        <v>10</v>
      </c>
      <c r="V88" s="121"/>
      <c r="W88" s="20"/>
      <c r="X88" s="121"/>
      <c r="Y88" s="121"/>
      <c r="Z88" s="145">
        <f t="shared" si="6"/>
        <v>5</v>
      </c>
      <c r="AA88" s="140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49">
        <v>19</v>
      </c>
      <c r="E89" s="149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8">
        <v>1</v>
      </c>
      <c r="Q89" s="148">
        <v>1</v>
      </c>
      <c r="R89" s="20">
        <v>2</v>
      </c>
      <c r="S89" s="124"/>
      <c r="T89" s="149">
        <v>10</v>
      </c>
      <c r="U89" s="149">
        <v>10</v>
      </c>
      <c r="V89" s="121">
        <v>2</v>
      </c>
      <c r="W89" s="20"/>
      <c r="X89" s="121"/>
      <c r="Y89" s="121"/>
      <c r="Z89" s="145">
        <f t="shared" si="6"/>
        <v>7</v>
      </c>
      <c r="AA89" s="140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9">
        <v>19</v>
      </c>
      <c r="E90" s="149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8">
        <v>1</v>
      </c>
      <c r="Q90" s="148">
        <v>1</v>
      </c>
      <c r="R90" s="20">
        <v>2</v>
      </c>
      <c r="S90" s="124"/>
      <c r="T90" s="149">
        <v>10</v>
      </c>
      <c r="U90" s="149">
        <v>10</v>
      </c>
      <c r="V90" s="121">
        <v>2</v>
      </c>
      <c r="W90" s="20"/>
      <c r="X90" s="121"/>
      <c r="Y90" s="121"/>
      <c r="Z90" s="145">
        <f t="shared" si="6"/>
        <v>7</v>
      </c>
      <c r="AA90" s="140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9">
        <v>19</v>
      </c>
      <c r="E91" s="149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8">
        <v>1</v>
      </c>
      <c r="Q91" s="121"/>
      <c r="R91" s="124">
        <v>2</v>
      </c>
      <c r="S91" s="124"/>
      <c r="T91" s="149">
        <v>10</v>
      </c>
      <c r="U91" s="8">
        <v>49</v>
      </c>
      <c r="V91" s="20">
        <v>2</v>
      </c>
      <c r="W91" s="20"/>
      <c r="X91" s="121"/>
      <c r="Y91" s="121"/>
      <c r="Z91" s="145">
        <f t="shared" si="6"/>
        <v>5</v>
      </c>
      <c r="AA91" s="140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9">
        <v>19</v>
      </c>
      <c r="E92" s="8"/>
      <c r="F92" s="20">
        <v>1</v>
      </c>
      <c r="G92" s="19"/>
      <c r="H92" s="8"/>
      <c r="I92" s="149">
        <v>58</v>
      </c>
      <c r="J92" s="20"/>
      <c r="K92" s="19" t="s">
        <v>32</v>
      </c>
      <c r="L92" s="8"/>
      <c r="M92" s="8"/>
      <c r="N92" s="20"/>
      <c r="O92" s="20"/>
      <c r="P92" s="8"/>
      <c r="Q92" s="149">
        <v>58</v>
      </c>
      <c r="R92" s="124"/>
      <c r="S92" s="124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45">
        <f t="shared" si="6"/>
        <v>3</v>
      </c>
      <c r="AA92" s="140">
        <f t="shared" si="7"/>
        <v>3</v>
      </c>
      <c r="AB92" s="8">
        <f t="shared" si="8"/>
        <v>2</v>
      </c>
      <c r="AC92" s="23">
        <f t="shared" si="9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9">
        <v>58</v>
      </c>
      <c r="I93" s="149">
        <v>58</v>
      </c>
      <c r="J93" s="20">
        <v>1</v>
      </c>
      <c r="K93" s="19" t="s">
        <v>298</v>
      </c>
      <c r="L93" s="8"/>
      <c r="M93" s="8">
        <v>30</v>
      </c>
      <c r="N93" s="20"/>
      <c r="O93" s="20" t="s">
        <v>165</v>
      </c>
      <c r="P93" s="149">
        <v>58</v>
      </c>
      <c r="Q93" s="149">
        <v>58</v>
      </c>
      <c r="R93" s="124">
        <v>1</v>
      </c>
      <c r="S93" s="124" t="s">
        <v>298</v>
      </c>
      <c r="T93" s="8">
        <v>49</v>
      </c>
      <c r="U93" s="8">
        <v>49</v>
      </c>
      <c r="V93" s="20">
        <v>2</v>
      </c>
      <c r="W93" s="20"/>
      <c r="X93" s="22"/>
      <c r="Y93" s="22"/>
      <c r="Z93" s="145">
        <f t="shared" si="6"/>
        <v>4</v>
      </c>
      <c r="AA93" s="140">
        <f t="shared" si="7"/>
        <v>5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9">
        <v>58</v>
      </c>
      <c r="I94" s="149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9">
        <v>58</v>
      </c>
      <c r="Q94" s="149">
        <v>58</v>
      </c>
      <c r="R94" s="124">
        <v>1</v>
      </c>
      <c r="S94" s="124"/>
      <c r="T94" s="8">
        <v>49</v>
      </c>
      <c r="U94" s="8">
        <v>49</v>
      </c>
      <c r="V94" s="20">
        <v>2</v>
      </c>
      <c r="W94" s="20"/>
      <c r="X94" s="22"/>
      <c r="Y94" s="22"/>
      <c r="Z94" s="145">
        <f t="shared" si="6"/>
        <v>6</v>
      </c>
      <c r="AA94" s="140">
        <f t="shared" si="7"/>
        <v>5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9">
        <v>58</v>
      </c>
      <c r="I95" s="149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9">
        <v>58</v>
      </c>
      <c r="Q95" s="173">
        <v>57</v>
      </c>
      <c r="R95" s="124">
        <v>1</v>
      </c>
      <c r="S95" s="124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45">
        <f t="shared" si="6"/>
        <v>6</v>
      </c>
      <c r="AA95" s="140">
        <f t="shared" si="7"/>
        <v>5</v>
      </c>
      <c r="AB95" s="8">
        <f t="shared" si="8"/>
        <v>1</v>
      </c>
      <c r="AC95" s="23">
        <f t="shared" si="9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9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72">
        <v>57</v>
      </c>
      <c r="Q96" s="173">
        <v>57</v>
      </c>
      <c r="R96" s="124"/>
      <c r="S96" s="124" t="s">
        <v>297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45">
        <f t="shared" si="6"/>
        <v>5</v>
      </c>
      <c r="AA96" s="140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8"/>
      <c r="F97" s="20"/>
      <c r="G97" s="19"/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72">
        <v>57</v>
      </c>
      <c r="Q97" s="173">
        <v>57</v>
      </c>
      <c r="R97" s="124"/>
      <c r="S97" s="124"/>
      <c r="T97" s="8">
        <v>49</v>
      </c>
      <c r="U97" s="8">
        <v>49</v>
      </c>
      <c r="V97" s="20">
        <v>2</v>
      </c>
      <c r="W97" s="20"/>
      <c r="X97" s="22"/>
      <c r="Y97" s="22"/>
      <c r="Z97" s="145">
        <f t="shared" si="6"/>
        <v>4</v>
      </c>
      <c r="AA97" s="140">
        <f t="shared" si="7"/>
        <v>2</v>
      </c>
      <c r="AB97" s="8">
        <f t="shared" si="8"/>
        <v>0</v>
      </c>
      <c r="AC97" s="23">
        <f t="shared" si="9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8"/>
      <c r="E98" s="8"/>
      <c r="F98" s="20"/>
      <c r="G98" s="19"/>
      <c r="H98" s="14"/>
      <c r="I98" s="8"/>
      <c r="J98" s="20"/>
      <c r="K98" s="19"/>
      <c r="L98" s="8"/>
      <c r="M98" s="8"/>
      <c r="N98" s="20"/>
      <c r="O98" s="20"/>
      <c r="P98" s="172">
        <v>57</v>
      </c>
      <c r="Q98" s="173">
        <v>57</v>
      </c>
      <c r="R98" s="124"/>
      <c r="S98" s="124"/>
      <c r="T98" s="8">
        <v>49</v>
      </c>
      <c r="U98" s="8"/>
      <c r="V98" s="20">
        <v>2</v>
      </c>
      <c r="W98" s="20"/>
      <c r="X98" s="22"/>
      <c r="Y98" s="22"/>
      <c r="Z98" s="145">
        <f t="shared" si="6"/>
        <v>2</v>
      </c>
      <c r="AA98" s="140">
        <f t="shared" si="7"/>
        <v>1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8"/>
      <c r="E99" s="8"/>
      <c r="F99" s="20"/>
      <c r="G99" s="19"/>
      <c r="H99" s="14"/>
      <c r="I99" s="149">
        <v>74</v>
      </c>
      <c r="J99" s="20"/>
      <c r="K99" s="19"/>
      <c r="L99" s="8"/>
      <c r="M99" s="149">
        <v>74</v>
      </c>
      <c r="N99" s="20"/>
      <c r="O99" s="20"/>
      <c r="P99" s="172">
        <v>57</v>
      </c>
      <c r="Q99" s="173">
        <v>57</v>
      </c>
      <c r="R99" s="124"/>
      <c r="S99" s="124"/>
      <c r="T99" s="8"/>
      <c r="U99" s="8"/>
      <c r="V99" s="20"/>
      <c r="W99" s="20"/>
      <c r="X99" s="22"/>
      <c r="Y99" s="22"/>
      <c r="Z99" s="145">
        <f t="shared" si="6"/>
        <v>0</v>
      </c>
      <c r="AA99" s="140">
        <f t="shared" si="7"/>
        <v>3</v>
      </c>
      <c r="AB99" s="8">
        <f t="shared" si="8"/>
        <v>2</v>
      </c>
      <c r="AC99" s="23">
        <f t="shared" si="9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0"/>
      <c r="E100" s="148">
        <v>11</v>
      </c>
      <c r="F100" s="20"/>
      <c r="G100" s="19" t="s">
        <v>164</v>
      </c>
      <c r="H100" s="151">
        <v>74</v>
      </c>
      <c r="I100" s="149">
        <v>74</v>
      </c>
      <c r="J100" s="20">
        <v>2</v>
      </c>
      <c r="K100" s="19"/>
      <c r="L100" s="149">
        <v>74</v>
      </c>
      <c r="M100" s="149">
        <v>74</v>
      </c>
      <c r="N100" s="20">
        <v>1</v>
      </c>
      <c r="O100" s="20"/>
      <c r="P100" s="172">
        <v>57</v>
      </c>
      <c r="Q100" s="173">
        <v>57</v>
      </c>
      <c r="R100" s="124"/>
      <c r="S100" s="124"/>
      <c r="T100" s="8"/>
      <c r="U100" s="8">
        <v>50</v>
      </c>
      <c r="V100" s="20"/>
      <c r="W100" s="20"/>
      <c r="X100" s="22"/>
      <c r="Y100" s="22"/>
      <c r="Z100" s="145">
        <f t="shared" si="6"/>
        <v>3</v>
      </c>
      <c r="AA100" s="140">
        <f t="shared" si="7"/>
        <v>5</v>
      </c>
      <c r="AB100" s="8">
        <f t="shared" si="8"/>
        <v>2</v>
      </c>
      <c r="AC100" s="23">
        <f t="shared" si="9"/>
        <v>0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8">
        <v>11</v>
      </c>
      <c r="E101" s="148">
        <v>11</v>
      </c>
      <c r="F101" s="20"/>
      <c r="G101" s="19" t="s">
        <v>163</v>
      </c>
      <c r="H101" s="151">
        <v>74</v>
      </c>
      <c r="I101" s="149">
        <v>74</v>
      </c>
      <c r="J101" s="20">
        <v>2</v>
      </c>
      <c r="K101" s="19"/>
      <c r="L101" s="149">
        <v>74</v>
      </c>
      <c r="M101" s="149">
        <v>74</v>
      </c>
      <c r="N101" s="20">
        <v>1</v>
      </c>
      <c r="O101" s="20"/>
      <c r="P101" s="172">
        <v>57</v>
      </c>
      <c r="Q101" s="8"/>
      <c r="R101" s="124"/>
      <c r="S101" s="124"/>
      <c r="T101" s="8">
        <v>50</v>
      </c>
      <c r="U101" s="8">
        <v>50</v>
      </c>
      <c r="V101" s="20">
        <v>2</v>
      </c>
      <c r="W101" s="20"/>
      <c r="X101" s="22"/>
      <c r="Y101" s="22"/>
      <c r="Z101" s="145">
        <f t="shared" si="6"/>
        <v>5</v>
      </c>
      <c r="AA101" s="140">
        <f t="shared" si="7"/>
        <v>4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8">
        <v>11</v>
      </c>
      <c r="E102" s="148">
        <v>11</v>
      </c>
      <c r="F102" s="20"/>
      <c r="G102" s="19"/>
      <c r="H102" s="149">
        <v>74</v>
      </c>
      <c r="I102" s="149">
        <v>74</v>
      </c>
      <c r="J102" s="20">
        <v>2</v>
      </c>
      <c r="K102" s="19"/>
      <c r="L102" s="149">
        <v>74</v>
      </c>
      <c r="M102" s="149">
        <v>74</v>
      </c>
      <c r="N102" s="20">
        <v>1</v>
      </c>
      <c r="O102" s="20"/>
      <c r="P102" s="8"/>
      <c r="Q102" s="8"/>
      <c r="R102" s="124"/>
      <c r="S102" s="124"/>
      <c r="T102" s="8">
        <v>50</v>
      </c>
      <c r="U102" s="8">
        <v>50</v>
      </c>
      <c r="V102" s="20">
        <v>2</v>
      </c>
      <c r="W102" s="20"/>
      <c r="X102" s="22"/>
      <c r="Y102" s="22"/>
      <c r="Z102" s="145">
        <f t="shared" si="6"/>
        <v>5</v>
      </c>
      <c r="AA102" s="140">
        <f t="shared" si="7"/>
        <v>4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8">
        <v>11</v>
      </c>
      <c r="E103" s="148">
        <v>11</v>
      </c>
      <c r="F103" s="20"/>
      <c r="G103" s="19"/>
      <c r="H103" s="149">
        <v>74</v>
      </c>
      <c r="I103" s="8">
        <v>32</v>
      </c>
      <c r="J103" s="20">
        <v>2</v>
      </c>
      <c r="K103" s="19" t="s">
        <v>162</v>
      </c>
      <c r="L103" s="149">
        <v>74</v>
      </c>
      <c r="M103" s="166">
        <v>33</v>
      </c>
      <c r="N103" s="20">
        <v>1</v>
      </c>
      <c r="O103" s="20" t="s">
        <v>32</v>
      </c>
      <c r="P103" s="8"/>
      <c r="Q103" s="8">
        <v>45</v>
      </c>
      <c r="R103" s="124"/>
      <c r="S103" s="124"/>
      <c r="T103" s="8">
        <v>50</v>
      </c>
      <c r="U103" s="8">
        <v>50</v>
      </c>
      <c r="V103" s="20">
        <v>2</v>
      </c>
      <c r="W103" s="20"/>
      <c r="X103" s="22"/>
      <c r="Y103" s="22"/>
      <c r="Z103" s="145">
        <f t="shared" si="6"/>
        <v>5</v>
      </c>
      <c r="AA103" s="140">
        <f t="shared" si="7"/>
        <v>5</v>
      </c>
      <c r="AB103" s="8">
        <f t="shared" si="8"/>
        <v>3</v>
      </c>
      <c r="AC103" s="23">
        <f t="shared" si="9"/>
        <v>2</v>
      </c>
      <c r="AD103" s="18"/>
    </row>
    <row r="104" spans="1:30" ht="30" customHeight="1" x14ac:dyDescent="0.35">
      <c r="A104" s="6" t="s">
        <v>166</v>
      </c>
      <c r="B104" s="6" t="s">
        <v>126</v>
      </c>
      <c r="C104" s="7">
        <v>46241</v>
      </c>
      <c r="D104" s="148">
        <v>11</v>
      </c>
      <c r="E104" s="148">
        <v>11</v>
      </c>
      <c r="F104" s="20"/>
      <c r="G104" s="19"/>
      <c r="H104" s="155">
        <v>32</v>
      </c>
      <c r="I104" s="155">
        <v>32</v>
      </c>
      <c r="J104" s="155">
        <v>2</v>
      </c>
      <c r="K104" s="156" t="s">
        <v>163</v>
      </c>
      <c r="L104" s="166">
        <v>33</v>
      </c>
      <c r="M104" s="166">
        <v>33</v>
      </c>
      <c r="N104" s="155">
        <v>1</v>
      </c>
      <c r="O104" s="155" t="s">
        <v>163</v>
      </c>
      <c r="P104" s="8">
        <v>45</v>
      </c>
      <c r="Q104" s="155">
        <v>45</v>
      </c>
      <c r="R104" s="155">
        <v>2</v>
      </c>
      <c r="S104" s="155"/>
      <c r="T104" s="8">
        <v>50</v>
      </c>
      <c r="U104" s="155"/>
      <c r="V104" s="155">
        <v>2</v>
      </c>
      <c r="W104" s="155"/>
      <c r="X104" s="22"/>
      <c r="Y104" s="22"/>
      <c r="Z104" s="145">
        <f t="shared" si="6"/>
        <v>7</v>
      </c>
      <c r="AA104" s="140">
        <f t="shared" si="7"/>
        <v>4</v>
      </c>
      <c r="AB104" s="8">
        <f t="shared" si="8"/>
        <v>0</v>
      </c>
      <c r="AC104" s="23">
        <f t="shared" si="9"/>
        <v>1</v>
      </c>
      <c r="AD104" s="18"/>
    </row>
    <row r="105" spans="1:30" ht="30" customHeight="1" x14ac:dyDescent="0.35">
      <c r="A105" s="6" t="s">
        <v>166</v>
      </c>
      <c r="B105" s="6" t="s">
        <v>127</v>
      </c>
      <c r="C105" s="7">
        <v>46242</v>
      </c>
      <c r="D105" s="148">
        <v>11</v>
      </c>
      <c r="E105" s="8"/>
      <c r="F105" s="20"/>
      <c r="G105" s="19"/>
      <c r="H105" s="155">
        <v>32</v>
      </c>
      <c r="I105" s="155">
        <v>32</v>
      </c>
      <c r="J105" s="155">
        <v>2</v>
      </c>
      <c r="K105" s="156"/>
      <c r="L105" s="166">
        <v>33</v>
      </c>
      <c r="M105" s="166">
        <v>33</v>
      </c>
      <c r="N105" s="155">
        <v>1</v>
      </c>
      <c r="O105" s="155"/>
      <c r="P105" s="155">
        <v>45</v>
      </c>
      <c r="Q105" s="155">
        <v>45</v>
      </c>
      <c r="R105" s="155">
        <v>2</v>
      </c>
      <c r="S105" s="155"/>
      <c r="T105" s="155"/>
      <c r="U105" s="155"/>
      <c r="V105" s="155"/>
      <c r="W105" s="155"/>
      <c r="X105" s="22"/>
      <c r="Y105" s="22"/>
      <c r="Z105" s="145">
        <f t="shared" si="6"/>
        <v>5</v>
      </c>
      <c r="AA105" s="140">
        <f t="shared" si="7"/>
        <v>3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66">
        <v>33</v>
      </c>
      <c r="M106" s="166">
        <v>33</v>
      </c>
      <c r="N106" s="20">
        <v>1</v>
      </c>
      <c r="O106" s="20"/>
      <c r="P106" s="155">
        <v>45</v>
      </c>
      <c r="Q106" s="8"/>
      <c r="R106" s="124">
        <v>2</v>
      </c>
      <c r="S106" s="124"/>
      <c r="T106" s="8"/>
      <c r="U106" s="8"/>
      <c r="V106" s="20"/>
      <c r="W106" s="20"/>
      <c r="X106" s="22"/>
      <c r="Y106" s="22"/>
      <c r="Z106" s="145">
        <f t="shared" si="6"/>
        <v>5</v>
      </c>
      <c r="AA106" s="140">
        <f t="shared" si="7"/>
        <v>2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/>
      <c r="H107" s="8">
        <v>32</v>
      </c>
      <c r="I107" s="8">
        <v>32</v>
      </c>
      <c r="J107" s="20">
        <v>2</v>
      </c>
      <c r="K107" s="19"/>
      <c r="L107" s="166">
        <v>33</v>
      </c>
      <c r="M107" s="166">
        <v>33</v>
      </c>
      <c r="N107" s="20">
        <v>1</v>
      </c>
      <c r="O107" s="20"/>
      <c r="P107" s="8"/>
      <c r="Q107" s="8"/>
      <c r="R107" s="124"/>
      <c r="S107" s="124"/>
      <c r="T107" s="8"/>
      <c r="U107" s="8"/>
      <c r="V107" s="20"/>
      <c r="W107" s="20"/>
      <c r="X107" s="22"/>
      <c r="Y107" s="22"/>
      <c r="Z107" s="145">
        <f t="shared" si="6"/>
        <v>3</v>
      </c>
      <c r="AA107" s="140">
        <f t="shared" si="7"/>
        <v>3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66">
        <v>33</v>
      </c>
      <c r="M108" s="166">
        <v>33</v>
      </c>
      <c r="N108" s="2">
        <v>1</v>
      </c>
      <c r="O108" s="20"/>
      <c r="P108" s="8"/>
      <c r="Q108" s="8"/>
      <c r="R108" s="124"/>
      <c r="S108" s="124"/>
      <c r="T108" s="8"/>
      <c r="U108" s="8"/>
      <c r="V108" s="20"/>
      <c r="W108" s="20"/>
      <c r="X108" s="22"/>
      <c r="Y108" s="22"/>
      <c r="Z108" s="145">
        <f>F108+J108+N109+R108+V108</f>
        <v>5</v>
      </c>
      <c r="AA108" s="140">
        <f t="shared" si="7"/>
        <v>3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66">
        <v>33</v>
      </c>
      <c r="M109" s="166">
        <v>33</v>
      </c>
      <c r="N109" s="20">
        <v>1</v>
      </c>
      <c r="O109" s="20"/>
      <c r="P109" s="8"/>
      <c r="Q109" s="149">
        <v>4</v>
      </c>
      <c r="R109" s="124"/>
      <c r="S109" s="124"/>
      <c r="T109" s="8"/>
      <c r="U109" s="149">
        <v>4</v>
      </c>
      <c r="V109" s="20"/>
      <c r="W109" s="20"/>
      <c r="X109" s="22"/>
      <c r="Y109" s="22"/>
      <c r="Z109" s="145">
        <f>F109+J109+N110+R109+V109</f>
        <v>5</v>
      </c>
      <c r="AA109" s="140">
        <f t="shared" si="7"/>
        <v>5</v>
      </c>
      <c r="AB109" s="8">
        <f t="shared" si="8"/>
        <v>2</v>
      </c>
      <c r="AC109" s="23">
        <f t="shared" si="9"/>
        <v>0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66">
        <v>33</v>
      </c>
      <c r="M110" s="8">
        <v>23</v>
      </c>
      <c r="N110" s="20">
        <v>1</v>
      </c>
      <c r="O110" s="20"/>
      <c r="P110" s="149">
        <v>4</v>
      </c>
      <c r="Q110" s="149">
        <v>4</v>
      </c>
      <c r="R110" s="124">
        <v>2</v>
      </c>
      <c r="S110" s="124"/>
      <c r="T110" s="149">
        <v>4</v>
      </c>
      <c r="U110" s="149">
        <v>4</v>
      </c>
      <c r="V110" s="20">
        <v>2</v>
      </c>
      <c r="W110" s="20"/>
      <c r="X110" s="22"/>
      <c r="Y110" s="22"/>
      <c r="Z110" s="145">
        <f t="shared" si="6"/>
        <v>9</v>
      </c>
      <c r="AA110" s="140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9">
        <v>4</v>
      </c>
      <c r="Q111" s="149">
        <v>4</v>
      </c>
      <c r="R111" s="124">
        <v>2</v>
      </c>
      <c r="S111" s="124"/>
      <c r="T111" s="149">
        <v>4</v>
      </c>
      <c r="U111" s="149">
        <v>4</v>
      </c>
      <c r="V111" s="20">
        <v>2</v>
      </c>
      <c r="W111" s="20"/>
      <c r="X111" s="22"/>
      <c r="Y111" s="22"/>
      <c r="Z111" s="145">
        <f t="shared" si="6"/>
        <v>8</v>
      </c>
      <c r="AA111" s="140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9">
        <v>4</v>
      </c>
      <c r="Q112" s="149">
        <v>4</v>
      </c>
      <c r="R112" s="124">
        <v>2</v>
      </c>
      <c r="S112" s="124"/>
      <c r="T112" s="149">
        <v>4</v>
      </c>
      <c r="U112" s="149">
        <v>4</v>
      </c>
      <c r="V112" s="20">
        <v>2</v>
      </c>
      <c r="W112" s="20"/>
      <c r="X112" s="22"/>
      <c r="Y112" s="22"/>
      <c r="Z112" s="145">
        <f t="shared" si="6"/>
        <v>6</v>
      </c>
      <c r="AA112" s="140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66">
        <v>46</v>
      </c>
      <c r="J113" s="20"/>
      <c r="K113" s="19"/>
      <c r="L113" s="8">
        <v>23</v>
      </c>
      <c r="M113" s="8"/>
      <c r="N113" s="20">
        <v>2</v>
      </c>
      <c r="O113" s="20"/>
      <c r="P113" s="149">
        <v>4</v>
      </c>
      <c r="Q113" s="165">
        <v>51</v>
      </c>
      <c r="R113" s="124">
        <v>2</v>
      </c>
      <c r="S113" s="124"/>
      <c r="T113" s="149">
        <v>4</v>
      </c>
      <c r="U113" s="8"/>
      <c r="V113" s="20">
        <v>2</v>
      </c>
      <c r="W113" s="20"/>
      <c r="X113" s="22"/>
      <c r="Y113" s="22"/>
      <c r="Z113" s="145">
        <f t="shared" si="6"/>
        <v>6</v>
      </c>
      <c r="AA113" s="140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66">
        <v>46</v>
      </c>
      <c r="I114" s="166">
        <v>46</v>
      </c>
      <c r="J114" s="20"/>
      <c r="K114" s="19"/>
      <c r="L114" s="14"/>
      <c r="M114" s="8">
        <v>52</v>
      </c>
      <c r="N114" s="20"/>
      <c r="O114" s="20"/>
      <c r="P114" s="169">
        <v>51</v>
      </c>
      <c r="Q114" s="165">
        <v>51</v>
      </c>
      <c r="R114" s="124">
        <v>2</v>
      </c>
      <c r="S114" s="124" t="s">
        <v>274</v>
      </c>
      <c r="T114" s="8"/>
      <c r="U114" s="149">
        <v>21</v>
      </c>
      <c r="V114" s="20"/>
      <c r="W114" s="20" t="s">
        <v>165</v>
      </c>
      <c r="X114" s="22"/>
      <c r="Y114" s="22"/>
      <c r="Z114" s="145">
        <f t="shared" si="6"/>
        <v>2</v>
      </c>
      <c r="AA114" s="140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66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9">
        <v>51</v>
      </c>
      <c r="Q115" s="165">
        <v>51</v>
      </c>
      <c r="R115" s="124">
        <v>2</v>
      </c>
      <c r="S115" s="124"/>
      <c r="T115" s="149">
        <v>21</v>
      </c>
      <c r="U115" s="149">
        <v>21</v>
      </c>
      <c r="V115" s="20">
        <v>2</v>
      </c>
      <c r="W115" s="20" t="s">
        <v>275</v>
      </c>
      <c r="X115" s="22"/>
      <c r="Y115" s="22"/>
      <c r="Z115" s="145">
        <f t="shared" si="6"/>
        <v>8</v>
      </c>
      <c r="AA115" s="140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9">
        <v>51</v>
      </c>
      <c r="Q116" s="165">
        <v>51</v>
      </c>
      <c r="R116" s="124">
        <v>2</v>
      </c>
      <c r="S116" s="124"/>
      <c r="T116" s="149">
        <v>21</v>
      </c>
      <c r="U116" s="149">
        <v>21</v>
      </c>
      <c r="V116" s="20">
        <v>2</v>
      </c>
      <c r="W116" s="20"/>
      <c r="X116" s="22"/>
      <c r="Y116" s="22"/>
      <c r="Z116" s="145">
        <f t="shared" si="6"/>
        <v>8</v>
      </c>
      <c r="AA116" s="140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70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9">
        <v>51</v>
      </c>
      <c r="Q117" s="165">
        <v>51</v>
      </c>
      <c r="R117" s="124">
        <v>2</v>
      </c>
      <c r="S117" s="124"/>
      <c r="T117" s="149">
        <v>21</v>
      </c>
      <c r="U117" s="149">
        <v>21</v>
      </c>
      <c r="V117" s="20">
        <v>2</v>
      </c>
      <c r="W117" s="20"/>
      <c r="X117" s="22"/>
      <c r="Y117" s="170">
        <v>54</v>
      </c>
      <c r="Z117" s="145">
        <f t="shared" si="6"/>
        <v>8</v>
      </c>
      <c r="AA117" s="140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71">
        <v>54</v>
      </c>
      <c r="I118" s="170">
        <v>54</v>
      </c>
      <c r="J118" s="20">
        <v>2</v>
      </c>
      <c r="K118" s="19"/>
      <c r="L118" s="14">
        <v>52</v>
      </c>
      <c r="M118" s="170">
        <v>54</v>
      </c>
      <c r="N118" s="20">
        <v>2</v>
      </c>
      <c r="O118" s="20"/>
      <c r="P118" s="169">
        <v>51</v>
      </c>
      <c r="Q118" s="8"/>
      <c r="R118" s="124">
        <v>2</v>
      </c>
      <c r="S118" s="124"/>
      <c r="T118" s="149">
        <v>21</v>
      </c>
      <c r="U118" s="149">
        <v>21</v>
      </c>
      <c r="V118" s="20">
        <v>2</v>
      </c>
      <c r="W118" s="20"/>
      <c r="X118" s="170">
        <v>54</v>
      </c>
      <c r="Y118" s="22"/>
      <c r="Z118" s="145">
        <f t="shared" si="6"/>
        <v>10</v>
      </c>
      <c r="AA118" s="140">
        <f t="shared" si="7"/>
        <v>3</v>
      </c>
      <c r="AB118" s="8">
        <f t="shared" si="10"/>
        <v>1</v>
      </c>
      <c r="AC118" s="23">
        <f t="shared" si="11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71">
        <v>54</v>
      </c>
      <c r="I119" s="170">
        <v>54</v>
      </c>
      <c r="J119" s="20">
        <v>2</v>
      </c>
      <c r="K119" s="19"/>
      <c r="L119" s="170">
        <v>54</v>
      </c>
      <c r="M119" s="170">
        <v>54</v>
      </c>
      <c r="N119" s="20">
        <v>2</v>
      </c>
      <c r="O119" s="20"/>
      <c r="P119" s="8"/>
      <c r="Q119" s="8"/>
      <c r="R119" s="124"/>
      <c r="S119" s="124" t="s">
        <v>32</v>
      </c>
      <c r="T119" s="149">
        <v>21</v>
      </c>
      <c r="U119" s="8">
        <v>25</v>
      </c>
      <c r="V119" s="124">
        <v>2</v>
      </c>
      <c r="W119" s="124" t="s">
        <v>32</v>
      </c>
      <c r="X119" s="22"/>
      <c r="Y119" s="22"/>
      <c r="Z119" s="145">
        <f t="shared" si="6"/>
        <v>6</v>
      </c>
      <c r="AA119" s="140">
        <f t="shared" si="7"/>
        <v>4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71">
        <v>54</v>
      </c>
      <c r="I120" s="8"/>
      <c r="J120" s="20">
        <v>2</v>
      </c>
      <c r="K120" s="19"/>
      <c r="L120" s="170">
        <v>54</v>
      </c>
      <c r="M120" s="8"/>
      <c r="N120" s="20">
        <v>2</v>
      </c>
      <c r="O120" s="20"/>
      <c r="P120" s="8"/>
      <c r="Q120" s="8"/>
      <c r="R120" s="124"/>
      <c r="S120" s="124" t="s">
        <v>57</v>
      </c>
      <c r="T120" s="8">
        <v>25</v>
      </c>
      <c r="U120" s="8">
        <v>25</v>
      </c>
      <c r="V120" s="124"/>
      <c r="W120" s="124" t="s">
        <v>57</v>
      </c>
      <c r="X120" s="22"/>
      <c r="Y120" s="22"/>
      <c r="Z120" s="145">
        <f t="shared" si="6"/>
        <v>4</v>
      </c>
      <c r="AA120" s="140">
        <f t="shared" si="7"/>
        <v>2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/>
      <c r="Q121" s="8"/>
      <c r="R121" s="124"/>
      <c r="S121" s="124"/>
      <c r="T121" s="8">
        <v>25</v>
      </c>
      <c r="U121" s="8">
        <v>25</v>
      </c>
      <c r="V121" s="124"/>
      <c r="W121" s="124"/>
      <c r="X121" s="22"/>
      <c r="Y121" s="22"/>
      <c r="Z121" s="145">
        <f t="shared" si="6"/>
        <v>0</v>
      </c>
      <c r="AA121" s="140">
        <f t="shared" si="7"/>
        <v>3</v>
      </c>
      <c r="AB121" s="8">
        <f t="shared" si="10"/>
        <v>1</v>
      </c>
      <c r="AC121" s="23">
        <f t="shared" si="11"/>
        <v>0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24"/>
      <c r="S122" s="124"/>
      <c r="T122" s="8">
        <v>25</v>
      </c>
      <c r="U122" s="8">
        <v>25</v>
      </c>
      <c r="V122" s="124"/>
      <c r="W122" s="124"/>
      <c r="X122" s="22"/>
      <c r="Y122" s="22"/>
      <c r="Z122" s="145">
        <f t="shared" si="6"/>
        <v>1</v>
      </c>
      <c r="AA122" s="140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>
        <v>71</v>
      </c>
      <c r="J123" s="124"/>
      <c r="K123" s="124" t="s">
        <v>32</v>
      </c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24"/>
      <c r="S123" s="124"/>
      <c r="T123" s="8">
        <v>25</v>
      </c>
      <c r="U123" s="8">
        <v>25</v>
      </c>
      <c r="V123" s="124"/>
      <c r="W123" s="124"/>
      <c r="X123" s="22"/>
      <c r="Y123" s="22"/>
      <c r="Z123" s="145">
        <f t="shared" si="6"/>
        <v>1</v>
      </c>
      <c r="AA123" s="140">
        <f t="shared" si="7"/>
        <v>5</v>
      </c>
      <c r="AB123" s="8">
        <f t="shared" si="10"/>
        <v>3</v>
      </c>
      <c r="AC123" s="23">
        <f t="shared" si="11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24">
        <v>2</v>
      </c>
      <c r="G124" s="143" t="s">
        <v>163</v>
      </c>
      <c r="H124" s="8">
        <v>71</v>
      </c>
      <c r="I124" s="8">
        <v>71</v>
      </c>
      <c r="J124" s="124"/>
      <c r="K124" s="124" t="s">
        <v>163</v>
      </c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24">
        <v>2</v>
      </c>
      <c r="S124" s="124" t="s">
        <v>163</v>
      </c>
      <c r="T124" s="8">
        <v>25</v>
      </c>
      <c r="U124" s="8"/>
      <c r="V124" s="124"/>
      <c r="W124" s="124"/>
      <c r="X124" s="22"/>
      <c r="Y124" s="22"/>
      <c r="Z124" s="145">
        <f t="shared" si="6"/>
        <v>5</v>
      </c>
      <c r="AA124" s="140">
        <f t="shared" si="7"/>
        <v>4</v>
      </c>
      <c r="AB124" s="8">
        <f t="shared" si="10"/>
        <v>0</v>
      </c>
      <c r="AC124" s="23">
        <f t="shared" si="11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24">
        <v>2</v>
      </c>
      <c r="G125" s="143"/>
      <c r="H125" s="8">
        <v>71</v>
      </c>
      <c r="I125" s="8">
        <v>71</v>
      </c>
      <c r="J125" s="124"/>
      <c r="K125" s="124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24">
        <v>2</v>
      </c>
      <c r="S125" s="124"/>
      <c r="T125" s="149">
        <v>35</v>
      </c>
      <c r="U125" s="149">
        <v>35</v>
      </c>
      <c r="V125" s="124">
        <v>2</v>
      </c>
      <c r="W125" s="124" t="s">
        <v>234</v>
      </c>
      <c r="X125" s="22"/>
      <c r="Y125" s="22"/>
      <c r="Z125" s="145">
        <f t="shared" si="6"/>
        <v>7</v>
      </c>
      <c r="AA125" s="140">
        <f t="shared" si="7"/>
        <v>4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24">
        <v>2</v>
      </c>
      <c r="G126" s="143"/>
      <c r="H126" s="8">
        <v>71</v>
      </c>
      <c r="I126" s="8">
        <v>71</v>
      </c>
      <c r="J126" s="124"/>
      <c r="K126" s="124"/>
      <c r="L126" s="8"/>
      <c r="M126" s="8"/>
      <c r="N126" s="20"/>
      <c r="O126" s="20"/>
      <c r="P126" s="8">
        <v>78</v>
      </c>
      <c r="Q126" s="8">
        <v>78</v>
      </c>
      <c r="R126" s="124">
        <v>2</v>
      </c>
      <c r="S126" s="124"/>
      <c r="T126" s="149">
        <v>35</v>
      </c>
      <c r="U126" s="149">
        <v>35</v>
      </c>
      <c r="V126" s="124">
        <v>2</v>
      </c>
      <c r="W126" s="124"/>
      <c r="X126" s="22"/>
      <c r="Y126" s="22"/>
      <c r="Z126" s="145">
        <f t="shared" si="6"/>
        <v>6</v>
      </c>
      <c r="AA126" s="140">
        <f t="shared" si="7"/>
        <v>4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24">
        <v>2</v>
      </c>
      <c r="G127" s="143"/>
      <c r="H127" s="8">
        <v>71</v>
      </c>
      <c r="I127" s="8"/>
      <c r="J127" s="124"/>
      <c r="K127" s="124"/>
      <c r="L127" s="8"/>
      <c r="M127" s="8"/>
      <c r="N127" s="20"/>
      <c r="O127" s="20"/>
      <c r="P127" s="8">
        <v>78</v>
      </c>
      <c r="Q127" s="8">
        <v>78</v>
      </c>
      <c r="R127" s="124">
        <v>2</v>
      </c>
      <c r="S127" s="124"/>
      <c r="T127" s="149">
        <v>35</v>
      </c>
      <c r="U127" s="149">
        <v>35</v>
      </c>
      <c r="V127" s="124">
        <v>2</v>
      </c>
      <c r="W127" s="124"/>
      <c r="X127" s="22"/>
      <c r="Y127" s="22"/>
      <c r="Z127" s="145">
        <f t="shared" si="6"/>
        <v>6</v>
      </c>
      <c r="AA127" s="140">
        <f t="shared" si="7"/>
        <v>3</v>
      </c>
      <c r="AB127" s="8">
        <f t="shared" si="10"/>
        <v>0</v>
      </c>
      <c r="AC127" s="23">
        <f t="shared" si="11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24">
        <v>2</v>
      </c>
      <c r="G128" s="143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24">
        <v>2</v>
      </c>
      <c r="S128" s="124"/>
      <c r="T128" s="149">
        <v>35</v>
      </c>
      <c r="U128" s="8"/>
      <c r="V128" s="124">
        <v>2</v>
      </c>
      <c r="W128" s="124"/>
      <c r="X128" s="22"/>
      <c r="Y128" s="22"/>
      <c r="Z128" s="145">
        <f t="shared" si="6"/>
        <v>6</v>
      </c>
      <c r="AA128" s="140">
        <f t="shared" si="7"/>
        <v>1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24">
        <v>2</v>
      </c>
      <c r="S129" s="124"/>
      <c r="T129" s="8"/>
      <c r="U129" s="8"/>
      <c r="V129" s="144"/>
      <c r="W129" s="124"/>
      <c r="X129" s="22"/>
      <c r="Y129" s="22"/>
      <c r="Z129" s="145">
        <f t="shared" si="6"/>
        <v>2</v>
      </c>
      <c r="AA129" s="140">
        <f t="shared" si="7"/>
        <v>1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24">
        <v>2</v>
      </c>
      <c r="S130" s="124"/>
      <c r="T130" s="8"/>
      <c r="U130" s="8"/>
      <c r="V130" s="124"/>
      <c r="W130" s="124"/>
      <c r="X130" s="22"/>
      <c r="Y130" s="22"/>
      <c r="Z130" s="145">
        <f t="shared" si="6"/>
        <v>2</v>
      </c>
      <c r="AA130" s="140">
        <f t="shared" si="7"/>
        <v>1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42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24">
        <v>2</v>
      </c>
      <c r="S131" s="124"/>
      <c r="T131" s="8"/>
      <c r="U131" s="8"/>
      <c r="V131" s="124"/>
      <c r="W131" s="124"/>
      <c r="X131" s="22"/>
      <c r="Y131" s="22"/>
      <c r="Z131" s="145">
        <f t="shared" ref="Z131:Z171" si="12">F131+J131+N131+R131+V131</f>
        <v>2</v>
      </c>
      <c r="AA131" s="140">
        <f t="shared" ref="AA131:AA171" si="13">COUNT(E131,I131,M131,Q131,U131)</f>
        <v>0</v>
      </c>
      <c r="AB131" s="8">
        <f t="shared" si="10"/>
        <v>0</v>
      </c>
      <c r="AC131" s="23">
        <f t="shared" si="11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42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24"/>
      <c r="S132" s="124"/>
      <c r="T132" s="8"/>
      <c r="U132" s="8"/>
      <c r="V132" s="124"/>
      <c r="W132" s="124"/>
      <c r="X132" s="22"/>
      <c r="Y132" s="22"/>
      <c r="Z132" s="145">
        <f t="shared" si="12"/>
        <v>0</v>
      </c>
      <c r="AA132" s="140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42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24"/>
      <c r="S133" s="124"/>
      <c r="T133" s="8"/>
      <c r="U133" s="8"/>
      <c r="V133" s="124"/>
      <c r="W133" s="124"/>
      <c r="X133" s="22"/>
      <c r="Y133" s="22"/>
      <c r="Z133" s="145">
        <f t="shared" si="12"/>
        <v>0</v>
      </c>
      <c r="AA133" s="140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42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24"/>
      <c r="S134" s="124"/>
      <c r="T134" s="8"/>
      <c r="U134" s="8">
        <v>22</v>
      </c>
      <c r="V134" s="124"/>
      <c r="W134" s="124"/>
      <c r="X134" s="22"/>
      <c r="Y134" s="22"/>
      <c r="Z134" s="145">
        <f t="shared" si="12"/>
        <v>0</v>
      </c>
      <c r="AA134" s="140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24"/>
      <c r="S135" s="124"/>
      <c r="T135" s="8">
        <v>22</v>
      </c>
      <c r="U135" s="8">
        <v>22</v>
      </c>
      <c r="V135" s="20">
        <v>2</v>
      </c>
      <c r="W135" s="20" t="s">
        <v>233</v>
      </c>
      <c r="X135" s="22"/>
      <c r="Y135" s="22"/>
      <c r="Z135" s="145">
        <f t="shared" si="12"/>
        <v>2</v>
      </c>
      <c r="AA135" s="140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24"/>
      <c r="S136" s="124"/>
      <c r="T136" s="8">
        <v>22</v>
      </c>
      <c r="U136" s="8">
        <v>22</v>
      </c>
      <c r="V136" s="20">
        <v>2</v>
      </c>
      <c r="W136" s="20"/>
      <c r="X136" s="22"/>
      <c r="Y136" s="22"/>
      <c r="Z136" s="145">
        <f t="shared" si="12"/>
        <v>2</v>
      </c>
      <c r="AA136" s="140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24"/>
      <c r="S137" s="124"/>
      <c r="T137" s="8">
        <v>22</v>
      </c>
      <c r="U137" s="8">
        <v>22</v>
      </c>
      <c r="V137" s="20">
        <v>2</v>
      </c>
      <c r="W137" s="20"/>
      <c r="X137" s="22"/>
      <c r="Y137" s="22"/>
      <c r="Z137" s="145">
        <f t="shared" si="12"/>
        <v>2</v>
      </c>
      <c r="AA137" s="140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24"/>
      <c r="S138" s="124"/>
      <c r="T138" s="8">
        <v>22</v>
      </c>
      <c r="U138" s="8">
        <v>22</v>
      </c>
      <c r="V138" s="20">
        <v>2</v>
      </c>
      <c r="W138" s="20"/>
      <c r="X138" s="22"/>
      <c r="Y138" s="22"/>
      <c r="Z138" s="145">
        <f t="shared" si="12"/>
        <v>2</v>
      </c>
      <c r="AA138" s="140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8"/>
      <c r="F139" s="20"/>
      <c r="G139" s="19"/>
      <c r="H139" s="14"/>
      <c r="I139" s="8"/>
      <c r="J139" s="20"/>
      <c r="K139" s="19"/>
      <c r="L139" s="8"/>
      <c r="M139" s="8"/>
      <c r="N139" s="20"/>
      <c r="O139" s="20"/>
      <c r="P139" s="8"/>
      <c r="Q139" s="8"/>
      <c r="R139" s="124"/>
      <c r="S139" s="124"/>
      <c r="T139" s="8">
        <v>22</v>
      </c>
      <c r="U139" s="8">
        <v>22</v>
      </c>
      <c r="V139" s="20">
        <v>2</v>
      </c>
      <c r="W139" s="20"/>
      <c r="X139" s="22"/>
      <c r="Y139" s="22"/>
      <c r="Z139" s="145">
        <f t="shared" si="12"/>
        <v>2</v>
      </c>
      <c r="AA139" s="140">
        <f t="shared" si="13"/>
        <v>1</v>
      </c>
      <c r="AB139" s="8">
        <f t="shared" si="10"/>
        <v>0</v>
      </c>
      <c r="AC139" s="23">
        <f t="shared" si="11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0"/>
      <c r="E140" s="8"/>
      <c r="F140" s="20"/>
      <c r="G140" s="19"/>
      <c r="H140" s="14"/>
      <c r="I140" s="8"/>
      <c r="J140" s="20"/>
      <c r="K140" s="19"/>
      <c r="L140" s="8"/>
      <c r="M140" s="8"/>
      <c r="N140" s="20"/>
      <c r="O140" s="20"/>
      <c r="P140" s="8"/>
      <c r="Q140" s="8"/>
      <c r="R140" s="124"/>
      <c r="S140" s="124"/>
      <c r="T140" s="8">
        <v>22</v>
      </c>
      <c r="U140" s="8">
        <v>22</v>
      </c>
      <c r="V140" s="20">
        <v>2</v>
      </c>
      <c r="W140" s="20"/>
      <c r="X140" s="22"/>
      <c r="Y140" s="22"/>
      <c r="Z140" s="145">
        <f t="shared" si="12"/>
        <v>2</v>
      </c>
      <c r="AA140" s="140">
        <f t="shared" si="13"/>
        <v>1</v>
      </c>
      <c r="AB140" s="8">
        <f t="shared" si="10"/>
        <v>0</v>
      </c>
      <c r="AC140" s="23">
        <f t="shared" si="11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0"/>
      <c r="E141" s="8"/>
      <c r="F141" s="20"/>
      <c r="G141" s="19"/>
      <c r="H141" s="14"/>
      <c r="I141" s="8"/>
      <c r="J141" s="20"/>
      <c r="K141" s="19"/>
      <c r="L141" s="8"/>
      <c r="M141" s="8"/>
      <c r="N141" s="20"/>
      <c r="O141" s="20"/>
      <c r="P141" s="8"/>
      <c r="Q141" s="8"/>
      <c r="R141" s="124"/>
      <c r="S141" s="124"/>
      <c r="T141" s="8">
        <v>22</v>
      </c>
      <c r="U141" s="8">
        <v>22</v>
      </c>
      <c r="V141" s="20">
        <v>2</v>
      </c>
      <c r="W141" s="20"/>
      <c r="X141" s="22"/>
      <c r="Y141" s="22"/>
      <c r="Z141" s="145">
        <f t="shared" si="12"/>
        <v>2</v>
      </c>
      <c r="AA141" s="140">
        <f t="shared" si="13"/>
        <v>1</v>
      </c>
      <c r="AB141" s="8">
        <f t="shared" si="10"/>
        <v>0</v>
      </c>
      <c r="AC141" s="23">
        <f t="shared" si="11"/>
        <v>0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10"/>
      <c r="E142" s="8"/>
      <c r="F142" s="20"/>
      <c r="G142" s="19"/>
      <c r="H142" s="14"/>
      <c r="I142" s="8"/>
      <c r="J142" s="20"/>
      <c r="K142" s="19"/>
      <c r="L142" s="8"/>
      <c r="M142" s="8"/>
      <c r="N142" s="20"/>
      <c r="O142" s="20"/>
      <c r="P142" s="8"/>
      <c r="Q142" s="8"/>
      <c r="R142" s="124"/>
      <c r="S142" s="124"/>
      <c r="T142" s="8">
        <v>22</v>
      </c>
      <c r="U142" s="8">
        <v>22</v>
      </c>
      <c r="V142" s="20">
        <v>2</v>
      </c>
      <c r="W142" s="20"/>
      <c r="X142" s="22"/>
      <c r="Y142" s="22"/>
      <c r="Z142" s="145">
        <f t="shared" si="12"/>
        <v>2</v>
      </c>
      <c r="AA142" s="140">
        <f t="shared" si="13"/>
        <v>1</v>
      </c>
      <c r="AB142" s="8">
        <f t="shared" si="10"/>
        <v>0</v>
      </c>
      <c r="AC142" s="23">
        <f t="shared" si="11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10"/>
      <c r="E143" s="8"/>
      <c r="F143" s="20"/>
      <c r="G143" s="19"/>
      <c r="H143" s="14"/>
      <c r="I143" s="8"/>
      <c r="J143" s="20"/>
      <c r="K143" s="19"/>
      <c r="L143" s="8"/>
      <c r="M143" s="8"/>
      <c r="N143" s="20"/>
      <c r="O143" s="20"/>
      <c r="P143" s="8"/>
      <c r="Q143" s="8"/>
      <c r="R143" s="124"/>
      <c r="S143" s="124"/>
      <c r="T143" s="8">
        <v>22</v>
      </c>
      <c r="U143" s="8">
        <v>22</v>
      </c>
      <c r="V143" s="20">
        <v>2</v>
      </c>
      <c r="W143" s="20"/>
      <c r="X143" s="22"/>
      <c r="Y143" s="22"/>
      <c r="Z143" s="145">
        <f t="shared" si="12"/>
        <v>2</v>
      </c>
      <c r="AA143" s="140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10"/>
      <c r="E144" s="8"/>
      <c r="F144" s="20"/>
      <c r="G144" s="19"/>
      <c r="H144" s="14"/>
      <c r="I144" s="8">
        <v>47</v>
      </c>
      <c r="J144" s="20"/>
      <c r="K144" s="19" t="s">
        <v>165</v>
      </c>
      <c r="L144" s="8"/>
      <c r="M144" s="8"/>
      <c r="N144" s="20"/>
      <c r="O144" s="20"/>
      <c r="P144" s="8"/>
      <c r="Q144" s="8"/>
      <c r="R144" s="124"/>
      <c r="S144" s="124"/>
      <c r="T144" s="8">
        <v>22</v>
      </c>
      <c r="U144" s="8">
        <v>22</v>
      </c>
      <c r="V144" s="20">
        <v>2</v>
      </c>
      <c r="W144" s="20"/>
      <c r="X144" s="22"/>
      <c r="Y144" s="22"/>
      <c r="Z144" s="145">
        <f t="shared" si="12"/>
        <v>2</v>
      </c>
      <c r="AA144" s="140">
        <f t="shared" si="13"/>
        <v>2</v>
      </c>
      <c r="AB144" s="8">
        <f t="shared" si="14"/>
        <v>1</v>
      </c>
      <c r="AC144" s="23">
        <f t="shared" si="15"/>
        <v>0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165</v>
      </c>
      <c r="H145" s="8">
        <v>47</v>
      </c>
      <c r="I145" s="8">
        <v>47</v>
      </c>
      <c r="J145" s="20">
        <v>2</v>
      </c>
      <c r="K145" s="19"/>
      <c r="L145" s="8"/>
      <c r="M145" s="8"/>
      <c r="N145" s="20"/>
      <c r="O145" s="20"/>
      <c r="P145" s="8"/>
      <c r="Q145" s="8">
        <v>42</v>
      </c>
      <c r="R145" s="124"/>
      <c r="S145" s="124" t="s">
        <v>32</v>
      </c>
      <c r="T145" s="8">
        <v>22</v>
      </c>
      <c r="U145" s="8"/>
      <c r="V145" s="20"/>
      <c r="W145" s="20"/>
      <c r="X145" s="22"/>
      <c r="Y145" s="22"/>
      <c r="Z145" s="145">
        <f t="shared" si="12"/>
        <v>2</v>
      </c>
      <c r="AA145" s="140">
        <f t="shared" si="13"/>
        <v>3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8">
        <v>47</v>
      </c>
      <c r="I146" s="8">
        <v>47</v>
      </c>
      <c r="J146" s="20">
        <v>2</v>
      </c>
      <c r="K146" s="19"/>
      <c r="L146" s="8"/>
      <c r="M146" s="8"/>
      <c r="N146" s="20"/>
      <c r="O146" s="20"/>
      <c r="P146" s="8">
        <v>42</v>
      </c>
      <c r="Q146" s="8">
        <v>42</v>
      </c>
      <c r="R146" s="124"/>
      <c r="S146" s="124"/>
      <c r="T146" s="8"/>
      <c r="U146" s="148">
        <v>3</v>
      </c>
      <c r="V146" s="20"/>
      <c r="W146" s="20"/>
      <c r="X146" s="22"/>
      <c r="Y146" s="22"/>
      <c r="Z146" s="145">
        <f t="shared" si="12"/>
        <v>2</v>
      </c>
      <c r="AA146" s="140">
        <f t="shared" si="13"/>
        <v>4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8">
        <v>47</v>
      </c>
      <c r="I147" s="8">
        <v>47</v>
      </c>
      <c r="J147" s="20">
        <v>2</v>
      </c>
      <c r="K147" s="19"/>
      <c r="L147" s="8"/>
      <c r="M147" s="8"/>
      <c r="N147" s="20"/>
      <c r="O147" s="20"/>
      <c r="P147" s="8">
        <v>42</v>
      </c>
      <c r="Q147" s="8">
        <v>42</v>
      </c>
      <c r="R147" s="124"/>
      <c r="S147" s="124"/>
      <c r="T147" s="148">
        <v>3</v>
      </c>
      <c r="U147" s="148">
        <v>3</v>
      </c>
      <c r="V147" s="20">
        <v>2</v>
      </c>
      <c r="W147" s="20"/>
      <c r="X147" s="22"/>
      <c r="Y147" s="22"/>
      <c r="Z147" s="145">
        <f t="shared" si="12"/>
        <v>4</v>
      </c>
      <c r="AA147" s="140">
        <f t="shared" si="13"/>
        <v>4</v>
      </c>
      <c r="AB147" s="8">
        <f t="shared" si="14"/>
        <v>0</v>
      </c>
      <c r="AC147" s="23">
        <f t="shared" si="15"/>
        <v>0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8">
        <v>47</v>
      </c>
      <c r="I148" s="8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24"/>
      <c r="S148" s="124"/>
      <c r="T148" s="148">
        <v>3</v>
      </c>
      <c r="U148" s="8"/>
      <c r="V148" s="20">
        <v>2</v>
      </c>
      <c r="W148" s="20"/>
      <c r="X148" s="22"/>
      <c r="Y148" s="22"/>
      <c r="Z148" s="145">
        <f t="shared" si="12"/>
        <v>4</v>
      </c>
      <c r="AA148" s="140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8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24"/>
      <c r="S149" s="124"/>
      <c r="T149" s="8"/>
      <c r="U149" s="8"/>
      <c r="V149" s="20"/>
      <c r="W149" s="20"/>
      <c r="X149" s="22"/>
      <c r="Y149" s="22"/>
      <c r="Z149" s="145">
        <f t="shared" si="12"/>
        <v>2</v>
      </c>
      <c r="AA149" s="140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24"/>
      <c r="S150" s="124"/>
      <c r="T150" s="8"/>
      <c r="U150" s="8"/>
      <c r="V150" s="20"/>
      <c r="W150" s="20"/>
      <c r="X150" s="22"/>
      <c r="Y150" s="22"/>
      <c r="Z150" s="145">
        <f t="shared" si="12"/>
        <v>0</v>
      </c>
      <c r="AA150" s="140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24"/>
      <c r="S151" s="124"/>
      <c r="T151" s="8"/>
      <c r="U151" s="8"/>
      <c r="V151" s="20"/>
      <c r="W151" s="20"/>
      <c r="X151" s="22"/>
      <c r="Y151" s="22"/>
      <c r="Z151" s="145">
        <f t="shared" si="12"/>
        <v>0</v>
      </c>
      <c r="AA151" s="140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24"/>
      <c r="S152" s="124"/>
      <c r="T152" s="8"/>
      <c r="U152" s="8"/>
      <c r="V152" s="20"/>
      <c r="W152" s="20"/>
      <c r="X152" s="22"/>
      <c r="Y152" s="22"/>
      <c r="Z152" s="145">
        <f t="shared" si="12"/>
        <v>0</v>
      </c>
      <c r="AA152" s="140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24"/>
      <c r="S153" s="124"/>
      <c r="T153" s="8"/>
      <c r="U153" s="8"/>
      <c r="V153" s="20"/>
      <c r="W153" s="20"/>
      <c r="X153" s="22"/>
      <c r="Y153" s="22"/>
      <c r="Z153" s="145">
        <f t="shared" si="12"/>
        <v>0</v>
      </c>
      <c r="AA153" s="140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24"/>
      <c r="S154" s="124"/>
      <c r="T154" s="8"/>
      <c r="U154" s="8"/>
      <c r="V154" s="20"/>
      <c r="W154" s="20"/>
      <c r="X154" s="22"/>
      <c r="Y154" s="22"/>
      <c r="Z154" s="145">
        <f t="shared" si="12"/>
        <v>0</v>
      </c>
      <c r="AA154" s="140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24"/>
      <c r="S155" s="124"/>
      <c r="T155" s="8"/>
      <c r="U155" s="8"/>
      <c r="V155" s="20"/>
      <c r="W155" s="20"/>
      <c r="X155" s="22"/>
      <c r="Y155" s="22"/>
      <c r="Z155" s="145">
        <f t="shared" si="12"/>
        <v>0</v>
      </c>
      <c r="AA155" s="140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24"/>
      <c r="S156" s="124"/>
      <c r="T156" s="8"/>
      <c r="U156" s="8"/>
      <c r="V156" s="20"/>
      <c r="W156" s="20"/>
      <c r="X156" s="22"/>
      <c r="Y156" s="22"/>
      <c r="Z156" s="145">
        <f t="shared" si="12"/>
        <v>0</v>
      </c>
      <c r="AA156" s="140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24"/>
      <c r="S157" s="124"/>
      <c r="T157" s="8"/>
      <c r="U157" s="8"/>
      <c r="V157" s="20"/>
      <c r="W157" s="20"/>
      <c r="X157" s="22"/>
      <c r="Y157" s="22"/>
      <c r="Z157" s="145">
        <f t="shared" si="12"/>
        <v>0</v>
      </c>
      <c r="AA157" s="140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24"/>
      <c r="S158" s="124"/>
      <c r="T158" s="8"/>
      <c r="U158" s="8"/>
      <c r="V158" s="20"/>
      <c r="W158" s="20"/>
      <c r="X158" s="22"/>
      <c r="Y158" s="22"/>
      <c r="Z158" s="145">
        <f t="shared" si="12"/>
        <v>0</v>
      </c>
      <c r="AA158" s="140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24"/>
      <c r="S159" s="124"/>
      <c r="T159" s="8"/>
      <c r="U159" s="8"/>
      <c r="V159" s="20"/>
      <c r="W159" s="20"/>
      <c r="X159" s="22"/>
      <c r="Y159" s="22"/>
      <c r="Z159" s="145">
        <f t="shared" si="12"/>
        <v>0</v>
      </c>
      <c r="AA159" s="140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24"/>
      <c r="S160" s="124"/>
      <c r="T160" s="8"/>
      <c r="U160" s="8"/>
      <c r="V160" s="20"/>
      <c r="W160" s="20"/>
      <c r="X160" s="22"/>
      <c r="Y160" s="22"/>
      <c r="Z160" s="145">
        <f t="shared" si="12"/>
        <v>0</v>
      </c>
      <c r="AA160" s="140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24"/>
      <c r="S161" s="124"/>
      <c r="T161" s="8"/>
      <c r="U161" s="8"/>
      <c r="V161" s="20"/>
      <c r="W161" s="20"/>
      <c r="X161" s="22"/>
      <c r="Y161" s="22"/>
      <c r="Z161" s="145">
        <f t="shared" si="12"/>
        <v>0</v>
      </c>
      <c r="AA161" s="140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5">
      <c r="A162" s="6" t="s">
        <v>167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24"/>
      <c r="S162" s="124"/>
      <c r="T162" s="8"/>
      <c r="U162" s="8"/>
      <c r="V162" s="20"/>
      <c r="W162" s="20"/>
      <c r="X162" s="22"/>
      <c r="Y162" s="22"/>
      <c r="Z162" s="145">
        <f t="shared" si="12"/>
        <v>0</v>
      </c>
      <c r="AA162" s="140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24"/>
      <c r="S163" s="124"/>
      <c r="T163" s="8"/>
      <c r="U163" s="8"/>
      <c r="V163" s="20"/>
      <c r="W163" s="20"/>
      <c r="X163" s="22"/>
      <c r="Y163" s="22"/>
      <c r="Z163" s="145">
        <f t="shared" si="12"/>
        <v>0</v>
      </c>
      <c r="AA163" s="140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24"/>
      <c r="S164" s="124"/>
      <c r="T164" s="8"/>
      <c r="U164" s="8"/>
      <c r="V164" s="20"/>
      <c r="W164" s="20"/>
      <c r="X164" s="22"/>
      <c r="Y164" s="22"/>
      <c r="Z164" s="145">
        <f t="shared" si="12"/>
        <v>0</v>
      </c>
      <c r="AA164" s="140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24"/>
      <c r="S165" s="124"/>
      <c r="T165" s="8"/>
      <c r="U165" s="8"/>
      <c r="V165" s="20"/>
      <c r="W165" s="20"/>
      <c r="X165" s="22"/>
      <c r="Y165" s="22"/>
      <c r="Z165" s="145">
        <f t="shared" si="12"/>
        <v>0</v>
      </c>
      <c r="AA165" s="140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24"/>
      <c r="S166" s="124"/>
      <c r="T166" s="8"/>
      <c r="U166" s="8"/>
      <c r="V166" s="20"/>
      <c r="W166" s="20"/>
      <c r="X166" s="22"/>
      <c r="Y166" s="22"/>
      <c r="Z166" s="145">
        <f t="shared" si="12"/>
        <v>0</v>
      </c>
      <c r="AA166" s="140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24"/>
      <c r="S167" s="124"/>
      <c r="T167" s="8"/>
      <c r="U167" s="8"/>
      <c r="V167" s="20"/>
      <c r="W167" s="20"/>
      <c r="X167" s="22"/>
      <c r="Y167" s="22"/>
      <c r="Z167" s="145">
        <f t="shared" si="12"/>
        <v>0</v>
      </c>
      <c r="AA167" s="140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24"/>
      <c r="S168" s="124"/>
      <c r="T168" s="8"/>
      <c r="U168" s="8"/>
      <c r="V168" s="20"/>
      <c r="W168" s="20"/>
      <c r="X168" s="22"/>
      <c r="Y168" s="22"/>
      <c r="Z168" s="145">
        <f t="shared" si="12"/>
        <v>0</v>
      </c>
      <c r="AA168" s="140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24"/>
      <c r="S169" s="124"/>
      <c r="T169" s="8"/>
      <c r="U169" s="8"/>
      <c r="V169" s="20"/>
      <c r="W169" s="20"/>
      <c r="X169" s="22"/>
      <c r="Y169" s="22"/>
      <c r="Z169" s="145">
        <f t="shared" si="12"/>
        <v>0</v>
      </c>
      <c r="AA169" s="140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24"/>
      <c r="S170" s="124"/>
      <c r="T170" s="8"/>
      <c r="U170" s="8"/>
      <c r="V170" s="20"/>
      <c r="W170" s="20"/>
      <c r="X170" s="22"/>
      <c r="Y170" s="22"/>
      <c r="Z170" s="145">
        <f t="shared" si="12"/>
        <v>0</v>
      </c>
      <c r="AA170" s="140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24"/>
      <c r="S171" s="124"/>
      <c r="T171" s="8"/>
      <c r="U171" s="8"/>
      <c r="V171" s="20"/>
      <c r="W171" s="20"/>
      <c r="X171" s="22"/>
      <c r="Y171" s="22"/>
      <c r="Z171" s="145">
        <f t="shared" si="12"/>
        <v>0</v>
      </c>
      <c r="AA171" s="140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107 D58:M115 D116:N171 D2:H8 J2:N57 I2:I9 I11:I57 D9:G15 H9:H10 H12:H15 O2:Y171 D16:H57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46076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-</v>
      </c>
      <c r="G6" s="49" t="str">
        <f>IFERROR(IF(AND(booking!AB6&gt;0,booking!D6&lt;&gt;booking!E6),VLOOKUP(booking!E6,Database!$A$1:'Database'!$L$175,9,FALSE),"-"),"-")</f>
        <v>-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-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str">
        <f>IF(AND(booking!D14&lt;&gt;booking!E14,booking!D14&gt;0),"udc","-")</f>
        <v>-</v>
      </c>
      <c r="F14" s="49" t="str">
        <f>IFERROR(IF(AND(booking!AB14&gt;0,booking!D14&lt;&gt;booking!E14),VLOOKUP(booking!E14,Database!$A$1:'Database'!$L$175,6,FALSE),"-"),"-")</f>
        <v>-</v>
      </c>
      <c r="G14" s="49" t="str">
        <f>IFERROR(IF(AND(booking!AB14&gt;0,booking!D14&lt;&gt;booking!E14),VLOOKUP(booking!E14,Database!$A$1:'Database'!$L$175,9,FALSE),"-"),"-")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-</v>
      </c>
      <c r="G18" s="49" t="str">
        <f>IFERROR(IF(AND(booking!AB18&gt;0,booking!D18&lt;&gt;booking!E18),VLOOKUP(booking!E18,Database!$A$1:'Database'!$L$175,9,FALSE),"-"),"-")</f>
        <v>-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DK</v>
      </c>
      <c r="P18" s="49">
        <f>IFERROR(IF(AND(booking!AB18&gt;0,booking!P18&lt;&gt;booking!Q18),VLOOKUP(booking!Q18,Database!$A$1:'Database'!$L$175,9,FALSE),"-"),"-")</f>
        <v>0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-</v>
      </c>
      <c r="M19" s="49" t="str">
        <f>IFERROR(IF(AND(booking!AB19&gt;0,booking!L19&lt;&gt;booking!M19),VLOOKUP(booking!M19,Database!A18:'Database'!L192,9,FALSE),"-"),"-")</f>
        <v>-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-</v>
      </c>
      <c r="P19" s="49" t="str">
        <f>IFERROR(IF(AND(booking!AB19&gt;0,booking!P19&lt;&gt;booking!Q19),VLOOKUP(booking!Q19,Database!$A$1:'Database'!$L$175,9,FALSE),"-"),"-")</f>
        <v>-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DK</v>
      </c>
      <c r="S19" s="49">
        <f>IFERROR(IF(AND(booking!AB19&gt;0,booking!T19&lt;&gt;booking!U19),VLOOKUP(booking!U19,Database!$A$1:'Database'!$L$175,9,FALSE),"-"),"-")</f>
        <v>0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-</v>
      </c>
      <c r="J20" s="49" t="str">
        <f>IFERROR(IF(AND(booking!AB20&gt;0,booking!H20&lt;&gt;booking!I20),VLOOKUP(booking!I20,Database!$A$1:'Database'!$L$175,9,FALSE),"-"),"-")</f>
        <v>-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-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udc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-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-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-</v>
      </c>
      <c r="O22" s="49" t="str">
        <f>IFERROR(IF(AND(booking!AB22&gt;0,booking!P22&lt;&gt;booking!Q22),VLOOKUP(booking!Q22,Database!$A$1:'Database'!$L$175,6,FALSE),"-"),"-")</f>
        <v>-</v>
      </c>
      <c r="P22" s="49" t="str">
        <f>IFERROR(IF(AND(booking!AB22&gt;0,booking!P22&lt;&gt;booking!Q22),VLOOKUP(booking!Q22,Database!$A$1:'Database'!$L$175,9,FALSE),"-"),"-")</f>
        <v>-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-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-</v>
      </c>
      <c r="S34" s="49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-</v>
      </c>
      <c r="P35" s="49" t="str">
        <f>IFERROR(IF(AND(booking!AB35&gt;0,booking!P35&lt;&gt;booking!Q35),VLOOKUP(booking!Q35,Database!$A$1:'Database'!$L$175,9,FALSE),"-"),"-")</f>
        <v>-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-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-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-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-</v>
      </c>
      <c r="M50" s="49" t="str">
        <f>IFERROR(IF(AND(booking!AB50&gt;0,booking!L50&lt;&gt;booking!M50),VLOOKUP(booking!M50,Database!A49:'Database'!L223,9,FALSE),"-"),"-")</f>
        <v>-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-</v>
      </c>
      <c r="S51" s="49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-</v>
      </c>
      <c r="G53" s="49" t="str">
        <f>IFERROR(IF(AND(booking!AB53&gt;0,booking!D53&lt;&gt;booking!E53),VLOOKUP(booking!E53,Database!$A$1:'Database'!$L$175,9,FALSE),"-"),"-")</f>
        <v>-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DK</v>
      </c>
      <c r="S53" s="49">
        <f>IFERROR(IF(AND(booking!AB53&gt;0,booking!T53&lt;&gt;booking!U53),VLOOKUP(booking!U53,Database!$A$1:'Database'!$L$175,9,FALSE),"-"),"-")</f>
        <v>0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-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-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-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-</v>
      </c>
      <c r="G62" s="49" t="str">
        <f>IFERROR(IF(AND(booking!AB62&gt;0,booking!D62&lt;&gt;booking!E62),VLOOKUP(booking!E62,Database!$A$1:'Database'!$L$175,9,FALSE),"-"),"-")</f>
        <v>-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DK</v>
      </c>
      <c r="P64" s="49" t="str">
        <f>IFERROR(IF(AND(booking!AB64&gt;0,booking!P64&lt;&gt;booking!Q64),VLOOKUP(booking!Q64,Database!$A$1:'Database'!$L$175,9,FALSE),"-"),"-")</f>
        <v>sing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-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-</v>
      </c>
      <c r="P65" s="49" t="str">
        <f>IFERROR(IF(AND(booking!AB65&gt;0,booking!P65&lt;&gt;booking!Q65),VLOOKUP(booking!Q65,Database!$A$1:'Database'!$L$175,9,FALSE),"-"),"-")</f>
        <v>-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-</v>
      </c>
      <c r="J67" s="49" t="str">
        <f>IFERROR(IF(AND(booking!AB67&gt;0,booking!H67&lt;&gt;booking!I67),VLOOKUP(booking!I67,Database!$A$1:'Database'!$L$175,9,FALSE),"-"),"-")</f>
        <v>-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Y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udc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-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-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-</v>
      </c>
      <c r="I70" s="49" t="str">
        <f>IFERROR(IF(AND(booking!AB70&gt;0,booking!H70&lt;&gt;booking!I70),VLOOKUP(booking!I70,Database!$A$1:'Database'!$L$175,6,FALSE),"-"),"-")</f>
        <v>-</v>
      </c>
      <c r="J70" s="49" t="str">
        <f>IFERROR(IF(AND(booking!AB70&gt;0,booking!H70&lt;&gt;booking!I70),VLOOKUP(booking!I70,Database!$A$1:'Database'!$L$175,9,FALSE),"-"),"-")</f>
        <v>-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-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-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-</v>
      </c>
      <c r="M75" s="49" t="str">
        <f>IFERROR(IF(AND(booking!AB75&gt;0,booking!L75&lt;&gt;booking!M75),VLOOKUP(booking!M75,Database!A74:'Database'!L248,9,FALSE),"-"),"-")</f>
        <v>-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-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-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-</v>
      </c>
      <c r="G97" s="49" t="str">
        <f>IFERROR(IF(AND(booking!AB97&gt;0,booking!D97&lt;&gt;booking!E97),VLOOKUP(booking!E97,Database!$A$1:'Database'!$L$175,9,FALSE),"-"),"-")</f>
        <v>-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-</v>
      </c>
      <c r="E100" s="53" t="str">
        <f>IF(AND(booking!D100&lt;&gt;booking!E100,booking!D100&gt;0),"udc","-")</f>
        <v>-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-</v>
      </c>
      <c r="S104" s="49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-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-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-</v>
      </c>
      <c r="P118" s="49" t="str">
        <f>IFERROR(IF(AND(booking!AB118&gt;0,booking!P118&lt;&gt;booking!Q118),VLOOKUP(booking!Q118,Database!$A$1:'Database'!$L$175,9,FALSE),"-"),"-")</f>
        <v>-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-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-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D</v>
      </c>
      <c r="J123" s="49" t="str">
        <f>IFERROR(IF(AND(booking!AB123&gt;0,booking!H123&lt;&gt;booking!I123),VLOOKUP(booking!I123,Database!$A$1:'Database'!$L$175,9,FALSE),"-"),"-")</f>
        <v>sing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>
        <f>IFERROR(IF(AND(booking!AB123&gt;0,booking!P123&lt;&gt;booking!Q123),VLOOKUP(booking!Q123,Database!$A$1:'Database'!$L$175,9,FALSE),"-"),"-")</f>
        <v>0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-</v>
      </c>
      <c r="S124" s="49" t="str">
        <f>IFERROR(IF(AND(booking!AB124&gt;0,booking!T124&lt;&gt;booking!U124),VLOOKUP(booking!U124,Database!$A$1:'Database'!$L$175,9,FALSE),"-"),"-")</f>
        <v>-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-</v>
      </c>
      <c r="G139" s="49" t="str">
        <f>IFERROR(IF(AND(booking!AB139&gt;0,booking!D139&lt;&gt;booking!E139),VLOOKUP(booking!E139,Database!$A$1:'Database'!$L$175,9,FALSE),"-"),"-")</f>
        <v>-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-</v>
      </c>
      <c r="J139" s="49" t="str">
        <f>IFERROR(IF(AND(booking!AB139&gt;0,booking!H139&lt;&gt;booking!I139),VLOOKUP(booking!I139,Database!$A$1:'Database'!$L$175,9,FALSE),"-"),"-")</f>
        <v>-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-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-</v>
      </c>
      <c r="E141" s="53" t="str">
        <f>IF(AND(booking!D141&lt;&gt;booking!E141,booking!D141&gt;0),"udc","-")</f>
        <v>-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-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-</v>
      </c>
      <c r="G142" s="49" t="str">
        <f>IFERROR(IF(AND(booking!AB142&gt;0,booking!D142&lt;&gt;booking!E142),VLOOKUP(booking!E142,Database!$A$1:'Database'!$L$175,9,FALSE),"-"),"-")</f>
        <v>-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-</v>
      </c>
      <c r="P142" s="49" t="str">
        <f>IFERROR(IF(AND(booking!AB142&gt;0,booking!P142&lt;&gt;booking!Q142),VLOOKUP(booking!Q142,Database!$A$1:'Database'!$L$175,9,FALSE),"-"),"-")</f>
        <v>-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-</v>
      </c>
      <c r="E144" s="53" t="str">
        <f>IF(AND(booking!D144&lt;&gt;booking!E144,booking!D144&gt;0),"udc","-")</f>
        <v>-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-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-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-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2" activePane="bottomLeft" state="frozen"/>
      <selection pane="bottomLeft" activeCell="L14" sqref="L1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8" customWidth="1"/>
    <col min="9" max="10" width="6.54296875" customWidth="1"/>
    <col min="11" max="13" width="6.54296875" style="78" customWidth="1"/>
    <col min="14" max="14" width="6.54296875" customWidth="1"/>
    <col min="15" max="17" width="6.54296875" style="78" customWidth="1"/>
    <col min="18" max="18" width="6.54296875" style="77" customWidth="1"/>
    <col min="19" max="21" width="6.54296875" style="78" customWidth="1"/>
    <col min="22" max="22" width="6.54296875" customWidth="1"/>
    <col min="23" max="25" width="6.54296875" style="78" customWidth="1"/>
  </cols>
  <sheetData>
    <row r="1" spans="1:26" ht="20.149999999999999" customHeight="1" thickBot="1" x14ac:dyDescent="0.4">
      <c r="A1" s="79" t="str">
        <f>rengøring!A1</f>
        <v>dag</v>
      </c>
      <c r="B1" s="80" t="str">
        <f>rengøring!B1</f>
        <v>dato</v>
      </c>
      <c r="C1" s="79" t="str">
        <f>rengøring!C1</f>
        <v>dd</v>
      </c>
      <c r="D1" s="81">
        <f ca="1">TODAY()</f>
        <v>46076</v>
      </c>
      <c r="E1" s="79" t="str">
        <f>rengøring!E1</f>
        <v>V1</v>
      </c>
      <c r="F1" s="82" t="s">
        <v>138</v>
      </c>
      <c r="G1" s="82" t="s">
        <v>139</v>
      </c>
      <c r="H1" s="82" t="s">
        <v>140</v>
      </c>
      <c r="I1" s="79" t="s">
        <v>141</v>
      </c>
      <c r="J1" s="79" t="str">
        <f>rengøring!H1</f>
        <v>V2</v>
      </c>
      <c r="K1" s="82" t="s">
        <v>138</v>
      </c>
      <c r="L1" s="82" t="s">
        <v>139</v>
      </c>
      <c r="M1" s="82" t="s">
        <v>140</v>
      </c>
      <c r="N1" s="79" t="str">
        <f>rengøring!K1</f>
        <v>V3</v>
      </c>
      <c r="O1" s="82" t="s">
        <v>142</v>
      </c>
      <c r="P1" s="82" t="s">
        <v>139</v>
      </c>
      <c r="Q1" s="82" t="s">
        <v>140</v>
      </c>
      <c r="R1" s="83" t="str">
        <f>rengøring!N1</f>
        <v>V4</v>
      </c>
      <c r="S1" s="82" t="s">
        <v>142</v>
      </c>
      <c r="T1" s="82" t="s">
        <v>139</v>
      </c>
      <c r="U1" s="82" t="s">
        <v>140</v>
      </c>
      <c r="V1" s="79" t="str">
        <f>rengøring!Q1</f>
        <v>V5</v>
      </c>
      <c r="W1" s="82" t="s">
        <v>142</v>
      </c>
      <c r="X1" s="82" t="s">
        <v>139</v>
      </c>
      <c r="Y1" s="82" t="s">
        <v>140</v>
      </c>
    </row>
    <row r="2" spans="1:26" ht="15" customHeight="1" thickBot="1" x14ac:dyDescent="0.4">
      <c r="A2" s="91" t="str">
        <f>rengøring!A2</f>
        <v>mandag</v>
      </c>
      <c r="B2" s="92">
        <f>rengøring!B2</f>
        <v>46139</v>
      </c>
      <c r="C2" s="92"/>
      <c r="D2" s="93" t="str">
        <f>IF(booking!AB2&gt;0,"Y","-")</f>
        <v>-</v>
      </c>
      <c r="E2" s="102" t="str">
        <f>IF(AND(D2="Y",booking!D2&lt;&gt;booking!E2,booking!E2&gt;0),booking!E2,"-")</f>
        <v>-</v>
      </c>
      <c r="F2" s="85" t="str">
        <f>IFERROR(VLOOKUP(E2,Database!$A$2:$L$175,8,FALSE),"-")</f>
        <v>-</v>
      </c>
      <c r="G2" s="85" t="str">
        <f>IFERROR(VLOOKUP(E2,Database!$A$2:$L$175,6,FALSE),"-")</f>
        <v>-</v>
      </c>
      <c r="H2" s="99" t="str">
        <f>IFERROR(VLOOKUP(E2,Database!$A$2:$L$175,9,FALSE),"-")</f>
        <v>-</v>
      </c>
      <c r="I2" s="118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5" t="str">
        <f>IFERROR(VLOOKUP(J2,Database!$A$2:$L$175,8,FALSE),"-")</f>
        <v>-</v>
      </c>
      <c r="L2" s="85" t="str">
        <f>IFERROR(VLOOKUP(J2,Database!$A$2:$L$175,6,FALSE),"-")</f>
        <v>-</v>
      </c>
      <c r="M2" s="99" t="str">
        <f>IFERROR(VLOOKUP(J2,Database!$A$2:$L$175,9,FALSE),"-")</f>
        <v>-</v>
      </c>
      <c r="N2" s="103" t="str">
        <f>IF(AND(D2="Y",booking!L2&lt;&gt;booking!M2,booking!M2&gt;0),booking!M2,"-")</f>
        <v>-</v>
      </c>
      <c r="O2" s="85" t="str">
        <f>IFERROR(VLOOKUP(N2,Database!$A$2:$L$175,8,FALSE),"-")</f>
        <v>-</v>
      </c>
      <c r="P2" s="85" t="str">
        <f>IFERROR(VLOOKUP(N2,Database!$A$2:$L$175,6,FALSE),"-")</f>
        <v>-</v>
      </c>
      <c r="Q2" s="87" t="str">
        <f>IFERROR(VLOOKUP(N2,Database!$A$2:$L$175,9,FALSE),"-")</f>
        <v>-</v>
      </c>
      <c r="R2" s="104" t="str">
        <f>IF(AND(D2="Y",booking!P2&lt;&gt;booking!Q2,booking!Q2&gt;0),booking!Q2,"-")</f>
        <v>-</v>
      </c>
      <c r="S2" s="85" t="str">
        <f>IFERROR(VLOOKUP(R2,Database!$A$2:$L$175,8,FALSE),"-")</f>
        <v>-</v>
      </c>
      <c r="T2" s="85" t="str">
        <f>IFERROR(VLOOKUP(R2,Database!$A$2:$L$175,6,FALSE),"-")</f>
        <v>-</v>
      </c>
      <c r="U2" s="87" t="str">
        <f>IFERROR(VLOOKUP(R2,Database!$A$2:$L$175,9,FALSE),"-")</f>
        <v>-</v>
      </c>
      <c r="V2" s="103" t="str">
        <f>IF(AND(D2="Y",booking!T2&lt;&gt;booking!U2,booking!U2&gt;0),booking!U2,"-")</f>
        <v>-</v>
      </c>
      <c r="W2" s="85" t="str">
        <f>IFERROR(VLOOKUP(V2,Database!$A$2:$L$175,8,FALSE),"-")</f>
        <v>-</v>
      </c>
      <c r="X2" s="85" t="str">
        <f>IFERROR(VLOOKUP(V2,Database!$A$2:$L$175,6,FALSE),"-")</f>
        <v>-</v>
      </c>
      <c r="Y2" s="87" t="str">
        <f>IFERROR(VLOOKUP(V2,Database!$A$2:$L$175,9,FALSE),"-")</f>
        <v>-</v>
      </c>
      <c r="Z2" s="76"/>
    </row>
    <row r="3" spans="1:26" ht="15" customHeight="1" thickBot="1" x14ac:dyDescent="0.4">
      <c r="A3" s="94" t="str">
        <f>rengøring!A3</f>
        <v>tirsdag</v>
      </c>
      <c r="B3" s="90">
        <f>rengøring!B3</f>
        <v>46140</v>
      </c>
      <c r="C3" s="9"/>
      <c r="D3" s="95" t="str">
        <f>IF(booking!AB3&gt;0,"Y","-")</f>
        <v>-</v>
      </c>
      <c r="E3" s="102" t="str">
        <f>IF(AND(D3="Y",booking!D3&lt;&gt;booking!E3,booking!E3&gt;0),booking!E3,"-")</f>
        <v>-</v>
      </c>
      <c r="F3" s="84" t="str">
        <f>IFERROR(VLOOKUP(E3,Database!$A$2:$L$175,8,FALSE),"-")</f>
        <v>-</v>
      </c>
      <c r="G3" s="84" t="str">
        <f>IFERROR(VLOOKUP(E3,Database!$A$2:$L$175,6,FALSE),"-")</f>
        <v>-</v>
      </c>
      <c r="H3" s="100" t="str">
        <f>IFERROR(VLOOKUP(E3,Database!$A$2:$L$175,9,FALSE),"-")</f>
        <v>-</v>
      </c>
      <c r="I3" s="118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4" t="str">
        <f>IFERROR(VLOOKUP(J3,Database!$A$2:$L$175,8,FALSE),"-")</f>
        <v>-</v>
      </c>
      <c r="L3" s="84" t="str">
        <f>IFERROR(VLOOKUP(J3,Database!$A$2:$L$175,6,FALSE),"-")</f>
        <v>-</v>
      </c>
      <c r="M3" s="100" t="str">
        <f>IFERROR(VLOOKUP(J3,Database!$A$2:$L$175,9,FALSE),"-")</f>
        <v>-</v>
      </c>
      <c r="N3" s="103" t="str">
        <f>IF(AND(D3="Y",booking!L3&lt;&gt;booking!M3,booking!M3&gt;0),booking!M3,"-")</f>
        <v>-</v>
      </c>
      <c r="O3" s="84" t="str">
        <f>IFERROR(VLOOKUP(N3,Database!$A$2:$L$175,8,FALSE),"-")</f>
        <v>-</v>
      </c>
      <c r="P3" s="84" t="str">
        <f>IFERROR(VLOOKUP(N3,Database!$A$2:$L$175,6,FALSE),"-")</f>
        <v>-</v>
      </c>
      <c r="Q3" s="88" t="str">
        <f>IFERROR(VLOOKUP(N3,Database!$A$2:$L$175,9,FALSE),"-")</f>
        <v>-</v>
      </c>
      <c r="R3" s="104" t="str">
        <f>IF(AND(D3="Y",booking!P3&lt;&gt;booking!Q3,booking!Q3&gt;0),booking!Q3,"-")</f>
        <v>-</v>
      </c>
      <c r="S3" s="84" t="str">
        <f>IFERROR(VLOOKUP(R3,Database!$A$2:$L$175,8,FALSE),"-")</f>
        <v>-</v>
      </c>
      <c r="T3" s="84" t="str">
        <f>IFERROR(VLOOKUP(R3,Database!$A$2:$L$175,6,FALSE),"-")</f>
        <v>-</v>
      </c>
      <c r="U3" s="88" t="str">
        <f>IFERROR(VLOOKUP(R3,Database!$A$2:$L$175,9,FALSE),"-")</f>
        <v>-</v>
      </c>
      <c r="V3" s="103" t="str">
        <f>IF(AND(D3="Y",booking!T3&lt;&gt;booking!U3,booking!U3&gt;0),booking!U3,"-")</f>
        <v>-</v>
      </c>
      <c r="W3" s="85" t="str">
        <f>IFERROR(VLOOKUP(V3,Database!$A$2:$L$175,8,FALSE),"-")</f>
        <v>-</v>
      </c>
      <c r="X3" s="85" t="str">
        <f>IFERROR(VLOOKUP(V3,Database!$A$2:$L$175,6,FALSE),"-")</f>
        <v>-</v>
      </c>
      <c r="Y3" s="87" t="str">
        <f>IFERROR(VLOOKUP(V3,Database!$A$2:$L$175,9,FALSE),"-")</f>
        <v>-</v>
      </c>
    </row>
    <row r="4" spans="1:26" ht="15" customHeight="1" thickBot="1" x14ac:dyDescent="0.4">
      <c r="A4" s="94" t="str">
        <f>rengøring!A4</f>
        <v>onsdag</v>
      </c>
      <c r="B4" s="90">
        <f>rengøring!B4</f>
        <v>46141</v>
      </c>
      <c r="C4" s="9"/>
      <c r="D4" s="95" t="str">
        <f>IF(booking!AB4&gt;0,"Y","-")</f>
        <v>-</v>
      </c>
      <c r="E4" s="102" t="str">
        <f>IF(AND(D4="Y",booking!D4&lt;&gt;booking!E4,booking!E4&gt;0),booking!E4,"-")</f>
        <v>-</v>
      </c>
      <c r="F4" s="84" t="str">
        <f>IFERROR(VLOOKUP(E4,Database!$A$2:$L$175,8,FALSE),"-")</f>
        <v>-</v>
      </c>
      <c r="G4" s="84" t="str">
        <f>IFERROR(VLOOKUP(E4,Database!$A$2:$L$175,6,FALSE),"-")</f>
        <v>-</v>
      </c>
      <c r="H4" s="100" t="str">
        <f>IFERROR(VLOOKUP(E4,Database!$A$2:$L$175,9,FALSE),"-")</f>
        <v>-</v>
      </c>
      <c r="I4" s="119"/>
      <c r="J4" s="103" t="str">
        <f>IF(AND(D4="Y",booking!H4&lt;&gt;booking!I4,booking!I4&gt;0),booking!I4,"-")</f>
        <v>-</v>
      </c>
      <c r="K4" s="84" t="str">
        <f>IFERROR(VLOOKUP(J4,Database!$A$2:$L$175,8,FALSE),"-")</f>
        <v>-</v>
      </c>
      <c r="L4" s="84" t="str">
        <f>IFERROR(VLOOKUP(J4,Database!$A$2:$L$175,6,FALSE),"-")</f>
        <v>-</v>
      </c>
      <c r="M4" s="100" t="str">
        <f>IFERROR(VLOOKUP(J4,Database!$A$2:$L$175,9,FALSE),"-")</f>
        <v>-</v>
      </c>
      <c r="N4" s="103" t="str">
        <f>IF(AND(D4="Y",booking!L4&lt;&gt;booking!M4,booking!M4&gt;0),booking!M4,"-")</f>
        <v>-</v>
      </c>
      <c r="O4" s="84" t="str">
        <f>IFERROR(VLOOKUP(N4,Database!$A$2:$L$175,8,FALSE),"-")</f>
        <v>-</v>
      </c>
      <c r="P4" s="84" t="str">
        <f>IFERROR(VLOOKUP(N4,Database!$A$2:$L$175,6,FALSE),"-")</f>
        <v>-</v>
      </c>
      <c r="Q4" s="88" t="str">
        <f>IFERROR(VLOOKUP(N4,Database!$A$2:$L$175,9,FALSE),"-")</f>
        <v>-</v>
      </c>
      <c r="R4" s="104" t="str">
        <f>IF(AND(D4="Y",booking!P4&lt;&gt;booking!Q4,booking!Q4&gt;0),booking!Q4,"-")</f>
        <v>-</v>
      </c>
      <c r="S4" s="84" t="str">
        <f>IFERROR(VLOOKUP(R4,Database!$A$2:$L$175,8,FALSE),"-")</f>
        <v>-</v>
      </c>
      <c r="T4" s="84" t="str">
        <f>IFERROR(VLOOKUP(R4,Database!$A$2:$L$175,6,FALSE),"-")</f>
        <v>-</v>
      </c>
      <c r="U4" s="88" t="str">
        <f>IFERROR(VLOOKUP(R4,Database!$A$2:$L$175,9,FALSE),"-")</f>
        <v>-</v>
      </c>
      <c r="V4" s="103" t="str">
        <f>IF(AND(D4="Y",booking!T4&lt;&gt;booking!U4,booking!U4&gt;0),booking!U4,"-")</f>
        <v>-</v>
      </c>
      <c r="W4" s="85" t="str">
        <f>IFERROR(VLOOKUP(V4,Database!$A$2:$L$175,8,FALSE),"-")</f>
        <v>-</v>
      </c>
      <c r="X4" s="85" t="str">
        <f>IFERROR(VLOOKUP(V4,Database!$A$2:$L$175,6,FALSE),"-")</f>
        <v>-</v>
      </c>
      <c r="Y4" s="87" t="str">
        <f>IFERROR(VLOOKUP(V4,Database!$A$2:$L$175,9,FALSE),"-")</f>
        <v>-</v>
      </c>
    </row>
    <row r="5" spans="1:26" ht="15" customHeight="1" thickBot="1" x14ac:dyDescent="0.4">
      <c r="A5" s="94" t="str">
        <f>rengøring!A5</f>
        <v>torsdag</v>
      </c>
      <c r="B5" s="90">
        <f>rengøring!B5</f>
        <v>46142</v>
      </c>
      <c r="C5" s="9"/>
      <c r="D5" s="95" t="str">
        <f>IF(booking!AB5&gt;0,"Y","-")</f>
        <v>-</v>
      </c>
      <c r="E5" s="102" t="str">
        <f>IF(AND(D5="Y",booking!D5&lt;&gt;booking!E5,booking!E5&gt;0),booking!E5,"-")</f>
        <v>-</v>
      </c>
      <c r="F5" s="84" t="str">
        <f>IFERROR(VLOOKUP(E5,Database!$A$2:$L$175,8,FALSE),"-")</f>
        <v>-</v>
      </c>
      <c r="G5" s="84" t="str">
        <f>IFERROR(VLOOKUP(E5,Database!$A$2:$L$175,6,FALSE),"-")</f>
        <v>-</v>
      </c>
      <c r="H5" s="100" t="str">
        <f>IFERROR(VLOOKUP(E5,Database!$A$2:$L$175,9,FALSE),"-")</f>
        <v>-</v>
      </c>
      <c r="I5" s="119"/>
      <c r="J5" s="103" t="str">
        <f>IF(AND(D5="Y",booking!H5&lt;&gt;booking!I5,booking!I5&gt;0),booking!I5,"-")</f>
        <v>-</v>
      </c>
      <c r="K5" s="84" t="str">
        <f>IFERROR(VLOOKUP(J5,Database!$A$2:$L$175,8,FALSE),"-")</f>
        <v>-</v>
      </c>
      <c r="L5" s="84" t="str">
        <f>IFERROR(VLOOKUP(J5,Database!$A$2:$L$175,6,FALSE),"-")</f>
        <v>-</v>
      </c>
      <c r="M5" s="100" t="str">
        <f>IFERROR(VLOOKUP(J5,Database!$A$2:$L$175,9,FALSE),"-")</f>
        <v>-</v>
      </c>
      <c r="N5" s="103" t="str">
        <f>IF(AND(D5="Y",booking!L5&lt;&gt;booking!M5,booking!M5&gt;0),booking!M5,"-")</f>
        <v>-</v>
      </c>
      <c r="O5" s="84" t="str">
        <f>IFERROR(VLOOKUP(N5,Database!$A$2:$L$175,8,FALSE),"-")</f>
        <v>-</v>
      </c>
      <c r="P5" s="84" t="str">
        <f>IFERROR(VLOOKUP(N5,Database!$A$2:$L$175,6,FALSE),"-")</f>
        <v>-</v>
      </c>
      <c r="Q5" s="88" t="str">
        <f>IFERROR(VLOOKUP(N5,Database!$A$2:$L$175,9,FALSE),"-")</f>
        <v>-</v>
      </c>
      <c r="R5" s="104" t="str">
        <f>IF(AND(D5="Y",booking!P5&lt;&gt;booking!Q5,booking!Q5&gt;0),booking!Q5,"-")</f>
        <v>-</v>
      </c>
      <c r="S5" s="84" t="str">
        <f>IFERROR(VLOOKUP(R5,Database!$A$2:$L$175,8,FALSE),"-")</f>
        <v>-</v>
      </c>
      <c r="T5" s="84" t="str">
        <f>IFERROR(VLOOKUP(R5,Database!$A$2:$L$175,6,FALSE),"-")</f>
        <v>-</v>
      </c>
      <c r="U5" s="88" t="str">
        <f>IFERROR(VLOOKUP(R5,Database!$A$2:$L$175,9,FALSE),"-")</f>
        <v>-</v>
      </c>
      <c r="V5" s="103" t="str">
        <f>IF(AND(D5="Y",booking!T5&lt;&gt;booking!U5,booking!U5&gt;0),booking!U5,"-")</f>
        <v>-</v>
      </c>
      <c r="W5" s="85" t="str">
        <f>IFERROR(VLOOKUP(V5,Database!$A$2:$L$175,8,FALSE),"-")</f>
        <v>-</v>
      </c>
      <c r="X5" s="85" t="str">
        <f>IFERROR(VLOOKUP(V5,Database!$A$2:$L$175,6,FALSE),"-")</f>
        <v>-</v>
      </c>
      <c r="Y5" s="87" t="str">
        <f>IFERROR(VLOOKUP(V5,Database!$A$2:$L$175,9,FALSE),"-")</f>
        <v>-</v>
      </c>
    </row>
    <row r="6" spans="1:26" ht="15" customHeight="1" thickBot="1" x14ac:dyDescent="0.4">
      <c r="A6" s="94" t="str">
        <f>rengøring!A6</f>
        <v>fredag</v>
      </c>
      <c r="B6" s="90">
        <f>rengøring!B6</f>
        <v>46143</v>
      </c>
      <c r="C6" s="9"/>
      <c r="D6" s="95" t="str">
        <f>IF(booking!AB6&gt;0,"Y","-")</f>
        <v>Y</v>
      </c>
      <c r="E6" s="102" t="str">
        <f>IF(AND(D6="Y",booking!D6&lt;&gt;booking!E6,booking!E6&gt;0),booking!E6,"-")</f>
        <v>-</v>
      </c>
      <c r="F6" s="84" t="str">
        <f>IFERROR(VLOOKUP(E6,Database!$A$2:$L$175,8,FALSE),"-")</f>
        <v>-</v>
      </c>
      <c r="G6" s="84" t="str">
        <f>IFERROR(VLOOKUP(E6,Database!$A$2:$L$175,6,FALSE),"-")</f>
        <v>-</v>
      </c>
      <c r="H6" s="100" t="str">
        <f>IFERROR(VLOOKUP(E6,Database!$A$2:$L$175,9,FALSE),"-")</f>
        <v>-</v>
      </c>
      <c r="I6" s="119"/>
      <c r="J6" s="103">
        <f>IF(AND(D6="Y",booking!H6&lt;&gt;booking!I6,booking!I6&gt;0),booking!I6,"-")</f>
        <v>82</v>
      </c>
      <c r="K6" s="84">
        <f>IFERROR(VLOOKUP(J6,Database!$A$2:$L$175,8,FALSE),"-")</f>
        <v>0</v>
      </c>
      <c r="L6" s="84" t="str">
        <f>IFERROR(VLOOKUP(J6,Database!$A$2:$L$175,6,FALSE),"-")</f>
        <v>DK</v>
      </c>
      <c r="M6" s="100">
        <f>IFERROR(VLOOKUP(J6,Database!$A$2:$L$175,9,FALSE),"-")</f>
        <v>0</v>
      </c>
      <c r="N6" s="103">
        <f>IF(AND(D6="Y",booking!L6&lt;&gt;booking!M6,booking!M6&gt;0),booking!M6,"-")</f>
        <v>68</v>
      </c>
      <c r="O6" s="84">
        <f>IFERROR(VLOOKUP(N6,Database!$A$2:$L$175,8,FALSE),"-")</f>
        <v>0</v>
      </c>
      <c r="P6" s="84" t="str">
        <f>IFERROR(VLOOKUP(N6,Database!$A$2:$L$175,6,FALSE),"-")</f>
        <v>DK</v>
      </c>
      <c r="Q6" s="88" t="str">
        <f>IFERROR(VLOOKUP(N6,Database!$A$2:$L$175,9,FALSE),"-")</f>
        <v>sing</v>
      </c>
      <c r="R6" s="104">
        <f>IF(AND(D6="Y",booking!P6&lt;&gt;booking!Q6,booking!Q6&gt;0),booking!Q6,"-")</f>
        <v>28</v>
      </c>
      <c r="S6" s="84">
        <f>IFERROR(VLOOKUP(R6,Database!$A$2:$L$175,8,FALSE),"-")</f>
        <v>0</v>
      </c>
      <c r="T6" s="84" t="str">
        <f>IFERROR(VLOOKUP(R6,Database!$A$2:$L$175,6,FALSE),"-")</f>
        <v>DK</v>
      </c>
      <c r="U6" s="88">
        <f>IFERROR(VLOOKUP(R6,Database!$A$2:$L$175,9,FALSE),"-")</f>
        <v>0</v>
      </c>
      <c r="V6" s="103">
        <f>IF(AND(D6="Y",booking!T6&lt;&gt;booking!U6,booking!U6&gt;0),booking!U6,"-")</f>
        <v>28</v>
      </c>
      <c r="W6" s="85">
        <f>IFERROR(VLOOKUP(V6,Database!$A$2:$L$175,8,FALSE),"-")</f>
        <v>0</v>
      </c>
      <c r="X6" s="85" t="str">
        <f>IFERROR(VLOOKUP(V6,Database!$A$2:$L$175,6,FALSE),"-")</f>
        <v>DK</v>
      </c>
      <c r="Y6" s="87">
        <f>IFERROR(VLOOKUP(V6,Database!$A$2:$L$175,9,FALSE),"-")</f>
        <v>0</v>
      </c>
    </row>
    <row r="7" spans="1:26" ht="15" customHeight="1" thickBot="1" x14ac:dyDescent="0.4">
      <c r="A7" s="94" t="str">
        <f>rengøring!A7</f>
        <v>lørdag</v>
      </c>
      <c r="B7" s="90">
        <f>rengøring!B7</f>
        <v>46144</v>
      </c>
      <c r="C7" s="9"/>
      <c r="D7" s="95" t="str">
        <f>IF(booking!AB7&gt;0,"Y","-")</f>
        <v>-</v>
      </c>
      <c r="E7" s="102" t="str">
        <f>IF(AND(D7="Y",booking!D7&lt;&gt;booking!E7,booking!E7&gt;0),booking!E7,"-")</f>
        <v>-</v>
      </c>
      <c r="F7" s="84" t="str">
        <f>IFERROR(VLOOKUP(E7,Database!$A$2:$L$175,8,FALSE),"-")</f>
        <v>-</v>
      </c>
      <c r="G7" s="84" t="str">
        <f>IFERROR(VLOOKUP(E7,Database!$A$2:$L$175,6,FALSE),"-")</f>
        <v>-</v>
      </c>
      <c r="H7" s="100" t="str">
        <f>IFERROR(VLOOKUP(E7,Database!$A$2:$L$175,9,FALSE),"-")</f>
        <v>-</v>
      </c>
      <c r="I7" s="119"/>
      <c r="J7" s="103" t="str">
        <f>IF(AND(D7="Y",booking!H7&lt;&gt;booking!I7,booking!I7&gt;0),booking!I7,"-")</f>
        <v>-</v>
      </c>
      <c r="K7" s="84" t="str">
        <f>IFERROR(VLOOKUP(J7,Database!$A$2:$L$175,8,FALSE),"-")</f>
        <v>-</v>
      </c>
      <c r="L7" s="84" t="str">
        <f>IFERROR(VLOOKUP(J7,Database!$A$2:$L$175,6,FALSE),"-")</f>
        <v>-</v>
      </c>
      <c r="M7" s="100" t="str">
        <f>IFERROR(VLOOKUP(J7,Database!$A$2:$L$175,9,FALSE),"-")</f>
        <v>-</v>
      </c>
      <c r="N7" s="103" t="str">
        <f>IF(AND(D7="Y",booking!L7&lt;&gt;booking!M7,booking!M7&gt;0),booking!M7,"-")</f>
        <v>-</v>
      </c>
      <c r="O7" s="84" t="str">
        <f>IFERROR(VLOOKUP(N7,Database!$A$2:$L$175,8,FALSE),"-")</f>
        <v>-</v>
      </c>
      <c r="P7" s="84" t="str">
        <f>IFERROR(VLOOKUP(N7,Database!$A$2:$L$175,6,FALSE),"-")</f>
        <v>-</v>
      </c>
      <c r="Q7" s="88" t="str">
        <f>IFERROR(VLOOKUP(N7,Database!$A$2:$L$175,9,FALSE),"-")</f>
        <v>-</v>
      </c>
      <c r="R7" s="104" t="str">
        <f>IF(AND(D7="Y",booking!P7&lt;&gt;booking!Q7,booking!Q7&gt;0),booking!Q7,"-")</f>
        <v>-</v>
      </c>
      <c r="S7" s="84" t="str">
        <f>IFERROR(VLOOKUP(R7,Database!$A$2:$L$175,8,FALSE),"-")</f>
        <v>-</v>
      </c>
      <c r="T7" s="84" t="str">
        <f>IFERROR(VLOOKUP(R7,Database!$A$2:$L$175,6,FALSE),"-")</f>
        <v>-</v>
      </c>
      <c r="U7" s="88" t="str">
        <f>IFERROR(VLOOKUP(R7,Database!$A$2:$L$175,9,FALSE),"-")</f>
        <v>-</v>
      </c>
      <c r="V7" s="103" t="str">
        <f>IF(AND(D7="Y",booking!T7&lt;&gt;booking!U7,booking!U7&gt;0),booking!U7,"-")</f>
        <v>-</v>
      </c>
      <c r="W7" s="85" t="str">
        <f>IFERROR(VLOOKUP(V7,Database!$A$2:$L$175,8,FALSE),"-")</f>
        <v>-</v>
      </c>
      <c r="X7" s="85" t="str">
        <f>IFERROR(VLOOKUP(V7,Database!$A$2:$L$175,6,FALSE),"-")</f>
        <v>-</v>
      </c>
      <c r="Y7" s="87" t="str">
        <f>IFERROR(VLOOKUP(V7,Database!$A$2:$L$175,9,FALSE),"-")</f>
        <v>-</v>
      </c>
    </row>
    <row r="8" spans="1:26" ht="15" customHeight="1" thickBot="1" x14ac:dyDescent="0.4">
      <c r="A8" s="94" t="str">
        <f>rengøring!A8</f>
        <v>søndag</v>
      </c>
      <c r="B8" s="90">
        <f>rengøring!B8</f>
        <v>46145</v>
      </c>
      <c r="C8" s="9"/>
      <c r="D8" s="95" t="str">
        <f>IF(booking!AB8&gt;0,"Y","-")</f>
        <v>Y</v>
      </c>
      <c r="E8" s="102" t="str">
        <f>IF(AND(D8="Y",booking!D8&lt;&gt;booking!E8,booking!E8&gt;0),booking!E8,"-")</f>
        <v>-</v>
      </c>
      <c r="F8" s="84" t="str">
        <f>IFERROR(VLOOKUP(E8,Database!$A$2:$L$175,8,FALSE),"-")</f>
        <v>-</v>
      </c>
      <c r="G8" s="84" t="str">
        <f>IFERROR(VLOOKUP(E8,Database!$A$2:$L$175,6,FALSE),"-")</f>
        <v>-</v>
      </c>
      <c r="H8" s="100" t="str">
        <f>IFERROR(VLOOKUP(E8,Database!$A$2:$L$175,9,FALSE),"-")</f>
        <v>-</v>
      </c>
      <c r="I8" s="119"/>
      <c r="J8" s="103" t="str">
        <f>IF(AND(D8="Y",booking!H8&lt;&gt;booking!I8,booking!I8&gt;0),booking!I8,"-")</f>
        <v>-</v>
      </c>
      <c r="K8" s="84" t="str">
        <f>IFERROR(VLOOKUP(J8,Database!$A$2:$L$175,8,FALSE),"-")</f>
        <v>-</v>
      </c>
      <c r="L8" s="84" t="str">
        <f>IFERROR(VLOOKUP(J8,Database!$A$2:$L$175,6,FALSE),"-")</f>
        <v>-</v>
      </c>
      <c r="M8" s="100" t="str">
        <f>IFERROR(VLOOKUP(J8,Database!$A$2:$L$175,9,FALSE),"-")</f>
        <v>-</v>
      </c>
      <c r="N8" s="103" t="str">
        <f>IF(AND(D8="Y",booking!L8&lt;&gt;booking!M8,booking!M8&gt;0),booking!M8,"-")</f>
        <v>-</v>
      </c>
      <c r="O8" s="84" t="str">
        <f>IFERROR(VLOOKUP(N8,Database!$A$2:$L$175,8,FALSE),"-")</f>
        <v>-</v>
      </c>
      <c r="P8" s="84" t="str">
        <f>IFERROR(VLOOKUP(N8,Database!$A$2:$L$175,6,FALSE),"-")</f>
        <v>-</v>
      </c>
      <c r="Q8" s="88" t="str">
        <f>IFERROR(VLOOKUP(N8,Database!$A$2:$L$175,9,FALSE),"-")</f>
        <v>-</v>
      </c>
      <c r="R8" s="104">
        <f>IF(AND(D8="Y",booking!P8&lt;&gt;booking!Q8,booking!Q8&gt;0),booking!Q8,"-")</f>
        <v>72</v>
      </c>
      <c r="S8" s="84" t="str">
        <f>IFERROR(VLOOKUP(R8,Database!$A$2:$L$175,8,FALSE),"-")</f>
        <v>1430</v>
      </c>
      <c r="T8" s="84" t="str">
        <f>IFERROR(VLOOKUP(R8,Database!$A$2:$L$175,6,FALSE),"-")</f>
        <v>DK</v>
      </c>
      <c r="U8" s="88">
        <f>IFERROR(VLOOKUP(R8,Database!$A$2:$L$175,9,FALSE),"-")</f>
        <v>0</v>
      </c>
      <c r="V8" s="103" t="str">
        <f>IF(AND(D8="Y",booking!T8&lt;&gt;booking!U8,booking!U8&gt;0),booking!U8,"-")</f>
        <v>-</v>
      </c>
      <c r="W8" s="85" t="str">
        <f>IFERROR(VLOOKUP(V8,Database!$A$2:$L$175,8,FALSE),"-")</f>
        <v>-</v>
      </c>
      <c r="X8" s="85" t="str">
        <f>IFERROR(VLOOKUP(V8,Database!$A$2:$L$175,6,FALSE),"-")</f>
        <v>-</v>
      </c>
      <c r="Y8" s="87" t="str">
        <f>IFERROR(VLOOKUP(V8,Database!$A$2:$L$175,9,FALSE),"-")</f>
        <v>-</v>
      </c>
    </row>
    <row r="9" spans="1:26" ht="15" customHeight="1" thickBot="1" x14ac:dyDescent="0.4">
      <c r="A9" s="94" t="str">
        <f>rengøring!A9</f>
        <v>mandag</v>
      </c>
      <c r="B9" s="90">
        <f>rengøring!B9</f>
        <v>46146</v>
      </c>
      <c r="C9" s="9"/>
      <c r="D9" s="95" t="str">
        <f>IF(booking!AB9&gt;0,"Y","-")</f>
        <v>-</v>
      </c>
      <c r="E9" s="102" t="str">
        <f>IF(AND(D9="Y",booking!D9&lt;&gt;booking!E9,booking!E9&gt;0),booking!E9,"-")</f>
        <v>-</v>
      </c>
      <c r="F9" s="84" t="str">
        <f>IFERROR(VLOOKUP(E9,Database!$A$2:$L$175,8,FALSE),"-")</f>
        <v>-</v>
      </c>
      <c r="G9" s="84" t="str">
        <f>IFERROR(VLOOKUP(E9,Database!$A$2:$L$175,6,FALSE),"-")</f>
        <v>-</v>
      </c>
      <c r="H9" s="100" t="str">
        <f>IFERROR(VLOOKUP(E9,Database!$A$2:$L$175,9,FALSE),"-")</f>
        <v>-</v>
      </c>
      <c r="I9" s="119"/>
      <c r="J9" s="103" t="str">
        <f>IF(AND(D9="Y",booking!H9&lt;&gt;booking!I9,booking!I9&gt;0),booking!I9,"-")</f>
        <v>-</v>
      </c>
      <c r="K9" s="84" t="str">
        <f>IFERROR(VLOOKUP(J9,Database!$A$2:$L$175,8,FALSE),"-")</f>
        <v>-</v>
      </c>
      <c r="L9" s="84" t="str">
        <f>IFERROR(VLOOKUP(J9,Database!$A$2:$L$175,6,FALSE),"-")</f>
        <v>-</v>
      </c>
      <c r="M9" s="100" t="str">
        <f>IFERROR(VLOOKUP(J9,Database!$A$2:$L$175,9,FALSE),"-")</f>
        <v>-</v>
      </c>
      <c r="N9" s="103" t="str">
        <f>IF(AND(D9="Y",booking!L9&lt;&gt;booking!M9,booking!M9&gt;0),booking!M9,"-")</f>
        <v>-</v>
      </c>
      <c r="O9" s="84" t="str">
        <f>IFERROR(VLOOKUP(N9,Database!$A$2:$L$175,8,FALSE),"-")</f>
        <v>-</v>
      </c>
      <c r="P9" s="84" t="str">
        <f>IFERROR(VLOOKUP(N9,Database!$A$2:$L$175,6,FALSE),"-")</f>
        <v>-</v>
      </c>
      <c r="Q9" s="88" t="str">
        <f>IFERROR(VLOOKUP(N9,Database!$A$2:$L$175,9,FALSE),"-")</f>
        <v>-</v>
      </c>
      <c r="R9" s="104" t="str">
        <f>IF(AND(D9="Y",booking!P9&lt;&gt;booking!Q9,booking!Q9&gt;0),booking!Q9,"-")</f>
        <v>-</v>
      </c>
      <c r="S9" s="84" t="str">
        <f>IFERROR(VLOOKUP(R9,Database!$A$2:$L$175,8,FALSE),"-")</f>
        <v>-</v>
      </c>
      <c r="T9" s="84" t="str">
        <f>IFERROR(VLOOKUP(R9,Database!$A$2:$L$175,6,FALSE),"-")</f>
        <v>-</v>
      </c>
      <c r="U9" s="88" t="str">
        <f>IFERROR(VLOOKUP(R9,Database!$A$2:$L$175,9,FALSE),"-")</f>
        <v>-</v>
      </c>
      <c r="V9" s="103" t="str">
        <f>IF(AND(D9="Y",booking!T9&lt;&gt;booking!U9,booking!U9&gt;0),booking!U9,"-")</f>
        <v>-</v>
      </c>
      <c r="W9" s="85" t="str">
        <f>IFERROR(VLOOKUP(V9,Database!$A$2:$L$175,8,FALSE),"-")</f>
        <v>-</v>
      </c>
      <c r="X9" s="85" t="str">
        <f>IFERROR(VLOOKUP(V9,Database!$A$2:$L$175,6,FALSE),"-")</f>
        <v>-</v>
      </c>
      <c r="Y9" s="87" t="str">
        <f>IFERROR(VLOOKUP(V9,Database!$A$2:$L$175,9,FALSE),"-")</f>
        <v>-</v>
      </c>
    </row>
    <row r="10" spans="1:26" ht="15" customHeight="1" thickBot="1" x14ac:dyDescent="0.4">
      <c r="A10" s="94" t="str">
        <f>rengøring!A10</f>
        <v>tirsdag</v>
      </c>
      <c r="B10" s="90">
        <f>rengøring!B10</f>
        <v>46147</v>
      </c>
      <c r="C10" s="9"/>
      <c r="D10" s="95" t="str">
        <f>IF(booking!AB10&gt;0,"Y","-")</f>
        <v>-</v>
      </c>
      <c r="E10" s="102" t="str">
        <f>IF(AND(D10="Y",booking!D10&lt;&gt;booking!E10,booking!E10&gt;0),booking!E10,"-")</f>
        <v>-</v>
      </c>
      <c r="F10" s="84" t="str">
        <f>IFERROR(VLOOKUP(E10,Database!$A$2:$L$175,8,FALSE),"-")</f>
        <v>-</v>
      </c>
      <c r="G10" s="84" t="str">
        <f>IFERROR(VLOOKUP(E10,Database!$A$2:$L$175,6,FALSE),"-")</f>
        <v>-</v>
      </c>
      <c r="H10" s="100" t="str">
        <f>IFERROR(VLOOKUP(E10,Database!$A$2:$L$175,9,FALSE),"-")</f>
        <v>-</v>
      </c>
      <c r="I10" s="119"/>
      <c r="J10" s="103" t="str">
        <f>IF(AND(D10="Y",booking!H10&lt;&gt;booking!I11,booking!I11&gt;0),booking!I11,"-")</f>
        <v>-</v>
      </c>
      <c r="K10" s="84" t="str">
        <f>IFERROR(VLOOKUP(J10,Database!$A$2:$L$175,8,FALSE),"-")</f>
        <v>-</v>
      </c>
      <c r="L10" s="84" t="str">
        <f>IFERROR(VLOOKUP(J10,Database!$A$2:$L$175,6,FALSE),"-")</f>
        <v>-</v>
      </c>
      <c r="M10" s="100" t="str">
        <f>IFERROR(VLOOKUP(J10,Database!$A$2:$L$175,9,FALSE),"-")</f>
        <v>-</v>
      </c>
      <c r="N10" s="103" t="str">
        <f>IF(AND(D10="Y",booking!L10&lt;&gt;booking!M10,booking!M10&gt;0),booking!M10,"-")</f>
        <v>-</v>
      </c>
      <c r="O10" s="84" t="str">
        <f>IFERROR(VLOOKUP(N10,Database!$A$2:$L$175,8,FALSE),"-")</f>
        <v>-</v>
      </c>
      <c r="P10" s="84" t="str">
        <f>IFERROR(VLOOKUP(N10,Database!$A$2:$L$175,6,FALSE),"-")</f>
        <v>-</v>
      </c>
      <c r="Q10" s="88" t="str">
        <f>IFERROR(VLOOKUP(N10,Database!$A$2:$L$175,9,FALSE),"-")</f>
        <v>-</v>
      </c>
      <c r="R10" s="104" t="str">
        <f>IF(AND(D10="Y",booking!P10&lt;&gt;booking!Q10,booking!Q10&gt;0),booking!Q10,"-")</f>
        <v>-</v>
      </c>
      <c r="S10" s="84" t="str">
        <f>IFERROR(VLOOKUP(R10,Database!$A$2:$L$175,8,FALSE),"-")</f>
        <v>-</v>
      </c>
      <c r="T10" s="84" t="str">
        <f>IFERROR(VLOOKUP(R10,Database!$A$2:$L$175,6,FALSE),"-")</f>
        <v>-</v>
      </c>
      <c r="U10" s="88" t="str">
        <f>IFERROR(VLOOKUP(R10,Database!$A$2:$L$175,9,FALSE),"-")</f>
        <v>-</v>
      </c>
      <c r="V10" s="103" t="str">
        <f>IF(AND(D10="Y",booking!T10&lt;&gt;booking!U10,booking!U10&gt;0),booking!U10,"-")</f>
        <v>-</v>
      </c>
      <c r="W10" s="85" t="str">
        <f>IFERROR(VLOOKUP(V10,Database!$A$2:$L$175,8,FALSE),"-")</f>
        <v>-</v>
      </c>
      <c r="X10" s="85" t="str">
        <f>IFERROR(VLOOKUP(V10,Database!$A$2:$L$175,6,FALSE),"-")</f>
        <v>-</v>
      </c>
      <c r="Y10" s="87" t="str">
        <f>IFERROR(VLOOKUP(V10,Database!$A$2:$L$175,9,FALSE),"-")</f>
        <v>-</v>
      </c>
    </row>
    <row r="11" spans="1:26" ht="15" customHeight="1" thickBot="1" x14ac:dyDescent="0.4">
      <c r="A11" s="94" t="str">
        <f>rengøring!A11</f>
        <v>onsdag</v>
      </c>
      <c r="B11" s="90">
        <f>rengøring!B11</f>
        <v>46148</v>
      </c>
      <c r="C11" s="9"/>
      <c r="D11" s="95" t="str">
        <f>IF(booking!AB11&gt;0,"Y","-")</f>
        <v>Y</v>
      </c>
      <c r="E11" s="102" t="str">
        <f>IF(AND(D11="Y",booking!D11&lt;&gt;booking!E11,booking!E11&gt;0),booking!E11,"-")</f>
        <v>-</v>
      </c>
      <c r="F11" s="84" t="str">
        <f>IFERROR(VLOOKUP(E11,Database!$A$2:$L$175,8,FALSE),"-")</f>
        <v>-</v>
      </c>
      <c r="G11" s="84" t="str">
        <f>IFERROR(VLOOKUP(E11,Database!$A$2:$L$175,6,FALSE),"-")</f>
        <v>-</v>
      </c>
      <c r="H11" s="100" t="str">
        <f>IFERROR(VLOOKUP(E11,Database!$A$2:$L$175,9,FALSE),"-")</f>
        <v>-</v>
      </c>
      <c r="I11" s="119"/>
      <c r="J11" s="103">
        <f>IF(AND(D11="Y",booking!H11&lt;&gt;booking!I12,booking!I12&gt;0),booking!I12,"-")</f>
        <v>80</v>
      </c>
      <c r="K11" s="84">
        <f>IFERROR(VLOOKUP(J11,Database!$A$2:$L$175,8,FALSE),"-")</f>
        <v>0</v>
      </c>
      <c r="L11" s="84" t="str">
        <f>IFERROR(VLOOKUP(J11,Database!$A$2:$L$175,6,FALSE),"-")</f>
        <v>DK</v>
      </c>
      <c r="M11" s="100" t="str">
        <f>IFERROR(VLOOKUP(J11,Database!$A$2:$L$175,9,FALSE),"-")</f>
        <v>db</v>
      </c>
      <c r="N11" s="103" t="str">
        <f>IF(AND(D11="Y",booking!L11&lt;&gt;booking!M11,booking!M11&gt;0),booking!M11,"-")</f>
        <v>-</v>
      </c>
      <c r="O11" s="84" t="str">
        <f>IFERROR(VLOOKUP(N11,Database!$A$2:$L$175,8,FALSE),"-")</f>
        <v>-</v>
      </c>
      <c r="P11" s="84" t="str">
        <f>IFERROR(VLOOKUP(N11,Database!$A$2:$L$175,6,FALSE),"-")</f>
        <v>-</v>
      </c>
      <c r="Q11" s="88" t="str">
        <f>IFERROR(VLOOKUP(N11,Database!$A$2:$L$175,9,FALSE),"-")</f>
        <v>-</v>
      </c>
      <c r="R11" s="104" t="str">
        <f>IF(AND(D11="Y",booking!P11&lt;&gt;booking!Q11,booking!Q11&gt;0),booking!Q11,"-")</f>
        <v>-</v>
      </c>
      <c r="S11" s="84" t="str">
        <f>IFERROR(VLOOKUP(R11,Database!$A$2:$L$175,8,FALSE),"-")</f>
        <v>-</v>
      </c>
      <c r="T11" s="84" t="str">
        <f>IFERROR(VLOOKUP(R11,Database!$A$2:$L$175,6,FALSE),"-")</f>
        <v>-</v>
      </c>
      <c r="U11" s="88" t="str">
        <f>IFERROR(VLOOKUP(R11,Database!$A$2:$L$175,9,FALSE),"-")</f>
        <v>-</v>
      </c>
      <c r="V11" s="103" t="str">
        <f>IF(AND(D11="Y",booking!T11&lt;&gt;booking!U11,booking!U11&gt;0),booking!U11,"-")</f>
        <v>-</v>
      </c>
      <c r="W11" s="85" t="str">
        <f>IFERROR(VLOOKUP(V11,Database!$A$2:$L$175,8,FALSE),"-")</f>
        <v>-</v>
      </c>
      <c r="X11" s="85" t="str">
        <f>IFERROR(VLOOKUP(V11,Database!$A$2:$L$175,6,FALSE),"-")</f>
        <v>-</v>
      </c>
      <c r="Y11" s="87" t="str">
        <f>IFERROR(VLOOKUP(V11,Database!$A$2:$L$175,9,FALSE),"-")</f>
        <v>-</v>
      </c>
    </row>
    <row r="12" spans="1:26" ht="15" customHeight="1" thickBot="1" x14ac:dyDescent="0.4">
      <c r="A12" s="94" t="str">
        <f>rengøring!A12</f>
        <v>torsdag</v>
      </c>
      <c r="B12" s="90">
        <f>rengøring!B12</f>
        <v>46149</v>
      </c>
      <c r="C12" s="9"/>
      <c r="D12" s="95" t="str">
        <f>IF(booking!AB12&gt;0,"Y","-")</f>
        <v>Y</v>
      </c>
      <c r="E12" s="102" t="str">
        <f>IF(AND(D12="Y",booking!D12&lt;&gt;booking!E12,booking!E12&gt;0),booking!E12,"-")</f>
        <v>-</v>
      </c>
      <c r="F12" s="84" t="str">
        <f>IFERROR(VLOOKUP(E12,Database!$A$2:$L$175,8,FALSE),"-")</f>
        <v>-</v>
      </c>
      <c r="G12" s="84" t="str">
        <f>IFERROR(VLOOKUP(E12,Database!$A$2:$L$175,6,FALSE),"-")</f>
        <v>-</v>
      </c>
      <c r="H12" s="100" t="str">
        <f>IFERROR(VLOOKUP(E12,Database!$A$2:$L$175,9,FALSE),"-")</f>
        <v>-</v>
      </c>
      <c r="I12" s="119"/>
      <c r="J12" s="103">
        <f>IF(AND(D12="Y",booking!H12&lt;&gt;booking!I12,booking!I12&gt;0),booking!I12,"-")</f>
        <v>80</v>
      </c>
      <c r="K12" s="84">
        <f>IFERROR(VLOOKUP(J12,Database!$A$2:$L$175,8,FALSE),"-")</f>
        <v>0</v>
      </c>
      <c r="L12" s="84" t="str">
        <f>IFERROR(VLOOKUP(J12,Database!$A$2:$L$175,6,FALSE),"-")</f>
        <v>DK</v>
      </c>
      <c r="M12" s="100" t="str">
        <f>IFERROR(VLOOKUP(J12,Database!$A$2:$L$175,9,FALSE),"-")</f>
        <v>db</v>
      </c>
      <c r="N12" s="103">
        <f>IF(AND(D12="Y",booking!L12&lt;&gt;booking!M12,booking!M12&gt;0),booking!M12,"-")</f>
        <v>80</v>
      </c>
      <c r="O12" s="84">
        <f>IFERROR(VLOOKUP(N12,Database!$A$2:$L$175,8,FALSE),"-")</f>
        <v>0</v>
      </c>
      <c r="P12" s="84" t="str">
        <f>IFERROR(VLOOKUP(N12,Database!$A$2:$L$175,6,FALSE),"-")</f>
        <v>DK</v>
      </c>
      <c r="Q12" s="88" t="str">
        <f>IFERROR(VLOOKUP(N12,Database!$A$2:$L$175,9,FALSE),"-")</f>
        <v>db</v>
      </c>
      <c r="R12" s="104" t="str">
        <f>IF(AND(D12="Y",booking!P12&lt;&gt;booking!Q12,booking!Q12&gt;0),booking!Q12,"-")</f>
        <v>-</v>
      </c>
      <c r="S12" s="84" t="str">
        <f>IFERROR(VLOOKUP(R12,Database!$A$2:$L$175,8,FALSE),"-")</f>
        <v>-</v>
      </c>
      <c r="T12" s="84" t="str">
        <f>IFERROR(VLOOKUP(R12,Database!$A$2:$L$175,6,FALSE),"-")</f>
        <v>-</v>
      </c>
      <c r="U12" s="88" t="str">
        <f>IFERROR(VLOOKUP(R12,Database!$A$2:$L$175,9,FALSE),"-")</f>
        <v>-</v>
      </c>
      <c r="V12" s="103" t="str">
        <f>IF(AND(D12="Y",booking!T12&lt;&gt;booking!U12,booking!U12&gt;0),booking!U12,"-")</f>
        <v>-</v>
      </c>
      <c r="W12" s="85" t="str">
        <f>IFERROR(VLOOKUP(V12,Database!$A$2:$L$175,8,FALSE),"-")</f>
        <v>-</v>
      </c>
      <c r="X12" s="85" t="str">
        <f>IFERROR(VLOOKUP(V12,Database!$A$2:$L$175,6,FALSE),"-")</f>
        <v>-</v>
      </c>
      <c r="Y12" s="87" t="str">
        <f>IFERROR(VLOOKUP(V12,Database!$A$2:$L$175,9,FALSE),"-")</f>
        <v>-</v>
      </c>
    </row>
    <row r="13" spans="1:26" ht="15" customHeight="1" thickBot="1" x14ac:dyDescent="0.4">
      <c r="A13" s="94" t="str">
        <f>rengøring!A13</f>
        <v>fredag</v>
      </c>
      <c r="B13" s="90">
        <f>rengøring!B13</f>
        <v>46150</v>
      </c>
      <c r="C13" s="9"/>
      <c r="D13" s="95" t="str">
        <f>IF(booking!AB13&gt;0,"Y","-")</f>
        <v>-</v>
      </c>
      <c r="E13" s="102" t="str">
        <f>IF(AND(D13="Y",booking!D13&lt;&gt;booking!E13,booking!E13&gt;0),booking!E13,"-")</f>
        <v>-</v>
      </c>
      <c r="F13" s="84" t="str">
        <f>IFERROR(VLOOKUP(E13,Database!$A$2:$L$175,8,FALSE),"-")</f>
        <v>-</v>
      </c>
      <c r="G13" s="84" t="str">
        <f>IFERROR(VLOOKUP(E13,Database!$A$2:$L$175,6,FALSE),"-")</f>
        <v>-</v>
      </c>
      <c r="H13" s="100" t="str">
        <f>IFERROR(VLOOKUP(E13,Database!$A$2:$L$175,9,FALSE),"-")</f>
        <v>-</v>
      </c>
      <c r="I13" s="119"/>
      <c r="J13" s="103" t="str">
        <f>IF(AND(D13="Y",booking!H13&lt;&gt;booking!I13,booking!I13&gt;0),booking!I13,"-")</f>
        <v>-</v>
      </c>
      <c r="K13" s="84" t="str">
        <f>IFERROR(VLOOKUP(J13,Database!$A$2:$L$175,8,FALSE),"-")</f>
        <v>-</v>
      </c>
      <c r="L13" s="84" t="str">
        <f>IFERROR(VLOOKUP(J13,Database!$A$2:$L$175,6,FALSE),"-")</f>
        <v>-</v>
      </c>
      <c r="M13" s="100" t="str">
        <f>IFERROR(VLOOKUP(J13,Database!$A$2:$L$175,9,FALSE),"-")</f>
        <v>-</v>
      </c>
      <c r="N13" s="103" t="str">
        <f>IF(AND(D13="Y",booking!L13&lt;&gt;booking!M13,booking!M13&gt;0),booking!M13,"-")</f>
        <v>-</v>
      </c>
      <c r="O13" s="84" t="str">
        <f>IFERROR(VLOOKUP(N13,Database!$A$2:$L$175,8,FALSE),"-")</f>
        <v>-</v>
      </c>
      <c r="P13" s="84" t="str">
        <f>IFERROR(VLOOKUP(N13,Database!$A$2:$L$175,6,FALSE),"-")</f>
        <v>-</v>
      </c>
      <c r="Q13" s="88" t="str">
        <f>IFERROR(VLOOKUP(N13,Database!$A$2:$L$175,9,FALSE),"-")</f>
        <v>-</v>
      </c>
      <c r="R13" s="104" t="str">
        <f>IF(AND(D13="Y",booking!P13&lt;&gt;booking!Q13,booking!Q13&gt;0),booking!Q13,"-")</f>
        <v>-</v>
      </c>
      <c r="S13" s="84" t="str">
        <f>IFERROR(VLOOKUP(R13,Database!$A$2:$L$175,8,FALSE),"-")</f>
        <v>-</v>
      </c>
      <c r="T13" s="84" t="str">
        <f>IFERROR(VLOOKUP(R13,Database!$A$2:$L$175,6,FALSE),"-")</f>
        <v>-</v>
      </c>
      <c r="U13" s="88" t="str">
        <f>IFERROR(VLOOKUP(R13,Database!$A$2:$L$175,9,FALSE),"-")</f>
        <v>-</v>
      </c>
      <c r="V13" s="103" t="str">
        <f>IF(AND(D13="Y",booking!T13&lt;&gt;booking!U13,booking!U13&gt;0),booking!U13,"-")</f>
        <v>-</v>
      </c>
      <c r="W13" s="85" t="str">
        <f>IFERROR(VLOOKUP(V13,Database!$A$2:$L$175,8,FALSE),"-")</f>
        <v>-</v>
      </c>
      <c r="X13" s="85" t="str">
        <f>IFERROR(VLOOKUP(V13,Database!$A$2:$L$175,6,FALSE),"-")</f>
        <v>-</v>
      </c>
      <c r="Y13" s="87" t="str">
        <f>IFERROR(VLOOKUP(V13,Database!$A$2:$L$175,9,FALSE),"-")</f>
        <v>-</v>
      </c>
    </row>
    <row r="14" spans="1:26" ht="15" customHeight="1" thickBot="1" x14ac:dyDescent="0.4">
      <c r="A14" s="94" t="str">
        <f>rengøring!A14</f>
        <v>lørdag</v>
      </c>
      <c r="B14" s="90">
        <f>rengøring!B14</f>
        <v>46151</v>
      </c>
      <c r="C14" s="9"/>
      <c r="D14" s="95" t="str">
        <f>IF(booking!AB14&gt;0,"Y","-")</f>
        <v>-</v>
      </c>
      <c r="E14" s="102" t="str">
        <f>IF(AND(D14="Y",booking!D14&lt;&gt;booking!E14,booking!E14&gt;0),booking!E14,"-")</f>
        <v>-</v>
      </c>
      <c r="F14" s="84" t="str">
        <f>IFERROR(VLOOKUP(E14,Database!$A$2:$L$175,8,FALSE),"-")</f>
        <v>-</v>
      </c>
      <c r="G14" s="84" t="str">
        <f>IFERROR(VLOOKUP(E14,Database!$A$2:$L$175,6,FALSE),"-")</f>
        <v>-</v>
      </c>
      <c r="H14" s="100" t="str">
        <f>IFERROR(VLOOKUP(E14,Database!$A$2:$L$175,9,FALSE),"-")</f>
        <v>-</v>
      </c>
      <c r="I14" s="119"/>
      <c r="J14" s="103" t="str">
        <f>IF(AND(D14="Y",booking!H14&lt;&gt;booking!I14,booking!I14&gt;0),booking!I14,"-")</f>
        <v>-</v>
      </c>
      <c r="K14" s="84" t="str">
        <f>IFERROR(VLOOKUP(J14,Database!$A$2:$L$175,8,FALSE),"-")</f>
        <v>-</v>
      </c>
      <c r="L14" s="84" t="str">
        <f>IFERROR(VLOOKUP(J14,Database!$A$2:$L$175,6,FALSE),"-")</f>
        <v>-</v>
      </c>
      <c r="M14" s="100" t="str">
        <f>IFERROR(VLOOKUP(J14,Database!$A$2:$L$175,9,FALSE),"-")</f>
        <v>-</v>
      </c>
      <c r="N14" s="103" t="str">
        <f>IF(AND(D14="Y",booking!L14&lt;&gt;booking!M14,booking!M14&gt;0),booking!M14,"-")</f>
        <v>-</v>
      </c>
      <c r="O14" s="84" t="str">
        <f>IFERROR(VLOOKUP(N14,Database!$A$2:$L$175,8,FALSE),"-")</f>
        <v>-</v>
      </c>
      <c r="P14" s="84" t="str">
        <f>IFERROR(VLOOKUP(N14,Database!$A$2:$L$175,6,FALSE),"-")</f>
        <v>-</v>
      </c>
      <c r="Q14" s="88" t="str">
        <f>IFERROR(VLOOKUP(N14,Database!$A$2:$L$175,9,FALSE),"-")</f>
        <v>-</v>
      </c>
      <c r="R14" s="104" t="str">
        <f>IF(AND(D14="Y",booking!P14&lt;&gt;booking!Q14,booking!Q14&gt;0),booking!Q14,"-")</f>
        <v>-</v>
      </c>
      <c r="S14" s="84" t="str">
        <f>IFERROR(VLOOKUP(R14,Database!$A$2:$L$175,8,FALSE),"-")</f>
        <v>-</v>
      </c>
      <c r="T14" s="84" t="str">
        <f>IFERROR(VLOOKUP(R14,Database!$A$2:$L$175,6,FALSE),"-")</f>
        <v>-</v>
      </c>
      <c r="U14" s="88" t="str">
        <f>IFERROR(VLOOKUP(R14,Database!$A$2:$L$175,9,FALSE),"-")</f>
        <v>-</v>
      </c>
      <c r="V14" s="103" t="str">
        <f>IF(AND(D14="Y",booking!T14&lt;&gt;booking!U14,booking!U14&gt;0),booking!U14,"-")</f>
        <v>-</v>
      </c>
      <c r="W14" s="85" t="str">
        <f>IFERROR(VLOOKUP(V14,Database!$A$2:$L$175,8,FALSE),"-")</f>
        <v>-</v>
      </c>
      <c r="X14" s="85" t="str">
        <f>IFERROR(VLOOKUP(V14,Database!$A$2:$L$175,6,FALSE),"-")</f>
        <v>-</v>
      </c>
      <c r="Y14" s="87" t="str">
        <f>IFERROR(VLOOKUP(V14,Database!$A$2:$L$175,9,FALSE),"-")</f>
        <v>-</v>
      </c>
    </row>
    <row r="15" spans="1:26" ht="15" customHeight="1" thickBot="1" x14ac:dyDescent="0.4">
      <c r="A15" s="94" t="str">
        <f>rengøring!A15</f>
        <v>søndag</v>
      </c>
      <c r="B15" s="90">
        <f>rengøring!B15</f>
        <v>46152</v>
      </c>
      <c r="C15" s="9"/>
      <c r="D15" s="95" t="str">
        <f>IF(booking!AB15&gt;0,"Y","-")</f>
        <v>-</v>
      </c>
      <c r="E15" s="102" t="str">
        <f>IF(AND(D15="Y",booking!D15&lt;&gt;booking!E15,booking!E15&gt;0),booking!E15,"-")</f>
        <v>-</v>
      </c>
      <c r="F15" s="84" t="str">
        <f>IFERROR(VLOOKUP(E15,Database!$A$2:$L$175,8,FALSE),"-")</f>
        <v>-</v>
      </c>
      <c r="G15" s="84" t="str">
        <f>IFERROR(VLOOKUP(E15,Database!$A$2:$L$175,6,FALSE),"-")</f>
        <v>-</v>
      </c>
      <c r="H15" s="100" t="str">
        <f>IFERROR(VLOOKUP(E15,Database!$A$2:$L$175,9,FALSE),"-")</f>
        <v>-</v>
      </c>
      <c r="I15" s="119"/>
      <c r="J15" s="103" t="str">
        <f>IF(AND(D15="Y",booking!H15&lt;&gt;booking!I15,booking!I15&gt;0),booking!I15,"-")</f>
        <v>-</v>
      </c>
      <c r="K15" s="84" t="str">
        <f>IFERROR(VLOOKUP(J15,Database!$A$2:$L$175,8,FALSE),"-")</f>
        <v>-</v>
      </c>
      <c r="L15" s="84" t="str">
        <f>IFERROR(VLOOKUP(J15,Database!$A$2:$L$175,6,FALSE),"-")</f>
        <v>-</v>
      </c>
      <c r="M15" s="100" t="str">
        <f>IFERROR(VLOOKUP(J15,Database!$A$2:$L$175,9,FALSE),"-")</f>
        <v>-</v>
      </c>
      <c r="N15" s="103" t="str">
        <f>IF(AND(D15="Y",booking!L15&lt;&gt;booking!M15,booking!M15&gt;0),booking!M15,"-")</f>
        <v>-</v>
      </c>
      <c r="O15" s="84" t="str">
        <f>IFERROR(VLOOKUP(N15,Database!$A$2:$L$175,8,FALSE),"-")</f>
        <v>-</v>
      </c>
      <c r="P15" s="84" t="str">
        <f>IFERROR(VLOOKUP(N15,Database!$A$2:$L$175,6,FALSE),"-")</f>
        <v>-</v>
      </c>
      <c r="Q15" s="88" t="str">
        <f>IFERROR(VLOOKUP(N15,Database!$A$2:$L$175,9,FALSE),"-")</f>
        <v>-</v>
      </c>
      <c r="R15" s="104" t="str">
        <f>IF(AND(D15="Y",booking!P15&lt;&gt;booking!Q15,booking!Q15&gt;0),booking!Q15,"-")</f>
        <v>-</v>
      </c>
      <c r="S15" s="84" t="str">
        <f>IFERROR(VLOOKUP(R15,Database!$A$2:$L$175,8,FALSE),"-")</f>
        <v>-</v>
      </c>
      <c r="T15" s="84" t="str">
        <f>IFERROR(VLOOKUP(R15,Database!$A$2:$L$175,6,FALSE),"-")</f>
        <v>-</v>
      </c>
      <c r="U15" s="88" t="str">
        <f>IFERROR(VLOOKUP(R15,Database!$A$2:$L$175,9,FALSE),"-")</f>
        <v>-</v>
      </c>
      <c r="V15" s="103" t="str">
        <f>IF(AND(D15="Y",booking!T15&lt;&gt;booking!U15,booking!U15&gt;0),booking!U15,"-")</f>
        <v>-</v>
      </c>
      <c r="W15" s="85" t="str">
        <f>IFERROR(VLOOKUP(V15,Database!$A$2:$L$175,8,FALSE),"-")</f>
        <v>-</v>
      </c>
      <c r="X15" s="85" t="str">
        <f>IFERROR(VLOOKUP(V15,Database!$A$2:$L$175,6,FALSE),"-")</f>
        <v>-</v>
      </c>
      <c r="Y15" s="87" t="str">
        <f>IFERROR(VLOOKUP(V15,Database!$A$2:$L$175,9,FALSE),"-")</f>
        <v>-</v>
      </c>
    </row>
    <row r="16" spans="1:26" ht="15" customHeight="1" thickBot="1" x14ac:dyDescent="0.4">
      <c r="A16" s="94" t="str">
        <f>rengøring!A16</f>
        <v>mandag</v>
      </c>
      <c r="B16" s="90">
        <f>rengøring!B16</f>
        <v>46153</v>
      </c>
      <c r="C16" s="9"/>
      <c r="D16" s="95" t="str">
        <f>IF(booking!AB16&gt;0,"Y","-")</f>
        <v>Y</v>
      </c>
      <c r="E16" s="102" t="str">
        <f>IF(AND(D16="Y",booking!D16&lt;&gt;booking!E16,booking!E16&gt;0),booking!E16,"-")</f>
        <v>-</v>
      </c>
      <c r="F16" s="84" t="str">
        <f>IFERROR(VLOOKUP(E16,Database!$A$2:$L$175,8,FALSE),"-")</f>
        <v>-</v>
      </c>
      <c r="G16" s="84" t="str">
        <f>IFERROR(VLOOKUP(E16,Database!$A$2:$L$175,6,FALSE),"-")</f>
        <v>-</v>
      </c>
      <c r="H16" s="100" t="str">
        <f>IFERROR(VLOOKUP(E16,Database!$A$2:$L$175,9,FALSE),"-")</f>
        <v>-</v>
      </c>
      <c r="I16" s="119"/>
      <c r="J16" s="103" t="str">
        <f>IF(AND(D16="Y",booking!H16&lt;&gt;booking!I16,booking!I16&gt;0),booking!I16,"-")</f>
        <v>-</v>
      </c>
      <c r="K16" s="84" t="str">
        <f>IFERROR(VLOOKUP(J16,Database!$A$2:$L$175,8,FALSE),"-")</f>
        <v>-</v>
      </c>
      <c r="L16" s="84" t="str">
        <f>IFERROR(VLOOKUP(J16,Database!$A$2:$L$175,6,FALSE),"-")</f>
        <v>-</v>
      </c>
      <c r="M16" s="100" t="str">
        <f>IFERROR(VLOOKUP(J16,Database!$A$2:$L$175,9,FALSE),"-")</f>
        <v>-</v>
      </c>
      <c r="N16" s="103" t="str">
        <f>IF(AND(D16="Y",booking!L16&lt;&gt;booking!M16,booking!M16&gt;0),booking!M16,"-")</f>
        <v>-</v>
      </c>
      <c r="O16" s="84" t="str">
        <f>IFERROR(VLOOKUP(N16,Database!$A$2:$L$175,8,FALSE),"-")</f>
        <v>-</v>
      </c>
      <c r="P16" s="84" t="str">
        <f>IFERROR(VLOOKUP(N16,Database!$A$2:$L$175,6,FALSE),"-")</f>
        <v>-</v>
      </c>
      <c r="Q16" s="88" t="str">
        <f>IFERROR(VLOOKUP(N16,Database!$A$2:$L$175,9,FALSE),"-")</f>
        <v>-</v>
      </c>
      <c r="R16" s="104" t="str">
        <f>IF(AND(D16="Y",booking!P16&lt;&gt;booking!Q16,booking!Q16&gt;0),booking!Q16,"-")</f>
        <v>-</v>
      </c>
      <c r="S16" s="84" t="str">
        <f>IFERROR(VLOOKUP(R16,Database!$A$2:$L$175,8,FALSE),"-")</f>
        <v>-</v>
      </c>
      <c r="T16" s="84" t="str">
        <f>IFERROR(VLOOKUP(R16,Database!$A$2:$L$175,6,FALSE),"-")</f>
        <v>-</v>
      </c>
      <c r="U16" s="88" t="str">
        <f>IFERROR(VLOOKUP(R16,Database!$A$2:$L$175,9,FALSE),"-")</f>
        <v>-</v>
      </c>
      <c r="V16" s="103">
        <f>IF(AND(D16="Y",booking!T16&lt;&gt;booking!U16,booking!U16&gt;0),booking!U16,"-")</f>
        <v>63</v>
      </c>
      <c r="W16" s="85">
        <f>IFERROR(VLOOKUP(V16,Database!$A$2:$L$175,8,FALSE),"-")</f>
        <v>0</v>
      </c>
      <c r="X16" s="85" t="str">
        <f>IFERROR(VLOOKUP(V16,Database!$A$2:$L$175,6,FALSE),"-")</f>
        <v>S</v>
      </c>
      <c r="Y16" s="87">
        <f>IFERROR(VLOOKUP(V16,Database!$A$2:$L$175,9,FALSE),"-")</f>
        <v>0</v>
      </c>
    </row>
    <row r="17" spans="1:25" ht="15" customHeight="1" thickBot="1" x14ac:dyDescent="0.4">
      <c r="A17" s="94" t="str">
        <f>rengøring!A17</f>
        <v>tirsdag</v>
      </c>
      <c r="B17" s="90">
        <f>rengøring!B17</f>
        <v>46154</v>
      </c>
      <c r="C17" s="9"/>
      <c r="D17" s="95" t="str">
        <f>IF(booking!AB17&gt;0,"Y","-")</f>
        <v>-</v>
      </c>
      <c r="E17" s="102" t="str">
        <f>IF(AND(D17="Y",booking!D17&lt;&gt;booking!E17,booking!E17&gt;0),booking!E17,"-")</f>
        <v>-</v>
      </c>
      <c r="F17" s="84" t="str">
        <f>IFERROR(VLOOKUP(E17,Database!$A$2:$L$175,8,FALSE),"-")</f>
        <v>-</v>
      </c>
      <c r="G17" s="84" t="str">
        <f>IFERROR(VLOOKUP(E17,Database!$A$2:$L$175,6,FALSE),"-")</f>
        <v>-</v>
      </c>
      <c r="H17" s="100" t="str">
        <f>IFERROR(VLOOKUP(E17,Database!$A$2:$L$175,9,FALSE),"-")</f>
        <v>-</v>
      </c>
      <c r="I17" s="119"/>
      <c r="J17" s="103" t="str">
        <f>IF(AND(D17="Y",booking!H17&lt;&gt;booking!I17,booking!I17&gt;0),booking!I17,"-")</f>
        <v>-</v>
      </c>
      <c r="K17" s="84" t="str">
        <f>IFERROR(VLOOKUP(J17,Database!$A$2:$L$175,8,FALSE),"-")</f>
        <v>-</v>
      </c>
      <c r="L17" s="84" t="str">
        <f>IFERROR(VLOOKUP(J17,Database!$A$2:$L$175,6,FALSE),"-")</f>
        <v>-</v>
      </c>
      <c r="M17" s="100" t="str">
        <f>IFERROR(VLOOKUP(J17,Database!$A$2:$L$175,9,FALSE),"-")</f>
        <v>-</v>
      </c>
      <c r="N17" s="103" t="str">
        <f>IF(AND(D17="Y",booking!L17&lt;&gt;booking!M17,booking!M17&gt;0),booking!M17,"-")</f>
        <v>-</v>
      </c>
      <c r="O17" s="84" t="str">
        <f>IFERROR(VLOOKUP(N17,Database!$A$2:$L$175,8,FALSE),"-")</f>
        <v>-</v>
      </c>
      <c r="P17" s="84" t="str">
        <f>IFERROR(VLOOKUP(N17,Database!$A$2:$L$175,6,FALSE),"-")</f>
        <v>-</v>
      </c>
      <c r="Q17" s="88" t="str">
        <f>IFERROR(VLOOKUP(N17,Database!$A$2:$L$175,9,FALSE),"-")</f>
        <v>-</v>
      </c>
      <c r="R17" s="104" t="str">
        <f>IF(AND(D17="Y",booking!P17&lt;&gt;booking!Q17,booking!Q17&gt;0),booking!Q17,"-")</f>
        <v>-</v>
      </c>
      <c r="S17" s="84" t="str">
        <f>IFERROR(VLOOKUP(R17,Database!$A$2:$L$175,8,FALSE),"-")</f>
        <v>-</v>
      </c>
      <c r="T17" s="84" t="str">
        <f>IFERROR(VLOOKUP(R17,Database!$A$2:$L$175,6,FALSE),"-")</f>
        <v>-</v>
      </c>
      <c r="U17" s="88" t="str">
        <f>IFERROR(VLOOKUP(R17,Database!$A$2:$L$175,9,FALSE),"-")</f>
        <v>-</v>
      </c>
      <c r="V17" s="103" t="str">
        <f>IF(AND(D17="Y",booking!T17&lt;&gt;booking!U17,booking!U17&gt;0),booking!U17,"-")</f>
        <v>-</v>
      </c>
      <c r="W17" s="85" t="str">
        <f>IFERROR(VLOOKUP(V17,Database!$A$2:$L$175,8,FALSE),"-")</f>
        <v>-</v>
      </c>
      <c r="X17" s="85" t="str">
        <f>IFERROR(VLOOKUP(V17,Database!$A$2:$L$175,6,FALSE),"-")</f>
        <v>-</v>
      </c>
      <c r="Y17" s="87" t="str">
        <f>IFERROR(VLOOKUP(V17,Database!$A$2:$L$175,9,FALSE),"-")</f>
        <v>-</v>
      </c>
    </row>
    <row r="18" spans="1:25" ht="15" customHeight="1" thickBot="1" x14ac:dyDescent="0.4">
      <c r="A18" s="94" t="str">
        <f>rengøring!A18</f>
        <v>onsdag</v>
      </c>
      <c r="B18" s="90">
        <f>rengøring!B18</f>
        <v>46155</v>
      </c>
      <c r="C18" s="9"/>
      <c r="D18" s="95" t="str">
        <f>IF(booking!AB18&gt;0,"Y","-")</f>
        <v>Y</v>
      </c>
      <c r="E18" s="102" t="str">
        <f>IF(AND(D18="Y",booking!D18&lt;&gt;booking!E18,booking!E18&gt;0),booking!E18,"-")</f>
        <v>-</v>
      </c>
      <c r="F18" s="84" t="str">
        <f>IFERROR(VLOOKUP(E18,Database!$A$2:$L$175,8,FALSE),"-")</f>
        <v>-</v>
      </c>
      <c r="G18" s="84" t="str">
        <f>IFERROR(VLOOKUP(E18,Database!$A$2:$L$175,6,FALSE),"-")</f>
        <v>-</v>
      </c>
      <c r="H18" s="100" t="str">
        <f>IFERROR(VLOOKUP(E18,Database!$A$2:$L$175,9,FALSE),"-")</f>
        <v>-</v>
      </c>
      <c r="I18" s="119"/>
      <c r="J18" s="103" t="str">
        <f>IF(AND(D18="Y",booking!H18&lt;&gt;booking!I18,booking!I18&gt;0),booking!I18,"-")</f>
        <v>-</v>
      </c>
      <c r="K18" s="84" t="str">
        <f>IFERROR(VLOOKUP(J18,Database!$A$2:$L$175,8,FALSE),"-")</f>
        <v>-</v>
      </c>
      <c r="L18" s="84" t="str">
        <f>IFERROR(VLOOKUP(J18,Database!$A$2:$L$175,6,FALSE),"-")</f>
        <v>-</v>
      </c>
      <c r="M18" s="100" t="str">
        <f>IFERROR(VLOOKUP(J18,Database!$A$2:$L$175,9,FALSE),"-")</f>
        <v>-</v>
      </c>
      <c r="N18" s="103" t="str">
        <f>IF(AND(D18="Y",booking!L18&lt;&gt;booking!M18,booking!M18&gt;0),booking!M18,"-")</f>
        <v>-</v>
      </c>
      <c r="O18" s="84" t="str">
        <f>IFERROR(VLOOKUP(N18,Database!$A$2:$L$175,8,FALSE),"-")</f>
        <v>-</v>
      </c>
      <c r="P18" s="84" t="str">
        <f>IFERROR(VLOOKUP(N18,Database!$A$2:$L$175,6,FALSE),"-")</f>
        <v>-</v>
      </c>
      <c r="Q18" s="88" t="str">
        <f>IFERROR(VLOOKUP(N18,Database!$A$2:$L$175,9,FALSE),"-")</f>
        <v>-</v>
      </c>
      <c r="R18" s="104">
        <f>IF(AND(D18="Y",booking!P18&lt;&gt;booking!Q18,booking!Q18&gt;0),booking!Q18,"-")</f>
        <v>53</v>
      </c>
      <c r="S18" s="84">
        <f>IFERROR(VLOOKUP(R18,Database!$A$2:$L$175,8,FALSE),"-")</f>
        <v>0</v>
      </c>
      <c r="T18" s="84" t="str">
        <f>IFERROR(VLOOKUP(R18,Database!$A$2:$L$175,6,FALSE),"-")</f>
        <v>DK</v>
      </c>
      <c r="U18" s="88">
        <f>IFERROR(VLOOKUP(R18,Database!$A$2:$L$175,9,FALSE),"-")</f>
        <v>0</v>
      </c>
      <c r="V18" s="103" t="str">
        <f>IF(AND(D18="Y",booking!T18&lt;&gt;booking!U18,booking!U18&gt;0),booking!U18,"-")</f>
        <v>-</v>
      </c>
      <c r="W18" s="85" t="str">
        <f>IFERROR(VLOOKUP(V18,Database!$A$2:$L$175,8,FALSE),"-")</f>
        <v>-</v>
      </c>
      <c r="X18" s="85" t="str">
        <f>IFERROR(VLOOKUP(V18,Database!$A$2:$L$175,6,FALSE),"-")</f>
        <v>-</v>
      </c>
      <c r="Y18" s="87" t="str">
        <f>IFERROR(VLOOKUP(V18,Database!$A$2:$L$175,9,FALSE),"-")</f>
        <v>-</v>
      </c>
    </row>
    <row r="19" spans="1:25" ht="15" customHeight="1" thickBot="1" x14ac:dyDescent="0.4">
      <c r="A19" s="94" t="str">
        <f>rengøring!A19</f>
        <v>torsdag</v>
      </c>
      <c r="B19" s="90">
        <f>rengøring!B19</f>
        <v>46156</v>
      </c>
      <c r="C19" s="9"/>
      <c r="D19" s="95" t="str">
        <f>IF(booking!AB19&gt;0,"Y","-")</f>
        <v>Y</v>
      </c>
      <c r="E19" s="102" t="str">
        <f>IF(AND(D19="Y",booking!D19&lt;&gt;booking!E19,booking!E19&gt;0),booking!E19,"-")</f>
        <v>-</v>
      </c>
      <c r="F19" s="84" t="str">
        <f>IFERROR(VLOOKUP(E19,Database!$A$2:$L$175,8,FALSE),"-")</f>
        <v>-</v>
      </c>
      <c r="G19" s="84" t="str">
        <f>IFERROR(VLOOKUP(E19,Database!$A$2:$L$175,6,FALSE),"-")</f>
        <v>-</v>
      </c>
      <c r="H19" s="100" t="str">
        <f>IFERROR(VLOOKUP(E19,Database!$A$2:$L$175,9,FALSE),"-")</f>
        <v>-</v>
      </c>
      <c r="I19" s="119"/>
      <c r="J19" s="103" t="str">
        <f>IF(AND(D19="Y",booking!H19&lt;&gt;booking!I19,booking!I19&gt;0),booking!I19,"-")</f>
        <v>-</v>
      </c>
      <c r="K19" s="84" t="str">
        <f>IFERROR(VLOOKUP(J19,Database!$A$2:$L$175,8,FALSE),"-")</f>
        <v>-</v>
      </c>
      <c r="L19" s="84" t="str">
        <f>IFERROR(VLOOKUP(J19,Database!$A$2:$L$175,6,FALSE),"-")</f>
        <v>-</v>
      </c>
      <c r="M19" s="100" t="str">
        <f>IFERROR(VLOOKUP(J19,Database!$A$2:$L$175,9,FALSE),"-")</f>
        <v>-</v>
      </c>
      <c r="N19" s="103" t="str">
        <f>IF(AND(D19="Y",booking!L19&lt;&gt;booking!M19,booking!M19&gt;0),booking!M19,"-")</f>
        <v>-</v>
      </c>
      <c r="O19" s="84" t="str">
        <f>IFERROR(VLOOKUP(N19,Database!$A$2:$L$175,8,FALSE),"-")</f>
        <v>-</v>
      </c>
      <c r="P19" s="84" t="str">
        <f>IFERROR(VLOOKUP(N19,Database!$A$2:$L$175,6,FALSE),"-")</f>
        <v>-</v>
      </c>
      <c r="Q19" s="88" t="str">
        <f>IFERROR(VLOOKUP(N19,Database!$A$2:$L$175,9,FALSE),"-")</f>
        <v>-</v>
      </c>
      <c r="R19" s="104" t="str">
        <f>IF(AND(D19="Y",booking!P19&lt;&gt;booking!Q19,booking!Q19&gt;0),booking!Q19,"-")</f>
        <v>-</v>
      </c>
      <c r="S19" s="84" t="str">
        <f>IFERROR(VLOOKUP(R19,Database!$A$2:$L$175,8,FALSE),"-")</f>
        <v>-</v>
      </c>
      <c r="T19" s="84" t="str">
        <f>IFERROR(VLOOKUP(R19,Database!$A$2:$L$175,6,FALSE),"-")</f>
        <v>-</v>
      </c>
      <c r="U19" s="88" t="str">
        <f>IFERROR(VLOOKUP(R19,Database!$A$2:$L$175,9,FALSE),"-")</f>
        <v>-</v>
      </c>
      <c r="V19" s="103">
        <f>IF(AND(D19="Y",booking!T19&lt;&gt;booking!U19,booking!U19&gt;0),booking!U19,"-")</f>
        <v>48</v>
      </c>
      <c r="W19" s="85">
        <f>IFERROR(VLOOKUP(V19,Database!$A$2:$L$175,8,FALSE),"-")</f>
        <v>0</v>
      </c>
      <c r="X19" s="85" t="str">
        <f>IFERROR(VLOOKUP(V19,Database!$A$2:$L$175,6,FALSE),"-")</f>
        <v>DK</v>
      </c>
      <c r="Y19" s="87">
        <f>IFERROR(VLOOKUP(V19,Database!$A$2:$L$175,9,FALSE),"-")</f>
        <v>0</v>
      </c>
    </row>
    <row r="20" spans="1:25" ht="15" customHeight="1" thickBot="1" x14ac:dyDescent="0.4">
      <c r="A20" s="94" t="str">
        <f>rengøring!A20</f>
        <v>fredag</v>
      </c>
      <c r="B20" s="90">
        <f>rengøring!B20</f>
        <v>46157</v>
      </c>
      <c r="C20" s="9"/>
      <c r="D20" s="95" t="str">
        <f>IF(booking!AB20&gt;0,"Y","-")</f>
        <v>-</v>
      </c>
      <c r="E20" s="102" t="str">
        <f>IF(AND(D20="Y",booking!D20&lt;&gt;booking!E20,booking!E20&gt;0),booking!E20,"-")</f>
        <v>-</v>
      </c>
      <c r="F20" s="84" t="str">
        <f>IFERROR(VLOOKUP(E20,Database!$A$2:$L$175,8,FALSE),"-")</f>
        <v>-</v>
      </c>
      <c r="G20" s="84" t="str">
        <f>IFERROR(VLOOKUP(E20,Database!$A$2:$L$175,6,FALSE),"-")</f>
        <v>-</v>
      </c>
      <c r="H20" s="100" t="str">
        <f>IFERROR(VLOOKUP(E20,Database!$A$2:$L$175,9,FALSE),"-")</f>
        <v>-</v>
      </c>
      <c r="I20" s="119"/>
      <c r="J20" s="103" t="str">
        <f>IF(AND(D20="Y",booking!H20&lt;&gt;booking!I20,booking!I20&gt;0),booking!I20,"-")</f>
        <v>-</v>
      </c>
      <c r="K20" s="84" t="str">
        <f>IFERROR(VLOOKUP(J20,Database!$A$2:$L$175,8,FALSE),"-")</f>
        <v>-</v>
      </c>
      <c r="L20" s="84" t="str">
        <f>IFERROR(VLOOKUP(J20,Database!$A$2:$L$175,6,FALSE),"-")</f>
        <v>-</v>
      </c>
      <c r="M20" s="100" t="str">
        <f>IFERROR(VLOOKUP(J20,Database!$A$2:$L$175,9,FALSE),"-")</f>
        <v>-</v>
      </c>
      <c r="N20" s="103" t="str">
        <f>IF(AND(D20="Y",booking!L20&lt;&gt;booking!M20,booking!M20&gt;0),booking!M20,"-")</f>
        <v>-</v>
      </c>
      <c r="O20" s="84" t="str">
        <f>IFERROR(VLOOKUP(N20,Database!$A$2:$L$175,8,FALSE),"-")</f>
        <v>-</v>
      </c>
      <c r="P20" s="84" t="str">
        <f>IFERROR(VLOOKUP(N20,Database!$A$2:$L$175,6,FALSE),"-")</f>
        <v>-</v>
      </c>
      <c r="Q20" s="88" t="str">
        <f>IFERROR(VLOOKUP(N20,Database!$A$2:$L$175,9,FALSE),"-")</f>
        <v>-</v>
      </c>
      <c r="R20" s="104" t="str">
        <f>IF(AND(D20="Y",booking!P20&lt;&gt;booking!Q20,booking!Q20&gt;0),booking!Q20,"-")</f>
        <v>-</v>
      </c>
      <c r="S20" s="84" t="str">
        <f>IFERROR(VLOOKUP(R20,Database!$A$2:$L$175,8,FALSE),"-")</f>
        <v>-</v>
      </c>
      <c r="T20" s="84" t="str">
        <f>IFERROR(VLOOKUP(R20,Database!$A$2:$L$175,6,FALSE),"-")</f>
        <v>-</v>
      </c>
      <c r="U20" s="88" t="str">
        <f>IFERROR(VLOOKUP(R20,Database!$A$2:$L$175,9,FALSE),"-")</f>
        <v>-</v>
      </c>
      <c r="V20" s="103" t="str">
        <f>IF(AND(D20="Y",booking!T20&lt;&gt;booking!U20,booking!U20&gt;0),booking!U20,"-")</f>
        <v>-</v>
      </c>
      <c r="W20" s="85" t="str">
        <f>IFERROR(VLOOKUP(V20,Database!$A$2:$L$175,8,FALSE),"-")</f>
        <v>-</v>
      </c>
      <c r="X20" s="85" t="str">
        <f>IFERROR(VLOOKUP(V20,Database!$A$2:$L$175,6,FALSE),"-")</f>
        <v>-</v>
      </c>
      <c r="Y20" s="87" t="str">
        <f>IFERROR(VLOOKUP(V20,Database!$A$2:$L$175,9,FALSE),"-")</f>
        <v>-</v>
      </c>
    </row>
    <row r="21" spans="1:25" ht="15" customHeight="1" thickBot="1" x14ac:dyDescent="0.4">
      <c r="A21" s="94" t="str">
        <f>rengøring!A21</f>
        <v>lørdag</v>
      </c>
      <c r="B21" s="90">
        <f>rengøring!B21</f>
        <v>46158</v>
      </c>
      <c r="C21" s="9"/>
      <c r="D21" s="95" t="str">
        <f>IF(booking!AB21&gt;0,"Y","-")</f>
        <v>Y</v>
      </c>
      <c r="E21" s="102">
        <f>IF(AND(D21="Y",booking!D21&lt;&gt;booking!E21,booking!E21&gt;0),booking!E21,"-")</f>
        <v>8</v>
      </c>
      <c r="F21" s="84">
        <f>IFERROR(VLOOKUP(E21,Database!$A$2:$L$175,8,FALSE),"-")</f>
        <v>0</v>
      </c>
      <c r="G21" s="84" t="str">
        <f>IFERROR(VLOOKUP(E21,Database!$A$2:$L$175,6,FALSE),"-")</f>
        <v>D</v>
      </c>
      <c r="H21" s="100">
        <f>IFERROR(VLOOKUP(E21,Database!$A$2:$L$175,9,FALSE),"-")</f>
        <v>0</v>
      </c>
      <c r="I21" s="119"/>
      <c r="J21" s="103" t="str">
        <f>IF(AND(D21="Y",booking!H21&lt;&gt;booking!I21,booking!I21&gt;0),booking!I21,"-")</f>
        <v>-</v>
      </c>
      <c r="K21" s="84" t="str">
        <f>IFERROR(VLOOKUP(J21,Database!$A$2:$L$175,8,FALSE),"-")</f>
        <v>-</v>
      </c>
      <c r="L21" s="84" t="str">
        <f>IFERROR(VLOOKUP(J21,Database!$A$2:$L$175,6,FALSE),"-")</f>
        <v>-</v>
      </c>
      <c r="M21" s="100" t="str">
        <f>IFERROR(VLOOKUP(J21,Database!$A$2:$L$175,9,FALSE),"-")</f>
        <v>-</v>
      </c>
      <c r="N21" s="103" t="str">
        <f>IF(AND(D21="Y",booking!L21&lt;&gt;booking!M21,booking!M21&gt;0),booking!M21,"-")</f>
        <v>-</v>
      </c>
      <c r="O21" s="84" t="str">
        <f>IFERROR(VLOOKUP(N21,Database!$A$2:$L$175,8,FALSE),"-")</f>
        <v>-</v>
      </c>
      <c r="P21" s="84" t="str">
        <f>IFERROR(VLOOKUP(N21,Database!$A$2:$L$175,6,FALSE),"-")</f>
        <v>-</v>
      </c>
      <c r="Q21" s="88" t="str">
        <f>IFERROR(VLOOKUP(N21,Database!$A$2:$L$175,9,FALSE),"-")</f>
        <v>-</v>
      </c>
      <c r="R21" s="104" t="str">
        <f>IF(AND(D21="Y",booking!P21&lt;&gt;booking!Q21,booking!Q21&gt;0),booking!Q21,"-")</f>
        <v>-</v>
      </c>
      <c r="S21" s="84" t="str">
        <f>IFERROR(VLOOKUP(R21,Database!$A$2:$L$175,8,FALSE),"-")</f>
        <v>-</v>
      </c>
      <c r="T21" s="84" t="str">
        <f>IFERROR(VLOOKUP(R21,Database!$A$2:$L$175,6,FALSE),"-")</f>
        <v>-</v>
      </c>
      <c r="U21" s="88" t="str">
        <f>IFERROR(VLOOKUP(R21,Database!$A$2:$L$175,9,FALSE),"-")</f>
        <v>-</v>
      </c>
      <c r="V21" s="103" t="str">
        <f>IF(AND(D21="Y",booking!T21&lt;&gt;booking!U21,booking!U21&gt;0),booking!U21,"-")</f>
        <v>-</v>
      </c>
      <c r="W21" s="85" t="str">
        <f>IFERROR(VLOOKUP(V21,Database!$A$2:$L$175,8,FALSE),"-")</f>
        <v>-</v>
      </c>
      <c r="X21" s="85" t="str">
        <f>IFERROR(VLOOKUP(V21,Database!$A$2:$L$175,6,FALSE),"-")</f>
        <v>-</v>
      </c>
      <c r="Y21" s="87" t="str">
        <f>IFERROR(VLOOKUP(V21,Database!$A$2:$L$175,9,FALSE),"-")</f>
        <v>-</v>
      </c>
    </row>
    <row r="22" spans="1:25" ht="15" customHeight="1" thickBot="1" x14ac:dyDescent="0.4">
      <c r="A22" s="94" t="str">
        <f>rengøring!A22</f>
        <v>søndag</v>
      </c>
      <c r="B22" s="90">
        <f>rengøring!B22</f>
        <v>46159</v>
      </c>
      <c r="C22" s="9"/>
      <c r="D22" s="95" t="str">
        <f>IF(booking!AB22&gt;0,"Y","-")</f>
        <v>Y</v>
      </c>
      <c r="E22" s="102" t="str">
        <f>IF(AND(D22="Y",booking!D22&lt;&gt;booking!E22,booking!E22&gt;0),booking!E22,"-")</f>
        <v>-</v>
      </c>
      <c r="F22" s="84" t="str">
        <f>IFERROR(VLOOKUP(E22,Database!$A$2:$L$175,8,FALSE),"-")</f>
        <v>-</v>
      </c>
      <c r="G22" s="84" t="str">
        <f>IFERROR(VLOOKUP(E22,Database!$A$2:$L$175,6,FALSE),"-")</f>
        <v>-</v>
      </c>
      <c r="H22" s="100" t="str">
        <f>IFERROR(VLOOKUP(E22,Database!$A$2:$L$175,9,FALSE),"-")</f>
        <v>-</v>
      </c>
      <c r="I22" s="119"/>
      <c r="J22" s="103" t="str">
        <f>IF(AND(D22="Y",booking!H22&lt;&gt;booking!I22,booking!I22&gt;0),booking!I22,"-")</f>
        <v>-</v>
      </c>
      <c r="K22" s="84" t="str">
        <f>IFERROR(VLOOKUP(J22,Database!$A$2:$L$175,8,FALSE),"-")</f>
        <v>-</v>
      </c>
      <c r="L22" s="84" t="str">
        <f>IFERROR(VLOOKUP(J22,Database!$A$2:$L$175,6,FALSE),"-")</f>
        <v>-</v>
      </c>
      <c r="M22" s="100" t="str">
        <f>IFERROR(VLOOKUP(J22,Database!$A$2:$L$175,9,FALSE),"-")</f>
        <v>-</v>
      </c>
      <c r="N22" s="103" t="str">
        <f>IF(AND(D22="Y",booking!L22&lt;&gt;booking!M22,booking!M22&gt;0),booking!M22,"-")</f>
        <v>-</v>
      </c>
      <c r="O22" s="84" t="str">
        <f>IFERROR(VLOOKUP(N22,Database!$A$2:$L$175,8,FALSE),"-")</f>
        <v>-</v>
      </c>
      <c r="P22" s="84" t="str">
        <f>IFERROR(VLOOKUP(N22,Database!$A$2:$L$175,6,FALSE),"-")</f>
        <v>-</v>
      </c>
      <c r="Q22" s="88" t="str">
        <f>IFERROR(VLOOKUP(N22,Database!$A$2:$L$175,9,FALSE),"-")</f>
        <v>-</v>
      </c>
      <c r="R22" s="104" t="str">
        <f>IF(AND(D22="Y",booking!P22&lt;&gt;booking!Q22,booking!Q22&gt;0),booking!Q22,"-")</f>
        <v>-</v>
      </c>
      <c r="S22" s="84" t="str">
        <f>IFERROR(VLOOKUP(R22,Database!$A$2:$L$175,8,FALSE),"-")</f>
        <v>-</v>
      </c>
      <c r="T22" s="84" t="str">
        <f>IFERROR(VLOOKUP(R22,Database!$A$2:$L$175,6,FALSE),"-")</f>
        <v>-</v>
      </c>
      <c r="U22" s="88" t="str">
        <f>IFERROR(VLOOKUP(R22,Database!$A$2:$L$175,9,FALSE),"-")</f>
        <v>-</v>
      </c>
      <c r="V22" s="103">
        <f>IF(AND(D22="Y",booking!T22&lt;&gt;booking!U22,booking!U22&gt;0),booking!U22,"-")</f>
        <v>9</v>
      </c>
      <c r="W22" s="85">
        <f>IFERROR(VLOOKUP(V22,Database!$A$2:$L$175,8,FALSE),"-")</f>
        <v>0</v>
      </c>
      <c r="X22" s="85" t="str">
        <f>IFERROR(VLOOKUP(V22,Database!$A$2:$L$175,6,FALSE),"-")</f>
        <v>DK</v>
      </c>
      <c r="Y22" s="87">
        <f>IFERROR(VLOOKUP(V22,Database!$A$2:$L$175,9,FALSE),"-")</f>
        <v>0</v>
      </c>
    </row>
    <row r="23" spans="1:25" ht="15" customHeight="1" thickBot="1" x14ac:dyDescent="0.4">
      <c r="A23" s="94" t="str">
        <f>rengøring!A23</f>
        <v>mandag</v>
      </c>
      <c r="B23" s="90">
        <f>rengøring!B23</f>
        <v>46160</v>
      </c>
      <c r="C23" s="9"/>
      <c r="D23" s="95" t="str">
        <f>IF(booking!AB23&gt;0,"Y","-")</f>
        <v>-</v>
      </c>
      <c r="E23" s="102" t="str">
        <f>IF(AND(D23="Y",booking!D23&lt;&gt;booking!E23,booking!E23&gt;0),booking!E23,"-")</f>
        <v>-</v>
      </c>
      <c r="F23" s="84" t="str">
        <f>IFERROR(VLOOKUP(E23,Database!$A$2:$L$175,8,FALSE),"-")</f>
        <v>-</v>
      </c>
      <c r="G23" s="84" t="str">
        <f>IFERROR(VLOOKUP(E23,Database!$A$2:$L$175,6,FALSE),"-")</f>
        <v>-</v>
      </c>
      <c r="H23" s="100" t="str">
        <f>IFERROR(VLOOKUP(E23,Database!$A$2:$L$175,9,FALSE),"-")</f>
        <v>-</v>
      </c>
      <c r="I23" s="119"/>
      <c r="J23" s="103" t="str">
        <f>IF(AND(D23="Y",booking!H23&lt;&gt;booking!I23,booking!I23&gt;0),booking!I23,"-")</f>
        <v>-</v>
      </c>
      <c r="K23" s="84" t="str">
        <f>IFERROR(VLOOKUP(J23,Database!$A$2:$L$175,8,FALSE),"-")</f>
        <v>-</v>
      </c>
      <c r="L23" s="84" t="str">
        <f>IFERROR(VLOOKUP(J23,Database!$A$2:$L$175,6,FALSE),"-")</f>
        <v>-</v>
      </c>
      <c r="M23" s="100" t="str">
        <f>IFERROR(VLOOKUP(J23,Database!$A$2:$L$175,9,FALSE),"-")</f>
        <v>-</v>
      </c>
      <c r="N23" s="103" t="str">
        <f>IF(AND(D23="Y",booking!L23&lt;&gt;booking!M23,booking!M23&gt;0),booking!M23,"-")</f>
        <v>-</v>
      </c>
      <c r="O23" s="84" t="str">
        <f>IFERROR(VLOOKUP(N23,Database!$A$2:$L$175,8,FALSE),"-")</f>
        <v>-</v>
      </c>
      <c r="P23" s="84" t="str">
        <f>IFERROR(VLOOKUP(N23,Database!$A$2:$L$175,6,FALSE),"-")</f>
        <v>-</v>
      </c>
      <c r="Q23" s="88" t="str">
        <f>IFERROR(VLOOKUP(N23,Database!$A$2:$L$175,9,FALSE),"-")</f>
        <v>-</v>
      </c>
      <c r="R23" s="104" t="str">
        <f>IF(AND(D23="Y",booking!P23&lt;&gt;booking!Q23,booking!Q23&gt;0),booking!Q23,"-")</f>
        <v>-</v>
      </c>
      <c r="S23" s="84" t="str">
        <f>IFERROR(VLOOKUP(R23,Database!$A$2:$L$175,8,FALSE),"-")</f>
        <v>-</v>
      </c>
      <c r="T23" s="84" t="str">
        <f>IFERROR(VLOOKUP(R23,Database!$A$2:$L$175,6,FALSE),"-")</f>
        <v>-</v>
      </c>
      <c r="U23" s="88" t="str">
        <f>IFERROR(VLOOKUP(R23,Database!$A$2:$L$175,9,FALSE),"-")</f>
        <v>-</v>
      </c>
      <c r="V23" s="103" t="str">
        <f>IF(AND(D23="Y",booking!T23&lt;&gt;booking!U23,booking!U23&gt;0),booking!U23,"-")</f>
        <v>-</v>
      </c>
      <c r="W23" s="85" t="str">
        <f>IFERROR(VLOOKUP(V23,Database!$A$2:$L$175,8,FALSE),"-")</f>
        <v>-</v>
      </c>
      <c r="X23" s="85" t="str">
        <f>IFERROR(VLOOKUP(V23,Database!$A$2:$L$175,6,FALSE),"-")</f>
        <v>-</v>
      </c>
      <c r="Y23" s="87" t="str">
        <f>IFERROR(VLOOKUP(V23,Database!$A$2:$L$175,9,FALSE),"-")</f>
        <v>-</v>
      </c>
    </row>
    <row r="24" spans="1:25" ht="15" customHeight="1" thickBot="1" x14ac:dyDescent="0.4">
      <c r="A24" s="94" t="str">
        <f>rengøring!A24</f>
        <v>tirsdag</v>
      </c>
      <c r="B24" s="90">
        <f>rengøring!B24</f>
        <v>46161</v>
      </c>
      <c r="C24" s="9"/>
      <c r="D24" s="95" t="str">
        <f>IF(booking!AB24&gt;0,"Y","-")</f>
        <v>-</v>
      </c>
      <c r="E24" s="102" t="str">
        <f>IF(AND(D24="Y",booking!D24&lt;&gt;booking!E24,booking!E24&gt;0),booking!E24,"-")</f>
        <v>-</v>
      </c>
      <c r="F24" s="84" t="str">
        <f>IFERROR(VLOOKUP(E24,Database!$A$2:$L$175,8,FALSE),"-")</f>
        <v>-</v>
      </c>
      <c r="G24" s="84" t="str">
        <f>IFERROR(VLOOKUP(E24,Database!$A$2:$L$175,6,FALSE),"-")</f>
        <v>-</v>
      </c>
      <c r="H24" s="100" t="str">
        <f>IFERROR(VLOOKUP(E24,Database!$A$2:$L$175,9,FALSE),"-")</f>
        <v>-</v>
      </c>
      <c r="I24" s="119"/>
      <c r="J24" s="103" t="str">
        <f>IF(AND(D24="Y",booking!H24&lt;&gt;booking!I24,booking!I24&gt;0),booking!I24,"-")</f>
        <v>-</v>
      </c>
      <c r="K24" s="84" t="str">
        <f>IFERROR(VLOOKUP(J24,Database!$A$2:$L$175,8,FALSE),"-")</f>
        <v>-</v>
      </c>
      <c r="L24" s="84" t="str">
        <f>IFERROR(VLOOKUP(J24,Database!$A$2:$L$175,6,FALSE),"-")</f>
        <v>-</v>
      </c>
      <c r="M24" s="100" t="str">
        <f>IFERROR(VLOOKUP(J24,Database!$A$2:$L$175,9,FALSE),"-")</f>
        <v>-</v>
      </c>
      <c r="N24" s="103" t="str">
        <f>IF(AND(D24="Y",booking!L24&lt;&gt;booking!M24,booking!M24&gt;0),booking!M24,"-")</f>
        <v>-</v>
      </c>
      <c r="O24" s="84" t="str">
        <f>IFERROR(VLOOKUP(N24,Database!$A$2:$L$175,8,FALSE),"-")</f>
        <v>-</v>
      </c>
      <c r="P24" s="84" t="str">
        <f>IFERROR(VLOOKUP(N24,Database!$A$2:$L$175,6,FALSE),"-")</f>
        <v>-</v>
      </c>
      <c r="Q24" s="88" t="str">
        <f>IFERROR(VLOOKUP(N24,Database!$A$2:$L$175,9,FALSE),"-")</f>
        <v>-</v>
      </c>
      <c r="R24" s="104" t="str">
        <f>IF(AND(D24="Y",booking!P24&lt;&gt;booking!Q24,booking!Q24&gt;0),booking!Q24,"-")</f>
        <v>-</v>
      </c>
      <c r="S24" s="84" t="str">
        <f>IFERROR(VLOOKUP(R24,Database!$A$2:$L$175,8,FALSE),"-")</f>
        <v>-</v>
      </c>
      <c r="T24" s="84" t="str">
        <f>IFERROR(VLOOKUP(R24,Database!$A$2:$L$175,6,FALSE),"-")</f>
        <v>-</v>
      </c>
      <c r="U24" s="88" t="str">
        <f>IFERROR(VLOOKUP(R24,Database!$A$2:$L$175,9,FALSE),"-")</f>
        <v>-</v>
      </c>
      <c r="V24" s="103" t="str">
        <f>IF(AND(D24="Y",booking!T24&lt;&gt;booking!U24,booking!U24&gt;0),booking!U24,"-")</f>
        <v>-</v>
      </c>
      <c r="W24" s="85" t="str">
        <f>IFERROR(VLOOKUP(V24,Database!$A$2:$L$175,8,FALSE),"-")</f>
        <v>-</v>
      </c>
      <c r="X24" s="85" t="str">
        <f>IFERROR(VLOOKUP(V24,Database!$A$2:$L$175,6,FALSE),"-")</f>
        <v>-</v>
      </c>
      <c r="Y24" s="87" t="str">
        <f>IFERROR(VLOOKUP(V24,Database!$A$2:$L$175,9,FALSE),"-")</f>
        <v>-</v>
      </c>
    </row>
    <row r="25" spans="1:25" ht="15" customHeight="1" thickBot="1" x14ac:dyDescent="0.4">
      <c r="A25" s="94" t="str">
        <f>rengøring!A25</f>
        <v>onsdag</v>
      </c>
      <c r="B25" s="90">
        <f>rengøring!B25</f>
        <v>46162</v>
      </c>
      <c r="C25" s="9"/>
      <c r="D25" s="95" t="str">
        <f>IF(booking!AB25&gt;0,"Y","-")</f>
        <v>-</v>
      </c>
      <c r="E25" s="102" t="str">
        <f>IF(AND(D25="Y",booking!D25&lt;&gt;booking!E25,booking!E25&gt;0),booking!E25,"-")</f>
        <v>-</v>
      </c>
      <c r="F25" s="84" t="str">
        <f>IFERROR(VLOOKUP(E25,Database!$A$2:$L$175,8,FALSE),"-")</f>
        <v>-</v>
      </c>
      <c r="G25" s="84" t="str">
        <f>IFERROR(VLOOKUP(E25,Database!$A$2:$L$175,6,FALSE),"-")</f>
        <v>-</v>
      </c>
      <c r="H25" s="100" t="str">
        <f>IFERROR(VLOOKUP(E25,Database!$A$2:$L$175,9,FALSE),"-")</f>
        <v>-</v>
      </c>
      <c r="I25" s="119"/>
      <c r="J25" s="103" t="str">
        <f>IF(AND(D25="Y",booking!H25&lt;&gt;booking!I25,booking!I25&gt;0),booking!I25,"-")</f>
        <v>-</v>
      </c>
      <c r="K25" s="84" t="str">
        <f>IFERROR(VLOOKUP(J25,Database!$A$2:$L$175,8,FALSE),"-")</f>
        <v>-</v>
      </c>
      <c r="L25" s="84" t="str">
        <f>IFERROR(VLOOKUP(J25,Database!$A$2:$L$175,6,FALSE),"-")</f>
        <v>-</v>
      </c>
      <c r="M25" s="100" t="str">
        <f>IFERROR(VLOOKUP(J25,Database!$A$2:$L$175,9,FALSE),"-")</f>
        <v>-</v>
      </c>
      <c r="N25" s="103" t="str">
        <f>IF(AND(D25="Y",booking!L25&lt;&gt;booking!M25,booking!M25&gt;0),booking!M25,"-")</f>
        <v>-</v>
      </c>
      <c r="O25" s="84" t="str">
        <f>IFERROR(VLOOKUP(N25,Database!$A$2:$L$175,8,FALSE),"-")</f>
        <v>-</v>
      </c>
      <c r="P25" s="84" t="str">
        <f>IFERROR(VLOOKUP(N25,Database!$A$2:$L$175,6,FALSE),"-")</f>
        <v>-</v>
      </c>
      <c r="Q25" s="88" t="str">
        <f>IFERROR(VLOOKUP(N25,Database!$A$2:$L$175,9,FALSE),"-")</f>
        <v>-</v>
      </c>
      <c r="R25" s="104" t="str">
        <f>IF(AND(D25="Y",booking!P25&lt;&gt;booking!Q25,booking!Q25&gt;0),booking!Q25,"-")</f>
        <v>-</v>
      </c>
      <c r="S25" s="84" t="str">
        <f>IFERROR(VLOOKUP(R25,Database!$A$2:$L$175,8,FALSE),"-")</f>
        <v>-</v>
      </c>
      <c r="T25" s="84" t="str">
        <f>IFERROR(VLOOKUP(R25,Database!$A$2:$L$175,6,FALSE),"-")</f>
        <v>-</v>
      </c>
      <c r="U25" s="88" t="str">
        <f>IFERROR(VLOOKUP(R25,Database!$A$2:$L$175,9,FALSE),"-")</f>
        <v>-</v>
      </c>
      <c r="V25" s="103" t="str">
        <f>IF(AND(D25="Y",booking!T25&lt;&gt;booking!U25,booking!U25&gt;0),booking!U25,"-")</f>
        <v>-</v>
      </c>
      <c r="W25" s="85" t="str">
        <f>IFERROR(VLOOKUP(V25,Database!$A$2:$L$175,8,FALSE),"-")</f>
        <v>-</v>
      </c>
      <c r="X25" s="85" t="str">
        <f>IFERROR(VLOOKUP(V25,Database!$A$2:$L$175,6,FALSE),"-")</f>
        <v>-</v>
      </c>
      <c r="Y25" s="87" t="str">
        <f>IFERROR(VLOOKUP(V25,Database!$A$2:$L$175,9,FALSE),"-")</f>
        <v>-</v>
      </c>
    </row>
    <row r="26" spans="1:25" ht="15" customHeight="1" thickBot="1" x14ac:dyDescent="0.4">
      <c r="A26" s="94" t="str">
        <f>rengøring!A26</f>
        <v>torsdag</v>
      </c>
      <c r="B26" s="90">
        <f>rengøring!B26</f>
        <v>46163</v>
      </c>
      <c r="C26" s="9"/>
      <c r="D26" s="95" t="str">
        <f>IF(booking!AB26&gt;0,"Y","-")</f>
        <v>Y</v>
      </c>
      <c r="E26" s="102" t="str">
        <f>IF(AND(D26="Y",booking!D26&lt;&gt;booking!E26,booking!E26&gt;0),booking!E26,"-")</f>
        <v>-</v>
      </c>
      <c r="F26" s="84" t="str">
        <f>IFERROR(VLOOKUP(E26,Database!$A$2:$L$175,8,FALSE),"-")</f>
        <v>-</v>
      </c>
      <c r="G26" s="84" t="str">
        <f>IFERROR(VLOOKUP(E26,Database!$A$2:$L$175,6,FALSE),"-")</f>
        <v>-</v>
      </c>
      <c r="H26" s="100" t="str">
        <f>IFERROR(VLOOKUP(E26,Database!$A$2:$L$175,9,FALSE),"-")</f>
        <v>-</v>
      </c>
      <c r="I26" s="119"/>
      <c r="J26" s="103">
        <f>IF(AND(D26="Y",booking!H26&lt;&gt;booking!I26,booking!I26&gt;0),booking!I26,"-")</f>
        <v>20</v>
      </c>
      <c r="K26" s="84">
        <f>IFERROR(VLOOKUP(J26,Database!$A$2:$L$175,8,FALSE),"-")</f>
        <v>0</v>
      </c>
      <c r="L26" s="84" t="str">
        <f>IFERROR(VLOOKUP(J26,Database!$A$2:$L$175,6,FALSE),"-")</f>
        <v>DK</v>
      </c>
      <c r="M26" s="100">
        <f>IFERROR(VLOOKUP(J26,Database!$A$2:$L$175,9,FALSE),"-")</f>
        <v>0</v>
      </c>
      <c r="N26" s="103">
        <f>IF(AND(D26="Y",booking!L26&lt;&gt;booking!M26,booking!M26&gt;0),booking!M26,"-")</f>
        <v>20</v>
      </c>
      <c r="O26" s="84">
        <f>IFERROR(VLOOKUP(N26,Database!$A$2:$L$175,8,FALSE),"-")</f>
        <v>0</v>
      </c>
      <c r="P26" s="84" t="str">
        <f>IFERROR(VLOOKUP(N26,Database!$A$2:$L$175,6,FALSE),"-")</f>
        <v>DK</v>
      </c>
      <c r="Q26" s="88">
        <f>IFERROR(VLOOKUP(N26,Database!$A$2:$L$175,9,FALSE),"-")</f>
        <v>0</v>
      </c>
      <c r="R26" s="104">
        <f>IF(AND(D26="Y",booking!P26&lt;&gt;booking!Q26,booking!Q26&gt;0),booking!Q26,"-")</f>
        <v>20</v>
      </c>
      <c r="S26" s="84">
        <f>IFERROR(VLOOKUP(R26,Database!$A$2:$L$175,8,FALSE),"-")</f>
        <v>0</v>
      </c>
      <c r="T26" s="84" t="str">
        <f>IFERROR(VLOOKUP(R26,Database!$A$2:$L$175,6,FALSE),"-")</f>
        <v>DK</v>
      </c>
      <c r="U26" s="88">
        <f>IFERROR(VLOOKUP(R26,Database!$A$2:$L$175,9,FALSE),"-")</f>
        <v>0</v>
      </c>
      <c r="V26" s="103" t="str">
        <f>IF(AND(D26="Y",booking!T26&lt;&gt;booking!U26,booking!U26&gt;0),booking!U26,"-")</f>
        <v>-</v>
      </c>
      <c r="W26" s="85" t="str">
        <f>IFERROR(VLOOKUP(V26,Database!$A$2:$L$175,8,FALSE),"-")</f>
        <v>-</v>
      </c>
      <c r="X26" s="85" t="str">
        <f>IFERROR(VLOOKUP(V26,Database!$A$2:$L$175,6,FALSE),"-")</f>
        <v>-</v>
      </c>
      <c r="Y26" s="87" t="str">
        <f>IFERROR(VLOOKUP(V26,Database!$A$2:$L$175,9,FALSE),"-")</f>
        <v>-</v>
      </c>
    </row>
    <row r="27" spans="1:25" ht="15" customHeight="1" thickBot="1" x14ac:dyDescent="0.4">
      <c r="A27" s="94" t="str">
        <f>rengøring!A27</f>
        <v>fredag</v>
      </c>
      <c r="B27" s="90">
        <f>rengøring!B27</f>
        <v>46164</v>
      </c>
      <c r="C27" s="9"/>
      <c r="D27" s="95" t="str">
        <f>IF(booking!AB27&gt;0,"Y","-")</f>
        <v>Y</v>
      </c>
      <c r="E27" s="102">
        <f>IF(AND(D27="Y",booking!D27&lt;&gt;booking!E27,booking!E27&gt;0),booking!E27,"-")</f>
        <v>40</v>
      </c>
      <c r="F27" s="84">
        <f>IFERROR(VLOOKUP(E27,Database!$A$2:$L$175,8,FALSE),"-")</f>
        <v>0</v>
      </c>
      <c r="G27" s="84" t="str">
        <f>IFERROR(VLOOKUP(E27,Database!$A$2:$L$175,6,FALSE),"-")</f>
        <v>DK</v>
      </c>
      <c r="H27" s="100">
        <f>IFERROR(VLOOKUP(E27,Database!$A$2:$L$175,9,FALSE),"-")</f>
        <v>0</v>
      </c>
      <c r="I27" s="119"/>
      <c r="J27" s="103" t="str">
        <f>IF(AND(D27="Y",booking!H27&lt;&gt;booking!I27,booking!I27&gt;0),booking!I27,"-")</f>
        <v>-</v>
      </c>
      <c r="K27" s="84" t="str">
        <f>IFERROR(VLOOKUP(J27,Database!$A$2:$L$175,8,FALSE),"-")</f>
        <v>-</v>
      </c>
      <c r="L27" s="84" t="str">
        <f>IFERROR(VLOOKUP(J27,Database!$A$2:$L$175,6,FALSE),"-")</f>
        <v>-</v>
      </c>
      <c r="M27" s="100" t="str">
        <f>IFERROR(VLOOKUP(J27,Database!$A$2:$L$175,9,FALSE),"-")</f>
        <v>-</v>
      </c>
      <c r="N27" s="103" t="str">
        <f>IF(AND(D27="Y",booking!L27&lt;&gt;booking!M27,booking!M27&gt;0),booking!M27,"-")</f>
        <v>-</v>
      </c>
      <c r="O27" s="84" t="str">
        <f>IFERROR(VLOOKUP(N27,Database!$A$2:$L$175,8,FALSE),"-")</f>
        <v>-</v>
      </c>
      <c r="P27" s="84" t="str">
        <f>IFERROR(VLOOKUP(N27,Database!$A$2:$L$175,6,FALSE),"-")</f>
        <v>-</v>
      </c>
      <c r="Q27" s="88" t="str">
        <f>IFERROR(VLOOKUP(N27,Database!$A$2:$L$175,9,FALSE),"-")</f>
        <v>-</v>
      </c>
      <c r="R27" s="104" t="str">
        <f>IF(AND(D27="Y",booking!P27&lt;&gt;booking!Q27,booking!Q27&gt;0),booking!Q27,"-")</f>
        <v>-</v>
      </c>
      <c r="S27" s="84" t="str">
        <f>IFERROR(VLOOKUP(R27,Database!$A$2:$L$175,8,FALSE),"-")</f>
        <v>-</v>
      </c>
      <c r="T27" s="84" t="str">
        <f>IFERROR(VLOOKUP(R27,Database!$A$2:$L$175,6,FALSE),"-")</f>
        <v>-</v>
      </c>
      <c r="U27" s="88" t="str">
        <f>IFERROR(VLOOKUP(R27,Database!$A$2:$L$175,9,FALSE),"-")</f>
        <v>-</v>
      </c>
      <c r="V27" s="103" t="str">
        <f>IF(AND(D27="Y",booking!T27&lt;&gt;booking!U27,booking!U27&gt;0),booking!U27,"-")</f>
        <v>-</v>
      </c>
      <c r="W27" s="85" t="str">
        <f>IFERROR(VLOOKUP(V27,Database!$A$2:$L$175,8,FALSE),"-")</f>
        <v>-</v>
      </c>
      <c r="X27" s="85" t="str">
        <f>IFERROR(VLOOKUP(V27,Database!$A$2:$L$175,6,FALSE),"-")</f>
        <v>-</v>
      </c>
      <c r="Y27" s="87" t="str">
        <f>IFERROR(VLOOKUP(V27,Database!$A$2:$L$175,9,FALSE),"-")</f>
        <v>-</v>
      </c>
    </row>
    <row r="28" spans="1:25" ht="15" customHeight="1" thickBot="1" x14ac:dyDescent="0.4">
      <c r="A28" s="94" t="str">
        <f>rengøring!A28</f>
        <v>lørdag</v>
      </c>
      <c r="B28" s="90">
        <f>rengøring!B28</f>
        <v>46165</v>
      </c>
      <c r="C28" s="9"/>
      <c r="D28" s="95" t="str">
        <f>IF(booking!AB28&gt;0,"Y","-")</f>
        <v>-</v>
      </c>
      <c r="E28" s="102" t="str">
        <f>IF(AND(D28="Y",booking!D28&lt;&gt;booking!E28,booking!E28&gt;0),booking!E28,"-")</f>
        <v>-</v>
      </c>
      <c r="F28" s="84" t="str">
        <f>IFERROR(VLOOKUP(E28,Database!$A$2:$L$175,8,FALSE),"-")</f>
        <v>-</v>
      </c>
      <c r="G28" s="84" t="str">
        <f>IFERROR(VLOOKUP(E28,Database!$A$2:$L$175,6,FALSE),"-")</f>
        <v>-</v>
      </c>
      <c r="H28" s="100" t="str">
        <f>IFERROR(VLOOKUP(E28,Database!$A$2:$L$175,9,FALSE),"-")</f>
        <v>-</v>
      </c>
      <c r="I28" s="119"/>
      <c r="J28" s="103" t="str">
        <f>IF(AND(D28="Y",booking!H28&lt;&gt;booking!I28,booking!I28&gt;0),booking!I28,"-")</f>
        <v>-</v>
      </c>
      <c r="K28" s="84" t="str">
        <f>IFERROR(VLOOKUP(J28,Database!$A$2:$L$175,8,FALSE),"-")</f>
        <v>-</v>
      </c>
      <c r="L28" s="84" t="str">
        <f>IFERROR(VLOOKUP(J28,Database!$A$2:$L$175,6,FALSE),"-")</f>
        <v>-</v>
      </c>
      <c r="M28" s="100" t="str">
        <f>IFERROR(VLOOKUP(J28,Database!$A$2:$L$175,9,FALSE),"-")</f>
        <v>-</v>
      </c>
      <c r="N28" s="103" t="str">
        <f>IF(AND(D28="Y",booking!L28&lt;&gt;booking!M28,booking!M28&gt;0),booking!M28,"-")</f>
        <v>-</v>
      </c>
      <c r="O28" s="84" t="str">
        <f>IFERROR(VLOOKUP(N28,Database!$A$2:$L$175,8,FALSE),"-")</f>
        <v>-</v>
      </c>
      <c r="P28" s="84" t="str">
        <f>IFERROR(VLOOKUP(N28,Database!$A$2:$L$175,6,FALSE),"-")</f>
        <v>-</v>
      </c>
      <c r="Q28" s="88" t="str">
        <f>IFERROR(VLOOKUP(N28,Database!$A$2:$L$175,9,FALSE),"-")</f>
        <v>-</v>
      </c>
      <c r="R28" s="104" t="str">
        <f>IF(AND(D28="Y",booking!P28&lt;&gt;booking!Q28,booking!Q28&gt;0),booking!Q28,"-")</f>
        <v>-</v>
      </c>
      <c r="S28" s="84" t="str">
        <f>IFERROR(VLOOKUP(R28,Database!$A$2:$L$175,8,FALSE),"-")</f>
        <v>-</v>
      </c>
      <c r="T28" s="84" t="str">
        <f>IFERROR(VLOOKUP(R28,Database!$A$2:$L$175,6,FALSE),"-")</f>
        <v>-</v>
      </c>
      <c r="U28" s="88" t="str">
        <f>IFERROR(VLOOKUP(R28,Database!$A$2:$L$175,9,FALSE),"-")</f>
        <v>-</v>
      </c>
      <c r="V28" s="103" t="str">
        <f>IF(AND(D28="Y",booking!T28&lt;&gt;booking!U28,booking!U28&gt;0),booking!U28,"-")</f>
        <v>-</v>
      </c>
      <c r="W28" s="85" t="str">
        <f>IFERROR(VLOOKUP(V28,Database!$A$2:$L$175,8,FALSE),"-")</f>
        <v>-</v>
      </c>
      <c r="X28" s="85" t="str">
        <f>IFERROR(VLOOKUP(V28,Database!$A$2:$L$175,6,FALSE),"-")</f>
        <v>-</v>
      </c>
      <c r="Y28" s="87" t="str">
        <f>IFERROR(VLOOKUP(V28,Database!$A$2:$L$175,9,FALSE),"-")</f>
        <v>-</v>
      </c>
    </row>
    <row r="29" spans="1:25" ht="15" customHeight="1" thickBot="1" x14ac:dyDescent="0.4">
      <c r="A29" s="94" t="str">
        <f>rengøring!A29</f>
        <v>søndag</v>
      </c>
      <c r="B29" s="90">
        <f>rengøring!B29</f>
        <v>46166</v>
      </c>
      <c r="C29" s="9"/>
      <c r="D29" s="95" t="str">
        <f>IF(booking!AB29&gt;0,"Y","-")</f>
        <v>-</v>
      </c>
      <c r="E29" s="102" t="str">
        <f>IF(AND(D29="Y",booking!D29&lt;&gt;booking!E29,booking!E29&gt;0),booking!E29,"-")</f>
        <v>-</v>
      </c>
      <c r="F29" s="84" t="str">
        <f>IFERROR(VLOOKUP(E29,Database!$A$2:$L$175,8,FALSE),"-")</f>
        <v>-</v>
      </c>
      <c r="G29" s="84" t="str">
        <f>IFERROR(VLOOKUP(E29,Database!$A$2:$L$175,6,FALSE),"-")</f>
        <v>-</v>
      </c>
      <c r="H29" s="100" t="str">
        <f>IFERROR(VLOOKUP(E29,Database!$A$2:$L$175,9,FALSE),"-")</f>
        <v>-</v>
      </c>
      <c r="I29" s="119"/>
      <c r="J29" s="103" t="str">
        <f>IF(AND(D29="Y",booking!H29&lt;&gt;booking!I29,booking!I29&gt;0),booking!I29,"-")</f>
        <v>-</v>
      </c>
      <c r="K29" s="84" t="str">
        <f>IFERROR(VLOOKUP(J29,Database!$A$2:$L$175,8,FALSE),"-")</f>
        <v>-</v>
      </c>
      <c r="L29" s="84" t="str">
        <f>IFERROR(VLOOKUP(J29,Database!$A$2:$L$175,6,FALSE),"-")</f>
        <v>-</v>
      </c>
      <c r="M29" s="100" t="str">
        <f>IFERROR(VLOOKUP(J29,Database!$A$2:$L$175,9,FALSE),"-")</f>
        <v>-</v>
      </c>
      <c r="N29" s="103" t="str">
        <f>IF(AND(D29="Y",booking!L29&lt;&gt;booking!M29,booking!M29&gt;0),booking!M29,"-")</f>
        <v>-</v>
      </c>
      <c r="O29" s="84" t="str">
        <f>IFERROR(VLOOKUP(N29,Database!$A$2:$L$175,8,FALSE),"-")</f>
        <v>-</v>
      </c>
      <c r="P29" s="84" t="str">
        <f>IFERROR(VLOOKUP(N29,Database!$A$2:$L$175,6,FALSE),"-")</f>
        <v>-</v>
      </c>
      <c r="Q29" s="88" t="str">
        <f>IFERROR(VLOOKUP(N29,Database!$A$2:$L$175,9,FALSE),"-")</f>
        <v>-</v>
      </c>
      <c r="R29" s="104" t="str">
        <f>IF(AND(D29="Y",booking!P29&lt;&gt;booking!Q29,booking!Q29&gt;0),booking!Q29,"-")</f>
        <v>-</v>
      </c>
      <c r="S29" s="84" t="str">
        <f>IFERROR(VLOOKUP(R29,Database!$A$2:$L$175,8,FALSE),"-")</f>
        <v>-</v>
      </c>
      <c r="T29" s="84" t="str">
        <f>IFERROR(VLOOKUP(R29,Database!$A$2:$L$175,6,FALSE),"-")</f>
        <v>-</v>
      </c>
      <c r="U29" s="88" t="str">
        <f>IFERROR(VLOOKUP(R29,Database!$A$2:$L$175,9,FALSE),"-")</f>
        <v>-</v>
      </c>
      <c r="V29" s="103" t="str">
        <f>IF(AND(D29="Y",booking!T29&lt;&gt;booking!U29,booking!U29&gt;0),booking!U29,"-")</f>
        <v>-</v>
      </c>
      <c r="W29" s="85" t="str">
        <f>IFERROR(VLOOKUP(V29,Database!$A$2:$L$175,8,FALSE),"-")</f>
        <v>-</v>
      </c>
      <c r="X29" s="85" t="str">
        <f>IFERROR(VLOOKUP(V29,Database!$A$2:$L$175,6,FALSE),"-")</f>
        <v>-</v>
      </c>
      <c r="Y29" s="87" t="str">
        <f>IFERROR(VLOOKUP(V29,Database!$A$2:$L$175,9,FALSE),"-")</f>
        <v>-</v>
      </c>
    </row>
    <row r="30" spans="1:25" ht="15" customHeight="1" thickBot="1" x14ac:dyDescent="0.4">
      <c r="A30" s="94" t="str">
        <f>rengøring!A30</f>
        <v>mandag</v>
      </c>
      <c r="B30" s="90">
        <f>rengøring!B30</f>
        <v>46167</v>
      </c>
      <c r="C30" s="9"/>
      <c r="D30" s="95" t="str">
        <f>IF(booking!AB30&gt;0,"Y","-")</f>
        <v>-</v>
      </c>
      <c r="E30" s="102" t="str">
        <f>IF(AND(D30="Y",booking!D30&lt;&gt;booking!E30,booking!E30&gt;0),booking!E30,"-")</f>
        <v>-</v>
      </c>
      <c r="F30" s="84" t="str">
        <f>IFERROR(VLOOKUP(E30,Database!$A$2:$L$175,8,FALSE),"-")</f>
        <v>-</v>
      </c>
      <c r="G30" s="84" t="str">
        <f>IFERROR(VLOOKUP(E30,Database!$A$2:$L$175,6,FALSE),"-")</f>
        <v>-</v>
      </c>
      <c r="H30" s="100" t="str">
        <f>IFERROR(VLOOKUP(E30,Database!$A$2:$L$175,9,FALSE),"-")</f>
        <v>-</v>
      </c>
      <c r="I30" s="119"/>
      <c r="J30" s="103" t="str">
        <f>IF(AND(D30="Y",booking!H30&lt;&gt;booking!I30,booking!I30&gt;0),booking!I30,"-")</f>
        <v>-</v>
      </c>
      <c r="K30" s="84" t="str">
        <f>IFERROR(VLOOKUP(J30,Database!$A$2:$L$175,8,FALSE),"-")</f>
        <v>-</v>
      </c>
      <c r="L30" s="84" t="str">
        <f>IFERROR(VLOOKUP(J30,Database!$A$2:$L$175,6,FALSE),"-")</f>
        <v>-</v>
      </c>
      <c r="M30" s="100" t="str">
        <f>IFERROR(VLOOKUP(J30,Database!$A$2:$L$175,9,FALSE),"-")</f>
        <v>-</v>
      </c>
      <c r="N30" s="103" t="str">
        <f>IF(AND(D30="Y",booking!L30&lt;&gt;booking!M30,booking!M30&gt;0),booking!M30,"-")</f>
        <v>-</v>
      </c>
      <c r="O30" s="84" t="str">
        <f>IFERROR(VLOOKUP(N30,Database!$A$2:$L$175,8,FALSE),"-")</f>
        <v>-</v>
      </c>
      <c r="P30" s="84" t="str">
        <f>IFERROR(VLOOKUP(N30,Database!$A$2:$L$175,6,FALSE),"-")</f>
        <v>-</v>
      </c>
      <c r="Q30" s="88" t="str">
        <f>IFERROR(VLOOKUP(N30,Database!$A$2:$L$175,9,FALSE),"-")</f>
        <v>-</v>
      </c>
      <c r="R30" s="104" t="str">
        <f>IF(AND(D30="Y",booking!P30&lt;&gt;booking!Q30,booking!Q30&gt;0),booking!Q30,"-")</f>
        <v>-</v>
      </c>
      <c r="S30" s="84" t="str">
        <f>IFERROR(VLOOKUP(R30,Database!$A$2:$L$175,8,FALSE),"-")</f>
        <v>-</v>
      </c>
      <c r="T30" s="84" t="str">
        <f>IFERROR(VLOOKUP(R30,Database!$A$2:$L$175,6,FALSE),"-")</f>
        <v>-</v>
      </c>
      <c r="U30" s="88" t="str">
        <f>IFERROR(VLOOKUP(R30,Database!$A$2:$L$175,9,FALSE),"-")</f>
        <v>-</v>
      </c>
      <c r="V30" s="103" t="str">
        <f>IF(AND(D30="Y",booking!T30&lt;&gt;booking!U30,booking!U30&gt;0),booking!U30,"-")</f>
        <v>-</v>
      </c>
      <c r="W30" s="85" t="str">
        <f>IFERROR(VLOOKUP(V30,Database!$A$2:$L$175,8,FALSE),"-")</f>
        <v>-</v>
      </c>
      <c r="X30" s="85" t="str">
        <f>IFERROR(VLOOKUP(V30,Database!$A$2:$L$175,6,FALSE),"-")</f>
        <v>-</v>
      </c>
      <c r="Y30" s="87" t="str">
        <f>IFERROR(VLOOKUP(V30,Database!$A$2:$L$175,9,FALSE),"-")</f>
        <v>-</v>
      </c>
    </row>
    <row r="31" spans="1:25" ht="15" customHeight="1" thickBot="1" x14ac:dyDescent="0.4">
      <c r="A31" s="94" t="str">
        <f>rengøring!A31</f>
        <v>tirsdag</v>
      </c>
      <c r="B31" s="90">
        <f>rengøring!B31</f>
        <v>46168</v>
      </c>
      <c r="C31" s="9"/>
      <c r="D31" s="95" t="str">
        <f>IF(booking!AB31&gt;0,"Y","-")</f>
        <v>-</v>
      </c>
      <c r="E31" s="102" t="str">
        <f>IF(AND(D31="Y",booking!D31&lt;&gt;booking!E31,booking!E31&gt;0),booking!E31,"-")</f>
        <v>-</v>
      </c>
      <c r="F31" s="84" t="str">
        <f>IFERROR(VLOOKUP(E31,Database!$A$2:$L$175,8,FALSE),"-")</f>
        <v>-</v>
      </c>
      <c r="G31" s="84" t="str">
        <f>IFERROR(VLOOKUP(E31,Database!$A$2:$L$175,6,FALSE),"-")</f>
        <v>-</v>
      </c>
      <c r="H31" s="100" t="str">
        <f>IFERROR(VLOOKUP(E31,Database!$A$2:$L$175,9,FALSE),"-")</f>
        <v>-</v>
      </c>
      <c r="I31" s="119"/>
      <c r="J31" s="103" t="str">
        <f>IF(AND(D31="Y",booking!H31&lt;&gt;booking!I31,booking!I31&gt;0),booking!I31,"-")</f>
        <v>-</v>
      </c>
      <c r="K31" s="84" t="str">
        <f>IFERROR(VLOOKUP(J31,Database!$A$2:$L$175,8,FALSE),"-")</f>
        <v>-</v>
      </c>
      <c r="L31" s="84" t="str">
        <f>IFERROR(VLOOKUP(J31,Database!$A$2:$L$175,6,FALSE),"-")</f>
        <v>-</v>
      </c>
      <c r="M31" s="100" t="str">
        <f>IFERROR(VLOOKUP(J31,Database!$A$2:$L$175,9,FALSE),"-")</f>
        <v>-</v>
      </c>
      <c r="N31" s="103" t="str">
        <f>IF(AND(D31="Y",booking!L31&lt;&gt;booking!M31,booking!M31&gt;0),booking!M31,"-")</f>
        <v>-</v>
      </c>
      <c r="O31" s="84" t="str">
        <f>IFERROR(VLOOKUP(N31,Database!$A$2:$L$175,8,FALSE),"-")</f>
        <v>-</v>
      </c>
      <c r="P31" s="84" t="str">
        <f>IFERROR(VLOOKUP(N31,Database!$A$2:$L$175,6,FALSE),"-")</f>
        <v>-</v>
      </c>
      <c r="Q31" s="88" t="str">
        <f>IFERROR(VLOOKUP(N31,Database!$A$2:$L$175,9,FALSE),"-")</f>
        <v>-</v>
      </c>
      <c r="R31" s="104" t="str">
        <f>IF(AND(D31="Y",booking!P31&lt;&gt;booking!Q31,booking!Q31&gt;0),booking!Q31,"-")</f>
        <v>-</v>
      </c>
      <c r="S31" s="84" t="str">
        <f>IFERROR(VLOOKUP(R31,Database!$A$2:$L$175,8,FALSE),"-")</f>
        <v>-</v>
      </c>
      <c r="T31" s="84" t="str">
        <f>IFERROR(VLOOKUP(R31,Database!$A$2:$L$175,6,FALSE),"-")</f>
        <v>-</v>
      </c>
      <c r="U31" s="88" t="str">
        <f>IFERROR(VLOOKUP(R31,Database!$A$2:$L$175,9,FALSE),"-")</f>
        <v>-</v>
      </c>
      <c r="V31" s="103" t="str">
        <f>IF(AND(D31="Y",booking!T31&lt;&gt;booking!U31,booking!U31&gt;0),booking!U31,"-")</f>
        <v>-</v>
      </c>
      <c r="W31" s="85" t="str">
        <f>IFERROR(VLOOKUP(V31,Database!$A$2:$L$175,8,FALSE),"-")</f>
        <v>-</v>
      </c>
      <c r="X31" s="85" t="str">
        <f>IFERROR(VLOOKUP(V31,Database!$A$2:$L$175,6,FALSE),"-")</f>
        <v>-</v>
      </c>
      <c r="Y31" s="87" t="str">
        <f>IFERROR(VLOOKUP(V31,Database!$A$2:$L$175,9,FALSE),"-")</f>
        <v>-</v>
      </c>
    </row>
    <row r="32" spans="1:25" ht="15" customHeight="1" thickBot="1" x14ac:dyDescent="0.4">
      <c r="A32" s="94" t="str">
        <f>rengøring!A32</f>
        <v>onsdag</v>
      </c>
      <c r="B32" s="90">
        <f>rengøring!B32</f>
        <v>46169</v>
      </c>
      <c r="C32" s="9"/>
      <c r="D32" s="95" t="str">
        <f>IF(booking!AB32&gt;0,"Y","-")</f>
        <v>Y</v>
      </c>
      <c r="E32" s="102" t="str">
        <f>IF(AND(D32="Y",booking!D32&lt;&gt;booking!E32,booking!E32&gt;0),booking!E32,"-")</f>
        <v>-</v>
      </c>
      <c r="F32" s="84" t="str">
        <f>IFERROR(VLOOKUP(E32,Database!$A$2:$L$175,8,FALSE),"-")</f>
        <v>-</v>
      </c>
      <c r="G32" s="84" t="str">
        <f>IFERROR(VLOOKUP(E32,Database!$A$2:$L$175,6,FALSE),"-")</f>
        <v>-</v>
      </c>
      <c r="H32" s="100" t="str">
        <f>IFERROR(VLOOKUP(E32,Database!$A$2:$L$175,9,FALSE),"-")</f>
        <v>-</v>
      </c>
      <c r="I32" s="119"/>
      <c r="J32" s="103" t="str">
        <f>IF(AND(D32="Y",booking!H32&lt;&gt;booking!I32,booking!I32&gt;0),booking!I32,"-")</f>
        <v>-</v>
      </c>
      <c r="K32" s="84" t="str">
        <f>IFERROR(VLOOKUP(J32,Database!$A$2:$L$175,8,FALSE),"-")</f>
        <v>-</v>
      </c>
      <c r="L32" s="84" t="str">
        <f>IFERROR(VLOOKUP(J32,Database!$A$2:$L$175,6,FALSE),"-")</f>
        <v>-</v>
      </c>
      <c r="M32" s="100" t="str">
        <f>IFERROR(VLOOKUP(J32,Database!$A$2:$L$175,9,FALSE),"-")</f>
        <v>-</v>
      </c>
      <c r="N32" s="103">
        <f>IF(AND(D32="Y",booking!L32&lt;&gt;booking!M32,booking!M32&gt;0),booking!M32,"-")</f>
        <v>5</v>
      </c>
      <c r="O32" s="84">
        <f>IFERROR(VLOOKUP(N32,Database!$A$2:$L$175,8,FALSE),"-")</f>
        <v>0</v>
      </c>
      <c r="P32" s="84" t="str">
        <f>IFERROR(VLOOKUP(N32,Database!$A$2:$L$175,6,FALSE),"-")</f>
        <v>DK</v>
      </c>
      <c r="Q32" s="88">
        <f>IFERROR(VLOOKUP(N32,Database!$A$2:$L$175,9,FALSE),"-")</f>
        <v>0</v>
      </c>
      <c r="R32" s="104" t="str">
        <f>IF(AND(D32="Y",booking!P32&lt;&gt;booking!Q32,booking!Q32&gt;0),booking!Q32,"-")</f>
        <v>-</v>
      </c>
      <c r="S32" s="84" t="str">
        <f>IFERROR(VLOOKUP(R32,Database!$A$2:$L$175,8,FALSE),"-")</f>
        <v>-</v>
      </c>
      <c r="T32" s="84" t="str">
        <f>IFERROR(VLOOKUP(R32,Database!$A$2:$L$175,6,FALSE),"-")</f>
        <v>-</v>
      </c>
      <c r="U32" s="88" t="str">
        <f>IFERROR(VLOOKUP(R32,Database!$A$2:$L$175,9,FALSE),"-")</f>
        <v>-</v>
      </c>
      <c r="V32" s="103" t="str">
        <f>IF(AND(D32="Y",booking!T32&lt;&gt;booking!U32,booking!U32&gt;0),booking!U32,"-")</f>
        <v>-</v>
      </c>
      <c r="W32" s="85" t="str">
        <f>IFERROR(VLOOKUP(V32,Database!$A$2:$L$175,8,FALSE),"-")</f>
        <v>-</v>
      </c>
      <c r="X32" s="85" t="str">
        <f>IFERROR(VLOOKUP(V32,Database!$A$2:$L$175,6,FALSE),"-")</f>
        <v>-</v>
      </c>
      <c r="Y32" s="87" t="str">
        <f>IFERROR(VLOOKUP(V32,Database!$A$2:$L$175,9,FALSE),"-")</f>
        <v>-</v>
      </c>
    </row>
    <row r="33" spans="1:25" ht="15" customHeight="1" thickBot="1" x14ac:dyDescent="0.4">
      <c r="A33" s="94" t="str">
        <f>rengøring!A33</f>
        <v>torsdag</v>
      </c>
      <c r="B33" s="90">
        <f>rengøring!B33</f>
        <v>46170</v>
      </c>
      <c r="C33" s="9"/>
      <c r="D33" s="95" t="str">
        <f>IF(booking!AB33&gt;0,"Y","-")</f>
        <v>-</v>
      </c>
      <c r="E33" s="102" t="str">
        <f>IF(AND(D33="Y",booking!D33&lt;&gt;booking!E33,booking!E33&gt;0),booking!E33,"-")</f>
        <v>-</v>
      </c>
      <c r="F33" s="84" t="str">
        <f>IFERROR(VLOOKUP(E33,Database!$A$2:$L$175,8,FALSE),"-")</f>
        <v>-</v>
      </c>
      <c r="G33" s="84" t="str">
        <f>IFERROR(VLOOKUP(E33,Database!$A$2:$L$175,6,FALSE),"-")</f>
        <v>-</v>
      </c>
      <c r="H33" s="100" t="str">
        <f>IFERROR(VLOOKUP(E33,Database!$A$2:$L$175,9,FALSE),"-")</f>
        <v>-</v>
      </c>
      <c r="I33" s="119"/>
      <c r="J33" s="103" t="str">
        <f>IF(AND(D33="Y",booking!H33&lt;&gt;booking!I33,booking!I33&gt;0),booking!I33,"-")</f>
        <v>-</v>
      </c>
      <c r="K33" s="84" t="str">
        <f>IFERROR(VLOOKUP(J33,Database!$A$2:$L$175,8,FALSE),"-")</f>
        <v>-</v>
      </c>
      <c r="L33" s="84" t="str">
        <f>IFERROR(VLOOKUP(J33,Database!$A$2:$L$175,6,FALSE),"-")</f>
        <v>-</v>
      </c>
      <c r="M33" s="100" t="str">
        <f>IFERROR(VLOOKUP(J33,Database!$A$2:$L$175,9,FALSE),"-")</f>
        <v>-</v>
      </c>
      <c r="N33" s="103" t="str">
        <f>IF(AND(D33="Y",booking!L33&lt;&gt;booking!M33,booking!M33&gt;0),booking!M33,"-")</f>
        <v>-</v>
      </c>
      <c r="O33" s="84" t="str">
        <f>IFERROR(VLOOKUP(N33,Database!$A$2:$L$175,8,FALSE),"-")</f>
        <v>-</v>
      </c>
      <c r="P33" s="84" t="str">
        <f>IFERROR(VLOOKUP(N33,Database!$A$2:$L$175,6,FALSE),"-")</f>
        <v>-</v>
      </c>
      <c r="Q33" s="88" t="str">
        <f>IFERROR(VLOOKUP(N33,Database!$A$2:$L$175,9,FALSE),"-")</f>
        <v>-</v>
      </c>
      <c r="R33" s="104" t="str">
        <f>IF(AND(D33="Y",booking!P33&lt;&gt;booking!Q33,booking!Q33&gt;0),booking!Q33,"-")</f>
        <v>-</v>
      </c>
      <c r="S33" s="84" t="str">
        <f>IFERROR(VLOOKUP(R33,Database!$A$2:$L$175,8,FALSE),"-")</f>
        <v>-</v>
      </c>
      <c r="T33" s="84" t="str">
        <f>IFERROR(VLOOKUP(R33,Database!$A$2:$L$175,6,FALSE),"-")</f>
        <v>-</v>
      </c>
      <c r="U33" s="88" t="str">
        <f>IFERROR(VLOOKUP(R33,Database!$A$2:$L$175,9,FALSE),"-")</f>
        <v>-</v>
      </c>
      <c r="V33" s="103" t="str">
        <f>IF(AND(D33="Y",booking!T33&lt;&gt;booking!U33,booking!U33&gt;0),booking!U33,"-")</f>
        <v>-</v>
      </c>
      <c r="W33" s="85" t="str">
        <f>IFERROR(VLOOKUP(V33,Database!$A$2:$L$175,8,FALSE),"-")</f>
        <v>-</v>
      </c>
      <c r="X33" s="85" t="str">
        <f>IFERROR(VLOOKUP(V33,Database!$A$2:$L$175,6,FALSE),"-")</f>
        <v>-</v>
      </c>
      <c r="Y33" s="87" t="str">
        <f>IFERROR(VLOOKUP(V33,Database!$A$2:$L$175,9,FALSE),"-")</f>
        <v>-</v>
      </c>
    </row>
    <row r="34" spans="1:25" ht="15" customHeight="1" thickBot="1" x14ac:dyDescent="0.4">
      <c r="A34" s="94" t="str">
        <f>rengøring!A34</f>
        <v>fredag</v>
      </c>
      <c r="B34" s="90">
        <f>rengøring!B34</f>
        <v>46171</v>
      </c>
      <c r="C34" s="9"/>
      <c r="D34" s="95" t="str">
        <f>IF(booking!AB34&gt;0,"Y","-")</f>
        <v>-</v>
      </c>
      <c r="E34" s="102" t="str">
        <f>IF(AND(D34="Y",booking!D34&lt;&gt;booking!E34,booking!E34&gt;0),booking!E34,"-")</f>
        <v>-</v>
      </c>
      <c r="F34" s="84" t="str">
        <f>IFERROR(VLOOKUP(E34,Database!$A$2:$L$175,8,FALSE),"-")</f>
        <v>-</v>
      </c>
      <c r="G34" s="84" t="str">
        <f>IFERROR(VLOOKUP(E34,Database!$A$2:$L$175,6,FALSE),"-")</f>
        <v>-</v>
      </c>
      <c r="H34" s="100" t="str">
        <f>IFERROR(VLOOKUP(E34,Database!$A$2:$L$175,9,FALSE),"-")</f>
        <v>-</v>
      </c>
      <c r="I34" s="119"/>
      <c r="J34" s="103" t="str">
        <f>IF(AND(D34="Y",booking!H34&lt;&gt;booking!I34,booking!I34&gt;0),booking!I34,"-")</f>
        <v>-</v>
      </c>
      <c r="K34" s="84" t="str">
        <f>IFERROR(VLOOKUP(J34,Database!$A$2:$L$175,8,FALSE),"-")</f>
        <v>-</v>
      </c>
      <c r="L34" s="84" t="str">
        <f>IFERROR(VLOOKUP(J34,Database!$A$2:$L$175,6,FALSE),"-")</f>
        <v>-</v>
      </c>
      <c r="M34" s="100" t="str">
        <f>IFERROR(VLOOKUP(J34,Database!$A$2:$L$175,9,FALSE),"-")</f>
        <v>-</v>
      </c>
      <c r="N34" s="103" t="str">
        <f>IF(AND(D34="Y",booking!L34&lt;&gt;booking!M34,booking!M34&gt;0),booking!M34,"-")</f>
        <v>-</v>
      </c>
      <c r="O34" s="84" t="str">
        <f>IFERROR(VLOOKUP(N34,Database!$A$2:$L$175,8,FALSE),"-")</f>
        <v>-</v>
      </c>
      <c r="P34" s="84" t="str">
        <f>IFERROR(VLOOKUP(N34,Database!$A$2:$L$175,6,FALSE),"-")</f>
        <v>-</v>
      </c>
      <c r="Q34" s="88" t="str">
        <f>IFERROR(VLOOKUP(N34,Database!$A$2:$L$175,9,FALSE),"-")</f>
        <v>-</v>
      </c>
      <c r="R34" s="104" t="str">
        <f>IF(AND(D34="Y",booking!P34&lt;&gt;booking!Q34,booking!Q34&gt;0),booking!Q34,"-")</f>
        <v>-</v>
      </c>
      <c r="S34" s="84" t="str">
        <f>IFERROR(VLOOKUP(R34,Database!$A$2:$L$175,8,FALSE),"-")</f>
        <v>-</v>
      </c>
      <c r="T34" s="84" t="str">
        <f>IFERROR(VLOOKUP(R34,Database!$A$2:$L$175,6,FALSE),"-")</f>
        <v>-</v>
      </c>
      <c r="U34" s="88" t="str">
        <f>IFERROR(VLOOKUP(R34,Database!$A$2:$L$175,9,FALSE),"-")</f>
        <v>-</v>
      </c>
      <c r="V34" s="103" t="str">
        <f>IF(AND(D34="Y",booking!T34&lt;&gt;booking!U34,booking!U34&gt;0),booking!U34,"-")</f>
        <v>-</v>
      </c>
      <c r="W34" s="85" t="str">
        <f>IFERROR(VLOOKUP(V34,Database!$A$2:$L$175,8,FALSE),"-")</f>
        <v>-</v>
      </c>
      <c r="X34" s="85" t="str">
        <f>IFERROR(VLOOKUP(V34,Database!$A$2:$L$175,6,FALSE),"-")</f>
        <v>-</v>
      </c>
      <c r="Y34" s="87" t="str">
        <f>IFERROR(VLOOKUP(V34,Database!$A$2:$L$175,9,FALSE),"-")</f>
        <v>-</v>
      </c>
    </row>
    <row r="35" spans="1:25" ht="15" customHeight="1" thickBot="1" x14ac:dyDescent="0.4">
      <c r="A35" s="94" t="str">
        <f>rengøring!A35</f>
        <v>lørdag</v>
      </c>
      <c r="B35" s="90">
        <f>rengøring!B35</f>
        <v>46172</v>
      </c>
      <c r="C35" s="9"/>
      <c r="D35" s="95" t="str">
        <f>IF(booking!AB35&gt;0,"Y","-")</f>
        <v>-</v>
      </c>
      <c r="E35" s="102" t="str">
        <f>IF(AND(D35="Y",booking!D35&lt;&gt;booking!E35,booking!E35&gt;0),booking!E35,"-")</f>
        <v>-</v>
      </c>
      <c r="F35" s="84" t="str">
        <f>IFERROR(VLOOKUP(E35,Database!$A$2:$L$175,8,FALSE),"-")</f>
        <v>-</v>
      </c>
      <c r="G35" s="84" t="str">
        <f>IFERROR(VLOOKUP(E35,Database!$A$2:$L$175,6,FALSE),"-")</f>
        <v>-</v>
      </c>
      <c r="H35" s="100" t="str">
        <f>IFERROR(VLOOKUP(E35,Database!$A$2:$L$175,9,FALSE),"-")</f>
        <v>-</v>
      </c>
      <c r="I35" s="119"/>
      <c r="J35" s="103" t="str">
        <f>IF(AND(D35="Y",booking!H35&lt;&gt;booking!I35,booking!I35&gt;0),booking!I35,"-")</f>
        <v>-</v>
      </c>
      <c r="K35" s="84" t="str">
        <f>IFERROR(VLOOKUP(J35,Database!$A$2:$L$175,8,FALSE),"-")</f>
        <v>-</v>
      </c>
      <c r="L35" s="84" t="str">
        <f>IFERROR(VLOOKUP(J35,Database!$A$2:$L$175,6,FALSE),"-")</f>
        <v>-</v>
      </c>
      <c r="M35" s="100" t="str">
        <f>IFERROR(VLOOKUP(J35,Database!$A$2:$L$175,9,FALSE),"-")</f>
        <v>-</v>
      </c>
      <c r="N35" s="103" t="str">
        <f>IF(AND(D35="Y",booking!L35&lt;&gt;booking!M35,booking!M35&gt;0),booking!M35,"-")</f>
        <v>-</v>
      </c>
      <c r="O35" s="84" t="str">
        <f>IFERROR(VLOOKUP(N35,Database!$A$2:$L$175,8,FALSE),"-")</f>
        <v>-</v>
      </c>
      <c r="P35" s="84" t="str">
        <f>IFERROR(VLOOKUP(N35,Database!$A$2:$L$175,6,FALSE),"-")</f>
        <v>-</v>
      </c>
      <c r="Q35" s="88" t="str">
        <f>IFERROR(VLOOKUP(N35,Database!$A$2:$L$175,9,FALSE),"-")</f>
        <v>-</v>
      </c>
      <c r="R35" s="104" t="str">
        <f>IF(AND(D35="Y",booking!P35&lt;&gt;booking!Q35,booking!Q35&gt;0),booking!Q35,"-")</f>
        <v>-</v>
      </c>
      <c r="S35" s="84" t="str">
        <f>IFERROR(VLOOKUP(R35,Database!$A$2:$L$175,8,FALSE),"-")</f>
        <v>-</v>
      </c>
      <c r="T35" s="84" t="str">
        <f>IFERROR(VLOOKUP(R35,Database!$A$2:$L$175,6,FALSE),"-")</f>
        <v>-</v>
      </c>
      <c r="U35" s="88" t="str">
        <f>IFERROR(VLOOKUP(R35,Database!$A$2:$L$175,9,FALSE),"-")</f>
        <v>-</v>
      </c>
      <c r="V35" s="103" t="str">
        <f>IF(AND(D35="Y",booking!T35&lt;&gt;booking!U35,booking!U35&gt;0),booking!U35,"-")</f>
        <v>-</v>
      </c>
      <c r="W35" s="85" t="str">
        <f>IFERROR(VLOOKUP(V35,Database!$A$2:$L$175,8,FALSE),"-")</f>
        <v>-</v>
      </c>
      <c r="X35" s="85" t="str">
        <f>IFERROR(VLOOKUP(V35,Database!$A$2:$L$175,6,FALSE),"-")</f>
        <v>-</v>
      </c>
      <c r="Y35" s="87" t="str">
        <f>IFERROR(VLOOKUP(V35,Database!$A$2:$L$175,9,FALSE),"-")</f>
        <v>-</v>
      </c>
    </row>
    <row r="36" spans="1:25" ht="15" customHeight="1" thickBot="1" x14ac:dyDescent="0.4">
      <c r="A36" s="94" t="str">
        <f>rengøring!A36</f>
        <v>søndag</v>
      </c>
      <c r="B36" s="90">
        <f>rengøring!B36</f>
        <v>46173</v>
      </c>
      <c r="C36" s="9"/>
      <c r="D36" s="95" t="str">
        <f>IF(booking!AB36&gt;0,"Y","-")</f>
        <v>Y</v>
      </c>
      <c r="E36" s="102" t="str">
        <f>IF(AND(D36="Y",booking!D36&lt;&gt;booking!E36,booking!E36&gt;0),booking!E36,"-")</f>
        <v>-</v>
      </c>
      <c r="F36" s="84" t="str">
        <f>IFERROR(VLOOKUP(E36,Database!$A$2:$L$175,8,FALSE),"-")</f>
        <v>-</v>
      </c>
      <c r="G36" s="84" t="str">
        <f>IFERROR(VLOOKUP(E36,Database!$A$2:$L$175,6,FALSE),"-")</f>
        <v>-</v>
      </c>
      <c r="H36" s="100" t="str">
        <f>IFERROR(VLOOKUP(E36,Database!$A$2:$L$175,9,FALSE),"-")</f>
        <v>-</v>
      </c>
      <c r="I36" s="119"/>
      <c r="J36" s="103">
        <f>IF(AND(D36="Y",booking!H36&lt;&gt;booking!I36,booking!I36&gt;0),booking!I36,"-")</f>
        <v>79</v>
      </c>
      <c r="K36" s="84">
        <f>IFERROR(VLOOKUP(J36,Database!$A$2:$L$175,8,FALSE),"-")</f>
        <v>0</v>
      </c>
      <c r="L36" s="84" t="str">
        <f>IFERROR(VLOOKUP(J36,Database!$A$2:$L$175,6,FALSE),"-")</f>
        <v>DK</v>
      </c>
      <c r="M36" s="100">
        <f>IFERROR(VLOOKUP(J36,Database!$A$2:$L$175,9,FALSE),"-")</f>
        <v>0</v>
      </c>
      <c r="N36" s="103" t="str">
        <f>IF(AND(D36="Y",booking!L36&lt;&gt;booking!M36,booking!M36&gt;0),booking!M36,"-")</f>
        <v>-</v>
      </c>
      <c r="O36" s="84" t="str">
        <f>IFERROR(VLOOKUP(N36,Database!$A$2:$L$175,8,FALSE),"-")</f>
        <v>-</v>
      </c>
      <c r="P36" s="84" t="str">
        <f>IFERROR(VLOOKUP(N36,Database!$A$2:$L$175,6,FALSE),"-")</f>
        <v>-</v>
      </c>
      <c r="Q36" s="88" t="str">
        <f>IFERROR(VLOOKUP(N36,Database!$A$2:$L$175,9,FALSE),"-")</f>
        <v>-</v>
      </c>
      <c r="R36" s="104" t="str">
        <f>IF(AND(D36="Y",booking!P36&lt;&gt;booking!Q36,booking!Q36&gt;0),booking!Q36,"-")</f>
        <v>-</v>
      </c>
      <c r="S36" s="84" t="str">
        <f>IFERROR(VLOOKUP(R36,Database!$A$2:$L$175,8,FALSE),"-")</f>
        <v>-</v>
      </c>
      <c r="T36" s="84" t="str">
        <f>IFERROR(VLOOKUP(R36,Database!$A$2:$L$175,6,FALSE),"-")</f>
        <v>-</v>
      </c>
      <c r="U36" s="88" t="str">
        <f>IFERROR(VLOOKUP(R36,Database!$A$2:$L$175,9,FALSE),"-")</f>
        <v>-</v>
      </c>
      <c r="V36" s="103" t="str">
        <f>IF(AND(D36="Y",booking!T36&lt;&gt;booking!U36,booking!U36&gt;0),booking!U36,"-")</f>
        <v>-</v>
      </c>
      <c r="W36" s="85" t="str">
        <f>IFERROR(VLOOKUP(V36,Database!$A$2:$L$175,8,FALSE),"-")</f>
        <v>-</v>
      </c>
      <c r="X36" s="85" t="str">
        <f>IFERROR(VLOOKUP(V36,Database!$A$2:$L$175,6,FALSE),"-")</f>
        <v>-</v>
      </c>
      <c r="Y36" s="87" t="str">
        <f>IFERROR(VLOOKUP(V36,Database!$A$2:$L$175,9,FALSE),"-")</f>
        <v>-</v>
      </c>
    </row>
    <row r="37" spans="1:25" ht="15" customHeight="1" thickBot="1" x14ac:dyDescent="0.4">
      <c r="A37" s="94" t="str">
        <f>rengøring!A37</f>
        <v>mandag</v>
      </c>
      <c r="B37" s="90">
        <f>rengøring!B37</f>
        <v>46174</v>
      </c>
      <c r="C37" s="9"/>
      <c r="D37" s="95" t="str">
        <f>IF(booking!AB37&gt;0,"Y","-")</f>
        <v>-</v>
      </c>
      <c r="E37" s="102" t="str">
        <f>IF(AND(D37="Y",booking!D37&lt;&gt;booking!E37,booking!E37&gt;0),booking!E37,"-")</f>
        <v>-</v>
      </c>
      <c r="F37" s="84" t="str">
        <f>IFERROR(VLOOKUP(E37,Database!$A$2:$L$175,8,FALSE),"-")</f>
        <v>-</v>
      </c>
      <c r="G37" s="84" t="str">
        <f>IFERROR(VLOOKUP(E37,Database!$A$2:$L$175,6,FALSE),"-")</f>
        <v>-</v>
      </c>
      <c r="H37" s="100" t="str">
        <f>IFERROR(VLOOKUP(E37,Database!$A$2:$L$175,9,FALSE),"-")</f>
        <v>-</v>
      </c>
      <c r="I37" s="119"/>
      <c r="J37" s="103" t="str">
        <f>IF(AND(D37="Y",booking!H37&lt;&gt;booking!I37,booking!I37&gt;0),booking!I37,"-")</f>
        <v>-</v>
      </c>
      <c r="K37" s="84" t="str">
        <f>IFERROR(VLOOKUP(J37,Database!$A$2:$L$175,8,FALSE),"-")</f>
        <v>-</v>
      </c>
      <c r="L37" s="84" t="str">
        <f>IFERROR(VLOOKUP(J37,Database!$A$2:$L$175,6,FALSE),"-")</f>
        <v>-</v>
      </c>
      <c r="M37" s="100" t="str">
        <f>IFERROR(VLOOKUP(J37,Database!$A$2:$L$175,9,FALSE),"-")</f>
        <v>-</v>
      </c>
      <c r="N37" s="103" t="str">
        <f>IF(AND(D37="Y",booking!L37&lt;&gt;booking!M37,booking!M37&gt;0),booking!M37,"-")</f>
        <v>-</v>
      </c>
      <c r="O37" s="84" t="str">
        <f>IFERROR(VLOOKUP(N37,Database!$A$2:$L$175,8,FALSE),"-")</f>
        <v>-</v>
      </c>
      <c r="P37" s="84" t="str">
        <f>IFERROR(VLOOKUP(N37,Database!$A$2:$L$175,6,FALSE),"-")</f>
        <v>-</v>
      </c>
      <c r="Q37" s="88" t="str">
        <f>IFERROR(VLOOKUP(N37,Database!$A$2:$L$175,9,FALSE),"-")</f>
        <v>-</v>
      </c>
      <c r="R37" s="104" t="str">
        <f>IF(AND(D37="Y",booking!P37&lt;&gt;booking!Q37,booking!Q37&gt;0),booking!Q37,"-")</f>
        <v>-</v>
      </c>
      <c r="S37" s="84" t="str">
        <f>IFERROR(VLOOKUP(R37,Database!$A$2:$L$175,8,FALSE),"-")</f>
        <v>-</v>
      </c>
      <c r="T37" s="84" t="str">
        <f>IFERROR(VLOOKUP(R37,Database!$A$2:$L$175,6,FALSE),"-")</f>
        <v>-</v>
      </c>
      <c r="U37" s="88" t="str">
        <f>IFERROR(VLOOKUP(R37,Database!$A$2:$L$175,9,FALSE),"-")</f>
        <v>-</v>
      </c>
      <c r="V37" s="103" t="str">
        <f>IF(AND(D37="Y",booking!T37&lt;&gt;booking!U37,booking!U37&gt;0),booking!U37,"-")</f>
        <v>-</v>
      </c>
      <c r="W37" s="85" t="str">
        <f>IFERROR(VLOOKUP(V37,Database!$A$2:$L$175,8,FALSE),"-")</f>
        <v>-</v>
      </c>
      <c r="X37" s="85" t="str">
        <f>IFERROR(VLOOKUP(V37,Database!$A$2:$L$175,6,FALSE),"-")</f>
        <v>-</v>
      </c>
      <c r="Y37" s="87" t="str">
        <f>IFERROR(VLOOKUP(V37,Database!$A$2:$L$175,9,FALSE),"-")</f>
        <v>-</v>
      </c>
    </row>
    <row r="38" spans="1:25" ht="15" customHeight="1" thickBot="1" x14ac:dyDescent="0.4">
      <c r="A38" s="94" t="str">
        <f>rengøring!A38</f>
        <v>tirsdag</v>
      </c>
      <c r="B38" s="90">
        <f>rengøring!B38</f>
        <v>46175</v>
      </c>
      <c r="C38" s="9"/>
      <c r="D38" s="95" t="str">
        <f>IF(booking!AB38&gt;0,"Y","-")</f>
        <v>Y</v>
      </c>
      <c r="E38" s="102" t="str">
        <f>IF(AND(D38="Y",booking!D38&lt;&gt;booking!E38,booking!E38&gt;0),booking!E38,"-")</f>
        <v>-</v>
      </c>
      <c r="F38" s="84" t="str">
        <f>IFERROR(VLOOKUP(E38,Database!$A$2:$L$175,8,FALSE),"-")</f>
        <v>-</v>
      </c>
      <c r="G38" s="84" t="str">
        <f>IFERROR(VLOOKUP(E38,Database!$A$2:$L$175,6,FALSE),"-")</f>
        <v>-</v>
      </c>
      <c r="H38" s="100" t="str">
        <f>IFERROR(VLOOKUP(E38,Database!$A$2:$L$175,9,FALSE),"-")</f>
        <v>-</v>
      </c>
      <c r="I38" s="119"/>
      <c r="J38" s="103" t="str">
        <f>IF(AND(D38="Y",booking!H38&lt;&gt;booking!I38,booking!I38&gt;0),booking!I38,"-")</f>
        <v>-</v>
      </c>
      <c r="K38" s="84" t="str">
        <f>IFERROR(VLOOKUP(J38,Database!$A$2:$L$175,8,FALSE),"-")</f>
        <v>-</v>
      </c>
      <c r="L38" s="84" t="str">
        <f>IFERROR(VLOOKUP(J38,Database!$A$2:$L$175,6,FALSE),"-")</f>
        <v>-</v>
      </c>
      <c r="M38" s="100" t="str">
        <f>IFERROR(VLOOKUP(J38,Database!$A$2:$L$175,9,FALSE),"-")</f>
        <v>-</v>
      </c>
      <c r="N38" s="103" t="str">
        <f>IF(AND(D38="Y",booking!L38&lt;&gt;booking!M38,booking!M38&gt;0),booking!M38,"-")</f>
        <v>-</v>
      </c>
      <c r="O38" s="84" t="str">
        <f>IFERROR(VLOOKUP(N38,Database!$A$2:$L$175,8,FALSE),"-")</f>
        <v>-</v>
      </c>
      <c r="P38" s="84" t="str">
        <f>IFERROR(VLOOKUP(N38,Database!$A$2:$L$175,6,FALSE),"-")</f>
        <v>-</v>
      </c>
      <c r="Q38" s="88" t="str">
        <f>IFERROR(VLOOKUP(N38,Database!$A$2:$L$175,9,FALSE),"-")</f>
        <v>-</v>
      </c>
      <c r="R38" s="104" t="str">
        <f>IF(AND(D38="Y",booking!P38&lt;&gt;booking!Q38,booking!Q38&gt;0),booking!Q38,"-")</f>
        <v>-</v>
      </c>
      <c r="S38" s="84" t="str">
        <f>IFERROR(VLOOKUP(R38,Database!$A$2:$L$175,8,FALSE),"-")</f>
        <v>-</v>
      </c>
      <c r="T38" s="84" t="str">
        <f>IFERROR(VLOOKUP(R38,Database!$A$2:$L$175,6,FALSE),"-")</f>
        <v>-</v>
      </c>
      <c r="U38" s="88" t="str">
        <f>IFERROR(VLOOKUP(R38,Database!$A$2:$L$175,9,FALSE),"-")</f>
        <v>-</v>
      </c>
      <c r="V38" s="103">
        <f>IF(AND(D38="Y",booking!T38&lt;&gt;booking!U38,booking!U38&gt;0),booking!U38,"-")</f>
        <v>12</v>
      </c>
      <c r="W38" s="85">
        <f>IFERROR(VLOOKUP(V38,Database!$A$2:$L$175,8,FALSE),"-")</f>
        <v>0</v>
      </c>
      <c r="X38" s="85" t="str">
        <f>IFERROR(VLOOKUP(V38,Database!$A$2:$L$175,6,FALSE),"-")</f>
        <v>DK</v>
      </c>
      <c r="Y38" s="87" t="str">
        <f>IFERROR(VLOOKUP(V38,Database!$A$2:$L$175,9,FALSE),"-")</f>
        <v>sing</v>
      </c>
    </row>
    <row r="39" spans="1:25" ht="15" customHeight="1" thickBot="1" x14ac:dyDescent="0.4">
      <c r="A39" s="94" t="str">
        <f>rengøring!A39</f>
        <v>onsdag</v>
      </c>
      <c r="B39" s="90">
        <f>rengøring!B39</f>
        <v>46176</v>
      </c>
      <c r="C39" s="9"/>
      <c r="D39" s="95" t="str">
        <f>IF(booking!AB39&gt;0,"Y","-")</f>
        <v>Y</v>
      </c>
      <c r="E39" s="102" t="str">
        <f>IF(AND(D39="Y",booking!D39&lt;&gt;booking!E39,booking!E39&gt;0),booking!E39,"-")</f>
        <v>-</v>
      </c>
      <c r="F39" s="84" t="str">
        <f>IFERROR(VLOOKUP(E39,Database!$A$2:$L$175,8,FALSE),"-")</f>
        <v>-</v>
      </c>
      <c r="G39" s="84" t="str">
        <f>IFERROR(VLOOKUP(E39,Database!$A$2:$L$175,6,FALSE),"-")</f>
        <v>-</v>
      </c>
      <c r="H39" s="100" t="str">
        <f>IFERROR(VLOOKUP(E39,Database!$A$2:$L$175,9,FALSE),"-")</f>
        <v>-</v>
      </c>
      <c r="I39" s="119"/>
      <c r="J39" s="103" t="str">
        <f>IF(AND(D39="Y",booking!H39&lt;&gt;booking!I39,booking!I39&gt;0),booking!I39,"-")</f>
        <v>-</v>
      </c>
      <c r="K39" s="84" t="str">
        <f>IFERROR(VLOOKUP(J39,Database!$A$2:$L$175,8,FALSE),"-")</f>
        <v>-</v>
      </c>
      <c r="L39" s="84" t="str">
        <f>IFERROR(VLOOKUP(J39,Database!$A$2:$L$175,6,FALSE),"-")</f>
        <v>-</v>
      </c>
      <c r="M39" s="100" t="str">
        <f>IFERROR(VLOOKUP(J39,Database!$A$2:$L$175,9,FALSE),"-")</f>
        <v>-</v>
      </c>
      <c r="N39" s="103">
        <f>IF(AND(D39="Y",booking!L39&lt;&gt;booking!M39,booking!M39&gt;0),booking!M39,"-")</f>
        <v>27</v>
      </c>
      <c r="O39" s="84">
        <f>IFERROR(VLOOKUP(N39,Database!$A$2:$L$175,8,FALSE),"-")</f>
        <v>0</v>
      </c>
      <c r="P39" s="84" t="str">
        <f>IFERROR(VLOOKUP(N39,Database!$A$2:$L$175,6,FALSE),"-")</f>
        <v>DK</v>
      </c>
      <c r="Q39" s="88">
        <f>IFERROR(VLOOKUP(N39,Database!$A$2:$L$175,9,FALSE),"-")</f>
        <v>0</v>
      </c>
      <c r="R39" s="104" t="str">
        <f>IF(AND(D39="Y",booking!P39&lt;&gt;booking!Q39,booking!Q39&gt;0),booking!Q39,"-")</f>
        <v>-</v>
      </c>
      <c r="S39" s="84" t="str">
        <f>IFERROR(VLOOKUP(R39,Database!$A$2:$L$175,8,FALSE),"-")</f>
        <v>-</v>
      </c>
      <c r="T39" s="84" t="str">
        <f>IFERROR(VLOOKUP(R39,Database!$A$2:$L$175,6,FALSE),"-")</f>
        <v>-</v>
      </c>
      <c r="U39" s="88" t="str">
        <f>IFERROR(VLOOKUP(R39,Database!$A$2:$L$175,9,FALSE),"-")</f>
        <v>-</v>
      </c>
      <c r="V39" s="103" t="str">
        <f>IF(AND(D39="Y",booking!T39&lt;&gt;booking!U39,booking!U39&gt;0),booking!U39,"-")</f>
        <v>-</v>
      </c>
      <c r="W39" s="85" t="str">
        <f>IFERROR(VLOOKUP(V39,Database!$A$2:$L$175,8,FALSE),"-")</f>
        <v>-</v>
      </c>
      <c r="X39" s="85" t="str">
        <f>IFERROR(VLOOKUP(V39,Database!$A$2:$L$175,6,FALSE),"-")</f>
        <v>-</v>
      </c>
      <c r="Y39" s="87" t="str">
        <f>IFERROR(VLOOKUP(V39,Database!$A$2:$L$175,9,FALSE),"-")</f>
        <v>-</v>
      </c>
    </row>
    <row r="40" spans="1:25" ht="15" customHeight="1" thickBot="1" x14ac:dyDescent="0.4">
      <c r="A40" s="94" t="str">
        <f>rengøring!A40</f>
        <v>torsdag</v>
      </c>
      <c r="B40" s="90">
        <f>rengøring!B40</f>
        <v>46177</v>
      </c>
      <c r="C40" s="9"/>
      <c r="D40" s="95" t="str">
        <f>IF(booking!AB40&gt;0,"Y","-")</f>
        <v>-</v>
      </c>
      <c r="E40" s="102" t="str">
        <f>IF(AND(D40="Y",booking!D40&lt;&gt;booking!E40,booking!E40&gt;0),booking!E40,"-")</f>
        <v>-</v>
      </c>
      <c r="F40" s="84" t="str">
        <f>IFERROR(VLOOKUP(E40,Database!$A$2:$L$175,8,FALSE),"-")</f>
        <v>-</v>
      </c>
      <c r="G40" s="84" t="str">
        <f>IFERROR(VLOOKUP(E40,Database!$A$2:$L$175,6,FALSE),"-")</f>
        <v>-</v>
      </c>
      <c r="H40" s="100" t="str">
        <f>IFERROR(VLOOKUP(E40,Database!$A$2:$L$175,9,FALSE),"-")</f>
        <v>-</v>
      </c>
      <c r="I40" s="119"/>
      <c r="J40" s="103" t="str">
        <f>IF(AND(D40="Y",booking!H40&lt;&gt;booking!I40,booking!I40&gt;0),booking!I40,"-")</f>
        <v>-</v>
      </c>
      <c r="K40" s="84" t="str">
        <f>IFERROR(VLOOKUP(J40,Database!$A$2:$L$175,8,FALSE),"-")</f>
        <v>-</v>
      </c>
      <c r="L40" s="84" t="str">
        <f>IFERROR(VLOOKUP(J40,Database!$A$2:$L$175,6,FALSE),"-")</f>
        <v>-</v>
      </c>
      <c r="M40" s="100" t="str">
        <f>IFERROR(VLOOKUP(J40,Database!$A$2:$L$175,9,FALSE),"-")</f>
        <v>-</v>
      </c>
      <c r="N40" s="103" t="str">
        <f>IF(AND(D40="Y",booking!L40&lt;&gt;booking!M40,booking!M40&gt;0),booking!M40,"-")</f>
        <v>-</v>
      </c>
      <c r="O40" s="84" t="str">
        <f>IFERROR(VLOOKUP(N40,Database!$A$2:$L$175,8,FALSE),"-")</f>
        <v>-</v>
      </c>
      <c r="P40" s="84" t="str">
        <f>IFERROR(VLOOKUP(N40,Database!$A$2:$L$175,6,FALSE),"-")</f>
        <v>-</v>
      </c>
      <c r="Q40" s="88" t="str">
        <f>IFERROR(VLOOKUP(N40,Database!$A$2:$L$175,9,FALSE),"-")</f>
        <v>-</v>
      </c>
      <c r="R40" s="104" t="str">
        <f>IF(AND(D40="Y",booking!P40&lt;&gt;booking!Q40,booking!Q40&gt;0),booking!Q40,"-")</f>
        <v>-</v>
      </c>
      <c r="S40" s="84" t="str">
        <f>IFERROR(VLOOKUP(R40,Database!$A$2:$L$175,8,FALSE),"-")</f>
        <v>-</v>
      </c>
      <c r="T40" s="84" t="str">
        <f>IFERROR(VLOOKUP(R40,Database!$A$2:$L$175,6,FALSE),"-")</f>
        <v>-</v>
      </c>
      <c r="U40" s="88" t="str">
        <f>IFERROR(VLOOKUP(R40,Database!$A$2:$L$175,9,FALSE),"-")</f>
        <v>-</v>
      </c>
      <c r="V40" s="103" t="str">
        <f>IF(AND(D40="Y",booking!T40&lt;&gt;booking!U40,booking!U40&gt;0),booking!U40,"-")</f>
        <v>-</v>
      </c>
      <c r="W40" s="85" t="str">
        <f>IFERROR(VLOOKUP(V40,Database!$A$2:$L$175,8,FALSE),"-")</f>
        <v>-</v>
      </c>
      <c r="X40" s="85" t="str">
        <f>IFERROR(VLOOKUP(V40,Database!$A$2:$L$175,6,FALSE),"-")</f>
        <v>-</v>
      </c>
      <c r="Y40" s="87" t="str">
        <f>IFERROR(VLOOKUP(V40,Database!$A$2:$L$175,9,FALSE),"-")</f>
        <v>-</v>
      </c>
    </row>
    <row r="41" spans="1:25" ht="15" customHeight="1" thickBot="1" x14ac:dyDescent="0.4">
      <c r="A41" s="94" t="str">
        <f>rengøring!A41</f>
        <v>fredag</v>
      </c>
      <c r="B41" s="90">
        <f>rengøring!B41</f>
        <v>46178</v>
      </c>
      <c r="C41" s="9"/>
      <c r="D41" s="95" t="str">
        <f>IF(booking!AB41&gt;0,"Y","-")</f>
        <v>Y</v>
      </c>
      <c r="E41" s="102">
        <f>IF(AND(D41="Y",booking!D41&lt;&gt;booking!E41,booking!E41&gt;0),booking!E41,"-")</f>
        <v>6</v>
      </c>
      <c r="F41" s="84">
        <f>IFERROR(VLOOKUP(E41,Database!$A$2:$L$175,8,FALSE),"-")</f>
        <v>0</v>
      </c>
      <c r="G41" s="84" t="str">
        <f>IFERROR(VLOOKUP(E41,Database!$A$2:$L$175,6,FALSE),"-")</f>
        <v>DK</v>
      </c>
      <c r="H41" s="100">
        <f>IFERROR(VLOOKUP(E41,Database!$A$2:$L$175,9,FALSE),"-")</f>
        <v>0</v>
      </c>
      <c r="I41" s="119"/>
      <c r="J41" s="103">
        <f>IF(AND(D41="Y",booking!H41&lt;&gt;booking!I41,booking!I41&gt;0),booking!I41,"-")</f>
        <v>6</v>
      </c>
      <c r="K41" s="84">
        <f>IFERROR(VLOOKUP(J41,Database!$A$2:$L$175,8,FALSE),"-")</f>
        <v>0</v>
      </c>
      <c r="L41" s="84" t="str">
        <f>IFERROR(VLOOKUP(J41,Database!$A$2:$L$175,6,FALSE),"-")</f>
        <v>DK</v>
      </c>
      <c r="M41" s="100">
        <f>IFERROR(VLOOKUP(J41,Database!$A$2:$L$175,9,FALSE),"-")</f>
        <v>0</v>
      </c>
      <c r="N41" s="103" t="str">
        <f>IF(AND(D41="Y",booking!L41&lt;&gt;booking!M41,booking!M41&gt;0),booking!M41,"-")</f>
        <v>-</v>
      </c>
      <c r="O41" s="84" t="str">
        <f>IFERROR(VLOOKUP(N41,Database!$A$2:$L$175,8,FALSE),"-")</f>
        <v>-</v>
      </c>
      <c r="P41" s="84" t="str">
        <f>IFERROR(VLOOKUP(N41,Database!$A$2:$L$175,6,FALSE),"-")</f>
        <v>-</v>
      </c>
      <c r="Q41" s="88" t="str">
        <f>IFERROR(VLOOKUP(N41,Database!$A$2:$L$175,9,FALSE),"-")</f>
        <v>-</v>
      </c>
      <c r="R41" s="104" t="str">
        <f>IF(AND(D41="Y",booking!P41&lt;&gt;booking!Q41,booking!Q41&gt;0),booking!Q41,"-")</f>
        <v>-</v>
      </c>
      <c r="S41" s="84" t="str">
        <f>IFERROR(VLOOKUP(R41,Database!$A$2:$L$175,8,FALSE),"-")</f>
        <v>-</v>
      </c>
      <c r="T41" s="84" t="str">
        <f>IFERROR(VLOOKUP(R41,Database!$A$2:$L$175,6,FALSE),"-")</f>
        <v>-</v>
      </c>
      <c r="U41" s="88" t="str">
        <f>IFERROR(VLOOKUP(R41,Database!$A$2:$L$175,9,FALSE),"-")</f>
        <v>-</v>
      </c>
      <c r="V41" s="103" t="str">
        <f>IF(AND(D41="Y",booking!T41&lt;&gt;booking!U41,booking!U41&gt;0),booking!U41,"-")</f>
        <v>-</v>
      </c>
      <c r="W41" s="85" t="str">
        <f>IFERROR(VLOOKUP(V41,Database!$A$2:$L$175,8,FALSE),"-")</f>
        <v>-</v>
      </c>
      <c r="X41" s="85" t="str">
        <f>IFERROR(VLOOKUP(V41,Database!$A$2:$L$175,6,FALSE),"-")</f>
        <v>-</v>
      </c>
      <c r="Y41" s="87" t="str">
        <f>IFERROR(VLOOKUP(V41,Database!$A$2:$L$175,9,FALSE),"-")</f>
        <v>-</v>
      </c>
    </row>
    <row r="42" spans="1:25" ht="15" customHeight="1" thickBot="1" x14ac:dyDescent="0.4">
      <c r="A42" s="94" t="str">
        <f>rengøring!A42</f>
        <v>lørdag</v>
      </c>
      <c r="B42" s="90">
        <f>rengøring!B42</f>
        <v>46179</v>
      </c>
      <c r="C42" s="9"/>
      <c r="D42" s="95" t="str">
        <f>IF(booking!AB42&gt;0,"Y","-")</f>
        <v>-</v>
      </c>
      <c r="E42" s="102" t="str">
        <f>IF(AND(D42="Y",booking!D42&lt;&gt;booking!E42,booking!E42&gt;0),booking!E42,"-")</f>
        <v>-</v>
      </c>
      <c r="F42" s="84" t="str">
        <f>IFERROR(VLOOKUP(E42,Database!$A$2:$L$175,8,FALSE),"-")</f>
        <v>-</v>
      </c>
      <c r="G42" s="84" t="str">
        <f>IFERROR(VLOOKUP(E42,Database!$A$2:$L$175,6,FALSE),"-")</f>
        <v>-</v>
      </c>
      <c r="H42" s="100" t="str">
        <f>IFERROR(VLOOKUP(E42,Database!$A$2:$L$175,9,FALSE),"-")</f>
        <v>-</v>
      </c>
      <c r="I42" s="119"/>
      <c r="J42" s="103" t="str">
        <f>IF(AND(D42="Y",booking!H42&lt;&gt;booking!I42,booking!I42&gt;0),booking!I42,"-")</f>
        <v>-</v>
      </c>
      <c r="K42" s="84" t="str">
        <f>IFERROR(VLOOKUP(J42,Database!$A$2:$L$175,8,FALSE),"-")</f>
        <v>-</v>
      </c>
      <c r="L42" s="84" t="str">
        <f>IFERROR(VLOOKUP(J42,Database!$A$2:$L$175,6,FALSE),"-")</f>
        <v>-</v>
      </c>
      <c r="M42" s="100" t="str">
        <f>IFERROR(VLOOKUP(J42,Database!$A$2:$L$175,9,FALSE),"-")</f>
        <v>-</v>
      </c>
      <c r="N42" s="103" t="str">
        <f>IF(AND(D42="Y",booking!L42&lt;&gt;booking!M42,booking!M42&gt;0),booking!M42,"-")</f>
        <v>-</v>
      </c>
      <c r="O42" s="84" t="str">
        <f>IFERROR(VLOOKUP(N42,Database!$A$2:$L$175,8,FALSE),"-")</f>
        <v>-</v>
      </c>
      <c r="P42" s="84" t="str">
        <f>IFERROR(VLOOKUP(N42,Database!$A$2:$L$175,6,FALSE),"-")</f>
        <v>-</v>
      </c>
      <c r="Q42" s="88" t="str">
        <f>IFERROR(VLOOKUP(N42,Database!$A$2:$L$175,9,FALSE),"-")</f>
        <v>-</v>
      </c>
      <c r="R42" s="104" t="str">
        <f>IF(AND(D42="Y",booking!P42&lt;&gt;booking!Q42,booking!Q42&gt;0),booking!Q42,"-")</f>
        <v>-</v>
      </c>
      <c r="S42" s="84" t="str">
        <f>IFERROR(VLOOKUP(R42,Database!$A$2:$L$175,8,FALSE),"-")</f>
        <v>-</v>
      </c>
      <c r="T42" s="84" t="str">
        <f>IFERROR(VLOOKUP(R42,Database!$A$2:$L$175,6,FALSE),"-")</f>
        <v>-</v>
      </c>
      <c r="U42" s="88" t="str">
        <f>IFERROR(VLOOKUP(R42,Database!$A$2:$L$175,9,FALSE),"-")</f>
        <v>-</v>
      </c>
      <c r="V42" s="103" t="str">
        <f>IF(AND(D42="Y",booking!T42&lt;&gt;booking!U42,booking!U42&gt;0),booking!U42,"-")</f>
        <v>-</v>
      </c>
      <c r="W42" s="85" t="str">
        <f>IFERROR(VLOOKUP(V42,Database!$A$2:$L$175,8,FALSE),"-")</f>
        <v>-</v>
      </c>
      <c r="X42" s="85" t="str">
        <f>IFERROR(VLOOKUP(V42,Database!$A$2:$L$175,6,FALSE),"-")</f>
        <v>-</v>
      </c>
      <c r="Y42" s="87" t="str">
        <f>IFERROR(VLOOKUP(V42,Database!$A$2:$L$175,9,FALSE),"-")</f>
        <v>-</v>
      </c>
    </row>
    <row r="43" spans="1:25" ht="15" customHeight="1" thickBot="1" x14ac:dyDescent="0.4">
      <c r="A43" s="94" t="str">
        <f>rengøring!A43</f>
        <v>søndag</v>
      </c>
      <c r="B43" s="90">
        <f>rengøring!B43</f>
        <v>46180</v>
      </c>
      <c r="C43" s="9"/>
      <c r="D43" s="95" t="str">
        <f>IF(booking!AB43&gt;0,"Y","-")</f>
        <v>-</v>
      </c>
      <c r="E43" s="102" t="str">
        <f>IF(AND(D43="Y",booking!D43&lt;&gt;booking!E43,booking!E43&gt;0),booking!E43,"-")</f>
        <v>-</v>
      </c>
      <c r="F43" s="84" t="str">
        <f>IFERROR(VLOOKUP(E43,Database!$A$2:$L$175,8,FALSE),"-")</f>
        <v>-</v>
      </c>
      <c r="G43" s="84" t="str">
        <f>IFERROR(VLOOKUP(E43,Database!$A$2:$L$175,6,FALSE),"-")</f>
        <v>-</v>
      </c>
      <c r="H43" s="100" t="str">
        <f>IFERROR(VLOOKUP(E43,Database!$A$2:$L$175,9,FALSE),"-")</f>
        <v>-</v>
      </c>
      <c r="I43" s="119"/>
      <c r="J43" s="103" t="str">
        <f>IF(AND(D43="Y",booking!H43&lt;&gt;booking!I43,booking!I43&gt;0),booking!I43,"-")</f>
        <v>-</v>
      </c>
      <c r="K43" s="84" t="str">
        <f>IFERROR(VLOOKUP(J43,Database!$A$2:$L$175,8,FALSE),"-")</f>
        <v>-</v>
      </c>
      <c r="L43" s="84" t="str">
        <f>IFERROR(VLOOKUP(J43,Database!$A$2:$L$175,6,FALSE),"-")</f>
        <v>-</v>
      </c>
      <c r="M43" s="100" t="str">
        <f>IFERROR(VLOOKUP(J43,Database!$A$2:$L$175,9,FALSE),"-")</f>
        <v>-</v>
      </c>
      <c r="N43" s="103" t="str">
        <f>IF(AND(D43="Y",booking!L43&lt;&gt;booking!M43,booking!M43&gt;0),booking!M43,"-")</f>
        <v>-</v>
      </c>
      <c r="O43" s="84" t="str">
        <f>IFERROR(VLOOKUP(N43,Database!$A$2:$L$175,8,FALSE),"-")</f>
        <v>-</v>
      </c>
      <c r="P43" s="84" t="str">
        <f>IFERROR(VLOOKUP(N43,Database!$A$2:$L$175,6,FALSE),"-")</f>
        <v>-</v>
      </c>
      <c r="Q43" s="88" t="str">
        <f>IFERROR(VLOOKUP(N43,Database!$A$2:$L$175,9,FALSE),"-")</f>
        <v>-</v>
      </c>
      <c r="R43" s="104" t="str">
        <f>IF(AND(D43="Y",booking!P43&lt;&gt;booking!Q43,booking!Q43&gt;0),booking!Q43,"-")</f>
        <v>-</v>
      </c>
      <c r="S43" s="84" t="str">
        <f>IFERROR(VLOOKUP(R43,Database!$A$2:$L$175,8,FALSE),"-")</f>
        <v>-</v>
      </c>
      <c r="T43" s="84" t="str">
        <f>IFERROR(VLOOKUP(R43,Database!$A$2:$L$175,6,FALSE),"-")</f>
        <v>-</v>
      </c>
      <c r="U43" s="88" t="str">
        <f>IFERROR(VLOOKUP(R43,Database!$A$2:$L$175,9,FALSE),"-")</f>
        <v>-</v>
      </c>
      <c r="V43" s="103" t="str">
        <f>IF(AND(D43="Y",booking!T43&lt;&gt;booking!U43,booking!U43&gt;0),booking!U43,"-")</f>
        <v>-</v>
      </c>
      <c r="W43" s="85" t="str">
        <f>IFERROR(VLOOKUP(V43,Database!$A$2:$L$175,8,FALSE),"-")</f>
        <v>-</v>
      </c>
      <c r="X43" s="85" t="str">
        <f>IFERROR(VLOOKUP(V43,Database!$A$2:$L$175,6,FALSE),"-")</f>
        <v>-</v>
      </c>
      <c r="Y43" s="87" t="str">
        <f>IFERROR(VLOOKUP(V43,Database!$A$2:$L$175,9,FALSE),"-")</f>
        <v>-</v>
      </c>
    </row>
    <row r="44" spans="1:25" ht="15" customHeight="1" thickBot="1" x14ac:dyDescent="0.4">
      <c r="A44" s="94" t="str">
        <f>rengøring!A44</f>
        <v>mandag</v>
      </c>
      <c r="B44" s="90">
        <f>rengøring!B44</f>
        <v>46181</v>
      </c>
      <c r="C44" s="9"/>
      <c r="D44" s="95" t="str">
        <f>IF(booking!AB44&gt;0,"Y","-")</f>
        <v>Y</v>
      </c>
      <c r="E44" s="102" t="str">
        <f>IF(AND(D44="Y",booking!D44&lt;&gt;booking!E44,booking!E44&gt;0),booking!E44,"-")</f>
        <v>-</v>
      </c>
      <c r="F44" s="84" t="str">
        <f>IFERROR(VLOOKUP(E44,Database!$A$2:$L$175,8,FALSE),"-")</f>
        <v>-</v>
      </c>
      <c r="G44" s="84" t="str">
        <f>IFERROR(VLOOKUP(E44,Database!$A$2:$L$175,6,FALSE),"-")</f>
        <v>-</v>
      </c>
      <c r="H44" s="100" t="str">
        <f>IFERROR(VLOOKUP(E44,Database!$A$2:$L$175,9,FALSE),"-")</f>
        <v>-</v>
      </c>
      <c r="I44" s="119"/>
      <c r="J44" s="103" t="str">
        <f>IF(AND(D44="Y",booking!H44&lt;&gt;booking!I44,booking!I44&gt;0),booking!I44,"-")</f>
        <v>-</v>
      </c>
      <c r="K44" s="84" t="str">
        <f>IFERROR(VLOOKUP(J44,Database!$A$2:$L$175,8,FALSE),"-")</f>
        <v>-</v>
      </c>
      <c r="L44" s="84" t="str">
        <f>IFERROR(VLOOKUP(J44,Database!$A$2:$L$175,6,FALSE),"-")</f>
        <v>-</v>
      </c>
      <c r="M44" s="100" t="str">
        <f>IFERROR(VLOOKUP(J44,Database!$A$2:$L$175,9,FALSE),"-")</f>
        <v>-</v>
      </c>
      <c r="N44" s="103" t="str">
        <f>IF(AND(D44="Y",booking!L44&lt;&gt;booking!M44,booking!M44&gt;0),booking!M44,"-")</f>
        <v>-</v>
      </c>
      <c r="O44" s="84" t="str">
        <f>IFERROR(VLOOKUP(N44,Database!$A$2:$L$175,8,FALSE),"-")</f>
        <v>-</v>
      </c>
      <c r="P44" s="84" t="str">
        <f>IFERROR(VLOOKUP(N44,Database!$A$2:$L$175,6,FALSE),"-")</f>
        <v>-</v>
      </c>
      <c r="Q44" s="88" t="str">
        <f>IFERROR(VLOOKUP(N44,Database!$A$2:$L$175,9,FALSE),"-")</f>
        <v>-</v>
      </c>
      <c r="R44" s="104">
        <f>IF(AND(D44="Y",booking!P44&lt;&gt;booking!Q44,booking!Q44&gt;0),booking!Q44,"-")</f>
        <v>15</v>
      </c>
      <c r="S44" s="84">
        <f>IFERROR(VLOOKUP(R44,Database!$A$2:$L$175,8,FALSE),"-")</f>
        <v>0</v>
      </c>
      <c r="T44" s="84" t="str">
        <f>IFERROR(VLOOKUP(R44,Database!$A$2:$L$175,6,FALSE),"-")</f>
        <v>DK</v>
      </c>
      <c r="U44" s="88">
        <f>IFERROR(VLOOKUP(R44,Database!$A$2:$L$175,9,FALSE),"-")</f>
        <v>0</v>
      </c>
      <c r="V44" s="103">
        <f>IF(AND(D44="Y",booking!T44&lt;&gt;booking!U44,booking!U44&gt;0),booking!U44,"-")</f>
        <v>17</v>
      </c>
      <c r="W44" s="85">
        <f>IFERROR(VLOOKUP(V44,Database!$A$2:$L$175,8,FALSE),"-")</f>
        <v>0</v>
      </c>
      <c r="X44" s="85" t="str">
        <f>IFERROR(VLOOKUP(V44,Database!$A$2:$L$175,6,FALSE),"-")</f>
        <v>DK</v>
      </c>
      <c r="Y44" s="87">
        <f>IFERROR(VLOOKUP(V44,Database!$A$2:$L$175,9,FALSE),"-")</f>
        <v>0</v>
      </c>
    </row>
    <row r="45" spans="1:25" ht="15" customHeight="1" thickBot="1" x14ac:dyDescent="0.4">
      <c r="A45" s="94" t="str">
        <f>rengøring!A45</f>
        <v>tirsdag</v>
      </c>
      <c r="B45" s="90">
        <f>rengøring!B45</f>
        <v>46182</v>
      </c>
      <c r="C45" s="9"/>
      <c r="D45" s="95" t="str">
        <f>IF(booking!AB45&gt;0,"Y","-")</f>
        <v>Y</v>
      </c>
      <c r="E45" s="102">
        <f>IF(AND(D45="Y",booking!D45&lt;&gt;booking!E45,booking!E45&gt;0),booking!E45,"-")</f>
        <v>16</v>
      </c>
      <c r="F45" s="84">
        <f>IFERROR(VLOOKUP(E45,Database!$A$2:$L$175,8,FALSE),"-")</f>
        <v>0</v>
      </c>
      <c r="G45" s="84" t="str">
        <f>IFERROR(VLOOKUP(E45,Database!$A$2:$L$175,6,FALSE),"-")</f>
        <v>DK</v>
      </c>
      <c r="H45" s="100">
        <f>IFERROR(VLOOKUP(E45,Database!$A$2:$L$175,9,FALSE),"-")</f>
        <v>0</v>
      </c>
      <c r="I45" s="119"/>
      <c r="J45" s="103">
        <f>IF(AND(D45="Y",booking!H45&lt;&gt;booking!I45,booking!I45&gt;0),booking!I45,"-")</f>
        <v>16</v>
      </c>
      <c r="K45" s="84">
        <f>IFERROR(VLOOKUP(J45,Database!$A$2:$L$175,8,FALSE),"-")</f>
        <v>0</v>
      </c>
      <c r="L45" s="84" t="str">
        <f>IFERROR(VLOOKUP(J45,Database!$A$2:$L$175,6,FALSE),"-")</f>
        <v>DK</v>
      </c>
      <c r="M45" s="100">
        <f>IFERROR(VLOOKUP(J45,Database!$A$2:$L$175,9,FALSE),"-")</f>
        <v>0</v>
      </c>
      <c r="N45" s="103">
        <f>IF(AND(D45="Y",booking!L45&lt;&gt;booking!M45,booking!M45&gt;0),booking!M45,"-")</f>
        <v>18</v>
      </c>
      <c r="O45" s="84">
        <f>IFERROR(VLOOKUP(N45,Database!$A$2:$L$175,8,FALSE),"-")</f>
        <v>0</v>
      </c>
      <c r="P45" s="84" t="str">
        <f>IFERROR(VLOOKUP(N45,Database!$A$2:$L$175,6,FALSE),"-")</f>
        <v>DK</v>
      </c>
      <c r="Q45" s="88">
        <f>IFERROR(VLOOKUP(N45,Database!$A$2:$L$175,9,FALSE),"-")</f>
        <v>0</v>
      </c>
      <c r="R45" s="104" t="str">
        <f>IF(AND(D45="Y",booking!P45&lt;&gt;booking!Q45,booking!Q45&gt;0),booking!Q45,"-")</f>
        <v>-</v>
      </c>
      <c r="S45" s="84" t="str">
        <f>IFERROR(VLOOKUP(R45,Database!$A$2:$L$175,8,FALSE),"-")</f>
        <v>-</v>
      </c>
      <c r="T45" s="84" t="str">
        <f>IFERROR(VLOOKUP(R45,Database!$A$2:$L$175,6,FALSE),"-")</f>
        <v>-</v>
      </c>
      <c r="U45" s="88" t="str">
        <f>IFERROR(VLOOKUP(R45,Database!$A$2:$L$175,9,FALSE),"-")</f>
        <v>-</v>
      </c>
      <c r="V45" s="103" t="str">
        <f>IF(AND(D45="Y",booking!T45&lt;&gt;booking!U45,booking!U45&gt;0),booking!U45,"-")</f>
        <v>-</v>
      </c>
      <c r="W45" s="85" t="str">
        <f>IFERROR(VLOOKUP(V45,Database!$A$2:$L$175,8,FALSE),"-")</f>
        <v>-</v>
      </c>
      <c r="X45" s="85" t="str">
        <f>IFERROR(VLOOKUP(V45,Database!$A$2:$L$175,6,FALSE),"-")</f>
        <v>-</v>
      </c>
      <c r="Y45" s="87" t="str">
        <f>IFERROR(VLOOKUP(V45,Database!$A$2:$L$175,9,FALSE),"-")</f>
        <v>-</v>
      </c>
    </row>
    <row r="46" spans="1:25" ht="15" customHeight="1" thickBot="1" x14ac:dyDescent="0.4">
      <c r="A46" s="94" t="str">
        <f>rengøring!A46</f>
        <v>onsdag</v>
      </c>
      <c r="B46" s="90">
        <f>rengøring!B46</f>
        <v>46183</v>
      </c>
      <c r="C46" s="9"/>
      <c r="D46" s="95" t="str">
        <f>IF(booking!AB46&gt;0,"Y","-")</f>
        <v>-</v>
      </c>
      <c r="E46" s="102" t="str">
        <f>IF(AND(D46="Y",booking!D46&lt;&gt;booking!E46,booking!E46&gt;0),booking!E46,"-")</f>
        <v>-</v>
      </c>
      <c r="F46" s="84" t="str">
        <f>IFERROR(VLOOKUP(E46,Database!$A$2:$L$175,8,FALSE),"-")</f>
        <v>-</v>
      </c>
      <c r="G46" s="84" t="str">
        <f>IFERROR(VLOOKUP(E46,Database!$A$2:$L$175,6,FALSE),"-")</f>
        <v>-</v>
      </c>
      <c r="H46" s="100" t="str">
        <f>IFERROR(VLOOKUP(E46,Database!$A$2:$L$175,9,FALSE),"-")</f>
        <v>-</v>
      </c>
      <c r="I46" s="119"/>
      <c r="J46" s="103" t="str">
        <f>IF(AND(D46="Y",booking!H46&lt;&gt;booking!I46,booking!I46&gt;0),booking!I46,"-")</f>
        <v>-</v>
      </c>
      <c r="K46" s="84" t="str">
        <f>IFERROR(VLOOKUP(J46,Database!$A$2:$L$175,8,FALSE),"-")</f>
        <v>-</v>
      </c>
      <c r="L46" s="84" t="str">
        <f>IFERROR(VLOOKUP(J46,Database!$A$2:$L$175,6,FALSE),"-")</f>
        <v>-</v>
      </c>
      <c r="M46" s="100" t="str">
        <f>IFERROR(VLOOKUP(J46,Database!$A$2:$L$175,9,FALSE),"-")</f>
        <v>-</v>
      </c>
      <c r="N46" s="103" t="str">
        <f>IF(AND(D46="Y",booking!L46&lt;&gt;booking!M45,booking!M45&gt;0),booking!M45,"-")</f>
        <v>-</v>
      </c>
      <c r="O46" s="84" t="str">
        <f>IFERROR(VLOOKUP(N46,Database!$A$2:$L$175,8,FALSE),"-")</f>
        <v>-</v>
      </c>
      <c r="P46" s="84" t="str">
        <f>IFERROR(VLOOKUP(N46,Database!$A$2:$L$175,6,FALSE),"-")</f>
        <v>-</v>
      </c>
      <c r="Q46" s="88" t="str">
        <f>IFERROR(VLOOKUP(N46,Database!$A$2:$L$175,9,FALSE),"-")</f>
        <v>-</v>
      </c>
      <c r="R46" s="104" t="str">
        <f>IF(AND(D46="Y",booking!P46&lt;&gt;booking!Q46,booking!Q46&gt;0),booking!Q46,"-")</f>
        <v>-</v>
      </c>
      <c r="S46" s="84" t="str">
        <f>IFERROR(VLOOKUP(R46,Database!$A$2:$L$175,8,FALSE),"-")</f>
        <v>-</v>
      </c>
      <c r="T46" s="84" t="str">
        <f>IFERROR(VLOOKUP(R46,Database!$A$2:$L$175,6,FALSE),"-")</f>
        <v>-</v>
      </c>
      <c r="U46" s="88" t="str">
        <f>IFERROR(VLOOKUP(R46,Database!$A$2:$L$175,9,FALSE),"-")</f>
        <v>-</v>
      </c>
      <c r="V46" s="103" t="str">
        <f>IF(AND(D46="Y",booking!T46&lt;&gt;booking!U46,booking!U46&gt;0),booking!U46,"-")</f>
        <v>-</v>
      </c>
      <c r="W46" s="85" t="str">
        <f>IFERROR(VLOOKUP(V46,Database!$A$2:$L$175,8,FALSE),"-")</f>
        <v>-</v>
      </c>
      <c r="X46" s="85" t="str">
        <f>IFERROR(VLOOKUP(V46,Database!$A$2:$L$175,6,FALSE),"-")</f>
        <v>-</v>
      </c>
      <c r="Y46" s="87" t="str">
        <f>IFERROR(VLOOKUP(V46,Database!$A$2:$L$175,9,FALSE),"-")</f>
        <v>-</v>
      </c>
    </row>
    <row r="47" spans="1:25" ht="15" customHeight="1" thickBot="1" x14ac:dyDescent="0.4">
      <c r="A47" s="94" t="str">
        <f>rengøring!A47</f>
        <v>torsdag</v>
      </c>
      <c r="B47" s="90">
        <f>rengøring!B47</f>
        <v>46184</v>
      </c>
      <c r="C47" s="9"/>
      <c r="D47" s="95" t="str">
        <f>IF(booking!AB47&gt;0,"Y","-")</f>
        <v>-</v>
      </c>
      <c r="E47" s="102" t="str">
        <f>IF(AND(D47="Y",booking!D47&lt;&gt;booking!E47,booking!E47&gt;0),booking!E47,"-")</f>
        <v>-</v>
      </c>
      <c r="F47" s="84" t="str">
        <f>IFERROR(VLOOKUP(E47,Database!$A$2:$L$175,8,FALSE),"-")</f>
        <v>-</v>
      </c>
      <c r="G47" s="84" t="str">
        <f>IFERROR(VLOOKUP(E47,Database!$A$2:$L$175,6,FALSE),"-")</f>
        <v>-</v>
      </c>
      <c r="H47" s="100" t="str">
        <f>IFERROR(VLOOKUP(E47,Database!$A$2:$L$175,9,FALSE),"-")</f>
        <v>-</v>
      </c>
      <c r="I47" s="119"/>
      <c r="J47" s="103" t="str">
        <f>IF(AND(D47="Y",booking!H47&lt;&gt;booking!I47,booking!I47&gt;0),booking!I47,"-")</f>
        <v>-</v>
      </c>
      <c r="K47" s="84" t="str">
        <f>IFERROR(VLOOKUP(J47,Database!$A$2:$L$175,8,FALSE),"-")</f>
        <v>-</v>
      </c>
      <c r="L47" s="84" t="str">
        <f>IFERROR(VLOOKUP(J47,Database!$A$2:$L$175,6,FALSE),"-")</f>
        <v>-</v>
      </c>
      <c r="M47" s="100" t="str">
        <f>IFERROR(VLOOKUP(J47,Database!$A$2:$L$175,9,FALSE),"-")</f>
        <v>-</v>
      </c>
      <c r="N47" s="103" t="str">
        <f>IF(AND(D47="Y",booking!L47&lt;&gt;booking!M47,booking!M47&gt;0),booking!M47,"-")</f>
        <v>-</v>
      </c>
      <c r="O47" s="84" t="str">
        <f>IFERROR(VLOOKUP(N47,Database!$A$2:$L$175,8,FALSE),"-")</f>
        <v>-</v>
      </c>
      <c r="P47" s="84" t="str">
        <f>IFERROR(VLOOKUP(N47,Database!$A$2:$L$175,6,FALSE),"-")</f>
        <v>-</v>
      </c>
      <c r="Q47" s="88" t="str">
        <f>IFERROR(VLOOKUP(N47,Database!$A$2:$L$175,9,FALSE),"-")</f>
        <v>-</v>
      </c>
      <c r="R47" s="104" t="str">
        <f>IF(AND(D47="Y",booking!P47&lt;&gt;booking!Q47,booking!Q47&gt;0),booking!Q47,"-")</f>
        <v>-</v>
      </c>
      <c r="S47" s="84" t="str">
        <f>IFERROR(VLOOKUP(R47,Database!$A$2:$L$175,8,FALSE),"-")</f>
        <v>-</v>
      </c>
      <c r="T47" s="84" t="str">
        <f>IFERROR(VLOOKUP(R47,Database!$A$2:$L$175,6,FALSE),"-")</f>
        <v>-</v>
      </c>
      <c r="U47" s="88" t="str">
        <f>IFERROR(VLOOKUP(R47,Database!$A$2:$L$175,9,FALSE),"-")</f>
        <v>-</v>
      </c>
      <c r="V47" s="103" t="str">
        <f>IF(AND(D47="Y",booking!T47&lt;&gt;booking!U47,booking!U47&gt;0),booking!U47,"-")</f>
        <v>-</v>
      </c>
      <c r="W47" s="85" t="str">
        <f>IFERROR(VLOOKUP(V47,Database!$A$2:$L$175,8,FALSE),"-")</f>
        <v>-</v>
      </c>
      <c r="X47" s="85" t="str">
        <f>IFERROR(VLOOKUP(V47,Database!$A$2:$L$175,6,FALSE),"-")</f>
        <v>-</v>
      </c>
      <c r="Y47" s="87" t="str">
        <f>IFERROR(VLOOKUP(V47,Database!$A$2:$L$175,9,FALSE),"-")</f>
        <v>-</v>
      </c>
    </row>
    <row r="48" spans="1:25" ht="15" customHeight="1" thickBot="1" x14ac:dyDescent="0.4">
      <c r="A48" s="94" t="str">
        <f>rengøring!A48</f>
        <v>fredag</v>
      </c>
      <c r="B48" s="90">
        <f>rengøring!B48</f>
        <v>46185</v>
      </c>
      <c r="C48" s="9"/>
      <c r="D48" s="95" t="str">
        <f>IF(booking!AB48&gt;0,"Y","-")</f>
        <v>-</v>
      </c>
      <c r="E48" s="102" t="str">
        <f>IF(AND(D48="Y",booking!D48&lt;&gt;booking!E48,booking!E48&gt;0),booking!E48,"-")</f>
        <v>-</v>
      </c>
      <c r="F48" s="84" t="str">
        <f>IFERROR(VLOOKUP(E48,Database!$A$2:$L$175,8,FALSE),"-")</f>
        <v>-</v>
      </c>
      <c r="G48" s="84" t="str">
        <f>IFERROR(VLOOKUP(E48,Database!$A$2:$L$175,6,FALSE),"-")</f>
        <v>-</v>
      </c>
      <c r="H48" s="100" t="str">
        <f>IFERROR(VLOOKUP(E48,Database!$A$2:$L$175,9,FALSE),"-")</f>
        <v>-</v>
      </c>
      <c r="I48" s="119"/>
      <c r="J48" s="103" t="str">
        <f>IF(AND(D48="Y",booking!H48&lt;&gt;booking!I48,booking!I48&gt;0),booking!I48,"-")</f>
        <v>-</v>
      </c>
      <c r="K48" s="84" t="str">
        <f>IFERROR(VLOOKUP(J48,Database!$A$2:$L$175,8,FALSE),"-")</f>
        <v>-</v>
      </c>
      <c r="L48" s="84" t="str">
        <f>IFERROR(VLOOKUP(J48,Database!$A$2:$L$175,6,FALSE),"-")</f>
        <v>-</v>
      </c>
      <c r="M48" s="100" t="str">
        <f>IFERROR(VLOOKUP(J48,Database!$A$2:$L$175,9,FALSE),"-")</f>
        <v>-</v>
      </c>
      <c r="N48" s="103" t="str">
        <f>IF(AND(D48="Y",booking!L48&lt;&gt;booking!M48,booking!M48&gt;0),booking!M48,"-")</f>
        <v>-</v>
      </c>
      <c r="O48" s="84" t="str">
        <f>IFERROR(VLOOKUP(N48,Database!$A$2:$L$175,8,FALSE),"-")</f>
        <v>-</v>
      </c>
      <c r="P48" s="84" t="str">
        <f>IFERROR(VLOOKUP(N48,Database!$A$2:$L$175,6,FALSE),"-")</f>
        <v>-</v>
      </c>
      <c r="Q48" s="88" t="str">
        <f>IFERROR(VLOOKUP(N48,Database!$A$2:$L$175,9,FALSE),"-")</f>
        <v>-</v>
      </c>
      <c r="R48" s="104" t="str">
        <f>IF(AND(D48="Y",booking!P48&lt;&gt;booking!Q48,booking!Q48&gt;0),booking!Q48,"-")</f>
        <v>-</v>
      </c>
      <c r="S48" s="84" t="str">
        <f>IFERROR(VLOOKUP(R48,Database!$A$2:$L$175,8,FALSE),"-")</f>
        <v>-</v>
      </c>
      <c r="T48" s="84" t="str">
        <f>IFERROR(VLOOKUP(R48,Database!$A$2:$L$175,6,FALSE),"-")</f>
        <v>-</v>
      </c>
      <c r="U48" s="88" t="str">
        <f>IFERROR(VLOOKUP(R48,Database!$A$2:$L$175,9,FALSE),"-")</f>
        <v>-</v>
      </c>
      <c r="V48" s="103" t="str">
        <f>IF(AND(D48="Y",booking!T48&lt;&gt;booking!U48,booking!U48&gt;0),booking!U48,"-")</f>
        <v>-</v>
      </c>
      <c r="W48" s="85" t="str">
        <f>IFERROR(VLOOKUP(V48,Database!$A$2:$L$175,8,FALSE),"-")</f>
        <v>-</v>
      </c>
      <c r="X48" s="85" t="str">
        <f>IFERROR(VLOOKUP(V48,Database!$A$2:$L$175,6,FALSE),"-")</f>
        <v>-</v>
      </c>
      <c r="Y48" s="87" t="str">
        <f>IFERROR(VLOOKUP(V48,Database!$A$2:$L$175,9,FALSE),"-")</f>
        <v>-</v>
      </c>
    </row>
    <row r="49" spans="1:25" ht="15" customHeight="1" thickBot="1" x14ac:dyDescent="0.4">
      <c r="A49" s="94" t="str">
        <f>rengøring!A49</f>
        <v>lørdag</v>
      </c>
      <c r="B49" s="90">
        <f>rengøring!B49</f>
        <v>46186</v>
      </c>
      <c r="C49" s="9"/>
      <c r="D49" s="95" t="str">
        <f>IF(booking!AB49&gt;0,"Y","-")</f>
        <v>-</v>
      </c>
      <c r="E49" s="102" t="str">
        <f>IF(AND(D49="Y",booking!D49&lt;&gt;booking!E49,booking!E49&gt;0),booking!E49,"-")</f>
        <v>-</v>
      </c>
      <c r="F49" s="84" t="str">
        <f>IFERROR(VLOOKUP(E49,Database!$A$2:$L$175,8,FALSE),"-")</f>
        <v>-</v>
      </c>
      <c r="G49" s="84" t="str">
        <f>IFERROR(VLOOKUP(E49,Database!$A$2:$L$175,6,FALSE),"-")</f>
        <v>-</v>
      </c>
      <c r="H49" s="100" t="str">
        <f>IFERROR(VLOOKUP(E49,Database!$A$2:$L$175,9,FALSE),"-")</f>
        <v>-</v>
      </c>
      <c r="I49" s="119"/>
      <c r="J49" s="103" t="str">
        <f>IF(AND(D49="Y",booking!H49&lt;&gt;booking!I49,booking!I49&gt;0),booking!I49,"-")</f>
        <v>-</v>
      </c>
      <c r="K49" s="84" t="str">
        <f>IFERROR(VLOOKUP(J49,Database!$A$2:$L$175,8,FALSE),"-")</f>
        <v>-</v>
      </c>
      <c r="L49" s="84" t="str">
        <f>IFERROR(VLOOKUP(J49,Database!$A$2:$L$175,6,FALSE),"-")</f>
        <v>-</v>
      </c>
      <c r="M49" s="100" t="str">
        <f>IFERROR(VLOOKUP(J49,Database!$A$2:$L$175,9,FALSE),"-")</f>
        <v>-</v>
      </c>
      <c r="N49" s="103" t="str">
        <f>IF(AND(D49="Y",booking!L49&lt;&gt;booking!M49,booking!M49&gt;0),booking!M49,"-")</f>
        <v>-</v>
      </c>
      <c r="O49" s="84" t="str">
        <f>IFERROR(VLOOKUP(N49,Database!$A$2:$L$175,8,FALSE),"-")</f>
        <v>-</v>
      </c>
      <c r="P49" s="84" t="str">
        <f>IFERROR(VLOOKUP(N49,Database!$A$2:$L$175,6,FALSE),"-")</f>
        <v>-</v>
      </c>
      <c r="Q49" s="88" t="str">
        <f>IFERROR(VLOOKUP(N49,Database!$A$2:$L$175,9,FALSE),"-")</f>
        <v>-</v>
      </c>
      <c r="R49" s="104" t="str">
        <f>IF(AND(D49="Y",booking!P49&lt;&gt;booking!Q49,booking!Q49&gt;0),booking!Q49,"-")</f>
        <v>-</v>
      </c>
      <c r="S49" s="84" t="str">
        <f>IFERROR(VLOOKUP(R49,Database!$A$2:$L$175,8,FALSE),"-")</f>
        <v>-</v>
      </c>
      <c r="T49" s="84" t="str">
        <f>IFERROR(VLOOKUP(R49,Database!$A$2:$L$175,6,FALSE),"-")</f>
        <v>-</v>
      </c>
      <c r="U49" s="88" t="str">
        <f>IFERROR(VLOOKUP(R49,Database!$A$2:$L$175,9,FALSE),"-")</f>
        <v>-</v>
      </c>
      <c r="V49" s="103" t="str">
        <f>IF(AND(D49="Y",booking!T49&lt;&gt;booking!U49,booking!U49&gt;0),booking!U49,"-")</f>
        <v>-</v>
      </c>
      <c r="W49" s="85" t="str">
        <f>IFERROR(VLOOKUP(V49,Database!$A$2:$L$175,8,FALSE),"-")</f>
        <v>-</v>
      </c>
      <c r="X49" s="85" t="str">
        <f>IFERROR(VLOOKUP(V49,Database!$A$2:$L$175,6,FALSE),"-")</f>
        <v>-</v>
      </c>
      <c r="Y49" s="87" t="str">
        <f>IFERROR(VLOOKUP(V49,Database!$A$2:$L$175,9,FALSE),"-")</f>
        <v>-</v>
      </c>
    </row>
    <row r="50" spans="1:25" ht="15" customHeight="1" thickBot="1" x14ac:dyDescent="0.4">
      <c r="A50" s="94" t="str">
        <f>rengøring!A50</f>
        <v>søndag</v>
      </c>
      <c r="B50" s="90">
        <f>rengøring!B50</f>
        <v>46187</v>
      </c>
      <c r="C50" s="9"/>
      <c r="D50" s="95" t="str">
        <f>IF(booking!AB50&gt;0,"Y","-")</f>
        <v>-</v>
      </c>
      <c r="E50" s="102" t="str">
        <f>IF(AND(D50="Y",booking!D50&lt;&gt;booking!E50,booking!E50&gt;0),booking!E50,"-")</f>
        <v>-</v>
      </c>
      <c r="F50" s="84" t="str">
        <f>IFERROR(VLOOKUP(E50,Database!$A$2:$L$175,8,FALSE),"-")</f>
        <v>-</v>
      </c>
      <c r="G50" s="84" t="str">
        <f>IFERROR(VLOOKUP(E50,Database!$A$2:$L$175,6,FALSE),"-")</f>
        <v>-</v>
      </c>
      <c r="H50" s="100" t="str">
        <f>IFERROR(VLOOKUP(E50,Database!$A$2:$L$175,9,FALSE),"-")</f>
        <v>-</v>
      </c>
      <c r="I50" s="119"/>
      <c r="J50" s="103" t="str">
        <f>IF(AND(D50="Y",booking!H50&lt;&gt;booking!I50,booking!I50&gt;0),booking!I50,"-")</f>
        <v>-</v>
      </c>
      <c r="K50" s="84" t="str">
        <f>IFERROR(VLOOKUP(J50,Database!$A$2:$L$175,8,FALSE),"-")</f>
        <v>-</v>
      </c>
      <c r="L50" s="84" t="str">
        <f>IFERROR(VLOOKUP(J50,Database!$A$2:$L$175,6,FALSE),"-")</f>
        <v>-</v>
      </c>
      <c r="M50" s="100" t="str">
        <f>IFERROR(VLOOKUP(J50,Database!$A$2:$L$175,9,FALSE),"-")</f>
        <v>-</v>
      </c>
      <c r="N50" s="103" t="str">
        <f>IF(AND(D50="Y",booking!L50&lt;&gt;booking!M50,booking!M50&gt;0),booking!M50,"-")</f>
        <v>-</v>
      </c>
      <c r="O50" s="84" t="str">
        <f>IFERROR(VLOOKUP(N50,Database!$A$2:$L$175,8,FALSE),"-")</f>
        <v>-</v>
      </c>
      <c r="P50" s="84" t="str">
        <f>IFERROR(VLOOKUP(N50,Database!$A$2:$L$175,6,FALSE),"-")</f>
        <v>-</v>
      </c>
      <c r="Q50" s="88" t="str">
        <f>IFERROR(VLOOKUP(N50,Database!$A$2:$L$175,9,FALSE),"-")</f>
        <v>-</v>
      </c>
      <c r="R50" s="104" t="str">
        <f>IF(AND(D50="Y",booking!P50&lt;&gt;booking!Q50,booking!Q50&gt;0),booking!Q50,"-")</f>
        <v>-</v>
      </c>
      <c r="S50" s="84" t="str">
        <f>IFERROR(VLOOKUP(R50,Database!$A$2:$L$175,8,FALSE),"-")</f>
        <v>-</v>
      </c>
      <c r="T50" s="84" t="str">
        <f>IFERROR(VLOOKUP(R50,Database!$A$2:$L$175,6,FALSE),"-")</f>
        <v>-</v>
      </c>
      <c r="U50" s="88" t="str">
        <f>IFERROR(VLOOKUP(R50,Database!$A$2:$L$175,9,FALSE),"-")</f>
        <v>-</v>
      </c>
      <c r="V50" s="103" t="str">
        <f>IF(AND(D50="Y",booking!T50&lt;&gt;booking!U50,booking!U50&gt;0),booking!U50,"-")</f>
        <v>-</v>
      </c>
      <c r="W50" s="85" t="str">
        <f>IFERROR(VLOOKUP(V50,Database!$A$2:$L$175,8,FALSE),"-")</f>
        <v>-</v>
      </c>
      <c r="X50" s="85" t="str">
        <f>IFERROR(VLOOKUP(V50,Database!$A$2:$L$175,6,FALSE),"-")</f>
        <v>-</v>
      </c>
      <c r="Y50" s="87" t="str">
        <f>IFERROR(VLOOKUP(V50,Database!$A$2:$L$175,9,FALSE),"-")</f>
        <v>-</v>
      </c>
    </row>
    <row r="51" spans="1:25" ht="15" customHeight="1" thickBot="1" x14ac:dyDescent="0.4">
      <c r="A51" s="94" t="str">
        <f>rengøring!A51</f>
        <v>mandag</v>
      </c>
      <c r="B51" s="90">
        <f>rengøring!B51</f>
        <v>46188</v>
      </c>
      <c r="C51" s="9"/>
      <c r="D51" s="95" t="str">
        <f>IF(booking!AB51&gt;0,"Y","-")</f>
        <v>Y</v>
      </c>
      <c r="E51" s="102" t="str">
        <f>IF(AND(D51="Y",booking!D51&lt;&gt;booking!E51,booking!E51&gt;0),booking!E51,"-")</f>
        <v>-</v>
      </c>
      <c r="F51" s="84" t="str">
        <f>IFERROR(VLOOKUP(E51,Database!$A$2:$L$175,8,FALSE),"-")</f>
        <v>-</v>
      </c>
      <c r="G51" s="84" t="str">
        <f>IFERROR(VLOOKUP(E51,Database!$A$2:$L$175,6,FALSE),"-")</f>
        <v>-</v>
      </c>
      <c r="H51" s="100" t="str">
        <f>IFERROR(VLOOKUP(E51,Database!$A$2:$L$175,9,FALSE),"-")</f>
        <v>-</v>
      </c>
      <c r="I51" s="119"/>
      <c r="J51" s="103" t="str">
        <f>IF(AND(D51="Y",booking!H51&lt;&gt;booking!I51,booking!I51&gt;0),booking!I51,"-")</f>
        <v>-</v>
      </c>
      <c r="K51" s="84" t="str">
        <f>IFERROR(VLOOKUP(J51,Database!$A$2:$L$175,8,FALSE),"-")</f>
        <v>-</v>
      </c>
      <c r="L51" s="84" t="str">
        <f>IFERROR(VLOOKUP(J51,Database!$A$2:$L$175,6,FALSE),"-")</f>
        <v>-</v>
      </c>
      <c r="M51" s="100" t="str">
        <f>IFERROR(VLOOKUP(J51,Database!$A$2:$L$175,9,FALSE),"-")</f>
        <v>-</v>
      </c>
      <c r="N51" s="103" t="str">
        <f>IF(AND(D51="Y",booking!L51&lt;&gt;booking!M51,booking!M51&gt;0),booking!M51,"-")</f>
        <v>-</v>
      </c>
      <c r="O51" s="84" t="str">
        <f>IFERROR(VLOOKUP(N51,Database!$A$2:$L$175,8,FALSE),"-")</f>
        <v>-</v>
      </c>
      <c r="P51" s="84" t="str">
        <f>IFERROR(VLOOKUP(N51,Database!$A$2:$L$175,6,FALSE),"-")</f>
        <v>-</v>
      </c>
      <c r="Q51" s="88" t="str">
        <f>IFERROR(VLOOKUP(N51,Database!$A$2:$L$175,9,FALSE),"-")</f>
        <v>-</v>
      </c>
      <c r="R51" s="104">
        <f>IF(AND(D51="Y",booking!P51&lt;&gt;booking!Q51,booking!Q51&gt;0),booking!Q51,"-")</f>
        <v>70</v>
      </c>
      <c r="S51" s="84">
        <f>IFERROR(VLOOKUP(R51,Database!$A$2:$L$175,8,FALSE),"-")</f>
        <v>0</v>
      </c>
      <c r="T51" s="84" t="str">
        <f>IFERROR(VLOOKUP(R51,Database!$A$2:$L$175,6,FALSE),"-")</f>
        <v>DK</v>
      </c>
      <c r="U51" s="88">
        <f>IFERROR(VLOOKUP(R51,Database!$A$2:$L$175,9,FALSE),"-")</f>
        <v>0</v>
      </c>
      <c r="V51" s="103" t="str">
        <f>IF(AND(D51="Y",booking!T51&lt;&gt;booking!U51,booking!U51&gt;0),booking!U51,"-")</f>
        <v>-</v>
      </c>
      <c r="W51" s="85" t="str">
        <f>IFERROR(VLOOKUP(V51,Database!$A$2:$L$175,8,FALSE),"-")</f>
        <v>-</v>
      </c>
      <c r="X51" s="85" t="str">
        <f>IFERROR(VLOOKUP(V51,Database!$A$2:$L$175,6,FALSE),"-")</f>
        <v>-</v>
      </c>
      <c r="Y51" s="87" t="str">
        <f>IFERROR(VLOOKUP(V51,Database!$A$2:$L$175,9,FALSE),"-")</f>
        <v>-</v>
      </c>
    </row>
    <row r="52" spans="1:25" ht="15" customHeight="1" thickBot="1" x14ac:dyDescent="0.4">
      <c r="A52" s="94" t="str">
        <f>rengøring!A52</f>
        <v>tirsdag</v>
      </c>
      <c r="B52" s="90">
        <f>rengøring!B52</f>
        <v>46189</v>
      </c>
      <c r="C52" s="9"/>
      <c r="D52" s="95" t="str">
        <f>IF(booking!AB52&gt;0,"Y","-")</f>
        <v>-</v>
      </c>
      <c r="E52" s="102" t="str">
        <f>IF(AND(D52="Y",booking!D52&lt;&gt;booking!E52,booking!E52&gt;0),booking!E52,"-")</f>
        <v>-</v>
      </c>
      <c r="F52" s="84" t="str">
        <f>IFERROR(VLOOKUP(E52,Database!$A$2:$L$175,8,FALSE),"-")</f>
        <v>-</v>
      </c>
      <c r="G52" s="84" t="str">
        <f>IFERROR(VLOOKUP(E52,Database!$A$2:$L$175,6,FALSE),"-")</f>
        <v>-</v>
      </c>
      <c r="H52" s="100" t="str">
        <f>IFERROR(VLOOKUP(E52,Database!$A$2:$L$175,9,FALSE),"-")</f>
        <v>-</v>
      </c>
      <c r="I52" s="119"/>
      <c r="J52" s="103" t="str">
        <f>IF(AND(D52="Y",booking!H52&lt;&gt;booking!I52,booking!I52&gt;0),booking!I52,"-")</f>
        <v>-</v>
      </c>
      <c r="K52" s="84" t="str">
        <f>IFERROR(VLOOKUP(J52,Database!$A$2:$L$175,8,FALSE),"-")</f>
        <v>-</v>
      </c>
      <c r="L52" s="84" t="str">
        <f>IFERROR(VLOOKUP(J52,Database!$A$2:$L$175,6,FALSE),"-")</f>
        <v>-</v>
      </c>
      <c r="M52" s="100" t="str">
        <f>IFERROR(VLOOKUP(J52,Database!$A$2:$L$175,9,FALSE),"-")</f>
        <v>-</v>
      </c>
      <c r="N52" s="103" t="str">
        <f>IF(AND(D52="Y",booking!L52&lt;&gt;booking!M52,booking!M52&gt;0),booking!M52,"-")</f>
        <v>-</v>
      </c>
      <c r="O52" s="84" t="str">
        <f>IFERROR(VLOOKUP(N52,Database!$A$2:$L$175,8,FALSE),"-")</f>
        <v>-</v>
      </c>
      <c r="P52" s="84" t="str">
        <f>IFERROR(VLOOKUP(N52,Database!$A$2:$L$175,6,FALSE),"-")</f>
        <v>-</v>
      </c>
      <c r="Q52" s="88" t="str">
        <f>IFERROR(VLOOKUP(N52,Database!$A$2:$L$175,9,FALSE),"-")</f>
        <v>-</v>
      </c>
      <c r="R52" s="104" t="str">
        <f>IF(AND(D52="Y",booking!P52&lt;&gt;booking!Q52,booking!Q52&gt;0),booking!Q52,"-")</f>
        <v>-</v>
      </c>
      <c r="S52" s="84" t="str">
        <f>IFERROR(VLOOKUP(R52,Database!$A$2:$L$175,8,FALSE),"-")</f>
        <v>-</v>
      </c>
      <c r="T52" s="84" t="str">
        <f>IFERROR(VLOOKUP(R52,Database!$A$2:$L$175,6,FALSE),"-")</f>
        <v>-</v>
      </c>
      <c r="U52" s="88" t="str">
        <f>IFERROR(VLOOKUP(R52,Database!$A$2:$L$175,9,FALSE),"-")</f>
        <v>-</v>
      </c>
      <c r="V52" s="103" t="str">
        <f>IF(AND(D52="Y",booking!T52&lt;&gt;booking!U52,booking!U52&gt;0),booking!U52,"-")</f>
        <v>-</v>
      </c>
      <c r="W52" s="85" t="str">
        <f>IFERROR(VLOOKUP(V52,Database!$A$2:$L$175,8,FALSE),"-")</f>
        <v>-</v>
      </c>
      <c r="X52" s="85" t="str">
        <f>IFERROR(VLOOKUP(V52,Database!$A$2:$L$175,6,FALSE),"-")</f>
        <v>-</v>
      </c>
      <c r="Y52" s="87" t="str">
        <f>IFERROR(VLOOKUP(V52,Database!$A$2:$L$175,9,FALSE),"-")</f>
        <v>-</v>
      </c>
    </row>
    <row r="53" spans="1:25" ht="15" customHeight="1" thickBot="1" x14ac:dyDescent="0.4">
      <c r="A53" s="94" t="str">
        <f>rengøring!A53</f>
        <v>onsdag</v>
      </c>
      <c r="B53" s="90">
        <f>rengøring!B53</f>
        <v>46190</v>
      </c>
      <c r="C53" s="9"/>
      <c r="D53" s="95" t="str">
        <f>IF(booking!AB53&gt;0,"Y","-")</f>
        <v>Y</v>
      </c>
      <c r="E53" s="102" t="str">
        <f>IF(AND(D53="Y",booking!D53&lt;&gt;booking!E53,booking!E53&gt;0),booking!E53,"-")</f>
        <v>-</v>
      </c>
      <c r="F53" s="84" t="str">
        <f>IFERROR(VLOOKUP(E53,Database!$A$2:$L$175,8,FALSE),"-")</f>
        <v>-</v>
      </c>
      <c r="G53" s="84" t="str">
        <f>IFERROR(VLOOKUP(E53,Database!$A$2:$L$175,6,FALSE),"-")</f>
        <v>-</v>
      </c>
      <c r="H53" s="100" t="str">
        <f>IFERROR(VLOOKUP(E53,Database!$A$2:$L$175,9,FALSE),"-")</f>
        <v>-</v>
      </c>
      <c r="I53" s="119"/>
      <c r="J53" s="103" t="str">
        <f>IF(AND(D53="Y",booking!H53&lt;&gt;booking!I53,booking!I53&gt;0),booking!I53,"-")</f>
        <v>-</v>
      </c>
      <c r="K53" s="84" t="str">
        <f>IFERROR(VLOOKUP(J53,Database!$A$2:$L$175,8,FALSE),"-")</f>
        <v>-</v>
      </c>
      <c r="L53" s="84" t="str">
        <f>IFERROR(VLOOKUP(J53,Database!$A$2:$L$175,6,FALSE),"-")</f>
        <v>-</v>
      </c>
      <c r="M53" s="100" t="str">
        <f>IFERROR(VLOOKUP(J53,Database!$A$2:$L$175,9,FALSE),"-")</f>
        <v>-</v>
      </c>
      <c r="N53" s="103" t="str">
        <f>IF(AND(D53="Y",booking!L53&lt;&gt;booking!M53,booking!M53&gt;0),booking!M53,"-")</f>
        <v>-</v>
      </c>
      <c r="O53" s="84" t="str">
        <f>IFERROR(VLOOKUP(N53,Database!$A$2:$L$175,8,FALSE),"-")</f>
        <v>-</v>
      </c>
      <c r="P53" s="84" t="str">
        <f>IFERROR(VLOOKUP(N53,Database!$A$2:$L$175,6,FALSE),"-")</f>
        <v>-</v>
      </c>
      <c r="Q53" s="88" t="str">
        <f>IFERROR(VLOOKUP(N53,Database!$A$2:$L$175,9,FALSE),"-")</f>
        <v>-</v>
      </c>
      <c r="R53" s="104" t="str">
        <f>IF(AND(D53="Y",booking!P53&lt;&gt;booking!Q53,booking!Q53&gt;0),booking!Q53,"-")</f>
        <v>-</v>
      </c>
      <c r="S53" s="84" t="str">
        <f>IFERROR(VLOOKUP(R53,Database!$A$2:$L$175,8,FALSE),"-")</f>
        <v>-</v>
      </c>
      <c r="T53" s="84" t="str">
        <f>IFERROR(VLOOKUP(R53,Database!$A$2:$L$175,6,FALSE),"-")</f>
        <v>-</v>
      </c>
      <c r="U53" s="88" t="str">
        <f>IFERROR(VLOOKUP(R53,Database!$A$2:$L$175,9,FALSE),"-")</f>
        <v>-</v>
      </c>
      <c r="V53" s="103">
        <f>IF(AND(D53="Y",booking!T53&lt;&gt;booking!U53,booking!U53&gt;0),booking!U53,"-")</f>
        <v>31</v>
      </c>
      <c r="W53" s="85">
        <f>IFERROR(VLOOKUP(V53,Database!$A$2:$L$175,8,FALSE),"-")</f>
        <v>0</v>
      </c>
      <c r="X53" s="85" t="str">
        <f>IFERROR(VLOOKUP(V53,Database!$A$2:$L$175,6,FALSE),"-")</f>
        <v>DK</v>
      </c>
      <c r="Y53" s="87">
        <f>IFERROR(VLOOKUP(V53,Database!$A$2:$L$175,9,FALSE),"-")</f>
        <v>0</v>
      </c>
    </row>
    <row r="54" spans="1:25" ht="15" customHeight="1" thickBot="1" x14ac:dyDescent="0.4">
      <c r="A54" s="94" t="str">
        <f>rengøring!A54</f>
        <v>torsdag</v>
      </c>
      <c r="B54" s="90">
        <f>rengøring!B54</f>
        <v>46191</v>
      </c>
      <c r="C54" s="9"/>
      <c r="D54" s="95" t="str">
        <f>IF(booking!AB54&gt;0,"Y","-")</f>
        <v>-</v>
      </c>
      <c r="E54" s="102" t="str">
        <f>IF(AND(D54="Y",booking!D54&lt;&gt;booking!E54,booking!E54&gt;0),booking!E54,"-")</f>
        <v>-</v>
      </c>
      <c r="F54" s="84" t="str">
        <f>IFERROR(VLOOKUP(E54,Database!$A$2:$L$175,8,FALSE),"-")</f>
        <v>-</v>
      </c>
      <c r="G54" s="84" t="str">
        <f>IFERROR(VLOOKUP(E54,Database!$A$2:$L$175,6,FALSE),"-")</f>
        <v>-</v>
      </c>
      <c r="H54" s="100" t="str">
        <f>IFERROR(VLOOKUP(E54,Database!$A$2:$L$175,9,FALSE),"-")</f>
        <v>-</v>
      </c>
      <c r="I54" s="119"/>
      <c r="J54" s="103" t="str">
        <f>IF(AND(D54="Y",booking!H54&lt;&gt;booking!I54,booking!I54&gt;0),booking!I54,"-")</f>
        <v>-</v>
      </c>
      <c r="K54" s="84" t="str">
        <f>IFERROR(VLOOKUP(J54,Database!$A$2:$L$175,8,FALSE),"-")</f>
        <v>-</v>
      </c>
      <c r="L54" s="84" t="str">
        <f>IFERROR(VLOOKUP(J54,Database!$A$2:$L$175,6,FALSE),"-")</f>
        <v>-</v>
      </c>
      <c r="M54" s="100" t="str">
        <f>IFERROR(VLOOKUP(J54,Database!$A$2:$L$175,9,FALSE),"-")</f>
        <v>-</v>
      </c>
      <c r="N54" s="103" t="str">
        <f>IF(AND(D54="Y",booking!L54&lt;&gt;booking!M54,booking!M54&gt;0),booking!M54,"-")</f>
        <v>-</v>
      </c>
      <c r="O54" s="84" t="str">
        <f>IFERROR(VLOOKUP(N54,Database!$A$2:$L$175,8,FALSE),"-")</f>
        <v>-</v>
      </c>
      <c r="P54" s="84" t="str">
        <f>IFERROR(VLOOKUP(N54,Database!$A$2:$L$175,6,FALSE),"-")</f>
        <v>-</v>
      </c>
      <c r="Q54" s="88" t="str">
        <f>IFERROR(VLOOKUP(N54,Database!$A$2:$L$175,9,FALSE),"-")</f>
        <v>-</v>
      </c>
      <c r="R54" s="104" t="str">
        <f>IF(AND(D54="Y",booking!P54&lt;&gt;booking!Q54,booking!Q54&gt;0),booking!Q54,"-")</f>
        <v>-</v>
      </c>
      <c r="S54" s="84" t="str">
        <f>IFERROR(VLOOKUP(R54,Database!$A$2:$L$175,8,FALSE),"-")</f>
        <v>-</v>
      </c>
      <c r="T54" s="84" t="str">
        <f>IFERROR(VLOOKUP(R54,Database!$A$2:$L$175,6,FALSE),"-")</f>
        <v>-</v>
      </c>
      <c r="U54" s="88" t="str">
        <f>IFERROR(VLOOKUP(R54,Database!$A$2:$L$175,9,FALSE),"-")</f>
        <v>-</v>
      </c>
      <c r="V54" s="103" t="str">
        <f>IF(AND(D54="Y",booking!T54&lt;&gt;booking!U54,booking!U54&gt;0),booking!U54,"-")</f>
        <v>-</v>
      </c>
      <c r="W54" s="85" t="str">
        <f>IFERROR(VLOOKUP(V54,Database!$A$2:$L$175,8,FALSE),"-")</f>
        <v>-</v>
      </c>
      <c r="X54" s="85" t="str">
        <f>IFERROR(VLOOKUP(V54,Database!$A$2:$L$175,6,FALSE),"-")</f>
        <v>-</v>
      </c>
      <c r="Y54" s="87" t="str">
        <f>IFERROR(VLOOKUP(V54,Database!$A$2:$L$175,9,FALSE),"-")</f>
        <v>-</v>
      </c>
    </row>
    <row r="55" spans="1:25" ht="15" customHeight="1" thickBot="1" x14ac:dyDescent="0.4">
      <c r="A55" s="94" t="str">
        <f>rengøring!A55</f>
        <v>fredag</v>
      </c>
      <c r="B55" s="90">
        <f>rengøring!B55</f>
        <v>46192</v>
      </c>
      <c r="C55" s="9"/>
      <c r="D55" s="95" t="str">
        <f>IF(booking!AB55&gt;0,"Y","-")</f>
        <v>Y</v>
      </c>
      <c r="E55" s="102" t="str">
        <f>IF(AND(D55="Y",booking!D55&lt;&gt;booking!E55,booking!E55&gt;0),booking!E55,"-")</f>
        <v>-</v>
      </c>
      <c r="F55" s="84" t="str">
        <f>IFERROR(VLOOKUP(E55,Database!$A$2:$L$175,8,FALSE),"-")</f>
        <v>-</v>
      </c>
      <c r="G55" s="84" t="str">
        <f>IFERROR(VLOOKUP(E55,Database!$A$2:$L$175,6,FALSE),"-")</f>
        <v>-</v>
      </c>
      <c r="H55" s="100" t="str">
        <f>IFERROR(VLOOKUP(E55,Database!$A$2:$L$175,9,FALSE),"-")</f>
        <v>-</v>
      </c>
      <c r="I55" s="119"/>
      <c r="J55" s="103" t="str">
        <f>IF(AND(D55="Y",booking!H55&lt;&gt;booking!I55,booking!I55&gt;0),booking!I55,"-")</f>
        <v>-</v>
      </c>
      <c r="K55" s="84" t="str">
        <f>IFERROR(VLOOKUP(J55,Database!$A$2:$L$175,8,FALSE),"-")</f>
        <v>-</v>
      </c>
      <c r="L55" s="84" t="str">
        <f>IFERROR(VLOOKUP(J55,Database!$A$2:$L$175,6,FALSE),"-")</f>
        <v>-</v>
      </c>
      <c r="M55" s="100" t="str">
        <f>IFERROR(VLOOKUP(J55,Database!$A$2:$L$175,9,FALSE),"-")</f>
        <v>-</v>
      </c>
      <c r="N55" s="103">
        <f>IF(AND(D55="Y",booking!L55&lt;&gt;booking!M55,booking!M55&gt;0),booking!M55,"-")</f>
        <v>56</v>
      </c>
      <c r="O55" s="84" t="str">
        <f>IFERROR(VLOOKUP(N55,Database!$A$2:$L$175,8,FALSE),"-")</f>
        <v>2000</v>
      </c>
      <c r="P55" s="84" t="str">
        <f>IFERROR(VLOOKUP(N55,Database!$A$2:$L$175,6,FALSE),"-")</f>
        <v>DK</v>
      </c>
      <c r="Q55" s="88" t="str">
        <f>IFERROR(VLOOKUP(N55,Database!$A$2:$L$175,9,FALSE),"-")</f>
        <v>Dobb</v>
      </c>
      <c r="R55" s="104" t="str">
        <f>IF(AND(D55="Y",booking!P55&lt;&gt;booking!Q55,booking!Q55&gt;0),booking!Q55,"-")</f>
        <v>-</v>
      </c>
      <c r="S55" s="84" t="str">
        <f>IFERROR(VLOOKUP(R55,Database!$A$2:$L$175,8,FALSE),"-")</f>
        <v>-</v>
      </c>
      <c r="T55" s="84" t="str">
        <f>IFERROR(VLOOKUP(R55,Database!$A$2:$L$175,6,FALSE),"-")</f>
        <v>-</v>
      </c>
      <c r="U55" s="88" t="str">
        <f>IFERROR(VLOOKUP(R55,Database!$A$2:$L$175,9,FALSE),"-")</f>
        <v>-</v>
      </c>
      <c r="V55" s="103" t="str">
        <f>IF(AND(D55="Y",booking!T55&lt;&gt;booking!U55,booking!U55&gt;0),booking!U55,"-")</f>
        <v>-</v>
      </c>
      <c r="W55" s="85" t="str">
        <f>IFERROR(VLOOKUP(V55,Database!$A$2:$L$175,8,FALSE),"-")</f>
        <v>-</v>
      </c>
      <c r="X55" s="85" t="str">
        <f>IFERROR(VLOOKUP(V55,Database!$A$2:$L$175,6,FALSE),"-")</f>
        <v>-</v>
      </c>
      <c r="Y55" s="87" t="str">
        <f>IFERROR(VLOOKUP(V55,Database!$A$2:$L$175,9,FALSE),"-")</f>
        <v>-</v>
      </c>
    </row>
    <row r="56" spans="1:25" ht="15" customHeight="1" thickBot="1" x14ac:dyDescent="0.4">
      <c r="A56" s="94" t="str">
        <f>rengøring!A56</f>
        <v>lørdag</v>
      </c>
      <c r="B56" s="90">
        <f>rengøring!B56</f>
        <v>46193</v>
      </c>
      <c r="C56" s="9"/>
      <c r="D56" s="95" t="str">
        <f>IF(booking!AB56&gt;0,"Y","-")</f>
        <v>-</v>
      </c>
      <c r="E56" s="102" t="str">
        <f>IF(AND(D56="Y",booking!D56&lt;&gt;booking!E56,booking!E56&gt;0),booking!E56,"-")</f>
        <v>-</v>
      </c>
      <c r="F56" s="84" t="str">
        <f>IFERROR(VLOOKUP(E56,Database!$A$2:$L$175,8,FALSE),"-")</f>
        <v>-</v>
      </c>
      <c r="G56" s="84" t="str">
        <f>IFERROR(VLOOKUP(E56,Database!$A$2:$L$175,6,FALSE),"-")</f>
        <v>-</v>
      </c>
      <c r="H56" s="100" t="str">
        <f>IFERROR(VLOOKUP(E56,Database!$A$2:$L$175,9,FALSE),"-")</f>
        <v>-</v>
      </c>
      <c r="I56" s="119"/>
      <c r="J56" s="103" t="str">
        <f>IF(AND(D56="Y",booking!H56&lt;&gt;booking!I56,booking!I56&gt;0),booking!I56,"-")</f>
        <v>-</v>
      </c>
      <c r="K56" s="84" t="str">
        <f>IFERROR(VLOOKUP(J56,Database!$A$2:$L$175,8,FALSE),"-")</f>
        <v>-</v>
      </c>
      <c r="L56" s="84" t="str">
        <f>IFERROR(VLOOKUP(J56,Database!$A$2:$L$175,6,FALSE),"-")</f>
        <v>-</v>
      </c>
      <c r="M56" s="100" t="str">
        <f>IFERROR(VLOOKUP(J56,Database!$A$2:$L$175,9,FALSE),"-")</f>
        <v>-</v>
      </c>
      <c r="N56" s="103" t="str">
        <f>IF(AND(D56="Y",booking!L56&lt;&gt;booking!M56,booking!M56&gt;0),booking!M56,"-")</f>
        <v>-</v>
      </c>
      <c r="O56" s="84" t="str">
        <f>IFERROR(VLOOKUP(N56,Database!$A$2:$L$175,8,FALSE),"-")</f>
        <v>-</v>
      </c>
      <c r="P56" s="84" t="str">
        <f>IFERROR(VLOOKUP(N56,Database!$A$2:$L$175,6,FALSE),"-")</f>
        <v>-</v>
      </c>
      <c r="Q56" s="88" t="str">
        <f>IFERROR(VLOOKUP(N56,Database!$A$2:$L$175,9,FALSE),"-")</f>
        <v>-</v>
      </c>
      <c r="R56" s="104" t="str">
        <f>IF(AND(D56="Y",booking!P56&lt;&gt;booking!Q56,booking!Q56&gt;0),booking!Q56,"-")</f>
        <v>-</v>
      </c>
      <c r="S56" s="84" t="str">
        <f>IFERROR(VLOOKUP(R56,Database!$A$2:$L$175,8,FALSE),"-")</f>
        <v>-</v>
      </c>
      <c r="T56" s="84" t="str">
        <f>IFERROR(VLOOKUP(R56,Database!$A$2:$L$175,6,FALSE),"-")</f>
        <v>-</v>
      </c>
      <c r="U56" s="88" t="str">
        <f>IFERROR(VLOOKUP(R56,Database!$A$2:$L$175,9,FALSE),"-")</f>
        <v>-</v>
      </c>
      <c r="V56" s="103" t="str">
        <f>IF(AND(D56="Y",booking!T56&lt;&gt;booking!U56,booking!U56&gt;0),booking!U56,"-")</f>
        <v>-</v>
      </c>
      <c r="W56" s="85" t="str">
        <f>IFERROR(VLOOKUP(V56,Database!$A$2:$L$175,8,FALSE),"-")</f>
        <v>-</v>
      </c>
      <c r="X56" s="85" t="str">
        <f>IFERROR(VLOOKUP(V56,Database!$A$2:$L$175,6,FALSE),"-")</f>
        <v>-</v>
      </c>
      <c r="Y56" s="87" t="str">
        <f>IFERROR(VLOOKUP(V56,Database!$A$2:$L$175,9,FALSE),"-")</f>
        <v>-</v>
      </c>
    </row>
    <row r="57" spans="1:25" ht="15" customHeight="1" thickBot="1" x14ac:dyDescent="0.4">
      <c r="A57" s="94" t="str">
        <f>rengøring!A57</f>
        <v>søndag</v>
      </c>
      <c r="B57" s="90">
        <f>rengøring!B57</f>
        <v>46194</v>
      </c>
      <c r="C57" s="9"/>
      <c r="D57" s="95" t="str">
        <f>IF(booking!AB57&gt;0,"Y","-")</f>
        <v>-</v>
      </c>
      <c r="E57" s="102" t="str">
        <f>IF(AND(D57="Y",booking!D57&lt;&gt;booking!E57,booking!E57&gt;0),booking!E57,"-")</f>
        <v>-</v>
      </c>
      <c r="F57" s="84" t="str">
        <f>IFERROR(VLOOKUP(E57,Database!$A$2:$L$175,8,FALSE),"-")</f>
        <v>-</v>
      </c>
      <c r="G57" s="84" t="str">
        <f>IFERROR(VLOOKUP(E57,Database!$A$2:$L$175,6,FALSE),"-")</f>
        <v>-</v>
      </c>
      <c r="H57" s="100" t="str">
        <f>IFERROR(VLOOKUP(E57,Database!$A$2:$L$175,9,FALSE),"-")</f>
        <v>-</v>
      </c>
      <c r="I57" s="119"/>
      <c r="J57" s="103" t="str">
        <f>IF(AND(D57="Y",booking!H57&lt;&gt;booking!I57,booking!I57&gt;0),booking!I57,"-")</f>
        <v>-</v>
      </c>
      <c r="K57" s="84" t="str">
        <f>IFERROR(VLOOKUP(J57,Database!$A$2:$L$175,8,FALSE),"-")</f>
        <v>-</v>
      </c>
      <c r="L57" s="84" t="str">
        <f>IFERROR(VLOOKUP(J57,Database!$A$2:$L$175,6,FALSE),"-")</f>
        <v>-</v>
      </c>
      <c r="M57" s="100" t="str">
        <f>IFERROR(VLOOKUP(J57,Database!$A$2:$L$175,9,FALSE),"-")</f>
        <v>-</v>
      </c>
      <c r="N57" s="103" t="str">
        <f>IF(AND(D57="Y",booking!L57&lt;&gt;booking!M57,booking!M57&gt;0),booking!M57,"-")</f>
        <v>-</v>
      </c>
      <c r="O57" s="84" t="str">
        <f>IFERROR(VLOOKUP(N57,Database!$A$2:$L$175,8,FALSE),"-")</f>
        <v>-</v>
      </c>
      <c r="P57" s="84" t="str">
        <f>IFERROR(VLOOKUP(N57,Database!$A$2:$L$175,6,FALSE),"-")</f>
        <v>-</v>
      </c>
      <c r="Q57" s="88" t="str">
        <f>IFERROR(VLOOKUP(N57,Database!$A$2:$L$175,9,FALSE),"-")</f>
        <v>-</v>
      </c>
      <c r="R57" s="104" t="str">
        <f>IF(AND(D57="Y",booking!P57&lt;&gt;booking!Q57,booking!Q57&gt;0),booking!Q57,"-")</f>
        <v>-</v>
      </c>
      <c r="S57" s="84" t="str">
        <f>IFERROR(VLOOKUP(R57,Database!$A$2:$L$175,8,FALSE),"-")</f>
        <v>-</v>
      </c>
      <c r="T57" s="84" t="str">
        <f>IFERROR(VLOOKUP(R57,Database!$A$2:$L$175,6,FALSE),"-")</f>
        <v>-</v>
      </c>
      <c r="U57" s="88" t="str">
        <f>IFERROR(VLOOKUP(R57,Database!$A$2:$L$175,9,FALSE),"-")</f>
        <v>-</v>
      </c>
      <c r="V57" s="103" t="str">
        <f>IF(AND(D57="Y",booking!T57&lt;&gt;booking!U57,booking!U57&gt;0),booking!U57,"-")</f>
        <v>-</v>
      </c>
      <c r="W57" s="85" t="str">
        <f>IFERROR(VLOOKUP(V57,Database!$A$2:$L$175,8,FALSE),"-")</f>
        <v>-</v>
      </c>
      <c r="X57" s="85" t="str">
        <f>IFERROR(VLOOKUP(V57,Database!$A$2:$L$175,6,FALSE),"-")</f>
        <v>-</v>
      </c>
      <c r="Y57" s="87" t="str">
        <f>IFERROR(VLOOKUP(V57,Database!$A$2:$L$175,9,FALSE),"-")</f>
        <v>-</v>
      </c>
    </row>
    <row r="58" spans="1:25" ht="15" customHeight="1" thickBot="1" x14ac:dyDescent="0.4">
      <c r="A58" s="94" t="str">
        <f>rengøring!A58</f>
        <v>mandag</v>
      </c>
      <c r="B58" s="90">
        <f>rengøring!B58</f>
        <v>46195</v>
      </c>
      <c r="C58" s="9"/>
      <c r="D58" s="95" t="str">
        <f>IF(booking!AB58&gt;0,"Y","-")</f>
        <v>Y</v>
      </c>
      <c r="E58" s="102" t="str">
        <f>IF(AND(D58="Y",booking!D58&lt;&gt;booking!E58,booking!E58&gt;0),booking!E58,"-")</f>
        <v>-</v>
      </c>
      <c r="F58" s="84" t="str">
        <f>IFERROR(VLOOKUP(E58,Database!$A$2:$L$175,8,FALSE),"-")</f>
        <v>-</v>
      </c>
      <c r="G58" s="84" t="str">
        <f>IFERROR(VLOOKUP(E58,Database!$A$2:$L$175,6,FALSE),"-")</f>
        <v>-</v>
      </c>
      <c r="H58" s="100" t="str">
        <f>IFERROR(VLOOKUP(E58,Database!$A$2:$L$175,9,FALSE),"-")</f>
        <v>-</v>
      </c>
      <c r="I58" s="119"/>
      <c r="J58" s="103" t="str">
        <f>IF(AND(D58="Y",booking!H58&lt;&gt;booking!I58,booking!I58&gt;0),booking!I58,"-")</f>
        <v>-</v>
      </c>
      <c r="K58" s="84" t="str">
        <f>IFERROR(VLOOKUP(J58,Database!$A$2:$L$175,8,FALSE),"-")</f>
        <v>-</v>
      </c>
      <c r="L58" s="84" t="str">
        <f>IFERROR(VLOOKUP(J58,Database!$A$2:$L$175,6,FALSE),"-")</f>
        <v>-</v>
      </c>
      <c r="M58" s="100" t="str">
        <f>IFERROR(VLOOKUP(J58,Database!$A$2:$L$175,9,FALSE),"-")</f>
        <v>-</v>
      </c>
      <c r="N58" s="103" t="str">
        <f>IF(AND(D58="Y",booking!L58&lt;&gt;booking!M58,booking!M58&gt;0),booking!M58,"-")</f>
        <v>-</v>
      </c>
      <c r="O58" s="84" t="str">
        <f>IFERROR(VLOOKUP(N58,Database!$A$2:$L$175,8,FALSE),"-")</f>
        <v>-</v>
      </c>
      <c r="P58" s="84" t="str">
        <f>IFERROR(VLOOKUP(N58,Database!$A$2:$L$175,6,FALSE),"-")</f>
        <v>-</v>
      </c>
      <c r="Q58" s="88" t="str">
        <f>IFERROR(VLOOKUP(N58,Database!$A$2:$L$175,9,FALSE),"-")</f>
        <v>-</v>
      </c>
      <c r="R58" s="104">
        <f>IF(AND(D58="Y",booking!P58&lt;&gt;booking!Q58,booking!Q58&gt;0),booking!Q58,"-")</f>
        <v>37</v>
      </c>
      <c r="S58" s="84" t="str">
        <f>IFERROR(VLOOKUP(R58,Database!$A$2:$L$175,8,FALSE),"-")</f>
        <v>1430</v>
      </c>
      <c r="T58" s="84" t="str">
        <f>IFERROR(VLOOKUP(R58,Database!$A$2:$L$175,6,FALSE),"-")</f>
        <v>DK</v>
      </c>
      <c r="U58" s="88">
        <f>IFERROR(VLOOKUP(R58,Database!$A$2:$L$175,9,FALSE),"-")</f>
        <v>0</v>
      </c>
      <c r="V58" s="103" t="str">
        <f>IF(AND(D58="Y",booking!T58&lt;&gt;booking!U58,booking!U58&gt;0),booking!U58,"-")</f>
        <v>-</v>
      </c>
      <c r="W58" s="85" t="str">
        <f>IFERROR(VLOOKUP(V58,Database!$A$2:$L$175,8,FALSE),"-")</f>
        <v>-</v>
      </c>
      <c r="X58" s="85" t="str">
        <f>IFERROR(VLOOKUP(V58,Database!$A$2:$L$175,6,FALSE),"-")</f>
        <v>-</v>
      </c>
      <c r="Y58" s="87" t="str">
        <f>IFERROR(VLOOKUP(V58,Database!$A$2:$L$175,9,FALSE),"-")</f>
        <v>-</v>
      </c>
    </row>
    <row r="59" spans="1:25" ht="15" customHeight="1" thickBot="1" x14ac:dyDescent="0.4">
      <c r="A59" s="94" t="str">
        <f>rengøring!A59</f>
        <v>tirsdag</v>
      </c>
      <c r="B59" s="90">
        <f>rengøring!B59</f>
        <v>46196</v>
      </c>
      <c r="C59" s="9"/>
      <c r="D59" s="95" t="str">
        <f>IF(booking!AB59&gt;0,"Y","-")</f>
        <v>-</v>
      </c>
      <c r="E59" s="102" t="str">
        <f>IF(AND(D59="Y",booking!D59&lt;&gt;booking!E59,booking!E59&gt;0),booking!E59,"-")</f>
        <v>-</v>
      </c>
      <c r="F59" s="84" t="str">
        <f>IFERROR(VLOOKUP(E59,Database!$A$2:$L$175,8,FALSE),"-")</f>
        <v>-</v>
      </c>
      <c r="G59" s="84" t="str">
        <f>IFERROR(VLOOKUP(E59,Database!$A$2:$L$175,6,FALSE),"-")</f>
        <v>-</v>
      </c>
      <c r="H59" s="100" t="str">
        <f>IFERROR(VLOOKUP(E59,Database!$A$2:$L$175,9,FALSE),"-")</f>
        <v>-</v>
      </c>
      <c r="I59" s="119"/>
      <c r="J59" s="103" t="str">
        <f>IF(AND(D59="Y",booking!H59&lt;&gt;booking!I59,booking!I59&gt;0),booking!I59,"-")</f>
        <v>-</v>
      </c>
      <c r="K59" s="84" t="str">
        <f>IFERROR(VLOOKUP(J59,Database!$A$2:$L$175,8,FALSE),"-")</f>
        <v>-</v>
      </c>
      <c r="L59" s="84" t="str">
        <f>IFERROR(VLOOKUP(J59,Database!$A$2:$L$175,6,FALSE),"-")</f>
        <v>-</v>
      </c>
      <c r="M59" s="100" t="str">
        <f>IFERROR(VLOOKUP(J59,Database!$A$2:$L$175,9,FALSE),"-")</f>
        <v>-</v>
      </c>
      <c r="N59" s="103" t="str">
        <f>IF(AND(D59="Y",booking!L59&lt;&gt;booking!M59,booking!M59&gt;0),booking!M59,"-")</f>
        <v>-</v>
      </c>
      <c r="O59" s="84" t="str">
        <f>IFERROR(VLOOKUP(N59,Database!$A$2:$L$175,8,FALSE),"-")</f>
        <v>-</v>
      </c>
      <c r="P59" s="84" t="str">
        <f>IFERROR(VLOOKUP(N59,Database!$A$2:$L$175,6,FALSE),"-")</f>
        <v>-</v>
      </c>
      <c r="Q59" s="88" t="str">
        <f>IFERROR(VLOOKUP(N59,Database!$A$2:$L$175,9,FALSE),"-")</f>
        <v>-</v>
      </c>
      <c r="R59" s="104" t="str">
        <f>IF(AND(D59="Y",booking!P59&lt;&gt;booking!Q59,booking!Q59&gt;0),booking!Q59,"-")</f>
        <v>-</v>
      </c>
      <c r="S59" s="84" t="str">
        <f>IFERROR(VLOOKUP(R59,Database!$A$2:$L$175,8,FALSE),"-")</f>
        <v>-</v>
      </c>
      <c r="T59" s="84" t="str">
        <f>IFERROR(VLOOKUP(R59,Database!$A$2:$L$175,6,FALSE),"-")</f>
        <v>-</v>
      </c>
      <c r="U59" s="88" t="str">
        <f>IFERROR(VLOOKUP(R59,Database!$A$2:$L$175,9,FALSE),"-")</f>
        <v>-</v>
      </c>
      <c r="V59" s="103" t="str">
        <f>IF(AND(D59="Y",booking!T59&lt;&gt;booking!U59,booking!U59&gt;0),booking!U59,"-")</f>
        <v>-</v>
      </c>
      <c r="W59" s="85" t="str">
        <f>IFERROR(VLOOKUP(V59,Database!$A$2:$L$175,8,FALSE),"-")</f>
        <v>-</v>
      </c>
      <c r="X59" s="85" t="str">
        <f>IFERROR(VLOOKUP(V59,Database!$A$2:$L$175,6,FALSE),"-")</f>
        <v>-</v>
      </c>
      <c r="Y59" s="87" t="str">
        <f>IFERROR(VLOOKUP(V59,Database!$A$2:$L$175,9,FALSE),"-")</f>
        <v>-</v>
      </c>
    </row>
    <row r="60" spans="1:25" ht="15" customHeight="1" thickBot="1" x14ac:dyDescent="0.4">
      <c r="A60" s="94" t="str">
        <f>rengøring!A60</f>
        <v>onsdag</v>
      </c>
      <c r="B60" s="90">
        <f>rengøring!B60</f>
        <v>46197</v>
      </c>
      <c r="C60" s="9"/>
      <c r="D60" s="95" t="str">
        <f>IF(booking!AB60&gt;0,"Y","-")</f>
        <v>-</v>
      </c>
      <c r="E60" s="102" t="str">
        <f>IF(AND(D60="Y",booking!D60&lt;&gt;booking!E60,booking!E60&gt;0),booking!E60,"-")</f>
        <v>-</v>
      </c>
      <c r="F60" s="84" t="str">
        <f>IFERROR(VLOOKUP(E60,Database!$A$2:$L$175,8,FALSE),"-")</f>
        <v>-</v>
      </c>
      <c r="G60" s="84" t="str">
        <f>IFERROR(VLOOKUP(E60,Database!$A$2:$L$175,6,FALSE),"-")</f>
        <v>-</v>
      </c>
      <c r="H60" s="100" t="str">
        <f>IFERROR(VLOOKUP(E60,Database!$A$2:$L$175,9,FALSE),"-")</f>
        <v>-</v>
      </c>
      <c r="I60" s="119"/>
      <c r="J60" s="103" t="str">
        <f>IF(AND(D60="Y",booking!H60&lt;&gt;booking!I60,booking!I60&gt;0),booking!I60,"-")</f>
        <v>-</v>
      </c>
      <c r="K60" s="84" t="str">
        <f>IFERROR(VLOOKUP(J60,Database!$A$2:$L$175,8,FALSE),"-")</f>
        <v>-</v>
      </c>
      <c r="L60" s="84" t="str">
        <f>IFERROR(VLOOKUP(J60,Database!$A$2:$L$175,6,FALSE),"-")</f>
        <v>-</v>
      </c>
      <c r="M60" s="100" t="str">
        <f>IFERROR(VLOOKUP(J60,Database!$A$2:$L$175,9,FALSE),"-")</f>
        <v>-</v>
      </c>
      <c r="N60" s="103" t="str">
        <f>IF(AND(D60="Y",booking!L60&lt;&gt;booking!M60,booking!M60&gt;0),booking!M60,"-")</f>
        <v>-</v>
      </c>
      <c r="O60" s="84" t="str">
        <f>IFERROR(VLOOKUP(N60,Database!$A$2:$L$175,8,FALSE),"-")</f>
        <v>-</v>
      </c>
      <c r="P60" s="84" t="str">
        <f>IFERROR(VLOOKUP(N60,Database!$A$2:$L$175,6,FALSE),"-")</f>
        <v>-</v>
      </c>
      <c r="Q60" s="88" t="str">
        <f>IFERROR(VLOOKUP(N60,Database!$A$2:$L$175,9,FALSE),"-")</f>
        <v>-</v>
      </c>
      <c r="R60" s="104" t="str">
        <f>IF(AND(D60="Y",booking!P60&lt;&gt;booking!Q60,booking!Q60&gt;0),booking!Q60,"-")</f>
        <v>-</v>
      </c>
      <c r="S60" s="84" t="str">
        <f>IFERROR(VLOOKUP(R60,Database!$A$2:$L$175,8,FALSE),"-")</f>
        <v>-</v>
      </c>
      <c r="T60" s="84" t="str">
        <f>IFERROR(VLOOKUP(R60,Database!$A$2:$L$175,6,FALSE),"-")</f>
        <v>-</v>
      </c>
      <c r="U60" s="88" t="str">
        <f>IFERROR(VLOOKUP(R60,Database!$A$2:$L$175,9,FALSE),"-")</f>
        <v>-</v>
      </c>
      <c r="V60" s="103" t="str">
        <f>IF(AND(D60="Y",booking!T60&lt;&gt;booking!U60,booking!U60&gt;0),booking!U60,"-")</f>
        <v>-</v>
      </c>
      <c r="W60" s="85" t="str">
        <f>IFERROR(VLOOKUP(V60,Database!$A$2:$L$175,8,FALSE),"-")</f>
        <v>-</v>
      </c>
      <c r="X60" s="85" t="str">
        <f>IFERROR(VLOOKUP(V60,Database!$A$2:$L$175,6,FALSE),"-")</f>
        <v>-</v>
      </c>
      <c r="Y60" s="87" t="str">
        <f>IFERROR(VLOOKUP(V60,Database!$A$2:$L$175,9,FALSE),"-")</f>
        <v>-</v>
      </c>
    </row>
    <row r="61" spans="1:25" ht="15" customHeight="1" thickBot="1" x14ac:dyDescent="0.4">
      <c r="A61" s="94" t="str">
        <f>rengøring!A61</f>
        <v>torsdag</v>
      </c>
      <c r="B61" s="90">
        <f>rengøring!B61</f>
        <v>46198</v>
      </c>
      <c r="C61" s="9"/>
      <c r="D61" s="95" t="str">
        <f>IF(booking!AB61&gt;0,"Y","-")</f>
        <v>Y</v>
      </c>
      <c r="E61" s="102" t="str">
        <f>IF(AND(D61="Y",booking!D61&lt;&gt;booking!E61,booking!E61&gt;0),booking!E61,"-")</f>
        <v>-</v>
      </c>
      <c r="F61" s="84" t="str">
        <f>IFERROR(VLOOKUP(E61,Database!$A$2:$L$175,8,FALSE),"-")</f>
        <v>-</v>
      </c>
      <c r="G61" s="84" t="str">
        <f>IFERROR(VLOOKUP(E61,Database!$A$2:$L$175,6,FALSE),"-")</f>
        <v>-</v>
      </c>
      <c r="H61" s="100" t="str">
        <f>IFERROR(VLOOKUP(E61,Database!$A$2:$L$175,9,FALSE),"-")</f>
        <v>-</v>
      </c>
      <c r="I61" s="119"/>
      <c r="J61" s="103" t="str">
        <f>IF(AND(D61="Y",booking!H61&lt;&gt;booking!I61,booking!I61&gt;0),booking!I61,"-")</f>
        <v>-</v>
      </c>
      <c r="K61" s="84" t="str">
        <f>IFERROR(VLOOKUP(J61,Database!$A$2:$L$175,8,FALSE),"-")</f>
        <v>-</v>
      </c>
      <c r="L61" s="84" t="str">
        <f>IFERROR(VLOOKUP(J61,Database!$A$2:$L$175,6,FALSE),"-")</f>
        <v>-</v>
      </c>
      <c r="M61" s="100" t="str">
        <f>IFERROR(VLOOKUP(J61,Database!$A$2:$L$175,9,FALSE),"-")</f>
        <v>-</v>
      </c>
      <c r="N61" s="103">
        <f>IF(AND(D61="Y",booking!L61&lt;&gt;booking!M61,booking!M61&gt;0),booking!M61,"-")</f>
        <v>34</v>
      </c>
      <c r="O61" s="84">
        <f>IFERROR(VLOOKUP(N61,Database!$A$2:$L$175,8,FALSE),"-")</f>
        <v>0</v>
      </c>
      <c r="P61" s="84" t="str">
        <f>IFERROR(VLOOKUP(N61,Database!$A$2:$L$175,6,FALSE),"-")</f>
        <v>D</v>
      </c>
      <c r="Q61" s="88">
        <f>IFERROR(VLOOKUP(N61,Database!$A$2:$L$175,9,FALSE),"-")</f>
        <v>0</v>
      </c>
      <c r="R61" s="104">
        <f>IF(AND(D61="Y",booking!P61&lt;&gt;booking!Q61,booking!Q61&gt;0),booking!Q61,"-")</f>
        <v>64</v>
      </c>
      <c r="S61" s="84">
        <f>IFERROR(VLOOKUP(R61,Database!$A$2:$L$175,8,FALSE),"-")</f>
        <v>0</v>
      </c>
      <c r="T61" s="84" t="str">
        <f>IFERROR(VLOOKUP(R61,Database!$A$2:$L$175,6,FALSE),"-")</f>
        <v>S</v>
      </c>
      <c r="U61" s="88" t="str">
        <f>IFERROR(VLOOKUP(R61,Database!$A$2:$L$175,9,FALSE),"-")</f>
        <v>sing</v>
      </c>
      <c r="V61" s="103" t="str">
        <f>IF(AND(D61="Y",booking!T61&lt;&gt;booking!U61,booking!U61&gt;0),booking!U61,"-")</f>
        <v>-</v>
      </c>
      <c r="W61" s="85" t="str">
        <f>IFERROR(VLOOKUP(V61,Database!$A$2:$L$175,8,FALSE),"-")</f>
        <v>-</v>
      </c>
      <c r="X61" s="85" t="str">
        <f>IFERROR(VLOOKUP(V61,Database!$A$2:$L$175,6,FALSE),"-")</f>
        <v>-</v>
      </c>
      <c r="Y61" s="87" t="str">
        <f>IFERROR(VLOOKUP(V61,Database!$A$2:$L$175,9,FALSE),"-")</f>
        <v>-</v>
      </c>
    </row>
    <row r="62" spans="1:25" ht="15" customHeight="1" thickBot="1" x14ac:dyDescent="0.4">
      <c r="A62" s="94" t="str">
        <f>rengøring!A62</f>
        <v>fredag</v>
      </c>
      <c r="B62" s="90">
        <f>rengøring!B62</f>
        <v>46199</v>
      </c>
      <c r="C62" s="9"/>
      <c r="D62" s="95" t="str">
        <f>IF(booking!AB62&gt;0,"Y","-")</f>
        <v>Y</v>
      </c>
      <c r="E62" s="102" t="str">
        <f>IF(AND(D62="Y",booking!D62&lt;&gt;booking!E62,booking!E62&gt;0),booking!E62,"-")</f>
        <v>-</v>
      </c>
      <c r="F62" s="84" t="str">
        <f>IFERROR(VLOOKUP(E62,Database!$A$2:$L$175,8,FALSE),"-")</f>
        <v>-</v>
      </c>
      <c r="G62" s="84" t="str">
        <f>IFERROR(VLOOKUP(E62,Database!$A$2:$L$175,6,FALSE),"-")</f>
        <v>-</v>
      </c>
      <c r="H62" s="100" t="str">
        <f>IFERROR(VLOOKUP(E62,Database!$A$2:$L$175,9,FALSE),"-")</f>
        <v>-</v>
      </c>
      <c r="I62" s="119"/>
      <c r="J62" s="103">
        <f>IF(AND(D62="Y",booking!H62&lt;&gt;booking!I62,booking!I62&gt;0),booking!I62,"-")</f>
        <v>61</v>
      </c>
      <c r="K62" s="84" t="str">
        <f>IFERROR(VLOOKUP(J62,Database!$A$2:$L$175,8,FALSE),"-")</f>
        <v>1230</v>
      </c>
      <c r="L62" s="84" t="str">
        <f>IFERROR(VLOOKUP(J62,Database!$A$2:$L$175,6,FALSE),"-")</f>
        <v>D</v>
      </c>
      <c r="M62" s="100" t="str">
        <f>IFERROR(VLOOKUP(J62,Database!$A$2:$L$175,9,FALSE),"-")</f>
        <v>Dobb</v>
      </c>
      <c r="N62" s="103" t="str">
        <f>IF(AND(D62="Y",booking!L62&lt;&gt;booking!M62,booking!M62&gt;0),booking!M62,"-")</f>
        <v>-</v>
      </c>
      <c r="O62" s="84" t="str">
        <f>IFERROR(VLOOKUP(N62,Database!$A$2:$L$175,8,FALSE),"-")</f>
        <v>-</v>
      </c>
      <c r="P62" s="84" t="str">
        <f>IFERROR(VLOOKUP(N62,Database!$A$2:$L$175,6,FALSE),"-")</f>
        <v>-</v>
      </c>
      <c r="Q62" s="88" t="str">
        <f>IFERROR(VLOOKUP(N62,Database!$A$2:$L$175,9,FALSE),"-")</f>
        <v>-</v>
      </c>
      <c r="R62" s="104" t="str">
        <f>IF(AND(D62="Y",booking!P62&lt;&gt;booking!Q62,booking!Q62&gt;0),booking!Q62,"-")</f>
        <v>-</v>
      </c>
      <c r="S62" s="84" t="str">
        <f>IFERROR(VLOOKUP(R62,Database!$A$2:$L$175,8,FALSE),"-")</f>
        <v>-</v>
      </c>
      <c r="T62" s="84" t="str">
        <f>IFERROR(VLOOKUP(R62,Database!$A$2:$L$175,6,FALSE),"-")</f>
        <v>-</v>
      </c>
      <c r="U62" s="88" t="str">
        <f>IFERROR(VLOOKUP(R62,Database!$A$2:$L$175,9,FALSE),"-")</f>
        <v>-</v>
      </c>
      <c r="V62" s="103" t="str">
        <f>IF(AND(D62="Y",booking!T62&lt;&gt;booking!U62,booking!U62&gt;0),booking!U62,"-")</f>
        <v>-</v>
      </c>
      <c r="W62" s="85" t="str">
        <f>IFERROR(VLOOKUP(V62,Database!$A$2:$L$175,8,FALSE),"-")</f>
        <v>-</v>
      </c>
      <c r="X62" s="85" t="str">
        <f>IFERROR(VLOOKUP(V62,Database!$A$2:$L$175,6,FALSE),"-")</f>
        <v>-</v>
      </c>
      <c r="Y62" s="87" t="str">
        <f>IFERROR(VLOOKUP(V62,Database!$A$2:$L$175,9,FALSE),"-")</f>
        <v>-</v>
      </c>
    </row>
    <row r="63" spans="1:25" ht="15" customHeight="1" thickBot="1" x14ac:dyDescent="0.4">
      <c r="A63" s="94" t="str">
        <f>rengøring!A63</f>
        <v>lørdag</v>
      </c>
      <c r="B63" s="90">
        <f>rengøring!B63</f>
        <v>46200</v>
      </c>
      <c r="C63" s="9"/>
      <c r="D63" s="95" t="str">
        <f>IF(booking!AB63&gt;0,"Y","-")</f>
        <v>Y</v>
      </c>
      <c r="E63" s="102" t="str">
        <f>IF(AND(D63="Y",booking!D63&lt;&gt;booking!E63,booking!E63&gt;0),booking!E63,"-")</f>
        <v>-</v>
      </c>
      <c r="F63" s="84" t="str">
        <f>IFERROR(VLOOKUP(E63,Database!$A$2:$L$175,8,FALSE),"-")</f>
        <v>-</v>
      </c>
      <c r="G63" s="84" t="str">
        <f>IFERROR(VLOOKUP(E63,Database!$A$2:$L$175,6,FALSE),"-")</f>
        <v>-</v>
      </c>
      <c r="H63" s="100" t="str">
        <f>IFERROR(VLOOKUP(E63,Database!$A$2:$L$175,9,FALSE),"-")</f>
        <v>-</v>
      </c>
      <c r="I63" s="119"/>
      <c r="J63" s="103" t="str">
        <f>IF(AND(D63="Y",booking!H63&lt;&gt;booking!I63,booking!I63&gt;0),booking!I63,"-")</f>
        <v>-</v>
      </c>
      <c r="K63" s="84" t="str">
        <f>IFERROR(VLOOKUP(J63,Database!$A$2:$L$175,8,FALSE),"-")</f>
        <v>-</v>
      </c>
      <c r="L63" s="84" t="str">
        <f>IFERROR(VLOOKUP(J63,Database!$A$2:$L$175,6,FALSE),"-")</f>
        <v>-</v>
      </c>
      <c r="M63" s="100" t="str">
        <f>IFERROR(VLOOKUP(J63,Database!$A$2:$L$175,9,FALSE),"-")</f>
        <v>-</v>
      </c>
      <c r="N63" s="103" t="str">
        <f>IF(AND(D63="Y",booking!L63&lt;&gt;booking!M63,booking!M63&gt;0),booking!M63,"-")</f>
        <v>-</v>
      </c>
      <c r="O63" s="84" t="str">
        <f>IFERROR(VLOOKUP(N63,Database!$A$2:$L$175,8,FALSE),"-")</f>
        <v>-</v>
      </c>
      <c r="P63" s="84" t="str">
        <f>IFERROR(VLOOKUP(N63,Database!$A$2:$L$175,6,FALSE),"-")</f>
        <v>-</v>
      </c>
      <c r="Q63" s="88" t="str">
        <f>IFERROR(VLOOKUP(N63,Database!$A$2:$L$175,9,FALSE),"-")</f>
        <v>-</v>
      </c>
      <c r="R63" s="104" t="str">
        <f>IF(AND(D63="Y",booking!P63&lt;&gt;booking!Q63,booking!Q63&gt;0),booking!Q63,"-")</f>
        <v>-</v>
      </c>
      <c r="S63" s="84" t="str">
        <f>IFERROR(VLOOKUP(R63,Database!$A$2:$L$175,8,FALSE),"-")</f>
        <v>-</v>
      </c>
      <c r="T63" s="84" t="str">
        <f>IFERROR(VLOOKUP(R63,Database!$A$2:$L$175,6,FALSE),"-")</f>
        <v>-</v>
      </c>
      <c r="U63" s="88" t="str">
        <f>IFERROR(VLOOKUP(R63,Database!$A$2:$L$175,9,FALSE),"-")</f>
        <v>-</v>
      </c>
      <c r="V63" s="103">
        <f>IF(AND(D63="Y",booking!T63&lt;&gt;booking!U63,booking!U63&gt;0),booking!U63,"-")</f>
        <v>77</v>
      </c>
      <c r="W63" s="85">
        <f>IFERROR(VLOOKUP(V63,Database!$A$2:$L$175,8,FALSE),"-")</f>
        <v>0</v>
      </c>
      <c r="X63" s="85" t="str">
        <f>IFERROR(VLOOKUP(V63,Database!$A$2:$L$175,6,FALSE),"-")</f>
        <v>DK</v>
      </c>
      <c r="Y63" s="87">
        <f>IFERROR(VLOOKUP(V63,Database!$A$2:$L$175,9,FALSE),"-")</f>
        <v>0</v>
      </c>
    </row>
    <row r="64" spans="1:25" ht="15" customHeight="1" thickBot="1" x14ac:dyDescent="0.4">
      <c r="A64" s="94" t="str">
        <f>rengøring!A64</f>
        <v>søndag</v>
      </c>
      <c r="B64" s="90">
        <f>rengøring!B64</f>
        <v>46201</v>
      </c>
      <c r="C64" s="9"/>
      <c r="D64" s="95" t="str">
        <f>IF(booking!AB64&gt;0,"Y","-")</f>
        <v>Y</v>
      </c>
      <c r="E64" s="102" t="str">
        <f>IF(AND(D64="Y",booking!D64&lt;&gt;booking!E64,booking!E64&gt;0),booking!E64,"-")</f>
        <v>-</v>
      </c>
      <c r="F64" s="84" t="str">
        <f>IFERROR(VLOOKUP(E64,Database!$A$2:$L$175,8,FALSE),"-")</f>
        <v>-</v>
      </c>
      <c r="G64" s="84" t="str">
        <f>IFERROR(VLOOKUP(E64,Database!$A$2:$L$175,6,FALSE),"-")</f>
        <v>-</v>
      </c>
      <c r="H64" s="100" t="str">
        <f>IFERROR(VLOOKUP(E64,Database!$A$2:$L$175,9,FALSE),"-")</f>
        <v>-</v>
      </c>
      <c r="I64" s="119"/>
      <c r="J64" s="103" t="str">
        <f>IF(AND(D64="Y",booking!H64&lt;&gt;booking!I64,booking!I64&gt;0),booking!I64,"-")</f>
        <v>-</v>
      </c>
      <c r="K64" s="84" t="str">
        <f>IFERROR(VLOOKUP(J64,Database!$A$2:$L$175,8,FALSE),"-")</f>
        <v>-</v>
      </c>
      <c r="L64" s="84" t="str">
        <f>IFERROR(VLOOKUP(J64,Database!$A$2:$L$175,6,FALSE),"-")</f>
        <v>-</v>
      </c>
      <c r="M64" s="100" t="str">
        <f>IFERROR(VLOOKUP(J64,Database!$A$2:$L$175,9,FALSE),"-")</f>
        <v>-</v>
      </c>
      <c r="N64" s="103" t="str">
        <f>IF(AND(D64="Y",booking!L64&lt;&gt;booking!M64,booking!M64&gt;0),booking!M64,"-")</f>
        <v>-</v>
      </c>
      <c r="O64" s="84" t="str">
        <f>IFERROR(VLOOKUP(N64,Database!$A$2:$L$175,8,FALSE),"-")</f>
        <v>-</v>
      </c>
      <c r="P64" s="84" t="str">
        <f>IFERROR(VLOOKUP(N64,Database!$A$2:$L$175,6,FALSE),"-")</f>
        <v>-</v>
      </c>
      <c r="Q64" s="88" t="str">
        <f>IFERROR(VLOOKUP(N64,Database!$A$2:$L$175,9,FALSE),"-")</f>
        <v>-</v>
      </c>
      <c r="R64" s="104">
        <f>IF(AND(D64="Y",booking!P64&lt;&gt;booking!Q64,booking!Q64&gt;0),booking!Q64,"-")</f>
        <v>76</v>
      </c>
      <c r="S64" s="84">
        <f>IFERROR(VLOOKUP(R64,Database!$A$2:$L$175,8,FALSE),"-")</f>
        <v>0</v>
      </c>
      <c r="T64" s="84" t="str">
        <f>IFERROR(VLOOKUP(R64,Database!$A$2:$L$175,6,FALSE),"-")</f>
        <v>DK</v>
      </c>
      <c r="U64" s="88" t="str">
        <f>IFERROR(VLOOKUP(R64,Database!$A$2:$L$175,9,FALSE),"-")</f>
        <v>sing</v>
      </c>
      <c r="V64" s="103" t="str">
        <f>IF(AND(D64="Y",booking!T64&lt;&gt;booking!U64,booking!U64&gt;0),booking!U64,"-")</f>
        <v>-</v>
      </c>
      <c r="W64" s="85" t="str">
        <f>IFERROR(VLOOKUP(V64,Database!$A$2:$L$175,8,FALSE),"-")</f>
        <v>-</v>
      </c>
      <c r="X64" s="85" t="str">
        <f>IFERROR(VLOOKUP(V64,Database!$A$2:$L$175,6,FALSE),"-")</f>
        <v>-</v>
      </c>
      <c r="Y64" s="87" t="str">
        <f>IFERROR(VLOOKUP(V64,Database!$A$2:$L$175,9,FALSE),"-")</f>
        <v>-</v>
      </c>
    </row>
    <row r="65" spans="1:25" ht="15" customHeight="1" thickBot="1" x14ac:dyDescent="0.4">
      <c r="A65" s="94" t="str">
        <f>rengøring!A65</f>
        <v>mandag</v>
      </c>
      <c r="B65" s="90">
        <f>rengøring!B65</f>
        <v>46202</v>
      </c>
      <c r="C65" s="9"/>
      <c r="D65" s="95" t="str">
        <f>IF(booking!AB65&gt;0,"Y","-")</f>
        <v>-</v>
      </c>
      <c r="E65" s="102" t="str">
        <f>IF(AND(D65="Y",booking!D65&lt;&gt;booking!E65,booking!E65&gt;0),booking!E65,"-")</f>
        <v>-</v>
      </c>
      <c r="F65" s="84" t="str">
        <f>IFERROR(VLOOKUP(E65,Database!$A$2:$L$175,8,FALSE),"-")</f>
        <v>-</v>
      </c>
      <c r="G65" s="84" t="str">
        <f>IFERROR(VLOOKUP(E65,Database!$A$2:$L$175,6,FALSE),"-")</f>
        <v>-</v>
      </c>
      <c r="H65" s="100" t="str">
        <f>IFERROR(VLOOKUP(E65,Database!$A$2:$L$175,9,FALSE),"-")</f>
        <v>-</v>
      </c>
      <c r="I65" s="119"/>
      <c r="J65" s="103" t="str">
        <f>IF(AND(D65="Y",booking!H65&lt;&gt;booking!I65,booking!I65&gt;0),booking!I65,"-")</f>
        <v>-</v>
      </c>
      <c r="K65" s="84" t="str">
        <f>IFERROR(VLOOKUP(J65,Database!$A$2:$L$175,8,FALSE),"-")</f>
        <v>-</v>
      </c>
      <c r="L65" s="84" t="str">
        <f>IFERROR(VLOOKUP(J65,Database!$A$2:$L$175,6,FALSE),"-")</f>
        <v>-</v>
      </c>
      <c r="M65" s="100" t="str">
        <f>IFERROR(VLOOKUP(J65,Database!$A$2:$L$175,9,FALSE),"-")</f>
        <v>-</v>
      </c>
      <c r="N65" s="103" t="str">
        <f>IF(AND(D65="Y",booking!L65&lt;&gt;booking!M65,booking!M65&gt;0),booking!M65,"-")</f>
        <v>-</v>
      </c>
      <c r="O65" s="84" t="str">
        <f>IFERROR(VLOOKUP(N65,Database!$A$2:$L$175,8,FALSE),"-")</f>
        <v>-</v>
      </c>
      <c r="P65" s="84" t="str">
        <f>IFERROR(VLOOKUP(N65,Database!$A$2:$L$175,6,FALSE),"-")</f>
        <v>-</v>
      </c>
      <c r="Q65" s="88" t="str">
        <f>IFERROR(VLOOKUP(N65,Database!$A$2:$L$175,9,FALSE),"-")</f>
        <v>-</v>
      </c>
      <c r="R65" s="104" t="str">
        <f>IF(AND(D65="Y",booking!P65&lt;&gt;booking!Q65,booking!Q65&gt;0),booking!Q65,"-")</f>
        <v>-</v>
      </c>
      <c r="S65" s="84" t="str">
        <f>IFERROR(VLOOKUP(R65,Database!$A$2:$L$175,8,FALSE),"-")</f>
        <v>-</v>
      </c>
      <c r="T65" s="84" t="str">
        <f>IFERROR(VLOOKUP(R65,Database!$A$2:$L$175,6,FALSE),"-")</f>
        <v>-</v>
      </c>
      <c r="U65" s="88" t="str">
        <f>IFERROR(VLOOKUP(R65,Database!$A$2:$L$175,9,FALSE),"-")</f>
        <v>-</v>
      </c>
      <c r="V65" s="103" t="str">
        <f>IF(AND(D65="Y",booking!T65&lt;&gt;booking!U65,booking!U65&gt;0),booking!U65,"-")</f>
        <v>-</v>
      </c>
      <c r="W65" s="85" t="str">
        <f>IFERROR(VLOOKUP(V65,Database!$A$2:$L$175,8,FALSE),"-")</f>
        <v>-</v>
      </c>
      <c r="X65" s="85" t="str">
        <f>IFERROR(VLOOKUP(V65,Database!$A$2:$L$175,6,FALSE),"-")</f>
        <v>-</v>
      </c>
      <c r="Y65" s="87" t="str">
        <f>IFERROR(VLOOKUP(V65,Database!$A$2:$L$175,9,FALSE),"-")</f>
        <v>-</v>
      </c>
    </row>
    <row r="66" spans="1:25" ht="15" customHeight="1" thickBot="1" x14ac:dyDescent="0.4">
      <c r="A66" s="94" t="str">
        <f>rengøring!A66</f>
        <v>tirsdag</v>
      </c>
      <c r="B66" s="90">
        <f>rengøring!B66</f>
        <v>46203</v>
      </c>
      <c r="C66" s="9"/>
      <c r="D66" s="95" t="str">
        <f>IF(booking!AB66&gt;0,"Y","-")</f>
        <v>-</v>
      </c>
      <c r="E66" s="102" t="str">
        <f>IF(AND(D66="Y",booking!D66&lt;&gt;booking!E66,booking!E66&gt;0),booking!E66,"-")</f>
        <v>-</v>
      </c>
      <c r="F66" s="84" t="str">
        <f>IFERROR(VLOOKUP(E66,Database!$A$2:$L$175,8,FALSE),"-")</f>
        <v>-</v>
      </c>
      <c r="G66" s="84" t="str">
        <f>IFERROR(VLOOKUP(E66,Database!$A$2:$L$175,6,FALSE),"-")</f>
        <v>-</v>
      </c>
      <c r="H66" s="100" t="str">
        <f>IFERROR(VLOOKUP(E66,Database!$A$2:$L$175,9,FALSE),"-")</f>
        <v>-</v>
      </c>
      <c r="I66" s="119"/>
      <c r="J66" s="103" t="str">
        <f>IF(AND(D66="Y",booking!H66&lt;&gt;booking!I66,booking!I66&gt;0),booking!I66,"-")</f>
        <v>-</v>
      </c>
      <c r="K66" s="84" t="str">
        <f>IFERROR(VLOOKUP(J66,Database!$A$2:$L$175,8,FALSE),"-")</f>
        <v>-</v>
      </c>
      <c r="L66" s="84" t="str">
        <f>IFERROR(VLOOKUP(J66,Database!$A$2:$L$175,6,FALSE),"-")</f>
        <v>-</v>
      </c>
      <c r="M66" s="100" t="str">
        <f>IFERROR(VLOOKUP(J66,Database!$A$2:$L$175,9,FALSE),"-")</f>
        <v>-</v>
      </c>
      <c r="N66" s="103" t="str">
        <f>IF(AND(D66="Y",booking!L66&lt;&gt;booking!M66,booking!M66&gt;0),booking!M66,"-")</f>
        <v>-</v>
      </c>
      <c r="O66" s="84" t="str">
        <f>IFERROR(VLOOKUP(N66,Database!$A$2:$L$175,8,FALSE),"-")</f>
        <v>-</v>
      </c>
      <c r="P66" s="84" t="str">
        <f>IFERROR(VLOOKUP(N66,Database!$A$2:$L$175,6,FALSE),"-")</f>
        <v>-</v>
      </c>
      <c r="Q66" s="88" t="str">
        <f>IFERROR(VLOOKUP(N66,Database!$A$2:$L$175,9,FALSE),"-")</f>
        <v>-</v>
      </c>
      <c r="R66" s="104" t="str">
        <f>IF(AND(D66="Y",booking!P66&lt;&gt;booking!Q66,booking!Q66&gt;0),booking!Q66,"-")</f>
        <v>-</v>
      </c>
      <c r="S66" s="84" t="str">
        <f>IFERROR(VLOOKUP(R66,Database!$A$2:$L$175,8,FALSE),"-")</f>
        <v>-</v>
      </c>
      <c r="T66" s="84" t="str">
        <f>IFERROR(VLOOKUP(R66,Database!$A$2:$L$175,6,FALSE),"-")</f>
        <v>-</v>
      </c>
      <c r="U66" s="88" t="str">
        <f>IFERROR(VLOOKUP(R66,Database!$A$2:$L$175,9,FALSE),"-")</f>
        <v>-</v>
      </c>
      <c r="V66" s="103" t="str">
        <f>IF(AND(D66="Y",booking!T66&lt;&gt;booking!U66,booking!U66&gt;0),booking!U66,"-")</f>
        <v>-</v>
      </c>
      <c r="W66" s="85" t="str">
        <f>IFERROR(VLOOKUP(V66,Database!$A$2:$L$175,8,FALSE),"-")</f>
        <v>-</v>
      </c>
      <c r="X66" s="85" t="str">
        <f>IFERROR(VLOOKUP(V66,Database!$A$2:$L$175,6,FALSE),"-")</f>
        <v>-</v>
      </c>
      <c r="Y66" s="87" t="str">
        <f>IFERROR(VLOOKUP(V66,Database!$A$2:$L$175,9,FALSE),"-")</f>
        <v>-</v>
      </c>
    </row>
    <row r="67" spans="1:25" ht="15" customHeight="1" thickBot="1" x14ac:dyDescent="0.4">
      <c r="A67" s="94" t="str">
        <f>rengøring!A67</f>
        <v>onsdag</v>
      </c>
      <c r="B67" s="90">
        <f>rengøring!B67</f>
        <v>46204</v>
      </c>
      <c r="C67" s="9"/>
      <c r="D67" s="95" t="str">
        <f>IF(booking!AB67&gt;0,"Y","-")</f>
        <v>-</v>
      </c>
      <c r="E67" s="102" t="str">
        <f>IF(AND(D67="Y",booking!D67&lt;&gt;booking!E67,booking!E67&gt;0),booking!E67,"-")</f>
        <v>-</v>
      </c>
      <c r="F67" s="84" t="str">
        <f>IFERROR(VLOOKUP(E67,Database!$A$2:$L$175,8,FALSE),"-")</f>
        <v>-</v>
      </c>
      <c r="G67" s="84" t="str">
        <f>IFERROR(VLOOKUP(E67,Database!$A$2:$L$175,6,FALSE),"-")</f>
        <v>-</v>
      </c>
      <c r="H67" s="100" t="str">
        <f>IFERROR(VLOOKUP(E67,Database!$A$2:$L$175,9,FALSE),"-")</f>
        <v>-</v>
      </c>
      <c r="I67" s="119"/>
      <c r="J67" s="103" t="str">
        <f>IF(AND(D67="Y",booking!H67&lt;&gt;booking!I67,booking!I67&gt;0),booking!I67,"-")</f>
        <v>-</v>
      </c>
      <c r="K67" s="84" t="str">
        <f>IFERROR(VLOOKUP(J67,Database!$A$2:$L$175,8,FALSE),"-")</f>
        <v>-</v>
      </c>
      <c r="L67" s="84" t="str">
        <f>IFERROR(VLOOKUP(J67,Database!$A$2:$L$175,6,FALSE),"-")</f>
        <v>-</v>
      </c>
      <c r="M67" s="100" t="str">
        <f>IFERROR(VLOOKUP(J67,Database!$A$2:$L$175,9,FALSE),"-")</f>
        <v>-</v>
      </c>
      <c r="N67" s="103" t="str">
        <f>IF(AND(D67="Y",booking!L67&lt;&gt;booking!M67,booking!M67&gt;0),booking!M67,"-")</f>
        <v>-</v>
      </c>
      <c r="O67" s="84" t="str">
        <f>IFERROR(VLOOKUP(N67,Database!$A$2:$L$175,8,FALSE),"-")</f>
        <v>-</v>
      </c>
      <c r="P67" s="84" t="str">
        <f>IFERROR(VLOOKUP(N67,Database!$A$2:$L$175,6,FALSE),"-")</f>
        <v>-</v>
      </c>
      <c r="Q67" s="88" t="str">
        <f>IFERROR(VLOOKUP(N67,Database!$A$2:$L$175,9,FALSE),"-")</f>
        <v>-</v>
      </c>
      <c r="R67" s="104" t="str">
        <f>IF(AND(D67="Y",booking!P67&lt;&gt;booking!Q67,booking!Q67&gt;0),booking!Q67,"-")</f>
        <v>-</v>
      </c>
      <c r="S67" s="84" t="str">
        <f>IFERROR(VLOOKUP(R67,Database!$A$2:$L$175,8,FALSE),"-")</f>
        <v>-</v>
      </c>
      <c r="T67" s="84" t="str">
        <f>IFERROR(VLOOKUP(R67,Database!$A$2:$L$175,6,FALSE),"-")</f>
        <v>-</v>
      </c>
      <c r="U67" s="88" t="str">
        <f>IFERROR(VLOOKUP(R67,Database!$A$2:$L$175,9,FALSE),"-")</f>
        <v>-</v>
      </c>
      <c r="V67" s="103" t="str">
        <f>IF(AND(D67="Y",booking!T67&lt;&gt;booking!U67,booking!U67&gt;0),booking!U67,"-")</f>
        <v>-</v>
      </c>
      <c r="W67" s="85" t="str">
        <f>IFERROR(VLOOKUP(V67,Database!$A$2:$L$175,8,FALSE),"-")</f>
        <v>-</v>
      </c>
      <c r="X67" s="85" t="str">
        <f>IFERROR(VLOOKUP(V67,Database!$A$2:$L$175,6,FALSE),"-")</f>
        <v>-</v>
      </c>
      <c r="Y67" s="87" t="str">
        <f>IFERROR(VLOOKUP(V67,Database!$A$2:$L$175,9,FALSE),"-")</f>
        <v>-</v>
      </c>
    </row>
    <row r="68" spans="1:25" ht="15" customHeight="1" thickBot="1" x14ac:dyDescent="0.4">
      <c r="A68" s="94" t="str">
        <f>rengøring!A68</f>
        <v>torsdag</v>
      </c>
      <c r="B68" s="90">
        <f>rengøring!B68</f>
        <v>46205</v>
      </c>
      <c r="C68" s="9"/>
      <c r="D68" s="95" t="str">
        <f>IF(booking!AB68&gt;0,"Y","-")</f>
        <v>Y</v>
      </c>
      <c r="E68" s="102">
        <f>IF(AND(D68="Y",booking!D68&lt;&gt;booking!E68,booking!E68&gt;0),booking!E68,"-")</f>
        <v>24</v>
      </c>
      <c r="F68" s="84">
        <f>IFERROR(VLOOKUP(E68,Database!$A$2:$L$175,8,FALSE),"-")</f>
        <v>0</v>
      </c>
      <c r="G68" s="84" t="str">
        <f>IFERROR(VLOOKUP(E68,Database!$A$2:$L$175,6,FALSE),"-")</f>
        <v>S</v>
      </c>
      <c r="H68" s="100">
        <f>IFERROR(VLOOKUP(E68,Database!$A$2:$L$175,9,FALSE),"-")</f>
        <v>0</v>
      </c>
      <c r="I68" s="119"/>
      <c r="J68" s="103" t="str">
        <f>IF(AND(D68="Y",booking!H68&lt;&gt;booking!I68,booking!I68&gt;0),booking!I68,"-")</f>
        <v>-</v>
      </c>
      <c r="K68" s="84" t="str">
        <f>IFERROR(VLOOKUP(J68,Database!$A$2:$L$175,8,FALSE),"-")</f>
        <v>-</v>
      </c>
      <c r="L68" s="84" t="str">
        <f>IFERROR(VLOOKUP(J68,Database!$A$2:$L$175,6,FALSE),"-")</f>
        <v>-</v>
      </c>
      <c r="M68" s="100" t="str">
        <f>IFERROR(VLOOKUP(J68,Database!$A$2:$L$175,9,FALSE),"-")</f>
        <v>-</v>
      </c>
      <c r="N68" s="103" t="str">
        <f>IF(AND(D68="Y",booking!L68&lt;&gt;booking!M68,booking!M68&gt;0),booking!M68,"-")</f>
        <v>-</v>
      </c>
      <c r="O68" s="84" t="str">
        <f>IFERROR(VLOOKUP(N68,Database!$A$2:$L$175,8,FALSE),"-")</f>
        <v>-</v>
      </c>
      <c r="P68" s="84" t="str">
        <f>IFERROR(VLOOKUP(N68,Database!$A$2:$L$175,6,FALSE),"-")</f>
        <v>-</v>
      </c>
      <c r="Q68" s="88" t="str">
        <f>IFERROR(VLOOKUP(N68,Database!$A$2:$L$175,9,FALSE),"-")</f>
        <v>-</v>
      </c>
      <c r="R68" s="104" t="str">
        <f>IF(AND(D68="Y",booking!P68&lt;&gt;booking!Q68,booking!Q68&gt;0),booking!Q68,"-")</f>
        <v>-</v>
      </c>
      <c r="S68" s="84" t="str">
        <f>IFERROR(VLOOKUP(R68,Database!$A$2:$L$175,8,FALSE),"-")</f>
        <v>-</v>
      </c>
      <c r="T68" s="84" t="str">
        <f>IFERROR(VLOOKUP(R68,Database!$A$2:$L$175,6,FALSE),"-")</f>
        <v>-</v>
      </c>
      <c r="U68" s="88" t="str">
        <f>IFERROR(VLOOKUP(R68,Database!$A$2:$L$175,9,FALSE),"-")</f>
        <v>-</v>
      </c>
      <c r="V68" s="103" t="str">
        <f>IF(AND(D68="Y",booking!T68&lt;&gt;booking!U68,booking!U68&gt;0),booking!U68,"-")</f>
        <v>-</v>
      </c>
      <c r="W68" s="85" t="str">
        <f>IFERROR(VLOOKUP(V68,Database!$A$2:$L$175,8,FALSE),"-")</f>
        <v>-</v>
      </c>
      <c r="X68" s="85" t="str">
        <f>IFERROR(VLOOKUP(V68,Database!$A$2:$L$175,6,FALSE),"-")</f>
        <v>-</v>
      </c>
      <c r="Y68" s="87" t="str">
        <f>IFERROR(VLOOKUP(V68,Database!$A$2:$L$175,9,FALSE),"-")</f>
        <v>-</v>
      </c>
    </row>
    <row r="69" spans="1:25" ht="15" customHeight="1" thickBot="1" x14ac:dyDescent="0.4">
      <c r="A69" s="94" t="str">
        <f>rengøring!A69</f>
        <v>fredag</v>
      </c>
      <c r="B69" s="90">
        <f>rengøring!B69</f>
        <v>46206</v>
      </c>
      <c r="C69" s="9"/>
      <c r="D69" s="95" t="str">
        <f>IF(booking!AB69&gt;0,"Y","-")</f>
        <v>Y</v>
      </c>
      <c r="E69" s="102" t="str">
        <f>IF(AND(D69="Y",booking!D69&lt;&gt;booking!E69,booking!E69&gt;0),booking!E69,"-")</f>
        <v>-</v>
      </c>
      <c r="F69" s="84" t="str">
        <f>IFERROR(VLOOKUP(E69,Database!$A$2:$L$175,8,FALSE),"-")</f>
        <v>-</v>
      </c>
      <c r="G69" s="84" t="str">
        <f>IFERROR(VLOOKUP(E69,Database!$A$2:$L$175,6,FALSE),"-")</f>
        <v>-</v>
      </c>
      <c r="H69" s="100" t="str">
        <f>IFERROR(VLOOKUP(E69,Database!$A$2:$L$175,9,FALSE),"-")</f>
        <v>-</v>
      </c>
      <c r="I69" s="119"/>
      <c r="J69" s="103" t="str">
        <f>IF(AND(D69="Y",booking!H69&lt;&gt;booking!I69,booking!I69&gt;0),booking!I69,"-")</f>
        <v>-</v>
      </c>
      <c r="K69" s="84" t="str">
        <f>IFERROR(VLOOKUP(J69,Database!$A$2:$L$175,8,FALSE),"-")</f>
        <v>-</v>
      </c>
      <c r="L69" s="84" t="str">
        <f>IFERROR(VLOOKUP(J69,Database!$A$2:$L$175,6,FALSE),"-")</f>
        <v>-</v>
      </c>
      <c r="M69" s="100" t="str">
        <f>IFERROR(VLOOKUP(J69,Database!$A$2:$L$175,9,FALSE),"-")</f>
        <v>-</v>
      </c>
      <c r="N69" s="103" t="str">
        <f>IF(AND(D69="Y",booking!L69&lt;&gt;booking!M69,booking!M69&gt;0),booking!M69,"-")</f>
        <v>-</v>
      </c>
      <c r="O69" s="84" t="str">
        <f>IFERROR(VLOOKUP(N69,Database!$A$2:$L$175,8,FALSE),"-")</f>
        <v>-</v>
      </c>
      <c r="P69" s="84" t="str">
        <f>IFERROR(VLOOKUP(N69,Database!$A$2:$L$175,6,FALSE),"-")</f>
        <v>-</v>
      </c>
      <c r="Q69" s="88" t="str">
        <f>IFERROR(VLOOKUP(N69,Database!$A$2:$L$175,9,FALSE),"-")</f>
        <v>-</v>
      </c>
      <c r="R69" s="104">
        <f>IF(AND(D69="Y",booking!P69&lt;&gt;booking!Q69,booking!Q69&gt;0),booking!Q69,"-")</f>
        <v>14</v>
      </c>
      <c r="S69" s="84">
        <f>IFERROR(VLOOKUP(R69,Database!$A$2:$L$175,8,FALSE),"-")</f>
        <v>0</v>
      </c>
      <c r="T69" s="84" t="str">
        <f>IFERROR(VLOOKUP(R69,Database!$A$2:$L$175,6,FALSE),"-")</f>
        <v>DK</v>
      </c>
      <c r="U69" s="88">
        <f>IFERROR(VLOOKUP(R69,Database!$A$2:$L$175,9,FALSE),"-")</f>
        <v>0</v>
      </c>
      <c r="V69" s="103" t="str">
        <f>IF(AND(D69="Y",booking!T69&lt;&gt;booking!U69,booking!U69&gt;0),booking!U69,"-")</f>
        <v>-</v>
      </c>
      <c r="W69" s="85" t="str">
        <f>IFERROR(VLOOKUP(V69,Database!$A$2:$L$175,8,FALSE),"-")</f>
        <v>-</v>
      </c>
      <c r="X69" s="85" t="str">
        <f>IFERROR(VLOOKUP(V69,Database!$A$2:$L$175,6,FALSE),"-")</f>
        <v>-</v>
      </c>
      <c r="Y69" s="87" t="str">
        <f>IFERROR(VLOOKUP(V69,Database!$A$2:$L$175,9,FALSE),"-")</f>
        <v>-</v>
      </c>
    </row>
    <row r="70" spans="1:25" ht="15" customHeight="1" thickBot="1" x14ac:dyDescent="0.4">
      <c r="A70" s="94" t="str">
        <f>rengøring!A70</f>
        <v>lørdag</v>
      </c>
      <c r="B70" s="90">
        <f>rengøring!B70</f>
        <v>46207</v>
      </c>
      <c r="C70" s="9"/>
      <c r="D70" s="95" t="str">
        <f>IF(booking!AB70&gt;0,"Y","-")</f>
        <v>Y</v>
      </c>
      <c r="E70" s="102" t="str">
        <f>IF(AND(D70="Y",booking!D70&lt;&gt;booking!E70,booking!E70&gt;0),booking!E70,"-")</f>
        <v>-</v>
      </c>
      <c r="F70" s="84" t="str">
        <f>IFERROR(VLOOKUP(E70,Database!$A$2:$L$175,8,FALSE),"-")</f>
        <v>-</v>
      </c>
      <c r="G70" s="84" t="str">
        <f>IFERROR(VLOOKUP(E70,Database!$A$2:$L$175,6,FALSE),"-")</f>
        <v>-</v>
      </c>
      <c r="H70" s="100" t="str">
        <f>IFERROR(VLOOKUP(E70,Database!$A$2:$L$175,9,FALSE),"-")</f>
        <v>-</v>
      </c>
      <c r="I70" s="119"/>
      <c r="J70" s="103" t="str">
        <f>IF(AND(D70="Y",booking!H70&lt;&gt;booking!I70,booking!I70&gt;0),booking!I70,"-")</f>
        <v>-</v>
      </c>
      <c r="K70" s="84" t="str">
        <f>IFERROR(VLOOKUP(J70,Database!$A$2:$L$175,8,FALSE),"-")</f>
        <v>-</v>
      </c>
      <c r="L70" s="84" t="str">
        <f>IFERROR(VLOOKUP(J70,Database!$A$2:$L$175,6,FALSE),"-")</f>
        <v>-</v>
      </c>
      <c r="M70" s="100" t="str">
        <f>IFERROR(VLOOKUP(J70,Database!$A$2:$L$175,9,FALSE),"-")</f>
        <v>-</v>
      </c>
      <c r="N70" s="103" t="str">
        <f>IF(AND(D70="Y",booking!L70&lt;&gt;booking!M70,booking!M70&gt;0),booking!M70,"-")</f>
        <v>-</v>
      </c>
      <c r="O70" s="84" t="str">
        <f>IFERROR(VLOOKUP(N70,Database!$A$2:$L$175,8,FALSE),"-")</f>
        <v>-</v>
      </c>
      <c r="P70" s="84" t="str">
        <f>IFERROR(VLOOKUP(N70,Database!$A$2:$L$175,6,FALSE),"-")</f>
        <v>-</v>
      </c>
      <c r="Q70" s="88" t="str">
        <f>IFERROR(VLOOKUP(N70,Database!$A$2:$L$175,9,FALSE),"-")</f>
        <v>-</v>
      </c>
      <c r="R70" s="104" t="str">
        <f>IF(AND(D70="Y",booking!P70&lt;&gt;booking!Q70,booking!Q70&gt;0),booking!Q70,"-")</f>
        <v>-</v>
      </c>
      <c r="S70" s="84" t="str">
        <f>IFERROR(VLOOKUP(R70,Database!$A$2:$L$175,8,FALSE),"-")</f>
        <v>-</v>
      </c>
      <c r="T70" s="84" t="str">
        <f>IFERROR(VLOOKUP(R70,Database!$A$2:$L$175,6,FALSE),"-")</f>
        <v>-</v>
      </c>
      <c r="U70" s="88" t="str">
        <f>IFERROR(VLOOKUP(R70,Database!$A$2:$L$175,9,FALSE),"-")</f>
        <v>-</v>
      </c>
      <c r="V70" s="103">
        <f>IF(AND(D70="Y",booking!T70&lt;&gt;booking!U70,booking!U70&gt;0),booking!U70,"-")</f>
        <v>7</v>
      </c>
      <c r="W70" s="85">
        <f>IFERROR(VLOOKUP(V70,Database!$A$2:$L$175,8,FALSE),"-")</f>
        <v>0</v>
      </c>
      <c r="X70" s="85" t="str">
        <f>IFERROR(VLOOKUP(V70,Database!$A$2:$L$175,6,FALSE),"-")</f>
        <v>DK</v>
      </c>
      <c r="Y70" s="87">
        <f>IFERROR(VLOOKUP(V70,Database!$A$2:$L$175,9,FALSE),"-")</f>
        <v>0</v>
      </c>
    </row>
    <row r="71" spans="1:25" ht="15" customHeight="1" thickBot="1" x14ac:dyDescent="0.4">
      <c r="A71" s="94" t="str">
        <f>rengøring!A71</f>
        <v>søndag</v>
      </c>
      <c r="B71" s="90">
        <f>rengøring!B71</f>
        <v>46208</v>
      </c>
      <c r="C71" s="9"/>
      <c r="D71" s="95" t="str">
        <f>IF(booking!AB71&gt;0,"Y","-")</f>
        <v>-</v>
      </c>
      <c r="E71" s="102" t="str">
        <f>IF(AND(D71="Y",booking!D71&lt;&gt;booking!E71,booking!E71&gt;0),booking!E71,"-")</f>
        <v>-</v>
      </c>
      <c r="F71" s="84" t="str">
        <f>IFERROR(VLOOKUP(E71,Database!$A$2:$L$175,8,FALSE),"-")</f>
        <v>-</v>
      </c>
      <c r="G71" s="84" t="str">
        <f>IFERROR(VLOOKUP(E71,Database!$A$2:$L$175,6,FALSE),"-")</f>
        <v>-</v>
      </c>
      <c r="H71" s="100" t="str">
        <f>IFERROR(VLOOKUP(E71,Database!$A$2:$L$175,9,FALSE),"-")</f>
        <v>-</v>
      </c>
      <c r="I71" s="119"/>
      <c r="J71" s="103" t="str">
        <f>IF(AND(D71="Y",booking!H71&lt;&gt;booking!I71,booking!I71&gt;0),booking!I71,"-")</f>
        <v>-</v>
      </c>
      <c r="K71" s="84" t="str">
        <f>IFERROR(VLOOKUP(J71,Database!$A$2:$L$175,8,FALSE),"-")</f>
        <v>-</v>
      </c>
      <c r="L71" s="84" t="str">
        <f>IFERROR(VLOOKUP(J71,Database!$A$2:$L$175,6,FALSE),"-")</f>
        <v>-</v>
      </c>
      <c r="M71" s="100" t="str">
        <f>IFERROR(VLOOKUP(J71,Database!$A$2:$L$175,9,FALSE),"-")</f>
        <v>-</v>
      </c>
      <c r="N71" s="103" t="str">
        <f>IF(AND(D71="Y",booking!L71&lt;&gt;booking!M71,booking!M71&gt;0),booking!M71,"-")</f>
        <v>-</v>
      </c>
      <c r="O71" s="84" t="str">
        <f>IFERROR(VLOOKUP(N71,Database!$A$2:$L$175,8,FALSE),"-")</f>
        <v>-</v>
      </c>
      <c r="P71" s="84" t="str">
        <f>IFERROR(VLOOKUP(N71,Database!$A$2:$L$175,6,FALSE),"-")</f>
        <v>-</v>
      </c>
      <c r="Q71" s="88" t="str">
        <f>IFERROR(VLOOKUP(N71,Database!$A$2:$L$175,9,FALSE),"-")</f>
        <v>-</v>
      </c>
      <c r="R71" s="104" t="str">
        <f>IF(AND(D71="Y",booking!P71&lt;&gt;booking!Q71,booking!Q71&gt;0),booking!Q71,"-")</f>
        <v>-</v>
      </c>
      <c r="S71" s="84" t="str">
        <f>IFERROR(VLOOKUP(R71,Database!$A$2:$L$175,8,FALSE),"-")</f>
        <v>-</v>
      </c>
      <c r="T71" s="84" t="str">
        <f>IFERROR(VLOOKUP(R71,Database!$A$2:$L$175,6,FALSE),"-")</f>
        <v>-</v>
      </c>
      <c r="U71" s="88" t="str">
        <f>IFERROR(VLOOKUP(R71,Database!$A$2:$L$175,9,FALSE),"-")</f>
        <v>-</v>
      </c>
      <c r="V71" s="103" t="str">
        <f>IF(AND(D71="Y",booking!T71&lt;&gt;booking!U71,booking!U71&gt;0),booking!U71,"-")</f>
        <v>-</v>
      </c>
      <c r="W71" s="85" t="str">
        <f>IFERROR(VLOOKUP(V71,Database!$A$2:$L$175,8,FALSE),"-")</f>
        <v>-</v>
      </c>
      <c r="X71" s="85" t="str">
        <f>IFERROR(VLOOKUP(V71,Database!$A$2:$L$175,6,FALSE),"-")</f>
        <v>-</v>
      </c>
      <c r="Y71" s="87" t="str">
        <f>IFERROR(VLOOKUP(V71,Database!$A$2:$L$175,9,FALSE),"-")</f>
        <v>-</v>
      </c>
    </row>
    <row r="72" spans="1:25" ht="15" customHeight="1" thickBot="1" x14ac:dyDescent="0.4">
      <c r="A72" s="94" t="str">
        <f>rengøring!A72</f>
        <v>mandag</v>
      </c>
      <c r="B72" s="90">
        <f>rengøring!B72</f>
        <v>46209</v>
      </c>
      <c r="C72" s="9"/>
      <c r="D72" s="95" t="str">
        <f>IF(booking!AB72&gt;0,"Y","-")</f>
        <v>Y</v>
      </c>
      <c r="E72" s="102">
        <f>IF(AND(D72="Y",booking!D72&lt;&gt;booking!E72,booking!E72&gt;0),booking!E72,"-")</f>
        <v>36</v>
      </c>
      <c r="F72" s="84">
        <f>IFERROR(VLOOKUP(E72,Database!$A$2:$L$175,8,FALSE),"-")</f>
        <v>0</v>
      </c>
      <c r="G72" s="84" t="str">
        <f>IFERROR(VLOOKUP(E72,Database!$A$2:$L$175,6,FALSE),"-")</f>
        <v>DK</v>
      </c>
      <c r="H72" s="100">
        <f>IFERROR(VLOOKUP(E72,Database!$A$2:$L$175,9,FALSE),"-")</f>
        <v>0</v>
      </c>
      <c r="I72" s="119"/>
      <c r="J72" s="103" t="str">
        <f>IF(AND(D72="Y",booking!H72&lt;&gt;booking!I72,booking!I72&gt;0),booking!I72,"-")</f>
        <v>-</v>
      </c>
      <c r="K72" s="84" t="str">
        <f>IFERROR(VLOOKUP(J72,Database!$A$2:$L$175,8,FALSE),"-")</f>
        <v>-</v>
      </c>
      <c r="L72" s="84" t="str">
        <f>IFERROR(VLOOKUP(J72,Database!$A$2:$L$175,6,FALSE),"-")</f>
        <v>-</v>
      </c>
      <c r="M72" s="100" t="str">
        <f>IFERROR(VLOOKUP(J72,Database!$A$2:$L$175,9,FALSE),"-")</f>
        <v>-</v>
      </c>
      <c r="N72" s="103">
        <f>IF(AND(D72="Y",booking!L72&lt;&gt;booking!M72,booking!M72&gt;0),booking!M72,"-")</f>
        <v>36</v>
      </c>
      <c r="O72" s="84">
        <f>IFERROR(VLOOKUP(N72,Database!$A$2:$L$175,8,FALSE),"-")</f>
        <v>0</v>
      </c>
      <c r="P72" s="84" t="str">
        <f>IFERROR(VLOOKUP(N72,Database!$A$2:$L$175,6,FALSE),"-")</f>
        <v>DK</v>
      </c>
      <c r="Q72" s="88">
        <f>IFERROR(VLOOKUP(N72,Database!$A$2:$L$175,9,FALSE),"-")</f>
        <v>0</v>
      </c>
      <c r="R72" s="104" t="str">
        <f>IF(AND(D72="Y",booking!P72&lt;&gt;booking!Q72,booking!Q72&gt;0),booking!Q72,"-")</f>
        <v>-</v>
      </c>
      <c r="S72" s="84" t="str">
        <f>IFERROR(VLOOKUP(R72,Database!$A$2:$L$175,8,FALSE),"-")</f>
        <v>-</v>
      </c>
      <c r="T72" s="84" t="str">
        <f>IFERROR(VLOOKUP(R72,Database!$A$2:$L$175,6,FALSE),"-")</f>
        <v>-</v>
      </c>
      <c r="U72" s="88" t="str">
        <f>IFERROR(VLOOKUP(R72,Database!$A$2:$L$175,9,FALSE),"-")</f>
        <v>-</v>
      </c>
      <c r="V72" s="103" t="str">
        <f>IF(AND(D72="Y",booking!T72&lt;&gt;booking!U72,booking!U72&gt;0),booking!U72,"-")</f>
        <v>-</v>
      </c>
      <c r="W72" s="85" t="str">
        <f>IFERROR(VLOOKUP(V72,Database!$A$2:$L$175,8,FALSE),"-")</f>
        <v>-</v>
      </c>
      <c r="X72" s="85" t="str">
        <f>IFERROR(VLOOKUP(V72,Database!$A$2:$L$175,6,FALSE),"-")</f>
        <v>-</v>
      </c>
      <c r="Y72" s="87" t="str">
        <f>IFERROR(VLOOKUP(V72,Database!$A$2:$L$175,9,FALSE),"-")</f>
        <v>-</v>
      </c>
    </row>
    <row r="73" spans="1:25" ht="15" customHeight="1" thickBot="1" x14ac:dyDescent="0.4">
      <c r="A73" s="94" t="str">
        <f>rengøring!A73</f>
        <v>tirsdag</v>
      </c>
      <c r="B73" s="90">
        <f>rengøring!B73</f>
        <v>46210</v>
      </c>
      <c r="C73" s="9"/>
      <c r="D73" s="95" t="str">
        <f>IF(booking!AB73&gt;0,"Y","-")</f>
        <v>-</v>
      </c>
      <c r="E73" s="102" t="str">
        <f>IF(AND(D73="Y",booking!D73&lt;&gt;booking!E73,booking!E73&gt;0),booking!E73,"-")</f>
        <v>-</v>
      </c>
      <c r="F73" s="84" t="str">
        <f>IFERROR(VLOOKUP(E73,Database!$A$2:$L$175,8,FALSE),"-")</f>
        <v>-</v>
      </c>
      <c r="G73" s="84" t="str">
        <f>IFERROR(VLOOKUP(E73,Database!$A$2:$L$175,6,FALSE),"-")</f>
        <v>-</v>
      </c>
      <c r="H73" s="100" t="str">
        <f>IFERROR(VLOOKUP(E73,Database!$A$2:$L$175,9,FALSE),"-")</f>
        <v>-</v>
      </c>
      <c r="I73" s="119"/>
      <c r="J73" s="103" t="str">
        <f>IF(AND(D73="Y",booking!H73&lt;&gt;booking!I73,booking!I73&gt;0),booking!I73,"-")</f>
        <v>-</v>
      </c>
      <c r="K73" s="84" t="str">
        <f>IFERROR(VLOOKUP(J73,Database!$A$2:$L$175,8,FALSE),"-")</f>
        <v>-</v>
      </c>
      <c r="L73" s="84" t="str">
        <f>IFERROR(VLOOKUP(J73,Database!$A$2:$L$175,6,FALSE),"-")</f>
        <v>-</v>
      </c>
      <c r="M73" s="100" t="str">
        <f>IFERROR(VLOOKUP(J73,Database!$A$2:$L$175,9,FALSE),"-")</f>
        <v>-</v>
      </c>
      <c r="N73" s="103" t="str">
        <f>IF(AND(D73="Y",booking!L73&lt;&gt;booking!M73,booking!M73&gt;0),booking!M73,"-")</f>
        <v>-</v>
      </c>
      <c r="O73" s="84" t="str">
        <f>IFERROR(VLOOKUP(N73,Database!$A$2:$L$175,8,FALSE),"-")</f>
        <v>-</v>
      </c>
      <c r="P73" s="84" t="str">
        <f>IFERROR(VLOOKUP(N73,Database!$A$2:$L$175,6,FALSE),"-")</f>
        <v>-</v>
      </c>
      <c r="Q73" s="88" t="str">
        <f>IFERROR(VLOOKUP(N73,Database!$A$2:$L$175,9,FALSE),"-")</f>
        <v>-</v>
      </c>
      <c r="R73" s="104" t="str">
        <f>IF(AND(D73="Y",booking!P73&lt;&gt;booking!Q73,booking!Q73&gt;0),booking!Q73,"-")</f>
        <v>-</v>
      </c>
      <c r="S73" s="84" t="str">
        <f>IFERROR(VLOOKUP(R73,Database!$A$2:$L$175,8,FALSE),"-")</f>
        <v>-</v>
      </c>
      <c r="T73" s="84" t="str">
        <f>IFERROR(VLOOKUP(R73,Database!$A$2:$L$175,6,FALSE),"-")</f>
        <v>-</v>
      </c>
      <c r="U73" s="88" t="str">
        <f>IFERROR(VLOOKUP(R73,Database!$A$2:$L$175,9,FALSE),"-")</f>
        <v>-</v>
      </c>
      <c r="V73" s="103" t="str">
        <f>IF(AND(D73="Y",booking!T73&lt;&gt;booking!U73,booking!U73&gt;0),booking!U73,"-")</f>
        <v>-</v>
      </c>
      <c r="W73" s="85" t="str">
        <f>IFERROR(VLOOKUP(V73,Database!$A$2:$L$175,8,FALSE),"-")</f>
        <v>-</v>
      </c>
      <c r="X73" s="85" t="str">
        <f>IFERROR(VLOOKUP(V73,Database!$A$2:$L$175,6,FALSE),"-")</f>
        <v>-</v>
      </c>
      <c r="Y73" s="87" t="str">
        <f>IFERROR(VLOOKUP(V73,Database!$A$2:$L$175,9,FALSE),"-")</f>
        <v>-</v>
      </c>
    </row>
    <row r="74" spans="1:25" ht="15" customHeight="1" thickBot="1" x14ac:dyDescent="0.4">
      <c r="A74" s="94" t="str">
        <f>rengøring!A74</f>
        <v>onsdag</v>
      </c>
      <c r="B74" s="90">
        <f>rengøring!B74</f>
        <v>46211</v>
      </c>
      <c r="C74" s="9"/>
      <c r="D74" s="95" t="str">
        <f>IF(booking!AB74&gt;0,"Y","-")</f>
        <v>Y</v>
      </c>
      <c r="E74" s="102" t="str">
        <f>IF(AND(D74="Y",booking!D74&lt;&gt;booking!E74,booking!E74&gt;0),booking!E74,"-")</f>
        <v>-</v>
      </c>
      <c r="F74" s="84" t="str">
        <f>IFERROR(VLOOKUP(E74,Database!$A$2:$L$175,8,FALSE),"-")</f>
        <v>-</v>
      </c>
      <c r="G74" s="84" t="str">
        <f>IFERROR(VLOOKUP(E74,Database!$A$2:$L$175,6,FALSE),"-")</f>
        <v>-</v>
      </c>
      <c r="H74" s="100" t="str">
        <f>IFERROR(VLOOKUP(E74,Database!$A$2:$L$175,9,FALSE),"-")</f>
        <v>-</v>
      </c>
      <c r="I74" s="119"/>
      <c r="J74" s="103">
        <f>IF(AND(D74="Y",booking!H74&lt;&gt;booking!I74,booking!I74&gt;0),booking!I74,"-")</f>
        <v>13</v>
      </c>
      <c r="K74" s="84">
        <f>IFERROR(VLOOKUP(J74,Database!$A$2:$L$175,8,FALSE),"-")</f>
        <v>0</v>
      </c>
      <c r="L74" s="84" t="str">
        <f>IFERROR(VLOOKUP(J74,Database!$A$2:$L$175,6,FALSE),"-")</f>
        <v>DK</v>
      </c>
      <c r="M74" s="100">
        <f>IFERROR(VLOOKUP(J74,Database!$A$2:$L$175,9,FALSE),"-")</f>
        <v>0</v>
      </c>
      <c r="N74" s="103" t="str">
        <f>IF(AND(D74="Y",booking!L74&lt;&gt;booking!M74,booking!M74&gt;0),booking!M74,"-")</f>
        <v>-</v>
      </c>
      <c r="O74" s="84" t="str">
        <f>IFERROR(VLOOKUP(N74,Database!$A$2:$L$175,8,FALSE),"-")</f>
        <v>-</v>
      </c>
      <c r="P74" s="84" t="str">
        <f>IFERROR(VLOOKUP(N74,Database!$A$2:$L$175,6,FALSE),"-")</f>
        <v>-</v>
      </c>
      <c r="Q74" s="88" t="str">
        <f>IFERROR(VLOOKUP(N74,Database!$A$2:$L$175,9,FALSE),"-")</f>
        <v>-</v>
      </c>
      <c r="R74" s="104" t="str">
        <f>IF(AND(D74="Y",booking!P74&lt;&gt;booking!Q74,booking!Q74&gt;0),booking!Q74,"-")</f>
        <v>-</v>
      </c>
      <c r="S74" s="84" t="str">
        <f>IFERROR(VLOOKUP(R74,Database!$A$2:$L$175,8,FALSE),"-")</f>
        <v>-</v>
      </c>
      <c r="T74" s="84" t="str">
        <f>IFERROR(VLOOKUP(R74,Database!$A$2:$L$175,6,FALSE),"-")</f>
        <v>-</v>
      </c>
      <c r="U74" s="88" t="str">
        <f>IFERROR(VLOOKUP(R74,Database!$A$2:$L$175,9,FALSE),"-")</f>
        <v>-</v>
      </c>
      <c r="V74" s="103" t="str">
        <f>IF(AND(D74="Y",booking!T74&lt;&gt;booking!U74,booking!U74&gt;0),booking!U74,"-")</f>
        <v>-</v>
      </c>
      <c r="W74" s="85" t="str">
        <f>IFERROR(VLOOKUP(V74,Database!$A$2:$L$175,8,FALSE),"-")</f>
        <v>-</v>
      </c>
      <c r="X74" s="85" t="str">
        <f>IFERROR(VLOOKUP(V74,Database!$A$2:$L$175,6,FALSE),"-")</f>
        <v>-</v>
      </c>
      <c r="Y74" s="87" t="str">
        <f>IFERROR(VLOOKUP(V74,Database!$A$2:$L$175,9,FALSE),"-")</f>
        <v>-</v>
      </c>
    </row>
    <row r="75" spans="1:25" ht="15" customHeight="1" thickBot="1" x14ac:dyDescent="0.4">
      <c r="A75" s="94" t="str">
        <f>rengøring!A75</f>
        <v>torsdag</v>
      </c>
      <c r="B75" s="90">
        <f>rengøring!B75</f>
        <v>46212</v>
      </c>
      <c r="C75" s="9"/>
      <c r="D75" s="95" t="str">
        <f>IF(booking!AB75&gt;0,"Y","-")</f>
        <v>Y</v>
      </c>
      <c r="E75" s="102">
        <f>IF(AND(D75="Y",booking!D75&lt;&gt;booking!E75,booking!E75&gt;0),booking!E75,"-")</f>
        <v>69</v>
      </c>
      <c r="F75" s="84">
        <f>IFERROR(VLOOKUP(E75,Database!$A$2:$L$175,8,FALSE),"-")</f>
        <v>0</v>
      </c>
      <c r="G75" s="84" t="str">
        <f>IFERROR(VLOOKUP(E75,Database!$A$2:$L$175,6,FALSE),"-")</f>
        <v>DK</v>
      </c>
      <c r="H75" s="100">
        <f>IFERROR(VLOOKUP(E75,Database!$A$2:$L$175,9,FALSE),"-")</f>
        <v>0</v>
      </c>
      <c r="I75" s="119"/>
      <c r="J75" s="103" t="str">
        <f>IF(AND(D75="Y",booking!H75&lt;&gt;booking!I75,booking!I75&gt;0),booking!I75,"-")</f>
        <v>-</v>
      </c>
      <c r="K75" s="84" t="str">
        <f>IFERROR(VLOOKUP(J75,Database!$A$2:$L$175,8,FALSE),"-")</f>
        <v>-</v>
      </c>
      <c r="L75" s="84" t="str">
        <f>IFERROR(VLOOKUP(J75,Database!$A$2:$L$175,6,FALSE),"-")</f>
        <v>-</v>
      </c>
      <c r="M75" s="100" t="str">
        <f>IFERROR(VLOOKUP(J75,Database!$A$2:$L$175,9,FALSE),"-")</f>
        <v>-</v>
      </c>
      <c r="N75" s="103" t="str">
        <f>IF(AND(D75="Y",booking!L75&lt;&gt;booking!M75,booking!M75&gt;0),booking!M75,"-")</f>
        <v>-</v>
      </c>
      <c r="O75" s="84" t="str">
        <f>IFERROR(VLOOKUP(N75,Database!$A$2:$L$175,8,FALSE),"-")</f>
        <v>-</v>
      </c>
      <c r="P75" s="84" t="str">
        <f>IFERROR(VLOOKUP(N75,Database!$A$2:$L$175,6,FALSE),"-")</f>
        <v>-</v>
      </c>
      <c r="Q75" s="88" t="str">
        <f>IFERROR(VLOOKUP(N75,Database!$A$2:$L$175,9,FALSE),"-")</f>
        <v>-</v>
      </c>
      <c r="R75" s="104" t="str">
        <f>IF(AND(D75="Y",booking!P75&lt;&gt;booking!Q75,booking!Q75&gt;0),booking!Q75,"-")</f>
        <v>-</v>
      </c>
      <c r="S75" s="84" t="str">
        <f>IFERROR(VLOOKUP(R75,Database!$A$2:$L$175,8,FALSE),"-")</f>
        <v>-</v>
      </c>
      <c r="T75" s="84" t="str">
        <f>IFERROR(VLOOKUP(R75,Database!$A$2:$L$175,6,FALSE),"-")</f>
        <v>-</v>
      </c>
      <c r="U75" s="88" t="str">
        <f>IFERROR(VLOOKUP(R75,Database!$A$2:$L$175,9,FALSE),"-")</f>
        <v>-</v>
      </c>
      <c r="V75" s="103" t="str">
        <f>IF(AND(D75="Y",booking!T75&lt;&gt;booking!U75,booking!U75&gt;0),booking!U75,"-")</f>
        <v>-</v>
      </c>
      <c r="W75" s="85" t="str">
        <f>IFERROR(VLOOKUP(V75,Database!$A$2:$L$175,8,FALSE),"-")</f>
        <v>-</v>
      </c>
      <c r="X75" s="85" t="str">
        <f>IFERROR(VLOOKUP(V75,Database!$A$2:$L$175,6,FALSE),"-")</f>
        <v>-</v>
      </c>
      <c r="Y75" s="87" t="str">
        <f>IFERROR(VLOOKUP(V75,Database!$A$2:$L$175,9,FALSE),"-")</f>
        <v>-</v>
      </c>
    </row>
    <row r="76" spans="1:25" ht="15" customHeight="1" thickBot="1" x14ac:dyDescent="0.4">
      <c r="A76" s="94" t="str">
        <f>rengøring!A76</f>
        <v>fredag</v>
      </c>
      <c r="B76" s="90">
        <f>rengøring!B76</f>
        <v>46213</v>
      </c>
      <c r="C76" s="9"/>
      <c r="D76" s="95" t="str">
        <f>IF(booking!AB76&gt;0,"Y","-")</f>
        <v>-</v>
      </c>
      <c r="E76" s="102" t="str">
        <f>IF(AND(D76="Y",booking!D76&lt;&gt;booking!E76,booking!E76&gt;0),booking!E76,"-")</f>
        <v>-</v>
      </c>
      <c r="F76" s="84" t="str">
        <f>IFERROR(VLOOKUP(E76,Database!$A$2:$L$175,8,FALSE),"-")</f>
        <v>-</v>
      </c>
      <c r="G76" s="84" t="str">
        <f>IFERROR(VLOOKUP(E76,Database!$A$2:$L$175,6,FALSE),"-")</f>
        <v>-</v>
      </c>
      <c r="H76" s="100" t="str">
        <f>IFERROR(VLOOKUP(E76,Database!$A$2:$L$175,9,FALSE),"-")</f>
        <v>-</v>
      </c>
      <c r="I76" s="119"/>
      <c r="J76" s="103" t="str">
        <f>IF(AND(D76="Y",booking!H76&lt;&gt;booking!I76,booking!I76&gt;0),booking!I76,"-")</f>
        <v>-</v>
      </c>
      <c r="K76" s="84" t="str">
        <f>IFERROR(VLOOKUP(J76,Database!$A$2:$L$175,8,FALSE),"-")</f>
        <v>-</v>
      </c>
      <c r="L76" s="84" t="str">
        <f>IFERROR(VLOOKUP(J76,Database!$A$2:$L$175,6,FALSE),"-")</f>
        <v>-</v>
      </c>
      <c r="M76" s="100" t="str">
        <f>IFERROR(VLOOKUP(J76,Database!$A$2:$L$175,9,FALSE),"-")</f>
        <v>-</v>
      </c>
      <c r="N76" s="103" t="str">
        <f>IF(AND(D76="Y",booking!L76&lt;&gt;booking!M76,booking!M76&gt;0),booking!M76,"-")</f>
        <v>-</v>
      </c>
      <c r="O76" s="84" t="str">
        <f>IFERROR(VLOOKUP(N76,Database!$A$2:$L$175,8,FALSE),"-")</f>
        <v>-</v>
      </c>
      <c r="P76" s="84" t="str">
        <f>IFERROR(VLOOKUP(N76,Database!$A$2:$L$175,6,FALSE),"-")</f>
        <v>-</v>
      </c>
      <c r="Q76" s="88" t="str">
        <f>IFERROR(VLOOKUP(N76,Database!$A$2:$L$175,9,FALSE),"-")</f>
        <v>-</v>
      </c>
      <c r="R76" s="104" t="str">
        <f>IF(AND(D76="Y",booking!P76&lt;&gt;booking!Q76,booking!Q76&gt;0),booking!Q76,"-")</f>
        <v>-</v>
      </c>
      <c r="S76" s="84" t="str">
        <f>IFERROR(VLOOKUP(R76,Database!$A$2:$L$175,8,FALSE),"-")</f>
        <v>-</v>
      </c>
      <c r="T76" s="84" t="str">
        <f>IFERROR(VLOOKUP(R76,Database!$A$2:$L$175,6,FALSE),"-")</f>
        <v>-</v>
      </c>
      <c r="U76" s="88" t="str">
        <f>IFERROR(VLOOKUP(R76,Database!$A$2:$L$175,9,FALSE),"-")</f>
        <v>-</v>
      </c>
      <c r="V76" s="103" t="str">
        <f>IF(AND(D76="Y",booking!T76&lt;&gt;booking!U76,booking!U76&gt;0),booking!U76,"-")</f>
        <v>-</v>
      </c>
      <c r="W76" s="85" t="str">
        <f>IFERROR(VLOOKUP(V76,Database!$A$2:$L$175,8,FALSE),"-")</f>
        <v>-</v>
      </c>
      <c r="X76" s="85" t="str">
        <f>IFERROR(VLOOKUP(V76,Database!$A$2:$L$175,6,FALSE),"-")</f>
        <v>-</v>
      </c>
      <c r="Y76" s="87" t="str">
        <f>IFERROR(VLOOKUP(V76,Database!$A$2:$L$175,9,FALSE),"-")</f>
        <v>-</v>
      </c>
    </row>
    <row r="77" spans="1:25" ht="15" customHeight="1" thickBot="1" x14ac:dyDescent="0.4">
      <c r="A77" s="94" t="str">
        <f>rengøring!A77</f>
        <v>lørdag</v>
      </c>
      <c r="B77" s="90">
        <f>rengøring!B77</f>
        <v>46214</v>
      </c>
      <c r="C77" s="9"/>
      <c r="D77" s="95" t="str">
        <f>IF(booking!AB77&gt;0,"Y","-")</f>
        <v>Y</v>
      </c>
      <c r="E77" s="102" t="str">
        <f>IF(AND(D77="Y",booking!D77&lt;&gt;booking!E77,booking!E77&gt;0),booking!E77,"-")</f>
        <v>-</v>
      </c>
      <c r="F77" s="84" t="str">
        <f>IFERROR(VLOOKUP(E77,Database!$A$2:$L$175,8,FALSE),"-")</f>
        <v>-</v>
      </c>
      <c r="G77" s="84" t="str">
        <f>IFERROR(VLOOKUP(E77,Database!$A$2:$L$175,6,FALSE),"-")</f>
        <v>-</v>
      </c>
      <c r="H77" s="100" t="str">
        <f>IFERROR(VLOOKUP(E77,Database!$A$2:$L$175,9,FALSE),"-")</f>
        <v>-</v>
      </c>
      <c r="I77" s="119"/>
      <c r="J77" s="103" t="str">
        <f>IF(AND(D77="Y",booking!H77&lt;&gt;booking!I77,booking!I77&gt;0),booking!I77,"-")</f>
        <v>-</v>
      </c>
      <c r="K77" s="84" t="str">
        <f>IFERROR(VLOOKUP(J77,Database!$A$2:$L$175,8,FALSE),"-")</f>
        <v>-</v>
      </c>
      <c r="L77" s="84" t="str">
        <f>IFERROR(VLOOKUP(J77,Database!$A$2:$L$175,6,FALSE),"-")</f>
        <v>-</v>
      </c>
      <c r="M77" s="100" t="str">
        <f>IFERROR(VLOOKUP(J77,Database!$A$2:$L$175,9,FALSE),"-")</f>
        <v>-</v>
      </c>
      <c r="N77" s="103" t="str">
        <f>IF(AND(D77="Y",booking!L77&lt;&gt;booking!M77,booking!M77&gt;0),booking!M77,"-")</f>
        <v>-</v>
      </c>
      <c r="O77" s="84" t="str">
        <f>IFERROR(VLOOKUP(N77,Database!$A$2:$L$175,8,FALSE),"-")</f>
        <v>-</v>
      </c>
      <c r="P77" s="84" t="str">
        <f>IFERROR(VLOOKUP(N77,Database!$A$2:$L$175,6,FALSE),"-")</f>
        <v>-</v>
      </c>
      <c r="Q77" s="88" t="str">
        <f>IFERROR(VLOOKUP(N77,Database!$A$2:$L$175,9,FALSE),"-")</f>
        <v>-</v>
      </c>
      <c r="R77" s="104">
        <f>IF(AND(D77="Y",booking!P77&lt;&gt;booking!Q77,booking!Q77&gt;0),booking!Q77,"-")</f>
        <v>66</v>
      </c>
      <c r="S77" s="84">
        <f>IFERROR(VLOOKUP(R77,Database!$A$2:$L$175,8,FALSE),"-")</f>
        <v>0</v>
      </c>
      <c r="T77" s="84" t="str">
        <f>IFERROR(VLOOKUP(R77,Database!$A$2:$L$175,6,FALSE),"-")</f>
        <v>DK</v>
      </c>
      <c r="U77" s="88">
        <f>IFERROR(VLOOKUP(R77,Database!$A$2:$L$175,9,FALSE),"-")</f>
        <v>0</v>
      </c>
      <c r="V77" s="103">
        <f>IF(AND(D77="Y",booking!T77&lt;&gt;booking!U77,booking!U77&gt;0),booking!U77,"-")</f>
        <v>62</v>
      </c>
      <c r="W77" s="85">
        <f>IFERROR(VLOOKUP(V77,Database!$A$2:$L$175,8,FALSE),"-")</f>
        <v>0</v>
      </c>
      <c r="X77" s="85" t="str">
        <f>IFERROR(VLOOKUP(V77,Database!$A$2:$L$175,6,FALSE),"-")</f>
        <v>DK</v>
      </c>
      <c r="Y77" s="87" t="str">
        <f>IFERROR(VLOOKUP(V77,Database!$A$2:$L$175,9,FALSE),"-")</f>
        <v>Dobb</v>
      </c>
    </row>
    <row r="78" spans="1:25" ht="15" customHeight="1" thickBot="1" x14ac:dyDescent="0.4">
      <c r="A78" s="94" t="str">
        <f>rengøring!A78</f>
        <v>søndag</v>
      </c>
      <c r="B78" s="90">
        <f>rengøring!B78</f>
        <v>46215</v>
      </c>
      <c r="C78" s="9"/>
      <c r="D78" s="95" t="str">
        <f>IF(booking!AB78&gt;0,"Y","-")</f>
        <v>Y</v>
      </c>
      <c r="E78" s="102">
        <f>IF(AND(D78="Y",booking!D78&lt;&gt;booking!E78,booking!E78&gt;0),booking!E78,"-")</f>
        <v>19</v>
      </c>
      <c r="F78" s="84">
        <f>IFERROR(VLOOKUP(E78,Database!$A$2:$L$175,8,FALSE),"-")</f>
        <v>0</v>
      </c>
      <c r="G78" s="84" t="str">
        <f>IFERROR(VLOOKUP(E78,Database!$A$2:$L$175,6,FALSE),"-")</f>
        <v>DK</v>
      </c>
      <c r="H78" s="100" t="str">
        <f>IFERROR(VLOOKUP(E78,Database!$A$2:$L$175,9,FALSE),"-")</f>
        <v>sing</v>
      </c>
      <c r="I78" s="119"/>
      <c r="J78" s="103" t="str">
        <f>IF(AND(D78="Y",booking!H78&lt;&gt;booking!I78,booking!I78&gt;0),booking!I78,"-")</f>
        <v>-</v>
      </c>
      <c r="K78" s="84" t="str">
        <f>IFERROR(VLOOKUP(J78,Database!$A$2:$L$175,8,FALSE),"-")</f>
        <v>-</v>
      </c>
      <c r="L78" s="84" t="str">
        <f>IFERROR(VLOOKUP(J78,Database!$A$2:$L$175,6,FALSE),"-")</f>
        <v>-</v>
      </c>
      <c r="M78" s="100" t="str">
        <f>IFERROR(VLOOKUP(J78,Database!$A$2:$L$175,9,FALSE),"-")</f>
        <v>-</v>
      </c>
      <c r="N78" s="103" t="str">
        <f>IF(AND(D78="Y",booking!L78&lt;&gt;booking!M78,booking!M78&gt;0),booking!M78,"-")</f>
        <v>-</v>
      </c>
      <c r="O78" s="84" t="str">
        <f>IFERROR(VLOOKUP(N78,Database!$A$2:$L$175,8,FALSE),"-")</f>
        <v>-</v>
      </c>
      <c r="P78" s="84" t="str">
        <f>IFERROR(VLOOKUP(N78,Database!$A$2:$L$175,6,FALSE),"-")</f>
        <v>-</v>
      </c>
      <c r="Q78" s="88" t="str">
        <f>IFERROR(VLOOKUP(N78,Database!$A$2:$L$175,9,FALSE),"-")</f>
        <v>-</v>
      </c>
      <c r="R78" s="104" t="str">
        <f>IF(AND(D78="Y",booking!P78&lt;&gt;booking!Q78,booking!Q78&gt;0),booking!Q78,"-")</f>
        <v>-</v>
      </c>
      <c r="S78" s="84" t="str">
        <f>IFERROR(VLOOKUP(R78,Database!$A$2:$L$175,8,FALSE),"-")</f>
        <v>-</v>
      </c>
      <c r="T78" s="84" t="str">
        <f>IFERROR(VLOOKUP(R78,Database!$A$2:$L$175,6,FALSE),"-")</f>
        <v>-</v>
      </c>
      <c r="U78" s="88" t="str">
        <f>IFERROR(VLOOKUP(R78,Database!$A$2:$L$175,9,FALSE),"-")</f>
        <v>-</v>
      </c>
      <c r="V78" s="103" t="str">
        <f>IF(AND(D78="Y",booking!T78&lt;&gt;booking!U78,booking!U78&gt;0),booking!U78,"-")</f>
        <v>-</v>
      </c>
      <c r="W78" s="85" t="str">
        <f>IFERROR(VLOOKUP(V78,Database!$A$2:$L$175,8,FALSE),"-")</f>
        <v>-</v>
      </c>
      <c r="X78" s="85" t="str">
        <f>IFERROR(VLOOKUP(V78,Database!$A$2:$L$175,6,FALSE),"-")</f>
        <v>-</v>
      </c>
      <c r="Y78" s="87" t="str">
        <f>IFERROR(VLOOKUP(V78,Database!$A$2:$L$175,9,FALSE),"-")</f>
        <v>-</v>
      </c>
    </row>
    <row r="79" spans="1:25" ht="15" customHeight="1" thickBot="1" x14ac:dyDescent="0.4">
      <c r="A79" s="94" t="str">
        <f>rengøring!A79</f>
        <v>mandag</v>
      </c>
      <c r="B79" s="90">
        <f>rengøring!B79</f>
        <v>46216</v>
      </c>
      <c r="C79" s="9"/>
      <c r="D79" s="95" t="str">
        <f>IF(booking!AB79&gt;0,"Y","-")</f>
        <v>Y</v>
      </c>
      <c r="E79" s="102" t="str">
        <f>IF(AND(D79="Y",booking!D79&lt;&gt;booking!E79,booking!E79&gt;0),booking!E79,"-")</f>
        <v>-</v>
      </c>
      <c r="F79" s="84" t="str">
        <f>IFERROR(VLOOKUP(E79,Database!$A$2:$L$175,8,FALSE),"-")</f>
        <v>-</v>
      </c>
      <c r="G79" s="84" t="str">
        <f>IFERROR(VLOOKUP(E79,Database!$A$2:$L$175,6,FALSE),"-")</f>
        <v>-</v>
      </c>
      <c r="H79" s="100" t="str">
        <f>IFERROR(VLOOKUP(E79,Database!$A$2:$L$175,9,FALSE),"-")</f>
        <v>-</v>
      </c>
      <c r="I79" s="119"/>
      <c r="J79" s="103" t="str">
        <f>IF(AND(D79="Y",booking!H79&lt;&gt;booking!I79,booking!I79&gt;0),booking!I79,"-")</f>
        <v>-</v>
      </c>
      <c r="K79" s="84" t="str">
        <f>IFERROR(VLOOKUP(J79,Database!$A$2:$L$175,8,FALSE),"-")</f>
        <v>-</v>
      </c>
      <c r="L79" s="84" t="str">
        <f>IFERROR(VLOOKUP(J79,Database!$A$2:$L$175,6,FALSE),"-")</f>
        <v>-</v>
      </c>
      <c r="M79" s="100" t="str">
        <f>IFERROR(VLOOKUP(J79,Database!$A$2:$L$175,9,FALSE),"-")</f>
        <v>-</v>
      </c>
      <c r="N79" s="103">
        <f>IF(AND(D79="Y",booking!L79&lt;&gt;booking!M79,booking!M79&gt;0),booking!M79,"-")</f>
        <v>43</v>
      </c>
      <c r="O79" s="84" t="str">
        <f>IFERROR(VLOOKUP(N79,Database!$A$2:$L$175,8,FALSE),"-")</f>
        <v>1430</v>
      </c>
      <c r="P79" s="84" t="str">
        <f>IFERROR(VLOOKUP(N79,Database!$A$2:$L$175,6,FALSE),"-")</f>
        <v>DK</v>
      </c>
      <c r="Q79" s="88" t="str">
        <f>IFERROR(VLOOKUP(N79,Database!$A$2:$L$175,9,FALSE),"-")</f>
        <v>db + opr</v>
      </c>
      <c r="R79" s="104" t="str">
        <f>IF(AND(D79="Y",booking!P79&lt;&gt;booking!Q79,booking!Q79&gt;0),booking!Q79,"-")</f>
        <v>-</v>
      </c>
      <c r="S79" s="84" t="str">
        <f>IFERROR(VLOOKUP(R79,Database!$A$2:$L$175,8,FALSE),"-")</f>
        <v>-</v>
      </c>
      <c r="T79" s="84" t="str">
        <f>IFERROR(VLOOKUP(R79,Database!$A$2:$L$175,6,FALSE),"-")</f>
        <v>-</v>
      </c>
      <c r="U79" s="88" t="str">
        <f>IFERROR(VLOOKUP(R79,Database!$A$2:$L$175,9,FALSE),"-")</f>
        <v>-</v>
      </c>
      <c r="V79" s="103" t="str">
        <f>IF(AND(D79="Y",booking!T79&lt;&gt;booking!U79,booking!U79&gt;0),booking!U79,"-")</f>
        <v>-</v>
      </c>
      <c r="W79" s="85" t="str">
        <f>IFERROR(VLOOKUP(V79,Database!$A$2:$L$175,8,FALSE),"-")</f>
        <v>-</v>
      </c>
      <c r="X79" s="85" t="str">
        <f>IFERROR(VLOOKUP(V79,Database!$A$2:$L$175,6,FALSE),"-")</f>
        <v>-</v>
      </c>
      <c r="Y79" s="87" t="str">
        <f>IFERROR(VLOOKUP(V79,Database!$A$2:$L$175,9,FALSE),"-")</f>
        <v>-</v>
      </c>
    </row>
    <row r="80" spans="1:25" ht="15" customHeight="1" thickBot="1" x14ac:dyDescent="0.4">
      <c r="A80" s="94" t="str">
        <f>rengøring!A80</f>
        <v>tirsdag</v>
      </c>
      <c r="B80" s="90">
        <f>rengøring!B80</f>
        <v>46217</v>
      </c>
      <c r="C80" s="9"/>
      <c r="D80" s="95" t="str">
        <f>IF(booking!AB80&gt;0,"Y","-")</f>
        <v>-</v>
      </c>
      <c r="E80" s="102" t="str">
        <f>IF(AND(D80="Y",booking!D80&lt;&gt;booking!E80,booking!E80&gt;0),booking!E80,"-")</f>
        <v>-</v>
      </c>
      <c r="F80" s="84" t="str">
        <f>IFERROR(VLOOKUP(E80,Database!$A$2:$L$175,8,FALSE),"-")</f>
        <v>-</v>
      </c>
      <c r="G80" s="84" t="str">
        <f>IFERROR(VLOOKUP(E80,Database!$A$2:$L$175,6,FALSE),"-")</f>
        <v>-</v>
      </c>
      <c r="H80" s="100" t="str">
        <f>IFERROR(VLOOKUP(E80,Database!$A$2:$L$175,9,FALSE),"-")</f>
        <v>-</v>
      </c>
      <c r="I80" s="119"/>
      <c r="J80" s="103" t="str">
        <f>IF(AND(D80="Y",booking!H80&lt;&gt;booking!I80,booking!I80&gt;0),booking!I80,"-")</f>
        <v>-</v>
      </c>
      <c r="K80" s="84" t="str">
        <f>IFERROR(VLOOKUP(J80,Database!$A$2:$L$175,8,FALSE),"-")</f>
        <v>-</v>
      </c>
      <c r="L80" s="84" t="str">
        <f>IFERROR(VLOOKUP(J80,Database!$A$2:$L$175,6,FALSE),"-")</f>
        <v>-</v>
      </c>
      <c r="M80" s="100" t="str">
        <f>IFERROR(VLOOKUP(J80,Database!$A$2:$L$175,9,FALSE),"-")</f>
        <v>-</v>
      </c>
      <c r="N80" s="103" t="str">
        <f>IF(AND(D80="Y",booking!L80&lt;&gt;booking!M80,booking!M80&gt;0),booking!M80,"-")</f>
        <v>-</v>
      </c>
      <c r="O80" s="84" t="str">
        <f>IFERROR(VLOOKUP(N80,Database!$A$2:$L$175,8,FALSE),"-")</f>
        <v>-</v>
      </c>
      <c r="P80" s="84" t="str">
        <f>IFERROR(VLOOKUP(N80,Database!$A$2:$L$175,6,FALSE),"-")</f>
        <v>-</v>
      </c>
      <c r="Q80" s="88" t="str">
        <f>IFERROR(VLOOKUP(N80,Database!$A$2:$L$175,9,FALSE),"-")</f>
        <v>-</v>
      </c>
      <c r="R80" s="104" t="str">
        <f>IF(AND(D80="Y",booking!P80&lt;&gt;booking!Q80,booking!Q80&gt;0),booking!Q80,"-")</f>
        <v>-</v>
      </c>
      <c r="S80" s="84" t="str">
        <f>IFERROR(VLOOKUP(R80,Database!$A$2:$L$175,8,FALSE),"-")</f>
        <v>-</v>
      </c>
      <c r="T80" s="84" t="str">
        <f>IFERROR(VLOOKUP(R80,Database!$A$2:$L$175,6,FALSE),"-")</f>
        <v>-</v>
      </c>
      <c r="U80" s="88" t="str">
        <f>IFERROR(VLOOKUP(R80,Database!$A$2:$L$175,9,FALSE),"-")</f>
        <v>-</v>
      </c>
      <c r="V80" s="103" t="str">
        <f>IF(AND(D80="Y",booking!T80&lt;&gt;booking!U80,booking!U80&gt;0),booking!U80,"-")</f>
        <v>-</v>
      </c>
      <c r="W80" s="85" t="str">
        <f>IFERROR(VLOOKUP(V80,Database!$A$2:$L$175,8,FALSE),"-")</f>
        <v>-</v>
      </c>
      <c r="X80" s="85" t="str">
        <f>IFERROR(VLOOKUP(V80,Database!$A$2:$L$175,6,FALSE),"-")</f>
        <v>-</v>
      </c>
      <c r="Y80" s="87" t="str">
        <f>IFERROR(VLOOKUP(V80,Database!$A$2:$L$175,9,FALSE),"-")</f>
        <v>-</v>
      </c>
    </row>
    <row r="81" spans="1:25" ht="15" customHeight="1" thickBot="1" x14ac:dyDescent="0.4">
      <c r="A81" s="94" t="str">
        <f>rengøring!A81</f>
        <v>onsdag</v>
      </c>
      <c r="B81" s="90">
        <f>rengøring!B81</f>
        <v>46218</v>
      </c>
      <c r="C81" s="9"/>
      <c r="D81" s="95" t="str">
        <f>IF(booking!AB81&gt;0,"Y","-")</f>
        <v>Y</v>
      </c>
      <c r="E81" s="102" t="str">
        <f>IF(AND(D81="Y",booking!D81&lt;&gt;booking!E81,booking!E81&gt;0),booking!E81,"-")</f>
        <v>-</v>
      </c>
      <c r="F81" s="84" t="str">
        <f>IFERROR(VLOOKUP(E81,Database!$A$2:$L$175,8,FALSE),"-")</f>
        <v>-</v>
      </c>
      <c r="G81" s="84" t="str">
        <f>IFERROR(VLOOKUP(E81,Database!$A$2:$L$175,6,FALSE),"-")</f>
        <v>-</v>
      </c>
      <c r="H81" s="100" t="str">
        <f>IFERROR(VLOOKUP(E81,Database!$A$2:$L$175,9,FALSE),"-")</f>
        <v>-</v>
      </c>
      <c r="I81" s="119"/>
      <c r="J81" s="103">
        <f>IF(AND(D81="Y",booking!H81&lt;&gt;booking!I81,booking!I81&gt;0),booking!I81,"-")</f>
        <v>81</v>
      </c>
      <c r="K81" s="84">
        <f>IFERROR(VLOOKUP(J81,Database!$A$2:$L$175,8,FALSE),"-")</f>
        <v>0</v>
      </c>
      <c r="L81" s="84" t="str">
        <f>IFERROR(VLOOKUP(J81,Database!$A$2:$L$175,6,FALSE),"-")</f>
        <v>DK</v>
      </c>
      <c r="M81" s="100">
        <f>IFERROR(VLOOKUP(J81,Database!$A$2:$L$175,9,FALSE),"-")</f>
        <v>0</v>
      </c>
      <c r="N81" s="103" t="str">
        <f>IF(AND(D81="Y",booking!L81&lt;&gt;booking!M81,booking!M81&gt;0),booking!M81,"-")</f>
        <v>-</v>
      </c>
      <c r="O81" s="84" t="str">
        <f>IFERROR(VLOOKUP(N81,Database!$A$2:$L$175,8,FALSE),"-")</f>
        <v>-</v>
      </c>
      <c r="P81" s="84" t="str">
        <f>IFERROR(VLOOKUP(N81,Database!$A$2:$L$175,6,FALSE),"-")</f>
        <v>-</v>
      </c>
      <c r="Q81" s="88" t="str">
        <f>IFERROR(VLOOKUP(N81,Database!$A$2:$L$175,9,FALSE),"-")</f>
        <v>-</v>
      </c>
      <c r="R81" s="104" t="str">
        <f>IF(AND(D81="Y",booking!P81&lt;&gt;booking!Q81,booking!Q81&gt;0),booking!Q81,"-")</f>
        <v>-</v>
      </c>
      <c r="S81" s="84" t="str">
        <f>IFERROR(VLOOKUP(R81,Database!$A$2:$L$175,8,FALSE),"-")</f>
        <v>-</v>
      </c>
      <c r="T81" s="84" t="str">
        <f>IFERROR(VLOOKUP(R81,Database!$A$2:$L$175,6,FALSE),"-")</f>
        <v>-</v>
      </c>
      <c r="U81" s="88" t="str">
        <f>IFERROR(VLOOKUP(R81,Database!$A$2:$L$175,9,FALSE),"-")</f>
        <v>-</v>
      </c>
      <c r="V81" s="103" t="str">
        <f>IF(AND(D81="Y",booking!T81&lt;&gt;booking!U81,booking!U81&gt;0),booking!U81,"-")</f>
        <v>-</v>
      </c>
      <c r="W81" s="85" t="str">
        <f>IFERROR(VLOOKUP(V81,Database!$A$2:$L$175,8,FALSE),"-")</f>
        <v>-</v>
      </c>
      <c r="X81" s="85" t="str">
        <f>IFERROR(VLOOKUP(V81,Database!$A$2:$L$175,6,FALSE),"-")</f>
        <v>-</v>
      </c>
      <c r="Y81" s="87" t="str">
        <f>IFERROR(VLOOKUP(V81,Database!$A$2:$L$175,9,FALSE),"-")</f>
        <v>-</v>
      </c>
    </row>
    <row r="82" spans="1:25" ht="15" customHeight="1" thickBot="1" x14ac:dyDescent="0.4">
      <c r="A82" s="94" t="str">
        <f>rengøring!A82</f>
        <v>torsdag</v>
      </c>
      <c r="B82" s="90">
        <f>rengøring!B82</f>
        <v>46219</v>
      </c>
      <c r="C82" s="9"/>
      <c r="D82" s="95" t="str">
        <f>IF(booking!AB82&gt;0,"Y","-")</f>
        <v>-</v>
      </c>
      <c r="E82" s="102" t="str">
        <f>IF(AND(D82="Y",booking!D82&lt;&gt;booking!E82,booking!E82&gt;0),booking!E82,"-")</f>
        <v>-</v>
      </c>
      <c r="F82" s="84" t="str">
        <f>IFERROR(VLOOKUP(E82,Database!$A$2:$L$175,8,FALSE),"-")</f>
        <v>-</v>
      </c>
      <c r="G82" s="84" t="str">
        <f>IFERROR(VLOOKUP(E82,Database!$A$2:$L$175,6,FALSE),"-")</f>
        <v>-</v>
      </c>
      <c r="H82" s="100" t="str">
        <f>IFERROR(VLOOKUP(E82,Database!$A$2:$L$175,9,FALSE),"-")</f>
        <v>-</v>
      </c>
      <c r="I82" s="119"/>
      <c r="J82" s="103" t="str">
        <f>IF(AND(D82="Y",booking!H82&lt;&gt;booking!I82,booking!I82&gt;0),booking!I82,"-")</f>
        <v>-</v>
      </c>
      <c r="K82" s="84" t="str">
        <f>IFERROR(VLOOKUP(J82,Database!$A$2:$L$175,8,FALSE),"-")</f>
        <v>-</v>
      </c>
      <c r="L82" s="84" t="str">
        <f>IFERROR(VLOOKUP(J82,Database!$A$2:$L$175,6,FALSE),"-")</f>
        <v>-</v>
      </c>
      <c r="M82" s="100" t="str">
        <f>IFERROR(VLOOKUP(J82,Database!$A$2:$L$175,9,FALSE),"-")</f>
        <v>-</v>
      </c>
      <c r="N82" s="103" t="str">
        <f>IF(AND(D82="Y",booking!L82&lt;&gt;booking!M82,booking!M82&gt;0),booking!M82,"-")</f>
        <v>-</v>
      </c>
      <c r="O82" s="84" t="str">
        <f>IFERROR(VLOOKUP(N82,Database!$A$2:$L$175,8,FALSE),"-")</f>
        <v>-</v>
      </c>
      <c r="P82" s="84" t="str">
        <f>IFERROR(VLOOKUP(N82,Database!$A$2:$L$175,6,FALSE),"-")</f>
        <v>-</v>
      </c>
      <c r="Q82" s="88" t="str">
        <f>IFERROR(VLOOKUP(N82,Database!$A$2:$L$175,9,FALSE),"-")</f>
        <v>-</v>
      </c>
      <c r="R82" s="104" t="str">
        <f>IF(AND(D82="Y",booking!P82&lt;&gt;booking!Q82,booking!Q82&gt;0),booking!Q82,"-")</f>
        <v>-</v>
      </c>
      <c r="S82" s="84" t="str">
        <f>IFERROR(VLOOKUP(R82,Database!$A$2:$L$175,8,FALSE),"-")</f>
        <v>-</v>
      </c>
      <c r="T82" s="84" t="str">
        <f>IFERROR(VLOOKUP(R82,Database!$A$2:$L$175,6,FALSE),"-")</f>
        <v>-</v>
      </c>
      <c r="U82" s="88" t="str">
        <f>IFERROR(VLOOKUP(R82,Database!$A$2:$L$175,9,FALSE),"-")</f>
        <v>-</v>
      </c>
      <c r="V82" s="103" t="str">
        <f>IF(AND(D82="Y",booking!T82&lt;&gt;booking!U82,booking!U82&gt;0),booking!U82,"-")</f>
        <v>-</v>
      </c>
      <c r="W82" s="85" t="str">
        <f>IFERROR(VLOOKUP(V82,Database!$A$2:$L$175,8,FALSE),"-")</f>
        <v>-</v>
      </c>
      <c r="X82" s="85" t="str">
        <f>IFERROR(VLOOKUP(V82,Database!$A$2:$L$175,6,FALSE),"-")</f>
        <v>-</v>
      </c>
      <c r="Y82" s="87" t="str">
        <f>IFERROR(VLOOKUP(V82,Database!$A$2:$L$175,9,FALSE),"-")</f>
        <v>-</v>
      </c>
    </row>
    <row r="83" spans="1:25" ht="15" customHeight="1" thickBot="1" x14ac:dyDescent="0.4">
      <c r="A83" s="94" t="str">
        <f>rengøring!A83</f>
        <v>fredag</v>
      </c>
      <c r="B83" s="90">
        <f>rengøring!B83</f>
        <v>46220</v>
      </c>
      <c r="C83" s="9"/>
      <c r="D83" s="95" t="str">
        <f>IF(booking!AB83&gt;0,"Y","-")</f>
        <v>-</v>
      </c>
      <c r="E83" s="102" t="str">
        <f>IF(AND(D83="Y",booking!D83&lt;&gt;booking!E83,booking!E83&gt;0),booking!E83,"-")</f>
        <v>-</v>
      </c>
      <c r="F83" s="84" t="str">
        <f>IFERROR(VLOOKUP(E83,Database!$A$2:$L$175,8,FALSE),"-")</f>
        <v>-</v>
      </c>
      <c r="G83" s="84" t="str">
        <f>IFERROR(VLOOKUP(E83,Database!$A$2:$L$175,6,FALSE),"-")</f>
        <v>-</v>
      </c>
      <c r="H83" s="100" t="str">
        <f>IFERROR(VLOOKUP(E83,Database!$A$2:$L$175,9,FALSE),"-")</f>
        <v>-</v>
      </c>
      <c r="I83" s="119"/>
      <c r="J83" s="103" t="str">
        <f>IF(AND(D83="Y",booking!H83&lt;&gt;booking!I83,booking!I83&gt;0),booking!I83,"-")</f>
        <v>-</v>
      </c>
      <c r="K83" s="84" t="str">
        <f>IFERROR(VLOOKUP(J83,Database!$A$2:$L$175,8,FALSE),"-")</f>
        <v>-</v>
      </c>
      <c r="L83" s="84" t="str">
        <f>IFERROR(VLOOKUP(J83,Database!$A$2:$L$175,6,FALSE),"-")</f>
        <v>-</v>
      </c>
      <c r="M83" s="100" t="str">
        <f>IFERROR(VLOOKUP(J83,Database!$A$2:$L$175,9,FALSE),"-")</f>
        <v>-</v>
      </c>
      <c r="N83" s="103" t="str">
        <f>IF(AND(D83="Y",booking!L83&lt;&gt;booking!M83,booking!M83&gt;0),booking!M83,"-")</f>
        <v>-</v>
      </c>
      <c r="O83" s="84" t="str">
        <f>IFERROR(VLOOKUP(N83,Database!$A$2:$L$175,8,FALSE),"-")</f>
        <v>-</v>
      </c>
      <c r="P83" s="84" t="str">
        <f>IFERROR(VLOOKUP(N83,Database!$A$2:$L$175,6,FALSE),"-")</f>
        <v>-</v>
      </c>
      <c r="Q83" s="88" t="str">
        <f>IFERROR(VLOOKUP(N83,Database!$A$2:$L$175,9,FALSE),"-")</f>
        <v>-</v>
      </c>
      <c r="R83" s="104" t="str">
        <f>IF(AND(D83="Y",booking!P83&lt;&gt;booking!Q83,booking!Q83&gt;0),booking!Q83,"-")</f>
        <v>-</v>
      </c>
      <c r="S83" s="84" t="str">
        <f>IFERROR(VLOOKUP(R83,Database!$A$2:$L$175,8,FALSE),"-")</f>
        <v>-</v>
      </c>
      <c r="T83" s="84" t="str">
        <f>IFERROR(VLOOKUP(R83,Database!$A$2:$L$175,6,FALSE),"-")</f>
        <v>-</v>
      </c>
      <c r="U83" s="88" t="str">
        <f>IFERROR(VLOOKUP(R83,Database!$A$2:$L$175,9,FALSE),"-")</f>
        <v>-</v>
      </c>
      <c r="V83" s="103" t="str">
        <f>IF(AND(D83="Y",booking!T83&lt;&gt;booking!U83,booking!U83&gt;0),booking!U83,"-")</f>
        <v>-</v>
      </c>
      <c r="W83" s="85" t="str">
        <f>IFERROR(VLOOKUP(V83,Database!$A$2:$L$175,8,FALSE),"-")</f>
        <v>-</v>
      </c>
      <c r="X83" s="85" t="str">
        <f>IFERROR(VLOOKUP(V83,Database!$A$2:$L$175,6,FALSE),"-")</f>
        <v>-</v>
      </c>
      <c r="Y83" s="87" t="str">
        <f>IFERROR(VLOOKUP(V83,Database!$A$2:$L$175,9,FALSE),"-")</f>
        <v>-</v>
      </c>
    </row>
    <row r="84" spans="1:25" ht="15" customHeight="1" thickBot="1" x14ac:dyDescent="0.4">
      <c r="A84" s="94" t="str">
        <f>rengøring!A84</f>
        <v>lørdag</v>
      </c>
      <c r="B84" s="90">
        <f>rengøring!B84</f>
        <v>46221</v>
      </c>
      <c r="C84" s="9"/>
      <c r="D84" s="95" t="str">
        <f>IF(booking!AB84&gt;0,"Y","-")</f>
        <v>Y</v>
      </c>
      <c r="E84" s="102" t="str">
        <f>IF(AND(D84="Y",booking!D84&lt;&gt;booking!E84,booking!E84&gt;0),booking!E84,"-")</f>
        <v>-</v>
      </c>
      <c r="F84" s="84" t="str">
        <f>IFERROR(VLOOKUP(E84,Database!$A$2:$L$175,8,FALSE),"-")</f>
        <v>-</v>
      </c>
      <c r="G84" s="84" t="str">
        <f>IFERROR(VLOOKUP(E84,Database!$A$2:$L$175,6,FALSE),"-")</f>
        <v>-</v>
      </c>
      <c r="H84" s="100" t="str">
        <f>IFERROR(VLOOKUP(E84,Database!$A$2:$L$175,9,FALSE),"-")</f>
        <v>-</v>
      </c>
      <c r="I84" s="119"/>
      <c r="J84" s="103" t="str">
        <f>IF(AND(D84="Y",booking!H84&lt;&gt;booking!I84,booking!I84&gt;0),booking!I84,"-")</f>
        <v>-</v>
      </c>
      <c r="K84" s="84" t="str">
        <f>IFERROR(VLOOKUP(J84,Database!$A$2:$L$175,8,FALSE),"-")</f>
        <v>-</v>
      </c>
      <c r="L84" s="84" t="str">
        <f>IFERROR(VLOOKUP(J84,Database!$A$2:$L$175,6,FALSE),"-")</f>
        <v>-</v>
      </c>
      <c r="M84" s="100" t="str">
        <f>IFERROR(VLOOKUP(J84,Database!$A$2:$L$175,9,FALSE),"-")</f>
        <v>-</v>
      </c>
      <c r="N84" s="103">
        <f>IF(AND(D84="Y",booking!L84&lt;&gt;booking!M84,booking!M84&gt;0),booking!M84,"-")</f>
        <v>38</v>
      </c>
      <c r="O84" s="84">
        <f>IFERROR(VLOOKUP(N84,Database!$A$2:$L$175,8,FALSE),"-")</f>
        <v>0</v>
      </c>
      <c r="P84" s="84" t="str">
        <f>IFERROR(VLOOKUP(N84,Database!$A$2:$L$175,6,FALSE),"-")</f>
        <v>CH</v>
      </c>
      <c r="Q84" s="88">
        <f>IFERROR(VLOOKUP(N84,Database!$A$2:$L$175,9,FALSE),"-")</f>
        <v>0</v>
      </c>
      <c r="R84" s="104" t="str">
        <f>IF(AND(D84="Y",booking!P84&lt;&gt;booking!Q84,booking!Q84&gt;0),booking!Q84,"-")</f>
        <v>-</v>
      </c>
      <c r="S84" s="84" t="str">
        <f>IFERROR(VLOOKUP(R84,Database!$A$2:$L$175,8,FALSE),"-")</f>
        <v>-</v>
      </c>
      <c r="T84" s="84" t="str">
        <f>IFERROR(VLOOKUP(R84,Database!$A$2:$L$175,6,FALSE),"-")</f>
        <v>-</v>
      </c>
      <c r="U84" s="88" t="str">
        <f>IFERROR(VLOOKUP(R84,Database!$A$2:$L$175,9,FALSE),"-")</f>
        <v>-</v>
      </c>
      <c r="V84" s="103" t="str">
        <f>IF(AND(D84="Y",booking!T84&lt;&gt;booking!U84,booking!U84&gt;0),booking!U84,"-")</f>
        <v>-</v>
      </c>
      <c r="W84" s="85" t="str">
        <f>IFERROR(VLOOKUP(V84,Database!$A$2:$L$175,8,FALSE),"-")</f>
        <v>-</v>
      </c>
      <c r="X84" s="85" t="str">
        <f>IFERROR(VLOOKUP(V84,Database!$A$2:$L$175,6,FALSE),"-")</f>
        <v>-</v>
      </c>
      <c r="Y84" s="87" t="str">
        <f>IFERROR(VLOOKUP(V84,Database!$A$2:$L$175,9,FALSE),"-")</f>
        <v>-</v>
      </c>
    </row>
    <row r="85" spans="1:25" ht="15" customHeight="1" thickBot="1" x14ac:dyDescent="0.4">
      <c r="A85" s="94" t="str">
        <f>rengøring!A85</f>
        <v>søndag</v>
      </c>
      <c r="B85" s="90">
        <f>rengøring!B85</f>
        <v>46222</v>
      </c>
      <c r="C85" s="9"/>
      <c r="D85" s="95" t="str">
        <f>IF(booking!AB85&gt;0,"Y","-")</f>
        <v>Y</v>
      </c>
      <c r="E85" s="102" t="str">
        <f>IF(AND(D85="Y",booking!D85&lt;&gt;booking!E85,booking!E85&gt;0),booking!E85,"-")</f>
        <v>-</v>
      </c>
      <c r="F85" s="84" t="str">
        <f>IFERROR(VLOOKUP(E85,Database!$A$2:$L$175,8,FALSE),"-")</f>
        <v>-</v>
      </c>
      <c r="G85" s="84" t="str">
        <f>IFERROR(VLOOKUP(E85,Database!$A$2:$L$175,6,FALSE),"-")</f>
        <v>-</v>
      </c>
      <c r="H85" s="100" t="str">
        <f>IFERROR(VLOOKUP(E85,Database!$A$2:$L$175,9,FALSE),"-")</f>
        <v>-</v>
      </c>
      <c r="I85" s="119"/>
      <c r="J85" s="103">
        <f>IF(AND(D85="Y",booking!H85&lt;&gt;booking!I85,booking!I85&gt;0),booking!I85,"-")</f>
        <v>44</v>
      </c>
      <c r="K85" s="84">
        <f>IFERROR(VLOOKUP(J85,Database!$A$2:$L$175,8,FALSE),"-")</f>
        <v>0</v>
      </c>
      <c r="L85" s="84" t="str">
        <f>IFERROR(VLOOKUP(J85,Database!$A$2:$L$175,6,FALSE),"-")</f>
        <v>CZ</v>
      </c>
      <c r="M85" s="100" t="str">
        <f>IFERROR(VLOOKUP(J85,Database!$A$2:$L$175,9,FALSE),"-")</f>
        <v>dobb</v>
      </c>
      <c r="N85" s="103" t="str">
        <f>IF(AND(D85="Y",booking!L85&lt;&gt;booking!M85,booking!M85&gt;0),booking!M85,"-")</f>
        <v>-</v>
      </c>
      <c r="O85" s="84" t="str">
        <f>IFERROR(VLOOKUP(N85,Database!$A$2:$L$175,8,FALSE),"-")</f>
        <v>-</v>
      </c>
      <c r="P85" s="84" t="str">
        <f>IFERROR(VLOOKUP(N85,Database!$A$2:$L$175,6,FALSE),"-")</f>
        <v>-</v>
      </c>
      <c r="Q85" s="88" t="str">
        <f>IFERROR(VLOOKUP(N85,Database!$A$2:$L$175,9,FALSE),"-")</f>
        <v>-</v>
      </c>
      <c r="R85" s="104">
        <f>IF(AND(D85="Y",booking!P85&lt;&gt;booking!Q85,booking!Q85&gt;0),booking!Q85,"-")</f>
        <v>1</v>
      </c>
      <c r="S85" s="84">
        <f>IFERROR(VLOOKUP(R85,Database!$A$2:$L$175,8,FALSE),"-")</f>
        <v>0</v>
      </c>
      <c r="T85" s="84" t="str">
        <f>IFERROR(VLOOKUP(R85,Database!$A$2:$L$175,6,FALSE),"-")</f>
        <v>DK</v>
      </c>
      <c r="U85" s="88">
        <f>IFERROR(VLOOKUP(R85,Database!$A$2:$L$175,9,FALSE),"-")</f>
        <v>0</v>
      </c>
      <c r="V85" s="103" t="str">
        <f>IF(AND(D85="Y",booking!T85&lt;&gt;booking!U85,booking!U85&gt;0),booking!U85,"-")</f>
        <v>-</v>
      </c>
      <c r="W85" s="85" t="str">
        <f>IFERROR(VLOOKUP(V85,Database!$A$2:$L$175,8,FALSE),"-")</f>
        <v>-</v>
      </c>
      <c r="X85" s="85" t="str">
        <f>IFERROR(VLOOKUP(V85,Database!$A$2:$L$175,6,FALSE),"-")</f>
        <v>-</v>
      </c>
      <c r="Y85" s="87" t="str">
        <f>IFERROR(VLOOKUP(V85,Database!$A$2:$L$175,9,FALSE),"-")</f>
        <v>-</v>
      </c>
    </row>
    <row r="86" spans="1:25" ht="15" customHeight="1" thickBot="1" x14ac:dyDescent="0.4">
      <c r="A86" s="94" t="str">
        <f>rengøring!A86</f>
        <v>mandag</v>
      </c>
      <c r="B86" s="90">
        <f>rengøring!B86</f>
        <v>46223</v>
      </c>
      <c r="C86" s="9"/>
      <c r="D86" s="95" t="str">
        <f>IF(booking!AB86&gt;0,"Y","-")</f>
        <v>-</v>
      </c>
      <c r="E86" s="102" t="str">
        <f>IF(AND(D86="Y",booking!D86&lt;&gt;booking!E86,booking!E86&gt;0),booking!E86,"-")</f>
        <v>-</v>
      </c>
      <c r="F86" s="84" t="str">
        <f>IFERROR(VLOOKUP(E86,Database!$A$2:$L$175,8,FALSE),"-")</f>
        <v>-</v>
      </c>
      <c r="G86" s="84" t="str">
        <f>IFERROR(VLOOKUP(E86,Database!$A$2:$L$175,6,FALSE),"-")</f>
        <v>-</v>
      </c>
      <c r="H86" s="100" t="str">
        <f>IFERROR(VLOOKUP(E86,Database!$A$2:$L$175,9,FALSE),"-")</f>
        <v>-</v>
      </c>
      <c r="I86" s="119"/>
      <c r="J86" s="103" t="str">
        <f>IF(AND(D86="Y",booking!H86&lt;&gt;booking!I86,booking!I86&gt;0),booking!I86,"-")</f>
        <v>-</v>
      </c>
      <c r="K86" s="84" t="str">
        <f>IFERROR(VLOOKUP(J86,Database!$A$2:$L$175,8,FALSE),"-")</f>
        <v>-</v>
      </c>
      <c r="L86" s="84" t="str">
        <f>IFERROR(VLOOKUP(J86,Database!$A$2:$L$175,6,FALSE),"-")</f>
        <v>-</v>
      </c>
      <c r="M86" s="100" t="str">
        <f>IFERROR(VLOOKUP(J86,Database!$A$2:$L$175,9,FALSE),"-")</f>
        <v>-</v>
      </c>
      <c r="N86" s="103" t="str">
        <f>IF(AND(D86="Y",booking!L86&lt;&gt;booking!M86,booking!M86&gt;0),booking!M86,"-")</f>
        <v>-</v>
      </c>
      <c r="O86" s="84" t="str">
        <f>IFERROR(VLOOKUP(N86,Database!$A$2:$L$175,8,FALSE),"-")</f>
        <v>-</v>
      </c>
      <c r="P86" s="84" t="str">
        <f>IFERROR(VLOOKUP(N86,Database!$A$2:$L$175,6,FALSE),"-")</f>
        <v>-</v>
      </c>
      <c r="Q86" s="88" t="str">
        <f>IFERROR(VLOOKUP(N86,Database!$A$2:$L$175,9,FALSE),"-")</f>
        <v>-</v>
      </c>
      <c r="R86" s="104" t="str">
        <f>IF(AND(D86="Y",booking!P86&lt;&gt;booking!Q86,booking!Q86&gt;0),booking!Q86,"-")</f>
        <v>-</v>
      </c>
      <c r="S86" s="84" t="str">
        <f>IFERROR(VLOOKUP(R86,Database!$A$2:$L$175,8,FALSE),"-")</f>
        <v>-</v>
      </c>
      <c r="T86" s="84" t="str">
        <f>IFERROR(VLOOKUP(R86,Database!$A$2:$L$175,6,FALSE),"-")</f>
        <v>-</v>
      </c>
      <c r="U86" s="88" t="str">
        <f>IFERROR(VLOOKUP(R86,Database!$A$2:$L$175,9,FALSE),"-")</f>
        <v>-</v>
      </c>
      <c r="V86" s="103" t="str">
        <f>IF(AND(D86="Y",booking!T86&lt;&gt;booking!U86,booking!U86&gt;0),booking!U86,"-")</f>
        <v>-</v>
      </c>
      <c r="W86" s="85" t="str">
        <f>IFERROR(VLOOKUP(V86,Database!$A$2:$L$175,8,FALSE),"-")</f>
        <v>-</v>
      </c>
      <c r="X86" s="85" t="str">
        <f>IFERROR(VLOOKUP(V86,Database!$A$2:$L$175,6,FALSE),"-")</f>
        <v>-</v>
      </c>
      <c r="Y86" s="87" t="str">
        <f>IFERROR(VLOOKUP(V86,Database!$A$2:$L$175,9,FALSE),"-")</f>
        <v>-</v>
      </c>
    </row>
    <row r="87" spans="1:25" ht="15" customHeight="1" thickBot="1" x14ac:dyDescent="0.4">
      <c r="A87" s="94" t="str">
        <f>rengøring!A87</f>
        <v>tirsdag</v>
      </c>
      <c r="B87" s="90">
        <f>rengøring!B87</f>
        <v>46224</v>
      </c>
      <c r="C87" s="9"/>
      <c r="D87" s="95" t="str">
        <f>IF(booking!AB87&gt;0,"Y","-")</f>
        <v>-</v>
      </c>
      <c r="E87" s="102" t="str">
        <f>IF(AND(D87="Y",booking!D87&lt;&gt;booking!E87,booking!E87&gt;0),booking!E87,"-")</f>
        <v>-</v>
      </c>
      <c r="F87" s="84" t="str">
        <f>IFERROR(VLOOKUP(E87,Database!$A$2:$L$175,8,FALSE),"-")</f>
        <v>-</v>
      </c>
      <c r="G87" s="84" t="str">
        <f>IFERROR(VLOOKUP(E87,Database!$A$2:$L$175,6,FALSE),"-")</f>
        <v>-</v>
      </c>
      <c r="H87" s="100" t="str">
        <f>IFERROR(VLOOKUP(E87,Database!$A$2:$L$175,9,FALSE),"-")</f>
        <v>-</v>
      </c>
      <c r="I87" s="119"/>
      <c r="J87" s="103" t="str">
        <f>IF(AND(D87="Y",booking!H87&lt;&gt;booking!I87,booking!I87&gt;0),booking!I87,"-")</f>
        <v>-</v>
      </c>
      <c r="K87" s="84" t="str">
        <f>IFERROR(VLOOKUP(J87,Database!$A$2:$L$175,8,FALSE),"-")</f>
        <v>-</v>
      </c>
      <c r="L87" s="84" t="str">
        <f>IFERROR(VLOOKUP(J87,Database!$A$2:$L$175,6,FALSE),"-")</f>
        <v>-</v>
      </c>
      <c r="M87" s="100" t="str">
        <f>IFERROR(VLOOKUP(J87,Database!$A$2:$L$175,9,FALSE),"-")</f>
        <v>-</v>
      </c>
      <c r="N87" s="103" t="str">
        <f>IF(AND(D87="Y",booking!L87&lt;&gt;booking!M87,booking!M87&gt;0),booking!M87,"-")</f>
        <v>-</v>
      </c>
      <c r="O87" s="84" t="str">
        <f>IFERROR(VLOOKUP(N87,Database!$A$2:$L$175,8,FALSE),"-")</f>
        <v>-</v>
      </c>
      <c r="P87" s="84" t="str">
        <f>IFERROR(VLOOKUP(N87,Database!$A$2:$L$175,6,FALSE),"-")</f>
        <v>-</v>
      </c>
      <c r="Q87" s="88" t="str">
        <f>IFERROR(VLOOKUP(N87,Database!$A$2:$L$175,9,FALSE),"-")</f>
        <v>-</v>
      </c>
      <c r="R87" s="104" t="str">
        <f>IF(AND(D87="Y",booking!P87&lt;&gt;booking!Q87,booking!Q87&gt;0),booking!Q87,"-")</f>
        <v>-</v>
      </c>
      <c r="S87" s="84" t="str">
        <f>IFERROR(VLOOKUP(R87,Database!$A$2:$L$175,8,FALSE),"-")</f>
        <v>-</v>
      </c>
      <c r="T87" s="84" t="str">
        <f>IFERROR(VLOOKUP(R87,Database!$A$2:$L$175,6,FALSE),"-")</f>
        <v>-</v>
      </c>
      <c r="U87" s="88" t="str">
        <f>IFERROR(VLOOKUP(R87,Database!$A$2:$L$175,9,FALSE),"-")</f>
        <v>-</v>
      </c>
      <c r="V87" s="103" t="str">
        <f>IF(AND(D87="Y",booking!T87&lt;&gt;booking!U87,booking!U87&gt;0),booking!U87,"-")</f>
        <v>-</v>
      </c>
      <c r="W87" s="85" t="str">
        <f>IFERROR(VLOOKUP(V87,Database!$A$2:$L$175,8,FALSE),"-")</f>
        <v>-</v>
      </c>
      <c r="X87" s="85" t="str">
        <f>IFERROR(VLOOKUP(V87,Database!$A$2:$L$175,6,FALSE),"-")</f>
        <v>-</v>
      </c>
      <c r="Y87" s="87" t="str">
        <f>IFERROR(VLOOKUP(V87,Database!$A$2:$L$175,9,FALSE),"-")</f>
        <v>-</v>
      </c>
    </row>
    <row r="88" spans="1:25" ht="15" customHeight="1" thickBot="1" x14ac:dyDescent="0.4">
      <c r="A88" s="94" t="str">
        <f>rengøring!A88</f>
        <v>onsdag</v>
      </c>
      <c r="B88" s="90">
        <f>rengøring!B88</f>
        <v>46225</v>
      </c>
      <c r="C88" s="9"/>
      <c r="D88" s="95" t="str">
        <f>IF(booking!AB88&gt;0,"Y","-")</f>
        <v>Y</v>
      </c>
      <c r="E88" s="102" t="str">
        <f>IF(AND(D88="Y",booking!D88&lt;&gt;booking!E88,booking!E88&gt;0),booking!E88,"-")</f>
        <v>-</v>
      </c>
      <c r="F88" s="84" t="str">
        <f>IFERROR(VLOOKUP(E88,Database!$A$2:$L$175,8,FALSE),"-")</f>
        <v>-</v>
      </c>
      <c r="G88" s="84" t="str">
        <f>IFERROR(VLOOKUP(E88,Database!$A$2:$L$175,6,FALSE),"-")</f>
        <v>-</v>
      </c>
      <c r="H88" s="100" t="str">
        <f>IFERROR(VLOOKUP(E88,Database!$A$2:$L$175,9,FALSE),"-")</f>
        <v>-</v>
      </c>
      <c r="I88" s="119"/>
      <c r="J88" s="103" t="str">
        <f>IF(AND(D88="Y",booking!H88&lt;&gt;booking!I88,booking!I88&gt;0),booking!I88,"-")</f>
        <v>-</v>
      </c>
      <c r="K88" s="84" t="str">
        <f>IFERROR(VLOOKUP(J88,Database!$A$2:$L$175,8,FALSE),"-")</f>
        <v>-</v>
      </c>
      <c r="L88" s="84" t="str">
        <f>IFERROR(VLOOKUP(J88,Database!$A$2:$L$175,6,FALSE),"-")</f>
        <v>-</v>
      </c>
      <c r="M88" s="100" t="str">
        <f>IFERROR(VLOOKUP(J88,Database!$A$2:$L$175,9,FALSE),"-")</f>
        <v>-</v>
      </c>
      <c r="N88" s="103" t="str">
        <f>IF(AND(D88="Y",booking!L88&lt;&gt;booking!M88,booking!M88&gt;0),booking!M88,"-")</f>
        <v>-</v>
      </c>
      <c r="O88" s="84" t="str">
        <f>IFERROR(VLOOKUP(N88,Database!$A$2:$L$175,8,FALSE),"-")</f>
        <v>-</v>
      </c>
      <c r="P88" s="84" t="str">
        <f>IFERROR(VLOOKUP(N88,Database!$A$2:$L$175,6,FALSE),"-")</f>
        <v>-</v>
      </c>
      <c r="Q88" s="88" t="str">
        <f>IFERROR(VLOOKUP(N88,Database!$A$2:$L$175,9,FALSE),"-")</f>
        <v>-</v>
      </c>
      <c r="R88" s="104" t="str">
        <f>IF(AND(D88="Y",booking!P88&lt;&gt;booking!Q88,booking!Q88&gt;0),booking!Q88,"-")</f>
        <v>-</v>
      </c>
      <c r="S88" s="84" t="str">
        <f>IFERROR(VLOOKUP(R88,Database!$A$2:$L$175,8,FALSE),"-")</f>
        <v>-</v>
      </c>
      <c r="T88" s="84" t="str">
        <f>IFERROR(VLOOKUP(R88,Database!$A$2:$L$175,6,FALSE),"-")</f>
        <v>-</v>
      </c>
      <c r="U88" s="88" t="str">
        <f>IFERROR(VLOOKUP(R88,Database!$A$2:$L$175,9,FALSE),"-")</f>
        <v>-</v>
      </c>
      <c r="V88" s="103">
        <f>IF(AND(D88="Y",booking!T88&lt;&gt;booking!U88,booking!U88&gt;0),booking!U88,"-")</f>
        <v>10</v>
      </c>
      <c r="W88" s="85">
        <f>IFERROR(VLOOKUP(V88,Database!$A$2:$L$175,8,FALSE),"-")</f>
        <v>0</v>
      </c>
      <c r="X88" s="85" t="str">
        <f>IFERROR(VLOOKUP(V88,Database!$A$2:$L$175,6,FALSE),"-")</f>
        <v>DK</v>
      </c>
      <c r="Y88" s="87">
        <f>IFERROR(VLOOKUP(V88,Database!$A$2:$L$175,9,FALSE),"-")</f>
        <v>0</v>
      </c>
    </row>
    <row r="89" spans="1:25" ht="15" customHeight="1" thickBot="1" x14ac:dyDescent="0.4">
      <c r="A89" s="94" t="str">
        <f>rengøring!A89</f>
        <v>torsdag</v>
      </c>
      <c r="B89" s="90">
        <f>rengøring!B89</f>
        <v>46226</v>
      </c>
      <c r="C89" s="9"/>
      <c r="D89" s="95" t="str">
        <f>IF(booking!AB89&gt;0,"Y","-")</f>
        <v>-</v>
      </c>
      <c r="E89" s="102" t="str">
        <f>IF(AND(D89="Y",booking!D89&lt;&gt;booking!E89,booking!E89&gt;0),booking!E89,"-")</f>
        <v>-</v>
      </c>
      <c r="F89" s="84" t="str">
        <f>IFERROR(VLOOKUP(E89,Database!$A$2:$L$175,8,FALSE),"-")</f>
        <v>-</v>
      </c>
      <c r="G89" s="84" t="str">
        <f>IFERROR(VLOOKUP(E89,Database!$A$2:$L$175,6,FALSE),"-")</f>
        <v>-</v>
      </c>
      <c r="H89" s="100" t="str">
        <f>IFERROR(VLOOKUP(E89,Database!$A$2:$L$175,9,FALSE),"-")</f>
        <v>-</v>
      </c>
      <c r="I89" s="119"/>
      <c r="J89" s="103" t="str">
        <f>IF(AND(D89="Y",booking!H89&lt;&gt;booking!I89,booking!I89&gt;0),booking!I89,"-")</f>
        <v>-</v>
      </c>
      <c r="K89" s="84" t="str">
        <f>IFERROR(VLOOKUP(J89,Database!$A$2:$L$175,8,FALSE),"-")</f>
        <v>-</v>
      </c>
      <c r="L89" s="84" t="str">
        <f>IFERROR(VLOOKUP(J89,Database!$A$2:$L$175,6,FALSE),"-")</f>
        <v>-</v>
      </c>
      <c r="M89" s="100" t="str">
        <f>IFERROR(VLOOKUP(J89,Database!$A$2:$L$175,9,FALSE),"-")</f>
        <v>-</v>
      </c>
      <c r="N89" s="103" t="str">
        <f>IF(AND(D89="Y",booking!L89&lt;&gt;booking!M89,booking!M89&gt;0),booking!M89,"-")</f>
        <v>-</v>
      </c>
      <c r="O89" s="84" t="str">
        <f>IFERROR(VLOOKUP(N89,Database!$A$2:$L$175,8,FALSE),"-")</f>
        <v>-</v>
      </c>
      <c r="P89" s="84" t="str">
        <f>IFERROR(VLOOKUP(N89,Database!$A$2:$L$175,6,FALSE),"-")</f>
        <v>-</v>
      </c>
      <c r="Q89" s="88" t="str">
        <f>IFERROR(VLOOKUP(N89,Database!$A$2:$L$175,9,FALSE),"-")</f>
        <v>-</v>
      </c>
      <c r="R89" s="104" t="str">
        <f>IF(AND(D89="Y",booking!P89&lt;&gt;booking!Q89,booking!Q89&gt;0),booking!Q89,"-")</f>
        <v>-</v>
      </c>
      <c r="S89" s="84" t="str">
        <f>IFERROR(VLOOKUP(R89,Database!$A$2:$L$175,8,FALSE),"-")</f>
        <v>-</v>
      </c>
      <c r="T89" s="84" t="str">
        <f>IFERROR(VLOOKUP(R89,Database!$A$2:$L$175,6,FALSE),"-")</f>
        <v>-</v>
      </c>
      <c r="U89" s="88" t="str">
        <f>IFERROR(VLOOKUP(R89,Database!$A$2:$L$175,9,FALSE),"-")</f>
        <v>-</v>
      </c>
      <c r="V89" s="103" t="str">
        <f>IF(AND(D89="Y",booking!T89&lt;&gt;booking!U89,booking!U89&gt;0),booking!U89,"-")</f>
        <v>-</v>
      </c>
      <c r="W89" s="85" t="str">
        <f>IFERROR(VLOOKUP(V89,Database!$A$2:$L$175,8,FALSE),"-")</f>
        <v>-</v>
      </c>
      <c r="X89" s="85" t="str">
        <f>IFERROR(VLOOKUP(V89,Database!$A$2:$L$175,6,FALSE),"-")</f>
        <v>-</v>
      </c>
      <c r="Y89" s="87" t="str">
        <f>IFERROR(VLOOKUP(V89,Database!$A$2:$L$175,9,FALSE),"-")</f>
        <v>-</v>
      </c>
    </row>
    <row r="90" spans="1:25" ht="15" customHeight="1" thickBot="1" x14ac:dyDescent="0.4">
      <c r="A90" s="94" t="str">
        <f>rengøring!A90</f>
        <v>fredag</v>
      </c>
      <c r="B90" s="90">
        <f>rengøring!B90</f>
        <v>46227</v>
      </c>
      <c r="C90" s="9"/>
      <c r="D90" s="95" t="str">
        <f>IF(booking!AB90&gt;0,"Y","-")</f>
        <v>-</v>
      </c>
      <c r="E90" s="102" t="str">
        <f>IF(AND(D90="Y",booking!D90&lt;&gt;booking!E90,booking!E90&gt;0),booking!E90,"-")</f>
        <v>-</v>
      </c>
      <c r="F90" s="84" t="str">
        <f>IFERROR(VLOOKUP(E90,Database!$A$2:$L$175,8,FALSE),"-")</f>
        <v>-</v>
      </c>
      <c r="G90" s="84" t="str">
        <f>IFERROR(VLOOKUP(E90,Database!$A$2:$L$175,6,FALSE),"-")</f>
        <v>-</v>
      </c>
      <c r="H90" s="100" t="str">
        <f>IFERROR(VLOOKUP(E90,Database!$A$2:$L$175,9,FALSE),"-")</f>
        <v>-</v>
      </c>
      <c r="I90" s="119"/>
      <c r="J90" s="103" t="str">
        <f>IF(AND(D90="Y",booking!H90&lt;&gt;booking!I90,booking!I90&gt;0),booking!I90,"-")</f>
        <v>-</v>
      </c>
      <c r="K90" s="84" t="str">
        <f>IFERROR(VLOOKUP(J90,Database!$A$2:$L$175,8,FALSE),"-")</f>
        <v>-</v>
      </c>
      <c r="L90" s="84" t="str">
        <f>IFERROR(VLOOKUP(J90,Database!$A$2:$L$175,6,FALSE),"-")</f>
        <v>-</v>
      </c>
      <c r="M90" s="100" t="str">
        <f>IFERROR(VLOOKUP(J90,Database!$A$2:$L$175,9,FALSE),"-")</f>
        <v>-</v>
      </c>
      <c r="N90" s="103" t="str">
        <f>IF(AND(D90="Y",booking!L90&lt;&gt;booking!M90,booking!M90&gt;0),booking!M90,"-")</f>
        <v>-</v>
      </c>
      <c r="O90" s="84" t="str">
        <f>IFERROR(VLOOKUP(N90,Database!$A$2:$L$175,8,FALSE),"-")</f>
        <v>-</v>
      </c>
      <c r="P90" s="84" t="str">
        <f>IFERROR(VLOOKUP(N90,Database!$A$2:$L$175,6,FALSE),"-")</f>
        <v>-</v>
      </c>
      <c r="Q90" s="88" t="str">
        <f>IFERROR(VLOOKUP(N90,Database!$A$2:$L$175,9,FALSE),"-")</f>
        <v>-</v>
      </c>
      <c r="R90" s="104" t="str">
        <f>IF(AND(D90="Y",booking!P90&lt;&gt;booking!Q90,booking!Q90&gt;0),booking!Q90,"-")</f>
        <v>-</v>
      </c>
      <c r="S90" s="84" t="str">
        <f>IFERROR(VLOOKUP(R90,Database!$A$2:$L$175,8,FALSE),"-")</f>
        <v>-</v>
      </c>
      <c r="T90" s="84" t="str">
        <f>IFERROR(VLOOKUP(R90,Database!$A$2:$L$175,6,FALSE),"-")</f>
        <v>-</v>
      </c>
      <c r="U90" s="88" t="str">
        <f>IFERROR(VLOOKUP(R90,Database!$A$2:$L$175,9,FALSE),"-")</f>
        <v>-</v>
      </c>
      <c r="V90" s="103" t="str">
        <f>IF(AND(D90="Y",booking!T90&lt;&gt;booking!U90,booking!U90&gt;0),booking!U90,"-")</f>
        <v>-</v>
      </c>
      <c r="W90" s="85" t="str">
        <f>IFERROR(VLOOKUP(V90,Database!$A$2:$L$175,8,FALSE),"-")</f>
        <v>-</v>
      </c>
      <c r="X90" s="85" t="str">
        <f>IFERROR(VLOOKUP(V90,Database!$A$2:$L$175,6,FALSE),"-")</f>
        <v>-</v>
      </c>
      <c r="Y90" s="87" t="str">
        <f>IFERROR(VLOOKUP(V90,Database!$A$2:$L$175,9,FALSE),"-")</f>
        <v>-</v>
      </c>
    </row>
    <row r="91" spans="1:25" ht="15" customHeight="1" thickBot="1" x14ac:dyDescent="0.4">
      <c r="A91" s="94" t="str">
        <f>rengøring!A91</f>
        <v>lørdag</v>
      </c>
      <c r="B91" s="90">
        <f>rengøring!B91</f>
        <v>46228</v>
      </c>
      <c r="C91" s="9"/>
      <c r="D91" s="95" t="str">
        <f>IF(booking!AB91&gt;0,"Y","-")</f>
        <v>Y</v>
      </c>
      <c r="E91" s="102" t="str">
        <f>IF(AND(D91="Y",booking!D91&lt;&gt;booking!E91,booking!E91&gt;0),booking!E91,"-")</f>
        <v>-</v>
      </c>
      <c r="F91" s="84" t="str">
        <f>IFERROR(VLOOKUP(E91,Database!$A$2:$L$175,8,FALSE),"-")</f>
        <v>-</v>
      </c>
      <c r="G91" s="84" t="str">
        <f>IFERROR(VLOOKUP(E91,Database!$A$2:$L$175,6,FALSE),"-")</f>
        <v>-</v>
      </c>
      <c r="H91" s="100" t="str">
        <f>IFERROR(VLOOKUP(E91,Database!$A$2:$L$175,9,FALSE),"-")</f>
        <v>-</v>
      </c>
      <c r="I91" s="119"/>
      <c r="J91" s="103" t="str">
        <f>IF(AND(D91="Y",booking!H91&lt;&gt;booking!I91,booking!I91&gt;0),booking!I91,"-")</f>
        <v>-</v>
      </c>
      <c r="K91" s="84" t="str">
        <f>IFERROR(VLOOKUP(J91,Database!$A$2:$L$175,8,FALSE),"-")</f>
        <v>-</v>
      </c>
      <c r="L91" s="84" t="str">
        <f>IFERROR(VLOOKUP(J91,Database!$A$2:$L$175,6,FALSE),"-")</f>
        <v>-</v>
      </c>
      <c r="M91" s="100" t="str">
        <f>IFERROR(VLOOKUP(J91,Database!$A$2:$L$175,9,FALSE),"-")</f>
        <v>-</v>
      </c>
      <c r="N91" s="103" t="str">
        <f>IF(AND(D91="Y",booking!L91&lt;&gt;booking!M91,booking!M91&gt;0),booking!M91,"-")</f>
        <v>-</v>
      </c>
      <c r="O91" s="84" t="str">
        <f>IFERROR(VLOOKUP(N91,Database!$A$2:$L$175,8,FALSE),"-")</f>
        <v>-</v>
      </c>
      <c r="P91" s="84" t="str">
        <f>IFERROR(VLOOKUP(N91,Database!$A$2:$L$175,6,FALSE),"-")</f>
        <v>-</v>
      </c>
      <c r="Q91" s="88" t="str">
        <f>IFERROR(VLOOKUP(N91,Database!$A$2:$L$175,9,FALSE),"-")</f>
        <v>-</v>
      </c>
      <c r="R91" s="104" t="str">
        <f>IF(AND(D91="Y",booking!P91&lt;&gt;booking!Q91,booking!Q91&gt;0),booking!Q91,"-")</f>
        <v>-</v>
      </c>
      <c r="S91" s="84" t="str">
        <f>IFERROR(VLOOKUP(R91,Database!$A$2:$L$175,8,FALSE),"-")</f>
        <v>-</v>
      </c>
      <c r="T91" s="84" t="str">
        <f>IFERROR(VLOOKUP(R91,Database!$A$2:$L$175,6,FALSE),"-")</f>
        <v>-</v>
      </c>
      <c r="U91" s="88" t="str">
        <f>IFERROR(VLOOKUP(R91,Database!$A$2:$L$175,9,FALSE),"-")</f>
        <v>-</v>
      </c>
      <c r="V91" s="103">
        <f>IF(AND(D91="Y",booking!T91&lt;&gt;booking!U91,booking!U91&gt;0),booking!U91,"-")</f>
        <v>49</v>
      </c>
      <c r="W91" s="85">
        <f>IFERROR(VLOOKUP(V91,Database!$A$2:$L$175,8,FALSE),"-")</f>
        <v>0</v>
      </c>
      <c r="X91" s="85" t="str">
        <f>IFERROR(VLOOKUP(V91,Database!$A$2:$L$175,6,FALSE),"-")</f>
        <v>DK</v>
      </c>
      <c r="Y91" s="87" t="str">
        <f>IFERROR(VLOOKUP(V91,Database!$A$2:$L$175,9,FALSE),"-")</f>
        <v>dobb</v>
      </c>
    </row>
    <row r="92" spans="1:25" ht="15" customHeight="1" thickBot="1" x14ac:dyDescent="0.4">
      <c r="A92" s="94" t="str">
        <f>rengøring!A92</f>
        <v>søndag</v>
      </c>
      <c r="B92" s="90">
        <f>rengøring!B92</f>
        <v>46229</v>
      </c>
      <c r="C92" s="9"/>
      <c r="D92" s="95" t="str">
        <f>IF(booking!AB92&gt;0,"Y","-")</f>
        <v>Y</v>
      </c>
      <c r="E92" s="102" t="str">
        <f>IF(AND(D92="Y",booking!D92&lt;&gt;booking!E92,booking!E92&gt;0),booking!E92,"-")</f>
        <v>-</v>
      </c>
      <c r="F92" s="84" t="str">
        <f>IFERROR(VLOOKUP(E92,Database!$A$2:$L$175,8,FALSE),"-")</f>
        <v>-</v>
      </c>
      <c r="G92" s="84" t="str">
        <f>IFERROR(VLOOKUP(E92,Database!$A$2:$L$175,6,FALSE),"-")</f>
        <v>-</v>
      </c>
      <c r="H92" s="100" t="str">
        <f>IFERROR(VLOOKUP(E92,Database!$A$2:$L$175,9,FALSE),"-")</f>
        <v>-</v>
      </c>
      <c r="I92" s="119"/>
      <c r="J92" s="103">
        <f>IF(AND(D92="Y",booking!H92&lt;&gt;booking!I92,booking!I92&gt;0),booking!I92,"-")</f>
        <v>58</v>
      </c>
      <c r="K92" s="84">
        <f>IFERROR(VLOOKUP(J92,Database!$A$2:$L$175,8,FALSE),"-")</f>
        <v>0</v>
      </c>
      <c r="L92" s="84" t="str">
        <f>IFERROR(VLOOKUP(J92,Database!$A$2:$L$175,6,FALSE),"-")</f>
        <v>DK</v>
      </c>
      <c r="M92" s="100" t="str">
        <f>IFERROR(VLOOKUP(J92,Database!$A$2:$L$175,9,FALSE),"-")</f>
        <v>sing</v>
      </c>
      <c r="N92" s="103" t="str">
        <f>IF(AND(D92="Y",booking!L92&lt;&gt;booking!M92,booking!M92&gt;0),booking!M92,"-")</f>
        <v>-</v>
      </c>
      <c r="O92" s="84" t="str">
        <f>IFERROR(VLOOKUP(N92,Database!$A$2:$L$175,8,FALSE),"-")</f>
        <v>-</v>
      </c>
      <c r="P92" s="84" t="str">
        <f>IFERROR(VLOOKUP(N92,Database!$A$2:$L$175,6,FALSE),"-")</f>
        <v>-</v>
      </c>
      <c r="Q92" s="88" t="str">
        <f>IFERROR(VLOOKUP(N92,Database!$A$2:$L$175,9,FALSE),"-")</f>
        <v>-</v>
      </c>
      <c r="R92" s="104">
        <f>IF(AND(D92="Y",booking!P92&lt;&gt;booking!Q92,booking!Q92&gt;0),booking!Q92,"-")</f>
        <v>58</v>
      </c>
      <c r="S92" s="84">
        <f>IFERROR(VLOOKUP(R92,Database!$A$2:$L$175,8,FALSE),"-")</f>
        <v>0</v>
      </c>
      <c r="T92" s="84" t="str">
        <f>IFERROR(VLOOKUP(R92,Database!$A$2:$L$175,6,FALSE),"-")</f>
        <v>DK</v>
      </c>
      <c r="U92" s="88" t="str">
        <f>IFERROR(VLOOKUP(R92,Database!$A$2:$L$175,9,FALSE),"-")</f>
        <v>sing</v>
      </c>
      <c r="V92" s="103" t="str">
        <f>IF(AND(D92="Y",booking!T92&lt;&gt;booking!U92,booking!U92&gt;0),booking!U92,"-")</f>
        <v>-</v>
      </c>
      <c r="W92" s="85" t="str">
        <f>IFERROR(VLOOKUP(V92,Database!$A$2:$L$175,8,FALSE),"-")</f>
        <v>-</v>
      </c>
      <c r="X92" s="85" t="str">
        <f>IFERROR(VLOOKUP(V92,Database!$A$2:$L$175,6,FALSE),"-")</f>
        <v>-</v>
      </c>
      <c r="Y92" s="87" t="str">
        <f>IFERROR(VLOOKUP(V92,Database!$A$2:$L$175,9,FALSE),"-")</f>
        <v>-</v>
      </c>
    </row>
    <row r="93" spans="1:25" ht="15" customHeight="1" thickBot="1" x14ac:dyDescent="0.4">
      <c r="A93" s="94" t="str">
        <f>rengøring!A93</f>
        <v>mandag</v>
      </c>
      <c r="B93" s="90">
        <f>rengøring!B93</f>
        <v>46230</v>
      </c>
      <c r="C93" s="9"/>
      <c r="D93" s="95" t="str">
        <f>IF(booking!AB93&gt;0,"Y","-")</f>
        <v>Y</v>
      </c>
      <c r="E93" s="102">
        <f>IF(AND(D93="Y",booking!D93&lt;&gt;booking!E93,booking!E93&gt;0),booking!E93,"-")</f>
        <v>55</v>
      </c>
      <c r="F93" s="84">
        <f>IFERROR(VLOOKUP(E93,Database!$A$2:$L$175,8,FALSE),"-")</f>
        <v>0</v>
      </c>
      <c r="G93" s="84" t="str">
        <f>IFERROR(VLOOKUP(E93,Database!$A$2:$L$175,6,FALSE),"-")</f>
        <v>DK</v>
      </c>
      <c r="H93" s="100">
        <f>IFERROR(VLOOKUP(E93,Database!$A$2:$L$175,9,FALSE),"-")</f>
        <v>0</v>
      </c>
      <c r="I93" s="119"/>
      <c r="J93" s="103" t="str">
        <f>IF(AND(D93="Y",booking!H93&lt;&gt;booking!I93,booking!I93&gt;0),booking!I93,"-")</f>
        <v>-</v>
      </c>
      <c r="K93" s="84" t="str">
        <f>IFERROR(VLOOKUP(J93,Database!$A$2:$L$175,8,FALSE),"-")</f>
        <v>-</v>
      </c>
      <c r="L93" s="84" t="str">
        <f>IFERROR(VLOOKUP(J93,Database!$A$2:$L$175,6,FALSE),"-")</f>
        <v>-</v>
      </c>
      <c r="M93" s="100" t="str">
        <f>IFERROR(VLOOKUP(J93,Database!$A$2:$L$175,9,FALSE),"-")</f>
        <v>-</v>
      </c>
      <c r="N93" s="103">
        <f>IF(AND(D93="Y",booking!L93&lt;&gt;booking!M93,booking!M93&gt;0),booking!M93,"-")</f>
        <v>30</v>
      </c>
      <c r="O93" s="84">
        <f>IFERROR(VLOOKUP(N93,Database!$A$2:$L$175,8,FALSE),"-")</f>
        <v>0</v>
      </c>
      <c r="P93" s="84" t="str">
        <f>IFERROR(VLOOKUP(N93,Database!$A$2:$L$175,6,FALSE),"-")</f>
        <v>DK</v>
      </c>
      <c r="Q93" s="88">
        <f>IFERROR(VLOOKUP(N93,Database!$A$2:$L$175,9,FALSE),"-")</f>
        <v>0</v>
      </c>
      <c r="R93" s="104" t="str">
        <f>IF(AND(D93="Y",booking!P93&lt;&gt;booking!Q93,booking!Q93&gt;0),booking!Q93,"-")</f>
        <v>-</v>
      </c>
      <c r="S93" s="84" t="str">
        <f>IFERROR(VLOOKUP(R93,Database!$A$2:$L$175,8,FALSE),"-")</f>
        <v>-</v>
      </c>
      <c r="T93" s="84" t="str">
        <f>IFERROR(VLOOKUP(R93,Database!$A$2:$L$175,6,FALSE),"-")</f>
        <v>-</v>
      </c>
      <c r="U93" s="88" t="str">
        <f>IFERROR(VLOOKUP(R93,Database!$A$2:$L$175,9,FALSE),"-")</f>
        <v>-</v>
      </c>
      <c r="V93" s="103" t="str">
        <f>IF(AND(D93="Y",booking!T93&lt;&gt;booking!U93,booking!U93&gt;0),booking!U93,"-")</f>
        <v>-</v>
      </c>
      <c r="W93" s="85" t="str">
        <f>IFERROR(VLOOKUP(V93,Database!$A$2:$L$175,8,FALSE),"-")</f>
        <v>-</v>
      </c>
      <c r="X93" s="85" t="str">
        <f>IFERROR(VLOOKUP(V93,Database!$A$2:$L$175,6,FALSE),"-")</f>
        <v>-</v>
      </c>
      <c r="Y93" s="87" t="str">
        <f>IFERROR(VLOOKUP(V93,Database!$A$2:$L$175,9,FALSE),"-")</f>
        <v>-</v>
      </c>
    </row>
    <row r="94" spans="1:25" ht="15" customHeight="1" thickBot="1" x14ac:dyDescent="0.4">
      <c r="A94" s="94" t="str">
        <f>rengøring!A94</f>
        <v>tirsdag</v>
      </c>
      <c r="B94" s="90">
        <f>rengøring!B94</f>
        <v>46231</v>
      </c>
      <c r="C94" s="9"/>
      <c r="D94" s="95" t="str">
        <f>IF(booking!AB94&gt;0,"Y","-")</f>
        <v>-</v>
      </c>
      <c r="E94" s="102" t="str">
        <f>IF(AND(D94="Y",booking!D94&lt;&gt;booking!E94,booking!E94&gt;0),booking!E94,"-")</f>
        <v>-</v>
      </c>
      <c r="F94" s="84" t="str">
        <f>IFERROR(VLOOKUP(E94,Database!$A$2:$L$175,8,FALSE),"-")</f>
        <v>-</v>
      </c>
      <c r="G94" s="84" t="str">
        <f>IFERROR(VLOOKUP(E94,Database!$A$2:$L$175,6,FALSE),"-")</f>
        <v>-</v>
      </c>
      <c r="H94" s="100" t="str">
        <f>IFERROR(VLOOKUP(E94,Database!$A$2:$L$175,9,FALSE),"-")</f>
        <v>-</v>
      </c>
      <c r="I94" s="119"/>
      <c r="J94" s="103" t="str">
        <f>IF(AND(D94="Y",booking!H94&lt;&gt;booking!I94,booking!I94&gt;0),booking!I94,"-")</f>
        <v>-</v>
      </c>
      <c r="K94" s="84" t="str">
        <f>IFERROR(VLOOKUP(J94,Database!$A$2:$L$175,8,FALSE),"-")</f>
        <v>-</v>
      </c>
      <c r="L94" s="84" t="str">
        <f>IFERROR(VLOOKUP(J94,Database!$A$2:$L$175,6,FALSE),"-")</f>
        <v>-</v>
      </c>
      <c r="M94" s="100" t="str">
        <f>IFERROR(VLOOKUP(J94,Database!$A$2:$L$175,9,FALSE),"-")</f>
        <v>-</v>
      </c>
      <c r="N94" s="103" t="str">
        <f>IF(AND(D94="Y",booking!L94&lt;&gt;booking!M94,booking!M94&gt;0),booking!M94,"-")</f>
        <v>-</v>
      </c>
      <c r="O94" s="84" t="str">
        <f>IFERROR(VLOOKUP(N94,Database!$A$2:$L$175,8,FALSE),"-")</f>
        <v>-</v>
      </c>
      <c r="P94" s="84" t="str">
        <f>IFERROR(VLOOKUP(N94,Database!$A$2:$L$175,6,FALSE),"-")</f>
        <v>-</v>
      </c>
      <c r="Q94" s="88" t="str">
        <f>IFERROR(VLOOKUP(N94,Database!$A$2:$L$175,9,FALSE),"-")</f>
        <v>-</v>
      </c>
      <c r="R94" s="104" t="str">
        <f>IF(AND(D94="Y",booking!P94&lt;&gt;booking!Q94,booking!Q94&gt;0),booking!Q94,"-")</f>
        <v>-</v>
      </c>
      <c r="S94" s="84" t="str">
        <f>IFERROR(VLOOKUP(R94,Database!$A$2:$L$175,8,FALSE),"-")</f>
        <v>-</v>
      </c>
      <c r="T94" s="84" t="str">
        <f>IFERROR(VLOOKUP(R94,Database!$A$2:$L$175,6,FALSE),"-")</f>
        <v>-</v>
      </c>
      <c r="U94" s="88" t="str">
        <f>IFERROR(VLOOKUP(R94,Database!$A$2:$L$175,9,FALSE),"-")</f>
        <v>-</v>
      </c>
      <c r="V94" s="103" t="str">
        <f>IF(AND(D94="Y",booking!T94&lt;&gt;booking!U94,booking!U94&gt;0),booking!U94,"-")</f>
        <v>-</v>
      </c>
      <c r="W94" s="85" t="str">
        <f>IFERROR(VLOOKUP(V94,Database!$A$2:$L$175,8,FALSE),"-")</f>
        <v>-</v>
      </c>
      <c r="X94" s="85" t="str">
        <f>IFERROR(VLOOKUP(V94,Database!$A$2:$L$175,6,FALSE),"-")</f>
        <v>-</v>
      </c>
      <c r="Y94" s="87" t="str">
        <f>IFERROR(VLOOKUP(V94,Database!$A$2:$L$175,9,FALSE),"-")</f>
        <v>-</v>
      </c>
    </row>
    <row r="95" spans="1:25" ht="15" customHeight="1" thickBot="1" x14ac:dyDescent="0.4">
      <c r="A95" s="94" t="str">
        <f>rengøring!A95</f>
        <v>onsdag</v>
      </c>
      <c r="B95" s="90">
        <f>rengøring!B95</f>
        <v>46232</v>
      </c>
      <c r="C95" s="9"/>
      <c r="D95" s="95" t="str">
        <f>IF(booking!AB95&gt;0,"Y","-")</f>
        <v>Y</v>
      </c>
      <c r="E95" s="102" t="str">
        <f>IF(AND(D95="Y",booking!D95&lt;&gt;booking!E95,booking!E95&gt;0),booking!E95,"-")</f>
        <v>-</v>
      </c>
      <c r="F95" s="84" t="str">
        <f>IFERROR(VLOOKUP(E95,Database!$A$2:$L$175,8,FALSE),"-")</f>
        <v>-</v>
      </c>
      <c r="G95" s="84" t="str">
        <f>IFERROR(VLOOKUP(E95,Database!$A$2:$L$175,6,FALSE),"-")</f>
        <v>-</v>
      </c>
      <c r="H95" s="100" t="str">
        <f>IFERROR(VLOOKUP(E95,Database!$A$2:$L$175,9,FALSE),"-")</f>
        <v>-</v>
      </c>
      <c r="I95" s="119"/>
      <c r="J95" s="103" t="str">
        <f>IF(AND(D95="Y",booking!H95&lt;&gt;booking!I95,booking!I95&gt;0),booking!I95,"-")</f>
        <v>-</v>
      </c>
      <c r="K95" s="84" t="str">
        <f>IFERROR(VLOOKUP(J95,Database!$A$2:$L$175,8,FALSE),"-")</f>
        <v>-</v>
      </c>
      <c r="L95" s="84" t="str">
        <f>IFERROR(VLOOKUP(J95,Database!$A$2:$L$175,6,FALSE),"-")</f>
        <v>-</v>
      </c>
      <c r="M95" s="100" t="str">
        <f>IFERROR(VLOOKUP(J95,Database!$A$2:$L$175,9,FALSE),"-")</f>
        <v>-</v>
      </c>
      <c r="N95" s="103" t="str">
        <f>IF(AND(D95="Y",booking!L95&lt;&gt;booking!M95,booking!M95&gt;0),booking!M95,"-")</f>
        <v>-</v>
      </c>
      <c r="O95" s="84" t="str">
        <f>IFERROR(VLOOKUP(N95,Database!$A$2:$L$175,8,FALSE),"-")</f>
        <v>-</v>
      </c>
      <c r="P95" s="84" t="str">
        <f>IFERROR(VLOOKUP(N95,Database!$A$2:$L$175,6,FALSE),"-")</f>
        <v>-</v>
      </c>
      <c r="Q95" s="88" t="str">
        <f>IFERROR(VLOOKUP(N95,Database!$A$2:$L$175,9,FALSE),"-")</f>
        <v>-</v>
      </c>
      <c r="R95" s="104">
        <f>IF(AND(D95="Y",booking!P95&lt;&gt;booking!Q95,booking!Q95&gt;0),booking!Q95,"-")</f>
        <v>57</v>
      </c>
      <c r="S95" s="84">
        <f>IFERROR(VLOOKUP(R95,Database!$A$2:$L$175,8,FALSE),"-")</f>
        <v>0</v>
      </c>
      <c r="T95" s="84" t="str">
        <f>IFERROR(VLOOKUP(R95,Database!$A$2:$L$175,6,FALSE),"-")</f>
        <v>S</v>
      </c>
      <c r="U95" s="88">
        <f>IFERROR(VLOOKUP(R95,Database!$A$2:$L$175,9,FALSE),"-")</f>
        <v>0</v>
      </c>
      <c r="V95" s="103" t="str">
        <f>IF(AND(D95="Y",booking!T95&lt;&gt;booking!U95,booking!U95&gt;0),booking!U95,"-")</f>
        <v>-</v>
      </c>
      <c r="W95" s="85" t="str">
        <f>IFERROR(VLOOKUP(V95,Database!$A$2:$L$175,8,FALSE),"-")</f>
        <v>-</v>
      </c>
      <c r="X95" s="85" t="str">
        <f>IFERROR(VLOOKUP(V95,Database!$A$2:$L$175,6,FALSE),"-")</f>
        <v>-</v>
      </c>
      <c r="Y95" s="87" t="str">
        <f>IFERROR(VLOOKUP(V95,Database!$A$2:$L$175,9,FALSE),"-")</f>
        <v>-</v>
      </c>
    </row>
    <row r="96" spans="1:25" ht="15" customHeight="1" thickBot="1" x14ac:dyDescent="0.4">
      <c r="A96" s="94" t="str">
        <f>rengøring!A96</f>
        <v>torsdag</v>
      </c>
      <c r="B96" s="90">
        <f>rengøring!B96</f>
        <v>46233</v>
      </c>
      <c r="C96" s="9"/>
      <c r="D96" s="95" t="str">
        <f>IF(booking!AB96&gt;0,"Y","-")</f>
        <v>-</v>
      </c>
      <c r="E96" s="102" t="str">
        <f>IF(AND(D96="Y",booking!D96&lt;&gt;booking!E96,booking!E96&gt;0),booking!E96,"-")</f>
        <v>-</v>
      </c>
      <c r="F96" s="84" t="str">
        <f>IFERROR(VLOOKUP(E96,Database!$A$2:$L$175,8,FALSE),"-")</f>
        <v>-</v>
      </c>
      <c r="G96" s="84" t="str">
        <f>IFERROR(VLOOKUP(E96,Database!$A$2:$L$175,6,FALSE),"-")</f>
        <v>-</v>
      </c>
      <c r="H96" s="100" t="str">
        <f>IFERROR(VLOOKUP(E96,Database!$A$2:$L$175,9,FALSE),"-")</f>
        <v>-</v>
      </c>
      <c r="I96" s="119"/>
      <c r="J96" s="103" t="str">
        <f>IF(AND(D96="Y",booking!H96&lt;&gt;booking!I96,booking!I96&gt;0),booking!I96,"-")</f>
        <v>-</v>
      </c>
      <c r="K96" s="84" t="str">
        <f>IFERROR(VLOOKUP(J96,Database!$A$2:$L$175,8,FALSE),"-")</f>
        <v>-</v>
      </c>
      <c r="L96" s="84" t="str">
        <f>IFERROR(VLOOKUP(J96,Database!$A$2:$L$175,6,FALSE),"-")</f>
        <v>-</v>
      </c>
      <c r="M96" s="100" t="str">
        <f>IFERROR(VLOOKUP(J96,Database!$A$2:$L$175,9,FALSE),"-")</f>
        <v>-</v>
      </c>
      <c r="N96" s="103" t="str">
        <f>IF(AND(D96="Y",booking!L96&lt;&gt;booking!M96,booking!M96&gt;0),booking!M96,"-")</f>
        <v>-</v>
      </c>
      <c r="O96" s="84" t="str">
        <f>IFERROR(VLOOKUP(N96,Database!$A$2:$L$175,8,FALSE),"-")</f>
        <v>-</v>
      </c>
      <c r="P96" s="84" t="str">
        <f>IFERROR(VLOOKUP(N96,Database!$A$2:$L$175,6,FALSE),"-")</f>
        <v>-</v>
      </c>
      <c r="Q96" s="88" t="str">
        <f>IFERROR(VLOOKUP(N96,Database!$A$2:$L$175,9,FALSE),"-")</f>
        <v>-</v>
      </c>
      <c r="R96" s="104" t="str">
        <f>IF(AND(D96="Y",booking!P96&lt;&gt;booking!Q96,booking!Q96&gt;0),booking!Q96,"-")</f>
        <v>-</v>
      </c>
      <c r="S96" s="84" t="str">
        <f>IFERROR(VLOOKUP(R96,Database!$A$2:$L$175,8,FALSE),"-")</f>
        <v>-</v>
      </c>
      <c r="T96" s="84" t="str">
        <f>IFERROR(VLOOKUP(R96,Database!$A$2:$L$175,6,FALSE),"-")</f>
        <v>-</v>
      </c>
      <c r="U96" s="88" t="str">
        <f>IFERROR(VLOOKUP(R96,Database!$A$2:$L$175,9,FALSE),"-")</f>
        <v>-</v>
      </c>
      <c r="V96" s="103" t="str">
        <f>IF(AND(D96="Y",booking!T96&lt;&gt;booking!U96,booking!U96&gt;0),booking!U96,"-")</f>
        <v>-</v>
      </c>
      <c r="W96" s="85" t="str">
        <f>IFERROR(VLOOKUP(V96,Database!$A$2:$L$175,8,FALSE),"-")</f>
        <v>-</v>
      </c>
      <c r="X96" s="85" t="str">
        <f>IFERROR(VLOOKUP(V96,Database!$A$2:$L$175,6,FALSE),"-")</f>
        <v>-</v>
      </c>
      <c r="Y96" s="87" t="str">
        <f>IFERROR(VLOOKUP(V96,Database!$A$2:$L$175,9,FALSE),"-")</f>
        <v>-</v>
      </c>
    </row>
    <row r="97" spans="1:25" ht="15" customHeight="1" thickBot="1" x14ac:dyDescent="0.4">
      <c r="A97" s="94" t="str">
        <f>rengøring!A97</f>
        <v>fredag</v>
      </c>
      <c r="B97" s="90">
        <f>rengøring!B97</f>
        <v>46234</v>
      </c>
      <c r="C97" s="9"/>
      <c r="D97" s="95" t="str">
        <f>IF(booking!AB97&gt;0,"Y","-")</f>
        <v>-</v>
      </c>
      <c r="E97" s="102" t="str">
        <f>IF(AND(D97="Y",booking!D97&lt;&gt;booking!E97,booking!E97&gt;0),booking!E97,"-")</f>
        <v>-</v>
      </c>
      <c r="F97" s="84" t="str">
        <f>IFERROR(VLOOKUP(E97,Database!$A$2:$L$175,8,FALSE),"-")</f>
        <v>-</v>
      </c>
      <c r="G97" s="84" t="str">
        <f>IFERROR(VLOOKUP(E97,Database!$A$2:$L$175,6,FALSE),"-")</f>
        <v>-</v>
      </c>
      <c r="H97" s="100" t="str">
        <f>IFERROR(VLOOKUP(E97,Database!$A$2:$L$175,9,FALSE),"-")</f>
        <v>-</v>
      </c>
      <c r="I97" s="119"/>
      <c r="J97" s="103" t="str">
        <f>IF(AND(D97="Y",booking!H97&lt;&gt;booking!I97,booking!I97&gt;0),booking!I97,"-")</f>
        <v>-</v>
      </c>
      <c r="K97" s="84" t="str">
        <f>IFERROR(VLOOKUP(J97,Database!$A$2:$L$175,8,FALSE),"-")</f>
        <v>-</v>
      </c>
      <c r="L97" s="84" t="str">
        <f>IFERROR(VLOOKUP(J97,Database!$A$2:$L$175,6,FALSE),"-")</f>
        <v>-</v>
      </c>
      <c r="M97" s="100" t="str">
        <f>IFERROR(VLOOKUP(J97,Database!$A$2:$L$175,9,FALSE),"-")</f>
        <v>-</v>
      </c>
      <c r="N97" s="103" t="str">
        <f>IF(AND(D97="Y",booking!L97&lt;&gt;booking!M97,booking!M97&gt;0),booking!M97,"-")</f>
        <v>-</v>
      </c>
      <c r="O97" s="84" t="str">
        <f>IFERROR(VLOOKUP(N97,Database!$A$2:$L$175,8,FALSE),"-")</f>
        <v>-</v>
      </c>
      <c r="P97" s="84" t="str">
        <f>IFERROR(VLOOKUP(N97,Database!$A$2:$L$175,6,FALSE),"-")</f>
        <v>-</v>
      </c>
      <c r="Q97" s="88" t="str">
        <f>IFERROR(VLOOKUP(N97,Database!$A$2:$L$175,9,FALSE),"-")</f>
        <v>-</v>
      </c>
      <c r="R97" s="104" t="str">
        <f>IF(AND(D97="Y",booking!P97&lt;&gt;booking!Q97,booking!Q97&gt;0),booking!Q97,"-")</f>
        <v>-</v>
      </c>
      <c r="S97" s="84" t="str">
        <f>IFERROR(VLOOKUP(R97,Database!$A$2:$L$175,8,FALSE),"-")</f>
        <v>-</v>
      </c>
      <c r="T97" s="84" t="str">
        <f>IFERROR(VLOOKUP(R97,Database!$A$2:$L$175,6,FALSE),"-")</f>
        <v>-</v>
      </c>
      <c r="U97" s="88" t="str">
        <f>IFERROR(VLOOKUP(R97,Database!$A$2:$L$175,9,FALSE),"-")</f>
        <v>-</v>
      </c>
      <c r="V97" s="103" t="str">
        <f>IF(AND(D97="Y",booking!T97&lt;&gt;booking!U97,booking!U97&gt;0),booking!U97,"-")</f>
        <v>-</v>
      </c>
      <c r="W97" s="85" t="str">
        <f>IFERROR(VLOOKUP(V97,Database!$A$2:$L$175,8,FALSE),"-")</f>
        <v>-</v>
      </c>
      <c r="X97" s="85" t="str">
        <f>IFERROR(VLOOKUP(V97,Database!$A$2:$L$175,6,FALSE),"-")</f>
        <v>-</v>
      </c>
      <c r="Y97" s="87" t="str">
        <f>IFERROR(VLOOKUP(V97,Database!$A$2:$L$175,9,FALSE),"-")</f>
        <v>-</v>
      </c>
    </row>
    <row r="98" spans="1:25" ht="15" customHeight="1" thickBot="1" x14ac:dyDescent="0.4">
      <c r="A98" s="94" t="str">
        <f>rengøring!A98</f>
        <v>lørdag</v>
      </c>
      <c r="B98" s="90">
        <f>rengøring!B98</f>
        <v>46235</v>
      </c>
      <c r="C98" s="9"/>
      <c r="D98" s="95" t="str">
        <f>IF(booking!AB98&gt;0,"Y","-")</f>
        <v>-</v>
      </c>
      <c r="E98" s="102" t="str">
        <f>IF(AND(D98="Y",booking!D98&lt;&gt;booking!E98,booking!E98&gt;0),booking!E98,"-")</f>
        <v>-</v>
      </c>
      <c r="F98" s="84" t="str">
        <f>IFERROR(VLOOKUP(E98,Database!$A$2:$L$175,8,FALSE),"-")</f>
        <v>-</v>
      </c>
      <c r="G98" s="84" t="str">
        <f>IFERROR(VLOOKUP(E98,Database!$A$2:$L$175,6,FALSE),"-")</f>
        <v>-</v>
      </c>
      <c r="H98" s="100" t="str">
        <f>IFERROR(VLOOKUP(E98,Database!$A$2:$L$175,9,FALSE),"-")</f>
        <v>-</v>
      </c>
      <c r="I98" s="119"/>
      <c r="J98" s="103" t="str">
        <f>IF(AND(D98="Y",booking!H98&lt;&gt;booking!I98,booking!I98&gt;0),booking!I98,"-")</f>
        <v>-</v>
      </c>
      <c r="K98" s="84" t="str">
        <f>IFERROR(VLOOKUP(J98,Database!$A$2:$L$175,8,FALSE),"-")</f>
        <v>-</v>
      </c>
      <c r="L98" s="84" t="str">
        <f>IFERROR(VLOOKUP(J98,Database!$A$2:$L$175,6,FALSE),"-")</f>
        <v>-</v>
      </c>
      <c r="M98" s="100" t="str">
        <f>IFERROR(VLOOKUP(J98,Database!$A$2:$L$175,9,FALSE),"-")</f>
        <v>-</v>
      </c>
      <c r="N98" s="103" t="str">
        <f>IF(AND(D98="Y",booking!L98&lt;&gt;booking!M98,booking!M98&gt;0),booking!M98,"-")</f>
        <v>-</v>
      </c>
      <c r="O98" s="84" t="str">
        <f>IFERROR(VLOOKUP(N98,Database!$A$2:$L$175,8,FALSE),"-")</f>
        <v>-</v>
      </c>
      <c r="P98" s="84" t="str">
        <f>IFERROR(VLOOKUP(N98,Database!$A$2:$L$175,6,FALSE),"-")</f>
        <v>-</v>
      </c>
      <c r="Q98" s="88" t="str">
        <f>IFERROR(VLOOKUP(N98,Database!$A$2:$L$175,9,FALSE),"-")</f>
        <v>-</v>
      </c>
      <c r="R98" s="104" t="str">
        <f>IF(AND(D98="Y",booking!P98&lt;&gt;booking!Q98,booking!Q98&gt;0),booking!Q98,"-")</f>
        <v>-</v>
      </c>
      <c r="S98" s="84" t="str">
        <f>IFERROR(VLOOKUP(R98,Database!$A$2:$L$175,8,FALSE),"-")</f>
        <v>-</v>
      </c>
      <c r="T98" s="84" t="str">
        <f>IFERROR(VLOOKUP(R98,Database!$A$2:$L$175,6,FALSE),"-")</f>
        <v>-</v>
      </c>
      <c r="U98" s="88" t="str">
        <f>IFERROR(VLOOKUP(R98,Database!$A$2:$L$175,9,FALSE),"-")</f>
        <v>-</v>
      </c>
      <c r="V98" s="103" t="str">
        <f>IF(AND(D98="Y",booking!T98&lt;&gt;booking!U98,booking!U98&gt;0),booking!U98,"-")</f>
        <v>-</v>
      </c>
      <c r="W98" s="85" t="str">
        <f>IFERROR(VLOOKUP(V98,Database!$A$2:$L$175,8,FALSE),"-")</f>
        <v>-</v>
      </c>
      <c r="X98" s="85" t="str">
        <f>IFERROR(VLOOKUP(V98,Database!$A$2:$L$175,6,FALSE),"-")</f>
        <v>-</v>
      </c>
      <c r="Y98" s="87" t="str">
        <f>IFERROR(VLOOKUP(V98,Database!$A$2:$L$175,9,FALSE),"-")</f>
        <v>-</v>
      </c>
    </row>
    <row r="99" spans="1:25" ht="15" customHeight="1" thickBot="1" x14ac:dyDescent="0.4">
      <c r="A99" s="94" t="str">
        <f>rengøring!A99</f>
        <v>søndag</v>
      </c>
      <c r="B99" s="90">
        <f>rengøring!B99</f>
        <v>46236</v>
      </c>
      <c r="C99" s="9"/>
      <c r="D99" s="95" t="str">
        <f>IF(booking!AB99&gt;0,"Y","-")</f>
        <v>Y</v>
      </c>
      <c r="E99" s="102" t="str">
        <f>IF(AND(D99="Y",booking!D99&lt;&gt;booking!E99,booking!E99&gt;0),booking!E99,"-")</f>
        <v>-</v>
      </c>
      <c r="F99" s="84" t="str">
        <f>IFERROR(VLOOKUP(E99,Database!$A$2:$L$175,8,FALSE),"-")</f>
        <v>-</v>
      </c>
      <c r="G99" s="84" t="str">
        <f>IFERROR(VLOOKUP(E99,Database!$A$2:$L$175,6,FALSE),"-")</f>
        <v>-</v>
      </c>
      <c r="H99" s="100" t="str">
        <f>IFERROR(VLOOKUP(E99,Database!$A$2:$L$175,9,FALSE),"-")</f>
        <v>-</v>
      </c>
      <c r="I99" s="119"/>
      <c r="J99" s="103">
        <f>IF(AND(D99="Y",booking!H99&lt;&gt;booking!I99,booking!I99&gt;0),booking!I99,"-")</f>
        <v>74</v>
      </c>
      <c r="K99" s="84">
        <f>IFERROR(VLOOKUP(J99,Database!$A$2:$L$175,8,FALSE),"-")</f>
        <v>0</v>
      </c>
      <c r="L99" s="84" t="str">
        <f>IFERROR(VLOOKUP(J99,Database!$A$2:$L$175,6,FALSE),"-")</f>
        <v>DK</v>
      </c>
      <c r="M99" s="100">
        <f>IFERROR(VLOOKUP(J99,Database!$A$2:$L$175,9,FALSE),"-")</f>
        <v>0</v>
      </c>
      <c r="N99" s="103">
        <f>IF(AND(D99="Y",booking!L99&lt;&gt;booking!M99,booking!M99&gt;0),booking!M99,"-")</f>
        <v>74</v>
      </c>
      <c r="O99" s="84">
        <f>IFERROR(VLOOKUP(N99,Database!$A$2:$L$175,8,FALSE),"-")</f>
        <v>0</v>
      </c>
      <c r="P99" s="84" t="str">
        <f>IFERROR(VLOOKUP(N99,Database!$A$2:$L$175,6,FALSE),"-")</f>
        <v>DK</v>
      </c>
      <c r="Q99" s="88">
        <f>IFERROR(VLOOKUP(N99,Database!$A$2:$L$175,9,FALSE),"-")</f>
        <v>0</v>
      </c>
      <c r="R99" s="104" t="str">
        <f>IF(AND(D99="Y",booking!P99&lt;&gt;booking!Q99,booking!Q99&gt;0),booking!Q99,"-")</f>
        <v>-</v>
      </c>
      <c r="S99" s="84" t="str">
        <f>IFERROR(VLOOKUP(R99,Database!$A$2:$L$175,8,FALSE),"-")</f>
        <v>-</v>
      </c>
      <c r="T99" s="84" t="str">
        <f>IFERROR(VLOOKUP(R99,Database!$A$2:$L$175,6,FALSE),"-")</f>
        <v>-</v>
      </c>
      <c r="U99" s="88" t="str">
        <f>IFERROR(VLOOKUP(R99,Database!$A$2:$L$175,9,FALSE),"-")</f>
        <v>-</v>
      </c>
      <c r="V99" s="103" t="str">
        <f>IF(AND(D99="Y",booking!T99&lt;&gt;booking!U99,booking!U99&gt;0),booking!U99,"-")</f>
        <v>-</v>
      </c>
      <c r="W99" s="85" t="str">
        <f>IFERROR(VLOOKUP(V99,Database!$A$2:$L$175,8,FALSE),"-")</f>
        <v>-</v>
      </c>
      <c r="X99" s="85" t="str">
        <f>IFERROR(VLOOKUP(V99,Database!$A$2:$L$175,6,FALSE),"-")</f>
        <v>-</v>
      </c>
      <c r="Y99" s="87" t="str">
        <f>IFERROR(VLOOKUP(V99,Database!$A$2:$L$175,9,FALSE),"-")</f>
        <v>-</v>
      </c>
    </row>
    <row r="100" spans="1:25" ht="15" customHeight="1" thickBot="1" x14ac:dyDescent="0.4">
      <c r="A100" s="94" t="str">
        <f>rengøring!A100</f>
        <v>mandag</v>
      </c>
      <c r="B100" s="90">
        <f>rengøring!B100</f>
        <v>46237</v>
      </c>
      <c r="C100" s="9"/>
      <c r="D100" s="95" t="str">
        <f>IF(booking!AB100&gt;0,"Y","-")</f>
        <v>Y</v>
      </c>
      <c r="E100" s="102">
        <f>IF(AND(D100="Y",booking!D100&lt;&gt;booking!E100,booking!E100&gt;0),booking!E100,"-")</f>
        <v>11</v>
      </c>
      <c r="F100" s="84">
        <f>IFERROR(VLOOKUP(E100,Database!$A$2:$L$175,8,FALSE),"-")</f>
        <v>0</v>
      </c>
      <c r="G100" s="84" t="str">
        <f>IFERROR(VLOOKUP(E100,Database!$A$2:$L$175,6,FALSE),"-")</f>
        <v>D</v>
      </c>
      <c r="H100" s="100">
        <f>IFERROR(VLOOKUP(E100,Database!$A$2:$L$175,9,FALSE),"-")</f>
        <v>0</v>
      </c>
      <c r="I100" s="119"/>
      <c r="J100" s="103" t="str">
        <f>IF(AND(D100="Y",booking!H100&lt;&gt;booking!I100,booking!I100&gt;0),booking!I100,"-")</f>
        <v>-</v>
      </c>
      <c r="K100" s="84" t="str">
        <f>IFERROR(VLOOKUP(J100,Database!$A$2:$L$175,8,FALSE),"-")</f>
        <v>-</v>
      </c>
      <c r="L100" s="84" t="str">
        <f>IFERROR(VLOOKUP(J100,Database!$A$2:$L$175,6,FALSE),"-")</f>
        <v>-</v>
      </c>
      <c r="M100" s="100" t="str">
        <f>IFERROR(VLOOKUP(J100,Database!$A$2:$L$175,9,FALSE),"-")</f>
        <v>-</v>
      </c>
      <c r="N100" s="103" t="str">
        <f>IF(AND(D100="Y",booking!L100&lt;&gt;booking!M100,booking!M100&gt;0),booking!M100,"-")</f>
        <v>-</v>
      </c>
      <c r="O100" s="84" t="str">
        <f>IFERROR(VLOOKUP(N100,Database!$A$2:$L$175,8,FALSE),"-")</f>
        <v>-</v>
      </c>
      <c r="P100" s="84" t="str">
        <f>IFERROR(VLOOKUP(N100,Database!$A$2:$L$175,6,FALSE),"-")</f>
        <v>-</v>
      </c>
      <c r="Q100" s="88" t="str">
        <f>IFERROR(VLOOKUP(N100,Database!$A$2:$L$175,9,FALSE),"-")</f>
        <v>-</v>
      </c>
      <c r="R100" s="104" t="str">
        <f>IF(AND(D100="Y",booking!P100&lt;&gt;booking!Q100,booking!Q100&gt;0),booking!Q100,"-")</f>
        <v>-</v>
      </c>
      <c r="S100" s="84" t="str">
        <f>IFERROR(VLOOKUP(R100,Database!$A$2:$L$175,8,FALSE),"-")</f>
        <v>-</v>
      </c>
      <c r="T100" s="84" t="str">
        <f>IFERROR(VLOOKUP(R100,Database!$A$2:$L$175,6,FALSE),"-")</f>
        <v>-</v>
      </c>
      <c r="U100" s="88" t="str">
        <f>IFERROR(VLOOKUP(R100,Database!$A$2:$L$175,9,FALSE),"-")</f>
        <v>-</v>
      </c>
      <c r="V100" s="103">
        <f>IF(AND(D100="Y",booking!T100&lt;&gt;booking!U100,booking!U100&gt;0),booking!U100,"-")</f>
        <v>50</v>
      </c>
      <c r="W100" s="85">
        <f>IFERROR(VLOOKUP(V100,Database!$A$2:$L$175,8,FALSE),"-")</f>
        <v>0</v>
      </c>
      <c r="X100" s="85" t="str">
        <f>IFERROR(VLOOKUP(V100,Database!$A$2:$L$175,6,FALSE),"-")</f>
        <v>DK</v>
      </c>
      <c r="Y100" s="87">
        <f>IFERROR(VLOOKUP(V100,Database!$A$2:$L$175,9,FALSE),"-")</f>
        <v>0</v>
      </c>
    </row>
    <row r="101" spans="1:25" ht="15" customHeight="1" thickBot="1" x14ac:dyDescent="0.4">
      <c r="A101" s="94" t="str">
        <f>rengøring!A101</f>
        <v>tirsdag</v>
      </c>
      <c r="B101" s="90">
        <f>rengøring!B101</f>
        <v>46238</v>
      </c>
      <c r="C101" s="9"/>
      <c r="D101" s="95" t="str">
        <f>IF(booking!AB101&gt;0,"Y","-")</f>
        <v>-</v>
      </c>
      <c r="E101" s="102" t="str">
        <f>IF(AND(D101="Y",booking!D101&lt;&gt;booking!E101,booking!E101&gt;0),booking!E101,"-")</f>
        <v>-</v>
      </c>
      <c r="F101" s="84" t="str">
        <f>IFERROR(VLOOKUP(E101,Database!$A$2:$L$175,8,FALSE),"-")</f>
        <v>-</v>
      </c>
      <c r="G101" s="84" t="str">
        <f>IFERROR(VLOOKUP(E101,Database!$A$2:$L$175,6,FALSE),"-")</f>
        <v>-</v>
      </c>
      <c r="H101" s="100" t="str">
        <f>IFERROR(VLOOKUP(E101,Database!$A$2:$L$175,9,FALSE),"-")</f>
        <v>-</v>
      </c>
      <c r="I101" s="119"/>
      <c r="J101" s="103" t="str">
        <f>IF(AND(D101="Y",booking!H101&lt;&gt;booking!I101,booking!I101&gt;0),booking!I101,"-")</f>
        <v>-</v>
      </c>
      <c r="K101" s="84" t="str">
        <f>IFERROR(VLOOKUP(J101,Database!$A$2:$L$175,8,FALSE),"-")</f>
        <v>-</v>
      </c>
      <c r="L101" s="84" t="str">
        <f>IFERROR(VLOOKUP(J101,Database!$A$2:$L$175,6,FALSE),"-")</f>
        <v>-</v>
      </c>
      <c r="M101" s="100" t="str">
        <f>IFERROR(VLOOKUP(J101,Database!$A$2:$L$175,9,FALSE),"-")</f>
        <v>-</v>
      </c>
      <c r="N101" s="103" t="str">
        <f>IF(AND(D101="Y",booking!L101&lt;&gt;booking!M101,booking!M101&gt;0),booking!M101,"-")</f>
        <v>-</v>
      </c>
      <c r="O101" s="84" t="str">
        <f>IFERROR(VLOOKUP(N101,Database!$A$2:$L$175,8,FALSE),"-")</f>
        <v>-</v>
      </c>
      <c r="P101" s="84" t="str">
        <f>IFERROR(VLOOKUP(N101,Database!$A$2:$L$175,6,FALSE),"-")</f>
        <v>-</v>
      </c>
      <c r="Q101" s="88" t="str">
        <f>IFERROR(VLOOKUP(N101,Database!$A$2:$L$175,9,FALSE),"-")</f>
        <v>-</v>
      </c>
      <c r="R101" s="104" t="str">
        <f>IF(AND(D101="Y",booking!P101&lt;&gt;booking!Q101,booking!Q101&gt;0),booking!Q101,"-")</f>
        <v>-</v>
      </c>
      <c r="S101" s="84" t="str">
        <f>IFERROR(VLOOKUP(R101,Database!$A$2:$L$175,8,FALSE),"-")</f>
        <v>-</v>
      </c>
      <c r="T101" s="84" t="str">
        <f>IFERROR(VLOOKUP(R101,Database!$A$2:$L$175,6,FALSE),"-")</f>
        <v>-</v>
      </c>
      <c r="U101" s="88" t="str">
        <f>IFERROR(VLOOKUP(R101,Database!$A$2:$L$175,9,FALSE),"-")</f>
        <v>-</v>
      </c>
      <c r="V101" s="103" t="str">
        <f>IF(AND(D101="Y",booking!T101&lt;&gt;booking!U101,booking!U101&gt;0),booking!U101,"-")</f>
        <v>-</v>
      </c>
      <c r="W101" s="85" t="str">
        <f>IFERROR(VLOOKUP(V101,Database!$A$2:$L$175,8,FALSE),"-")</f>
        <v>-</v>
      </c>
      <c r="X101" s="85" t="str">
        <f>IFERROR(VLOOKUP(V101,Database!$A$2:$L$175,6,FALSE),"-")</f>
        <v>-</v>
      </c>
      <c r="Y101" s="87" t="str">
        <f>IFERROR(VLOOKUP(V101,Database!$A$2:$L$175,9,FALSE),"-")</f>
        <v>-</v>
      </c>
    </row>
    <row r="102" spans="1:25" ht="15" customHeight="1" thickBot="1" x14ac:dyDescent="0.4">
      <c r="A102" s="94" t="str">
        <f>rengøring!A102</f>
        <v>onsdag</v>
      </c>
      <c r="B102" s="90">
        <f>rengøring!B102</f>
        <v>46239</v>
      </c>
      <c r="C102" s="9"/>
      <c r="D102" s="95" t="str">
        <f>IF(booking!AB102&gt;0,"Y","-")</f>
        <v>-</v>
      </c>
      <c r="E102" s="102" t="str">
        <f>IF(AND(D102="Y",booking!D102&lt;&gt;booking!E102,booking!E102&gt;0),booking!E102,"-")</f>
        <v>-</v>
      </c>
      <c r="F102" s="84" t="str">
        <f>IFERROR(VLOOKUP(E102,Database!$A$2:$L$175,8,FALSE),"-")</f>
        <v>-</v>
      </c>
      <c r="G102" s="84" t="str">
        <f>IFERROR(VLOOKUP(E102,Database!$A$2:$L$175,6,FALSE),"-")</f>
        <v>-</v>
      </c>
      <c r="H102" s="100" t="str">
        <f>IFERROR(VLOOKUP(E102,Database!$A$2:$L$175,9,FALSE),"-")</f>
        <v>-</v>
      </c>
      <c r="I102" s="119"/>
      <c r="J102" s="103" t="str">
        <f>IF(AND(D102="Y",booking!H102&lt;&gt;booking!I102,booking!I102&gt;0),booking!I102,"-")</f>
        <v>-</v>
      </c>
      <c r="K102" s="84" t="str">
        <f>IFERROR(VLOOKUP(J102,Database!$A$2:$L$175,8,FALSE),"-")</f>
        <v>-</v>
      </c>
      <c r="L102" s="84" t="str">
        <f>IFERROR(VLOOKUP(J102,Database!$A$2:$L$175,6,FALSE),"-")</f>
        <v>-</v>
      </c>
      <c r="M102" s="100" t="str">
        <f>IFERROR(VLOOKUP(J102,Database!$A$2:$L$175,9,FALSE),"-")</f>
        <v>-</v>
      </c>
      <c r="N102" s="103" t="str">
        <f>IF(AND(D102="Y",booking!L102&lt;&gt;booking!M102,booking!M102&gt;0),booking!M102,"-")</f>
        <v>-</v>
      </c>
      <c r="O102" s="84" t="str">
        <f>IFERROR(VLOOKUP(N102,Database!$A$2:$L$175,8,FALSE),"-")</f>
        <v>-</v>
      </c>
      <c r="P102" s="84" t="str">
        <f>IFERROR(VLOOKUP(N102,Database!$A$2:$L$175,6,FALSE),"-")</f>
        <v>-</v>
      </c>
      <c r="Q102" s="88" t="str">
        <f>IFERROR(VLOOKUP(N102,Database!$A$2:$L$175,9,FALSE),"-")</f>
        <v>-</v>
      </c>
      <c r="R102" s="104" t="str">
        <f>IF(AND(D102="Y",booking!P102&lt;&gt;booking!Q102,booking!Q102&gt;0),booking!Q102,"-")</f>
        <v>-</v>
      </c>
      <c r="S102" s="84" t="str">
        <f>IFERROR(VLOOKUP(R102,Database!$A$2:$L$175,8,FALSE),"-")</f>
        <v>-</v>
      </c>
      <c r="T102" s="84" t="str">
        <f>IFERROR(VLOOKUP(R102,Database!$A$2:$L$175,6,FALSE),"-")</f>
        <v>-</v>
      </c>
      <c r="U102" s="88" t="str">
        <f>IFERROR(VLOOKUP(R102,Database!$A$2:$L$175,9,FALSE),"-")</f>
        <v>-</v>
      </c>
      <c r="V102" s="103" t="str">
        <f>IF(AND(D102="Y",booking!T102&lt;&gt;booking!U102,booking!U102&gt;0),booking!U102,"-")</f>
        <v>-</v>
      </c>
      <c r="W102" s="85" t="str">
        <f>IFERROR(VLOOKUP(V102,Database!$A$2:$L$175,8,FALSE),"-")</f>
        <v>-</v>
      </c>
      <c r="X102" s="85" t="str">
        <f>IFERROR(VLOOKUP(V102,Database!$A$2:$L$175,6,FALSE),"-")</f>
        <v>-</v>
      </c>
      <c r="Y102" s="87" t="str">
        <f>IFERROR(VLOOKUP(V102,Database!$A$2:$L$175,9,FALSE),"-")</f>
        <v>-</v>
      </c>
    </row>
    <row r="103" spans="1:25" ht="15" customHeight="1" thickBot="1" x14ac:dyDescent="0.4">
      <c r="A103" s="94" t="str">
        <f>rengøring!A103</f>
        <v>torsdag</v>
      </c>
      <c r="B103" s="90">
        <f>rengøring!B103</f>
        <v>46240</v>
      </c>
      <c r="C103" s="9"/>
      <c r="D103" s="95" t="str">
        <f>IF(booking!AB103&gt;0,"Y","-")</f>
        <v>Y</v>
      </c>
      <c r="E103" s="102" t="str">
        <f>IF(AND(D103="Y",booking!D103&lt;&gt;booking!E103,booking!E103&gt;0),booking!E103,"-")</f>
        <v>-</v>
      </c>
      <c r="F103" s="84" t="str">
        <f>IFERROR(VLOOKUP(E103,Database!$A$2:$L$175,8,FALSE),"-")</f>
        <v>-</v>
      </c>
      <c r="G103" s="84" t="str">
        <f>IFERROR(VLOOKUP(E103,Database!$A$2:$L$175,6,FALSE),"-")</f>
        <v>-</v>
      </c>
      <c r="H103" s="100" t="str">
        <f>IFERROR(VLOOKUP(E103,Database!$A$2:$L$175,9,FALSE),"-")</f>
        <v>-</v>
      </c>
      <c r="I103" s="119"/>
      <c r="J103" s="103">
        <f>IF(AND(D103="Y",booking!H103&lt;&gt;booking!I103,booking!I103&gt;0),booking!I103,"-")</f>
        <v>32</v>
      </c>
      <c r="K103" s="84">
        <f>IFERROR(VLOOKUP(J103,Database!$A$2:$L$175,8,FALSE),"-")</f>
        <v>0</v>
      </c>
      <c r="L103" s="84" t="str">
        <f>IFERROR(VLOOKUP(J103,Database!$A$2:$L$175,6,FALSE),"-")</f>
        <v>D</v>
      </c>
      <c r="M103" s="100">
        <f>IFERROR(VLOOKUP(J103,Database!$A$2:$L$175,9,FALSE),"-")</f>
        <v>0</v>
      </c>
      <c r="N103" s="103">
        <f>IF(AND(D103="Y",booking!L103&lt;&gt;booking!M103,booking!M103&gt;0),booking!M103,"-")</f>
        <v>33</v>
      </c>
      <c r="O103" s="84">
        <f>IFERROR(VLOOKUP(N103,Database!$A$2:$L$175,8,FALSE),"-")</f>
        <v>0</v>
      </c>
      <c r="P103" s="84" t="str">
        <f>IFERROR(VLOOKUP(N103,Database!$A$2:$L$175,6,FALSE),"-")</f>
        <v>D</v>
      </c>
      <c r="Q103" s="88">
        <f>IFERROR(VLOOKUP(N103,Database!$A$2:$L$175,9,FALSE),"-")</f>
        <v>0</v>
      </c>
      <c r="R103" s="104">
        <f>IF(AND(D103="Y",booking!P103&lt;&gt;booking!Q103,booking!Q103&gt;0),booking!Q103,"-")</f>
        <v>45</v>
      </c>
      <c r="S103" s="84">
        <f>IFERROR(VLOOKUP(R103,Database!$A$2:$L$175,8,FALSE),"-")</f>
        <v>0</v>
      </c>
      <c r="T103" s="84" t="str">
        <f>IFERROR(VLOOKUP(R103,Database!$A$2:$L$175,6,FALSE),"-")</f>
        <v>S</v>
      </c>
      <c r="U103" s="88">
        <f>IFERROR(VLOOKUP(R103,Database!$A$2:$L$175,9,FALSE),"-")</f>
        <v>0</v>
      </c>
      <c r="V103" s="103" t="str">
        <f>IF(AND(D103="Y",booking!T103&lt;&gt;booking!U103,booking!U103&gt;0),booking!U103,"-")</f>
        <v>-</v>
      </c>
      <c r="W103" s="85" t="str">
        <f>IFERROR(VLOOKUP(V103,Database!$A$2:$L$175,8,FALSE),"-")</f>
        <v>-</v>
      </c>
      <c r="X103" s="85" t="str">
        <f>IFERROR(VLOOKUP(V103,Database!$A$2:$L$175,6,FALSE),"-")</f>
        <v>-</v>
      </c>
      <c r="Y103" s="87" t="str">
        <f>IFERROR(VLOOKUP(V103,Database!$A$2:$L$175,9,FALSE),"-")</f>
        <v>-</v>
      </c>
    </row>
    <row r="104" spans="1:25" ht="15" customHeight="1" thickBot="1" x14ac:dyDescent="0.4">
      <c r="A104" s="94" t="str">
        <f>rengøring!A104</f>
        <v>fredag</v>
      </c>
      <c r="B104" s="90">
        <f>rengøring!B104</f>
        <v>46241</v>
      </c>
      <c r="C104" s="9"/>
      <c r="D104" s="95" t="str">
        <f>IF(booking!AB104&gt;0,"Y","-")</f>
        <v>-</v>
      </c>
      <c r="E104" s="102" t="str">
        <f>IF(AND(D104="Y",booking!D104&lt;&gt;booking!E104,booking!E104&gt;0),booking!E104,"-")</f>
        <v>-</v>
      </c>
      <c r="F104" s="84" t="str">
        <f>IFERROR(VLOOKUP(E104,Database!$A$2:$L$175,8,FALSE),"-")</f>
        <v>-</v>
      </c>
      <c r="G104" s="84" t="str">
        <f>IFERROR(VLOOKUP(E104,Database!$A$2:$L$175,6,FALSE),"-")</f>
        <v>-</v>
      </c>
      <c r="H104" s="100" t="str">
        <f>IFERROR(VLOOKUP(E104,Database!$A$2:$L$175,9,FALSE),"-")</f>
        <v>-</v>
      </c>
      <c r="I104" s="119"/>
      <c r="J104" s="103" t="str">
        <f>IF(AND(D104="Y",booking!H104&lt;&gt;booking!I104,booking!I104&gt;0),booking!I104,"-")</f>
        <v>-</v>
      </c>
      <c r="K104" s="84" t="str">
        <f>IFERROR(VLOOKUP(J104,Database!$A$2:$L$175,8,FALSE),"-")</f>
        <v>-</v>
      </c>
      <c r="L104" s="84" t="str">
        <f>IFERROR(VLOOKUP(J104,Database!$A$2:$L$175,6,FALSE),"-")</f>
        <v>-</v>
      </c>
      <c r="M104" s="100" t="str">
        <f>IFERROR(VLOOKUP(J104,Database!$A$2:$L$175,9,FALSE),"-")</f>
        <v>-</v>
      </c>
      <c r="N104" s="103" t="str">
        <f>IF(AND(D104="Y",booking!L104&lt;&gt;booking!M104,booking!M104&gt;0),booking!M104,"-")</f>
        <v>-</v>
      </c>
      <c r="O104" s="84" t="str">
        <f>IFERROR(VLOOKUP(N104,Database!$A$2:$L$175,8,FALSE),"-")</f>
        <v>-</v>
      </c>
      <c r="P104" s="84" t="str">
        <f>IFERROR(VLOOKUP(N104,Database!$A$2:$L$175,6,FALSE),"-")</f>
        <v>-</v>
      </c>
      <c r="Q104" s="88" t="str">
        <f>IFERROR(VLOOKUP(N104,Database!$A$2:$L$175,9,FALSE),"-")</f>
        <v>-</v>
      </c>
      <c r="R104" s="104" t="str">
        <f>IF(AND(D104="Y",booking!P104&lt;&gt;booking!Q104,booking!Q104&gt;0),booking!Q104,"-")</f>
        <v>-</v>
      </c>
      <c r="S104" s="84" t="str">
        <f>IFERROR(VLOOKUP(R104,Database!$A$2:$L$175,8,FALSE),"-")</f>
        <v>-</v>
      </c>
      <c r="T104" s="84" t="str">
        <f>IFERROR(VLOOKUP(R104,Database!$A$2:$L$175,6,FALSE),"-")</f>
        <v>-</v>
      </c>
      <c r="U104" s="88" t="str">
        <f>IFERROR(VLOOKUP(R104,Database!$A$2:$L$175,9,FALSE),"-")</f>
        <v>-</v>
      </c>
      <c r="V104" s="103" t="str">
        <f>IF(AND(D104="Y",booking!T104&lt;&gt;booking!U104,booking!U104&gt;0),booking!U104,"-")</f>
        <v>-</v>
      </c>
      <c r="W104" s="85" t="str">
        <f>IFERROR(VLOOKUP(V104,Database!$A$2:$L$175,8,FALSE),"-")</f>
        <v>-</v>
      </c>
      <c r="X104" s="85" t="str">
        <f>IFERROR(VLOOKUP(V104,Database!$A$2:$L$175,6,FALSE),"-")</f>
        <v>-</v>
      </c>
      <c r="Y104" s="87" t="str">
        <f>IFERROR(VLOOKUP(V104,Database!$A$2:$L$175,9,FALSE),"-")</f>
        <v>-</v>
      </c>
    </row>
    <row r="105" spans="1:25" ht="15" customHeight="1" thickBot="1" x14ac:dyDescent="0.4">
      <c r="A105" s="94" t="str">
        <f>rengøring!A105</f>
        <v>lørdag</v>
      </c>
      <c r="B105" s="90">
        <f>rengøring!B105</f>
        <v>46242</v>
      </c>
      <c r="C105" s="9"/>
      <c r="D105" s="95" t="str">
        <f>IF(booking!AB105&gt;0,"Y","-")</f>
        <v>-</v>
      </c>
      <c r="E105" s="102" t="str">
        <f>IF(AND(D105="Y",booking!D105&lt;&gt;booking!E105,booking!E105&gt;0),booking!E105,"-")</f>
        <v>-</v>
      </c>
      <c r="F105" s="84" t="str">
        <f>IFERROR(VLOOKUP(E105,Database!$A$2:$L$175,8,FALSE),"-")</f>
        <v>-</v>
      </c>
      <c r="G105" s="84" t="str">
        <f>IFERROR(VLOOKUP(E105,Database!$A$2:$L$175,6,FALSE),"-")</f>
        <v>-</v>
      </c>
      <c r="H105" s="100" t="str">
        <f>IFERROR(VLOOKUP(E105,Database!$A$2:$L$175,9,FALSE),"-")</f>
        <v>-</v>
      </c>
      <c r="I105" s="119"/>
      <c r="J105" s="103" t="str">
        <f>IF(AND(D105="Y",booking!H105&lt;&gt;booking!I105,booking!I105&gt;0),booking!I105,"-")</f>
        <v>-</v>
      </c>
      <c r="K105" s="84" t="str">
        <f>IFERROR(VLOOKUP(J105,Database!$A$2:$L$175,8,FALSE),"-")</f>
        <v>-</v>
      </c>
      <c r="L105" s="84" t="str">
        <f>IFERROR(VLOOKUP(J105,Database!$A$2:$L$175,6,FALSE),"-")</f>
        <v>-</v>
      </c>
      <c r="M105" s="100" t="str">
        <f>IFERROR(VLOOKUP(J105,Database!$A$2:$L$175,9,FALSE),"-")</f>
        <v>-</v>
      </c>
      <c r="N105" s="103" t="str">
        <f>IF(AND(D105="Y",booking!L105&lt;&gt;booking!M105,booking!M105&gt;0),booking!M105,"-")</f>
        <v>-</v>
      </c>
      <c r="O105" s="84" t="str">
        <f>IFERROR(VLOOKUP(N105,Database!$A$2:$L$175,8,FALSE),"-")</f>
        <v>-</v>
      </c>
      <c r="P105" s="84" t="str">
        <f>IFERROR(VLOOKUP(N105,Database!$A$2:$L$175,6,FALSE),"-")</f>
        <v>-</v>
      </c>
      <c r="Q105" s="88" t="str">
        <f>IFERROR(VLOOKUP(N105,Database!$A$2:$L$175,9,FALSE),"-")</f>
        <v>-</v>
      </c>
      <c r="R105" s="104" t="str">
        <f>IF(AND(D105="Y",booking!P105&lt;&gt;booking!Q105,booking!Q105&gt;0),booking!Q105,"-")</f>
        <v>-</v>
      </c>
      <c r="S105" s="84" t="str">
        <f>IFERROR(VLOOKUP(R105,Database!$A$2:$L$175,8,FALSE),"-")</f>
        <v>-</v>
      </c>
      <c r="T105" s="84" t="str">
        <f>IFERROR(VLOOKUP(R105,Database!$A$2:$L$175,6,FALSE),"-")</f>
        <v>-</v>
      </c>
      <c r="U105" s="88" t="str">
        <f>IFERROR(VLOOKUP(R105,Database!$A$2:$L$175,9,FALSE),"-")</f>
        <v>-</v>
      </c>
      <c r="V105" s="103" t="str">
        <f>IF(AND(D105="Y",booking!T105&lt;&gt;booking!U105,booking!U105&gt;0),booking!U105,"-")</f>
        <v>-</v>
      </c>
      <c r="W105" s="85" t="str">
        <f>IFERROR(VLOOKUP(V105,Database!$A$2:$L$175,8,FALSE),"-")</f>
        <v>-</v>
      </c>
      <c r="X105" s="85" t="str">
        <f>IFERROR(VLOOKUP(V105,Database!$A$2:$L$175,6,FALSE),"-")</f>
        <v>-</v>
      </c>
      <c r="Y105" s="87" t="str">
        <f>IFERROR(VLOOKUP(V105,Database!$A$2:$L$175,9,FALSE),"-")</f>
        <v>-</v>
      </c>
    </row>
    <row r="106" spans="1:25" ht="15" customHeight="1" thickBot="1" x14ac:dyDescent="0.4">
      <c r="A106" s="94" t="str">
        <f>rengøring!A106</f>
        <v>søndag</v>
      </c>
      <c r="B106" s="90">
        <f>rengøring!B106</f>
        <v>46243</v>
      </c>
      <c r="C106" s="9"/>
      <c r="D106" s="95" t="str">
        <f>IF(booking!AB106&gt;0,"Y","-")</f>
        <v>-</v>
      </c>
      <c r="E106" s="102" t="str">
        <f>IF(AND(D106="Y",booking!D106&lt;&gt;booking!E106,booking!E106&gt;0),booking!E106,"-")</f>
        <v>-</v>
      </c>
      <c r="F106" s="84" t="str">
        <f>IFERROR(VLOOKUP(E106,Database!$A$2:$L$175,8,FALSE),"-")</f>
        <v>-</v>
      </c>
      <c r="G106" s="84" t="str">
        <f>IFERROR(VLOOKUP(E106,Database!$A$2:$L$175,6,FALSE),"-")</f>
        <v>-</v>
      </c>
      <c r="H106" s="100" t="str">
        <f>IFERROR(VLOOKUP(E106,Database!$A$2:$L$175,9,FALSE),"-")</f>
        <v>-</v>
      </c>
      <c r="I106" s="119"/>
      <c r="J106" s="103" t="str">
        <f>IF(AND(D106="Y",booking!H106&lt;&gt;booking!I106,booking!I106&gt;0),booking!I106,"-")</f>
        <v>-</v>
      </c>
      <c r="K106" s="84" t="str">
        <f>IFERROR(VLOOKUP(J106,Database!$A$2:$L$175,8,FALSE),"-")</f>
        <v>-</v>
      </c>
      <c r="L106" s="84" t="str">
        <f>IFERROR(VLOOKUP(J106,Database!$A$2:$L$175,6,FALSE),"-")</f>
        <v>-</v>
      </c>
      <c r="M106" s="100" t="str">
        <f>IFERROR(VLOOKUP(J106,Database!$A$2:$L$175,9,FALSE),"-")</f>
        <v>-</v>
      </c>
      <c r="N106" s="103" t="str">
        <f>IF(AND(D106="Y",booking!L106&lt;&gt;booking!M106,booking!M106&gt;0),booking!M106,"-")</f>
        <v>-</v>
      </c>
      <c r="O106" s="84" t="str">
        <f>IFERROR(VLOOKUP(N106,Database!$A$2:$L$175,8,FALSE),"-")</f>
        <v>-</v>
      </c>
      <c r="P106" s="84" t="str">
        <f>IFERROR(VLOOKUP(N106,Database!$A$2:$L$175,6,FALSE),"-")</f>
        <v>-</v>
      </c>
      <c r="Q106" s="88" t="str">
        <f>IFERROR(VLOOKUP(N106,Database!$A$2:$L$175,9,FALSE),"-")</f>
        <v>-</v>
      </c>
      <c r="R106" s="104" t="str">
        <f>IF(AND(D106="Y",booking!P106&lt;&gt;booking!Q106,booking!Q106&gt;0),booking!Q106,"-")</f>
        <v>-</v>
      </c>
      <c r="S106" s="84" t="str">
        <f>IFERROR(VLOOKUP(R106,Database!$A$2:$L$175,8,FALSE),"-")</f>
        <v>-</v>
      </c>
      <c r="T106" s="84" t="str">
        <f>IFERROR(VLOOKUP(R106,Database!$A$2:$L$175,6,FALSE),"-")</f>
        <v>-</v>
      </c>
      <c r="U106" s="88" t="str">
        <f>IFERROR(VLOOKUP(R106,Database!$A$2:$L$175,9,FALSE),"-")</f>
        <v>-</v>
      </c>
      <c r="V106" s="103" t="str">
        <f>IF(AND(D106="Y",booking!T106&lt;&gt;booking!U106,booking!U106&gt;0),booking!U106,"-")</f>
        <v>-</v>
      </c>
      <c r="W106" s="85" t="str">
        <f>IFERROR(VLOOKUP(V106,Database!$A$2:$L$175,8,FALSE),"-")</f>
        <v>-</v>
      </c>
      <c r="X106" s="85" t="str">
        <f>IFERROR(VLOOKUP(V106,Database!$A$2:$L$175,6,FALSE),"-")</f>
        <v>-</v>
      </c>
      <c r="Y106" s="87" t="str">
        <f>IFERROR(VLOOKUP(V106,Database!$A$2:$L$175,9,FALSE),"-")</f>
        <v>-</v>
      </c>
    </row>
    <row r="107" spans="1:25" ht="15" customHeight="1" thickBot="1" x14ac:dyDescent="0.4">
      <c r="A107" s="94" t="str">
        <f>rengøring!A107</f>
        <v>mandag</v>
      </c>
      <c r="B107" s="90">
        <f>rengøring!B107</f>
        <v>46244</v>
      </c>
      <c r="C107" s="9"/>
      <c r="D107" s="95" t="str">
        <f>IF(booking!AB107&gt;0,"Y","-")</f>
        <v>Y</v>
      </c>
      <c r="E107" s="102">
        <f>IF(AND(D107="Y",booking!D107&lt;&gt;booking!E107,booking!E107&gt;0),booking!E107,"-")</f>
        <v>59</v>
      </c>
      <c r="F107" s="84" t="str">
        <f>IFERROR(VLOOKUP(E107,Database!$A$2:$L$175,8,FALSE),"-")</f>
        <v>1200</v>
      </c>
      <c r="G107" s="84" t="str">
        <f>IFERROR(VLOOKUP(E107,Database!$A$2:$L$175,6,FALSE),"-")</f>
        <v>DK</v>
      </c>
      <c r="H107" s="100" t="str">
        <f>IFERROR(VLOOKUP(E107,Database!$A$2:$L$175,9,FALSE),"-")</f>
        <v>dobb</v>
      </c>
      <c r="I107" s="119"/>
      <c r="J107" s="103" t="str">
        <f>IF(AND(D107="Y",booking!H107&lt;&gt;booking!I107,booking!I107&gt;0),booking!I107,"-")</f>
        <v>-</v>
      </c>
      <c r="K107" s="84" t="str">
        <f>IFERROR(VLOOKUP(J107,Database!$A$2:$L$175,8,FALSE),"-")</f>
        <v>-</v>
      </c>
      <c r="L107" s="84" t="str">
        <f>IFERROR(VLOOKUP(J107,Database!$A$2:$L$175,6,FALSE),"-")</f>
        <v>-</v>
      </c>
      <c r="M107" s="100" t="str">
        <f>IFERROR(VLOOKUP(J107,Database!$A$2:$L$175,9,FALSE),"-")</f>
        <v>-</v>
      </c>
      <c r="N107" s="103" t="str">
        <f>IF(AND(D107="Y",booking!L107&lt;&gt;booking!M107,booking!M107&gt;0),booking!M107,"-")</f>
        <v>-</v>
      </c>
      <c r="O107" s="84" t="str">
        <f>IFERROR(VLOOKUP(N107,Database!$A$2:$L$175,8,FALSE),"-")</f>
        <v>-</v>
      </c>
      <c r="P107" s="84" t="str">
        <f>IFERROR(VLOOKUP(N107,Database!$A$2:$L$175,6,FALSE),"-")</f>
        <v>-</v>
      </c>
      <c r="Q107" s="88" t="str">
        <f>IFERROR(VLOOKUP(N107,Database!$A$2:$L$175,9,FALSE),"-")</f>
        <v>-</v>
      </c>
      <c r="R107" s="104" t="str">
        <f>IF(AND(D107="Y",booking!P107&lt;&gt;booking!Q107,booking!Q107&gt;0),booking!Q107,"-")</f>
        <v>-</v>
      </c>
      <c r="S107" s="84" t="str">
        <f>IFERROR(VLOOKUP(R107,Database!$A$2:$L$175,8,FALSE),"-")</f>
        <v>-</v>
      </c>
      <c r="T107" s="84" t="str">
        <f>IFERROR(VLOOKUP(R107,Database!$A$2:$L$175,6,FALSE),"-")</f>
        <v>-</v>
      </c>
      <c r="U107" s="88" t="str">
        <f>IFERROR(VLOOKUP(R107,Database!$A$2:$L$175,9,FALSE),"-")</f>
        <v>-</v>
      </c>
      <c r="V107" s="103" t="str">
        <f>IF(AND(D107="Y",booking!T107&lt;&gt;booking!U107,booking!U107&gt;0),booking!U107,"-")</f>
        <v>-</v>
      </c>
      <c r="W107" s="85" t="str">
        <f>IFERROR(VLOOKUP(V107,Database!$A$2:$L$175,8,FALSE),"-")</f>
        <v>-</v>
      </c>
      <c r="X107" s="85" t="str">
        <f>IFERROR(VLOOKUP(V107,Database!$A$2:$L$175,6,FALSE),"-")</f>
        <v>-</v>
      </c>
      <c r="Y107" s="87" t="str">
        <f>IFERROR(VLOOKUP(V107,Database!$A$2:$L$175,9,FALSE),"-")</f>
        <v>-</v>
      </c>
    </row>
    <row r="108" spans="1:25" ht="15" customHeight="1" thickBot="1" x14ac:dyDescent="0.4">
      <c r="A108" s="94" t="str">
        <f>rengøring!A108</f>
        <v>tirsdag</v>
      </c>
      <c r="B108" s="90">
        <f>rengøring!B108</f>
        <v>46245</v>
      </c>
      <c r="C108" s="9"/>
      <c r="D108" s="95" t="str">
        <f>IF(booking!AB108&gt;0,"Y","-")</f>
        <v>-</v>
      </c>
      <c r="E108" s="102" t="str">
        <f>IF(AND(D108="Y",booking!D108&lt;&gt;booking!E108,booking!E108&gt;0),booking!E108,"-")</f>
        <v>-</v>
      </c>
      <c r="F108" s="84" t="str">
        <f>IFERROR(VLOOKUP(E108,Database!$A$2:$L$175,8,FALSE),"-")</f>
        <v>-</v>
      </c>
      <c r="G108" s="84" t="str">
        <f>IFERROR(VLOOKUP(E108,Database!$A$2:$L$175,6,FALSE),"-")</f>
        <v>-</v>
      </c>
      <c r="H108" s="100" t="str">
        <f>IFERROR(VLOOKUP(E108,Database!$A$2:$L$175,9,FALSE),"-")</f>
        <v>-</v>
      </c>
      <c r="I108" s="119"/>
      <c r="J108" s="103" t="str">
        <f>IF(AND(D108="Y",booking!H108&lt;&gt;booking!I108,booking!I108&gt;0),booking!I108,"-")</f>
        <v>-</v>
      </c>
      <c r="K108" s="84" t="str">
        <f>IFERROR(VLOOKUP(J108,Database!$A$2:$L$175,8,FALSE),"-")</f>
        <v>-</v>
      </c>
      <c r="L108" s="84" t="str">
        <f>IFERROR(VLOOKUP(J108,Database!$A$2:$L$175,6,FALSE),"-")</f>
        <v>-</v>
      </c>
      <c r="M108" s="100" t="str">
        <f>IFERROR(VLOOKUP(J108,Database!$A$2:$L$175,9,FALSE),"-")</f>
        <v>-</v>
      </c>
      <c r="N108" s="103" t="str">
        <f>IF(AND(D108="Y",booking!L108&lt;&gt;booking!M108,booking!M108&gt;0),booking!M108,"-")</f>
        <v>-</v>
      </c>
      <c r="O108" s="84" t="str">
        <f>IFERROR(VLOOKUP(N108,Database!$A$2:$L$175,8,FALSE),"-")</f>
        <v>-</v>
      </c>
      <c r="P108" s="84" t="str">
        <f>IFERROR(VLOOKUP(N108,Database!$A$2:$L$175,6,FALSE),"-")</f>
        <v>-</v>
      </c>
      <c r="Q108" s="88" t="str">
        <f>IFERROR(VLOOKUP(N108,Database!$A$2:$L$175,9,FALSE),"-")</f>
        <v>-</v>
      </c>
      <c r="R108" s="104" t="str">
        <f>IF(AND(D108="Y",booking!P108&lt;&gt;booking!Q108,booking!Q108&gt;0),booking!Q108,"-")</f>
        <v>-</v>
      </c>
      <c r="S108" s="84" t="str">
        <f>IFERROR(VLOOKUP(R108,Database!$A$2:$L$175,8,FALSE),"-")</f>
        <v>-</v>
      </c>
      <c r="T108" s="84" t="str">
        <f>IFERROR(VLOOKUP(R108,Database!$A$2:$L$175,6,FALSE),"-")</f>
        <v>-</v>
      </c>
      <c r="U108" s="88" t="str">
        <f>IFERROR(VLOOKUP(R108,Database!$A$2:$L$175,9,FALSE),"-")</f>
        <v>-</v>
      </c>
      <c r="V108" s="103" t="str">
        <f>IF(AND(D108="Y",booking!T108&lt;&gt;booking!U108,booking!U108&gt;0),booking!U108,"-")</f>
        <v>-</v>
      </c>
      <c r="W108" s="85" t="str">
        <f>IFERROR(VLOOKUP(V108,Database!$A$2:$L$175,8,FALSE),"-")</f>
        <v>-</v>
      </c>
      <c r="X108" s="85" t="str">
        <f>IFERROR(VLOOKUP(V108,Database!$A$2:$L$175,6,FALSE),"-")</f>
        <v>-</v>
      </c>
      <c r="Y108" s="87" t="str">
        <f>IFERROR(VLOOKUP(V108,Database!$A$2:$L$175,9,FALSE),"-")</f>
        <v>-</v>
      </c>
    </row>
    <row r="109" spans="1:25" ht="15" customHeight="1" thickBot="1" x14ac:dyDescent="0.4">
      <c r="A109" s="94" t="str">
        <f>rengøring!A109</f>
        <v>onsdag</v>
      </c>
      <c r="B109" s="90">
        <f>rengøring!B109</f>
        <v>46246</v>
      </c>
      <c r="C109" s="9"/>
      <c r="D109" s="95" t="str">
        <f>IF(booking!AB109&gt;0,"Y","-")</f>
        <v>Y</v>
      </c>
      <c r="E109" s="102" t="str">
        <f>IF(AND(D109="Y",booking!D109&lt;&gt;booking!E109,booking!E109&gt;0),booking!E109,"-")</f>
        <v>-</v>
      </c>
      <c r="F109" s="84" t="str">
        <f>IFERROR(VLOOKUP(E109,Database!$A$2:$L$175,8,FALSE),"-")</f>
        <v>-</v>
      </c>
      <c r="G109" s="84" t="str">
        <f>IFERROR(VLOOKUP(E109,Database!$A$2:$L$175,6,FALSE),"-")</f>
        <v>-</v>
      </c>
      <c r="H109" s="100" t="str">
        <f>IFERROR(VLOOKUP(E109,Database!$A$2:$L$175,9,FALSE),"-")</f>
        <v>-</v>
      </c>
      <c r="I109" s="119"/>
      <c r="J109" s="103" t="str">
        <f>IF(AND(D109="Y",booking!H109&lt;&gt;booking!I109,booking!I109&gt;0),booking!I109,"-")</f>
        <v>-</v>
      </c>
      <c r="K109" s="84" t="str">
        <f>IFERROR(VLOOKUP(J109,Database!$A$2:$L$175,8,FALSE),"-")</f>
        <v>-</v>
      </c>
      <c r="L109" s="84" t="str">
        <f>IFERROR(VLOOKUP(J109,Database!$A$2:$L$175,6,FALSE),"-")</f>
        <v>-</v>
      </c>
      <c r="M109" s="100" t="str">
        <f>IFERROR(VLOOKUP(J109,Database!$A$2:$L$175,9,FALSE),"-")</f>
        <v>-</v>
      </c>
      <c r="N109" s="103" t="str">
        <f>IF(AND(D109="Y",booking!L109&lt;&gt;booking!M109,booking!M109&gt;0),booking!M109,"-")</f>
        <v>-</v>
      </c>
      <c r="O109" s="84" t="str">
        <f>IFERROR(VLOOKUP(N109,Database!$A$2:$L$175,8,FALSE),"-")</f>
        <v>-</v>
      </c>
      <c r="P109" s="84" t="str">
        <f>IFERROR(VLOOKUP(N109,Database!$A$2:$L$175,6,FALSE),"-")</f>
        <v>-</v>
      </c>
      <c r="Q109" s="88" t="str">
        <f>IFERROR(VLOOKUP(N109,Database!$A$2:$L$175,9,FALSE),"-")</f>
        <v>-</v>
      </c>
      <c r="R109" s="104">
        <f>IF(AND(D109="Y",booking!P109&lt;&gt;booking!Q109,booking!Q109&gt;0),booking!Q109,"-")</f>
        <v>4</v>
      </c>
      <c r="S109" s="84">
        <f>IFERROR(VLOOKUP(R109,Database!$A$2:$L$175,8,FALSE),"-")</f>
        <v>0</v>
      </c>
      <c r="T109" s="84" t="str">
        <f>IFERROR(VLOOKUP(R109,Database!$A$2:$L$175,6,FALSE),"-")</f>
        <v>DK</v>
      </c>
      <c r="U109" s="88">
        <f>IFERROR(VLOOKUP(R109,Database!$A$2:$L$175,9,FALSE),"-")</f>
        <v>0</v>
      </c>
      <c r="V109" s="103">
        <f>IF(AND(D109="Y",booking!T109&lt;&gt;booking!U109,booking!U109&gt;0),booking!U109,"-")</f>
        <v>4</v>
      </c>
      <c r="W109" s="85">
        <f>IFERROR(VLOOKUP(V109,Database!$A$2:$L$175,8,FALSE),"-")</f>
        <v>0</v>
      </c>
      <c r="X109" s="85" t="str">
        <f>IFERROR(VLOOKUP(V109,Database!$A$2:$L$175,6,FALSE),"-")</f>
        <v>DK</v>
      </c>
      <c r="Y109" s="87">
        <f>IFERROR(VLOOKUP(V109,Database!$A$2:$L$175,9,FALSE),"-")</f>
        <v>0</v>
      </c>
    </row>
    <row r="110" spans="1:25" ht="15" customHeight="1" thickBot="1" x14ac:dyDescent="0.4">
      <c r="A110" s="94" t="str">
        <f>rengøring!A110</f>
        <v>torsdag</v>
      </c>
      <c r="B110" s="90">
        <f>rengøring!B110</f>
        <v>46247</v>
      </c>
      <c r="C110" s="9"/>
      <c r="D110" s="95" t="str">
        <f>IF(booking!AB110&gt;0,"Y","-")</f>
        <v>Y</v>
      </c>
      <c r="E110" s="102" t="str">
        <f>IF(AND(D110="Y",booking!D110&lt;&gt;booking!E110,booking!E110&gt;0),booking!E110,"-")</f>
        <v>-</v>
      </c>
      <c r="F110" s="84" t="str">
        <f>IFERROR(VLOOKUP(E110,Database!$A$2:$L$175,8,FALSE),"-")</f>
        <v>-</v>
      </c>
      <c r="G110" s="84" t="str">
        <f>IFERROR(VLOOKUP(E110,Database!$A$2:$L$175,6,FALSE),"-")</f>
        <v>-</v>
      </c>
      <c r="H110" s="100" t="str">
        <f>IFERROR(VLOOKUP(E110,Database!$A$2:$L$175,9,FALSE),"-")</f>
        <v>-</v>
      </c>
      <c r="I110" s="119"/>
      <c r="J110" s="103">
        <f>IF(AND(D110="Y",booking!H110&lt;&gt;booking!I110,booking!I110&gt;0),booking!I110,"-")</f>
        <v>46</v>
      </c>
      <c r="K110" s="84">
        <f>IFERROR(VLOOKUP(J110,Database!$A$2:$L$175,8,FALSE),"-")</f>
        <v>0</v>
      </c>
      <c r="L110" s="84" t="str">
        <f>IFERROR(VLOOKUP(J110,Database!$A$2:$L$175,6,FALSE),"-")</f>
        <v>DK</v>
      </c>
      <c r="M110" s="100">
        <f>IFERROR(VLOOKUP(J110,Database!$A$2:$L$175,9,FALSE),"-")</f>
        <v>0</v>
      </c>
      <c r="N110" s="103">
        <f>IF(AND(D110="Y",booking!L110&lt;&gt;booking!M110,booking!M110&gt;0),booking!M110,"-")</f>
        <v>23</v>
      </c>
      <c r="O110" s="84" t="str">
        <f>IFERROR(VLOOKUP(N110,Database!$A$2:$L$175,8,FALSE),"-")</f>
        <v>1430</v>
      </c>
      <c r="P110" s="84" t="str">
        <f>IFERROR(VLOOKUP(N110,Database!$A$2:$L$175,6,FALSE),"-")</f>
        <v>DK</v>
      </c>
      <c r="Q110" s="88" t="str">
        <f>IFERROR(VLOOKUP(N110,Database!$A$2:$L$175,9,FALSE),"-")</f>
        <v>dobb</v>
      </c>
      <c r="R110" s="104" t="str">
        <f>IF(AND(D110="Y",booking!P110&lt;&gt;booking!Q110,booking!Q110&gt;0),booking!Q110,"-")</f>
        <v>-</v>
      </c>
      <c r="S110" s="84" t="str">
        <f>IFERROR(VLOOKUP(R110,Database!$A$2:$L$175,8,FALSE),"-")</f>
        <v>-</v>
      </c>
      <c r="T110" s="84" t="str">
        <f>IFERROR(VLOOKUP(R110,Database!$A$2:$L$175,6,FALSE),"-")</f>
        <v>-</v>
      </c>
      <c r="U110" s="88" t="str">
        <f>IFERROR(VLOOKUP(R110,Database!$A$2:$L$175,9,FALSE),"-")</f>
        <v>-</v>
      </c>
      <c r="V110" s="103" t="str">
        <f>IF(AND(D110="Y",booking!T110&lt;&gt;booking!U110,booking!U110&gt;0),booking!U110,"-")</f>
        <v>-</v>
      </c>
      <c r="W110" s="85" t="str">
        <f>IFERROR(VLOOKUP(V110,Database!$A$2:$L$175,8,FALSE),"-")</f>
        <v>-</v>
      </c>
      <c r="X110" s="85" t="str">
        <f>IFERROR(VLOOKUP(V110,Database!$A$2:$L$175,6,FALSE),"-")</f>
        <v>-</v>
      </c>
      <c r="Y110" s="87" t="str">
        <f>IFERROR(VLOOKUP(V110,Database!$A$2:$L$175,9,FALSE),"-")</f>
        <v>-</v>
      </c>
    </row>
    <row r="111" spans="1:25" ht="15" customHeight="1" thickBot="1" x14ac:dyDescent="0.4">
      <c r="A111" s="94" t="str">
        <f>rengøring!A111</f>
        <v>fredag</v>
      </c>
      <c r="B111" s="90">
        <f>rengøring!B111</f>
        <v>46248</v>
      </c>
      <c r="C111" s="9"/>
      <c r="D111" s="95" t="str">
        <f>IF(booking!AB111&gt;0,"Y","-")</f>
        <v>-</v>
      </c>
      <c r="E111" s="102" t="str">
        <f>IF(AND(D111="Y",booking!D111&lt;&gt;booking!E111,booking!E111&gt;0),booking!E111,"-")</f>
        <v>-</v>
      </c>
      <c r="F111" s="84" t="str">
        <f>IFERROR(VLOOKUP(E111,Database!$A$2:$L$175,8,FALSE),"-")</f>
        <v>-</v>
      </c>
      <c r="G111" s="84" t="str">
        <f>IFERROR(VLOOKUP(E111,Database!$A$2:$L$175,6,FALSE),"-")</f>
        <v>-</v>
      </c>
      <c r="H111" s="100" t="str">
        <f>IFERROR(VLOOKUP(E111,Database!$A$2:$L$175,9,FALSE),"-")</f>
        <v>-</v>
      </c>
      <c r="I111" s="119"/>
      <c r="J111" s="103" t="str">
        <f>IF(AND(D111="Y",booking!H111&lt;&gt;booking!I111,booking!I111&gt;0),booking!I111,"-")</f>
        <v>-</v>
      </c>
      <c r="K111" s="84" t="str">
        <f>IFERROR(VLOOKUP(J111,Database!$A$2:$L$175,8,FALSE),"-")</f>
        <v>-</v>
      </c>
      <c r="L111" s="84" t="str">
        <f>IFERROR(VLOOKUP(J111,Database!$A$2:$L$175,6,FALSE),"-")</f>
        <v>-</v>
      </c>
      <c r="M111" s="100" t="str">
        <f>IFERROR(VLOOKUP(J111,Database!$A$2:$L$175,9,FALSE),"-")</f>
        <v>-</v>
      </c>
      <c r="N111" s="103" t="str">
        <f>IF(AND(D111="Y",booking!L111&lt;&gt;booking!M111,booking!M111&gt;0),booking!M111,"-")</f>
        <v>-</v>
      </c>
      <c r="O111" s="84" t="str">
        <f>IFERROR(VLOOKUP(N111,Database!$A$2:$L$175,8,FALSE),"-")</f>
        <v>-</v>
      </c>
      <c r="P111" s="84" t="str">
        <f>IFERROR(VLOOKUP(N111,Database!$A$2:$L$175,6,FALSE),"-")</f>
        <v>-</v>
      </c>
      <c r="Q111" s="88" t="str">
        <f>IFERROR(VLOOKUP(N111,Database!$A$2:$L$175,9,FALSE),"-")</f>
        <v>-</v>
      </c>
      <c r="R111" s="104" t="str">
        <f>IF(AND(D111="Y",booking!P111&lt;&gt;booking!Q111,booking!Q111&gt;0),booking!Q111,"-")</f>
        <v>-</v>
      </c>
      <c r="S111" s="84" t="str">
        <f>IFERROR(VLOOKUP(R111,Database!$A$2:$L$175,8,FALSE),"-")</f>
        <v>-</v>
      </c>
      <c r="T111" s="84" t="str">
        <f>IFERROR(VLOOKUP(R111,Database!$A$2:$L$175,6,FALSE),"-")</f>
        <v>-</v>
      </c>
      <c r="U111" s="88" t="str">
        <f>IFERROR(VLOOKUP(R111,Database!$A$2:$L$175,9,FALSE),"-")</f>
        <v>-</v>
      </c>
      <c r="V111" s="103" t="str">
        <f>IF(AND(D111="Y",booking!T111&lt;&gt;booking!U111,booking!U111&gt;0),booking!U111,"-")</f>
        <v>-</v>
      </c>
      <c r="W111" s="85" t="str">
        <f>IFERROR(VLOOKUP(V111,Database!$A$2:$L$175,8,FALSE),"-")</f>
        <v>-</v>
      </c>
      <c r="X111" s="85" t="str">
        <f>IFERROR(VLOOKUP(V111,Database!$A$2:$L$175,6,FALSE),"-")</f>
        <v>-</v>
      </c>
      <c r="Y111" s="87" t="str">
        <f>IFERROR(VLOOKUP(V111,Database!$A$2:$L$175,9,FALSE),"-")</f>
        <v>-</v>
      </c>
    </row>
    <row r="112" spans="1:25" ht="15" customHeight="1" thickBot="1" x14ac:dyDescent="0.4">
      <c r="A112" s="94" t="str">
        <f>rengøring!A112</f>
        <v>lørdag</v>
      </c>
      <c r="B112" s="90">
        <f>rengøring!B112</f>
        <v>46249</v>
      </c>
      <c r="C112" s="9"/>
      <c r="D112" s="95" t="str">
        <f>IF(booking!AB112&gt;0,"Y","-")</f>
        <v>-</v>
      </c>
      <c r="E112" s="102" t="str">
        <f>IF(AND(D112="Y",booking!D112&lt;&gt;booking!E112,booking!E112&gt;0),booking!E112,"-")</f>
        <v>-</v>
      </c>
      <c r="F112" s="84" t="str">
        <f>IFERROR(VLOOKUP(E112,Database!$A$2:$L$175,8,FALSE),"-")</f>
        <v>-</v>
      </c>
      <c r="G112" s="84" t="str">
        <f>IFERROR(VLOOKUP(E112,Database!$A$2:$L$175,6,FALSE),"-")</f>
        <v>-</v>
      </c>
      <c r="H112" s="100" t="str">
        <f>IFERROR(VLOOKUP(E112,Database!$A$2:$L$175,9,FALSE),"-")</f>
        <v>-</v>
      </c>
      <c r="I112" s="119"/>
      <c r="J112" s="103" t="str">
        <f>IF(AND(D112="Y",booking!H112&lt;&gt;booking!I112,booking!I112&gt;0),booking!I112,"-")</f>
        <v>-</v>
      </c>
      <c r="K112" s="84" t="str">
        <f>IFERROR(VLOOKUP(J112,Database!$A$2:$L$175,8,FALSE),"-")</f>
        <v>-</v>
      </c>
      <c r="L112" s="84" t="str">
        <f>IFERROR(VLOOKUP(J112,Database!$A$2:$L$175,6,FALSE),"-")</f>
        <v>-</v>
      </c>
      <c r="M112" s="100" t="str">
        <f>IFERROR(VLOOKUP(J112,Database!$A$2:$L$175,9,FALSE),"-")</f>
        <v>-</v>
      </c>
      <c r="N112" s="103" t="str">
        <f>IF(AND(D112="Y",booking!L112&lt;&gt;booking!M112,booking!M112&gt;0),booking!M112,"-")</f>
        <v>-</v>
      </c>
      <c r="O112" s="84" t="str">
        <f>IFERROR(VLOOKUP(N112,Database!$A$2:$L$175,8,FALSE),"-")</f>
        <v>-</v>
      </c>
      <c r="P112" s="84" t="str">
        <f>IFERROR(VLOOKUP(N112,Database!$A$2:$L$175,6,FALSE),"-")</f>
        <v>-</v>
      </c>
      <c r="Q112" s="88" t="str">
        <f>IFERROR(VLOOKUP(N112,Database!$A$2:$L$175,9,FALSE),"-")</f>
        <v>-</v>
      </c>
      <c r="R112" s="104" t="str">
        <f>IF(AND(D112="Y",booking!P112&lt;&gt;booking!Q112,booking!Q112&gt;0),booking!Q112,"-")</f>
        <v>-</v>
      </c>
      <c r="S112" s="84" t="str">
        <f>IFERROR(VLOOKUP(R112,Database!$A$2:$L$175,8,FALSE),"-")</f>
        <v>-</v>
      </c>
      <c r="T112" s="84" t="str">
        <f>IFERROR(VLOOKUP(R112,Database!$A$2:$L$175,6,FALSE),"-")</f>
        <v>-</v>
      </c>
      <c r="U112" s="88" t="str">
        <f>IFERROR(VLOOKUP(R112,Database!$A$2:$L$175,9,FALSE),"-")</f>
        <v>-</v>
      </c>
      <c r="V112" s="103" t="str">
        <f>IF(AND(D112="Y",booking!T112&lt;&gt;booking!U112,booking!U112&gt;0),booking!U112,"-")</f>
        <v>-</v>
      </c>
      <c r="W112" s="85" t="str">
        <f>IFERROR(VLOOKUP(V112,Database!$A$2:$L$175,8,FALSE),"-")</f>
        <v>-</v>
      </c>
      <c r="X112" s="85" t="str">
        <f>IFERROR(VLOOKUP(V112,Database!$A$2:$L$175,6,FALSE),"-")</f>
        <v>-</v>
      </c>
      <c r="Y112" s="87" t="str">
        <f>IFERROR(VLOOKUP(V112,Database!$A$2:$L$175,9,FALSE),"-")</f>
        <v>-</v>
      </c>
    </row>
    <row r="113" spans="1:25" ht="15" customHeight="1" thickBot="1" x14ac:dyDescent="0.4">
      <c r="A113" s="94" t="str">
        <f>rengøring!A113</f>
        <v>søndag</v>
      </c>
      <c r="B113" s="90">
        <f>rengøring!B113</f>
        <v>46250</v>
      </c>
      <c r="C113" s="9"/>
      <c r="D113" s="95" t="str">
        <f>IF(booking!AB113&gt;0,"Y","-")</f>
        <v>Y</v>
      </c>
      <c r="E113" s="102" t="str">
        <f>IF(AND(D113="Y",booking!D113&lt;&gt;booking!E113,booking!E113&gt;0),booking!E113,"-")</f>
        <v>-</v>
      </c>
      <c r="F113" s="84" t="str">
        <f>IFERROR(VLOOKUP(E113,Database!$A$2:$L$175,8,FALSE),"-")</f>
        <v>-</v>
      </c>
      <c r="G113" s="84" t="str">
        <f>IFERROR(VLOOKUP(E113,Database!$A$2:$L$175,6,FALSE),"-")</f>
        <v>-</v>
      </c>
      <c r="H113" s="100" t="str">
        <f>IFERROR(VLOOKUP(E113,Database!$A$2:$L$175,9,FALSE),"-")</f>
        <v>-</v>
      </c>
      <c r="I113" s="119"/>
      <c r="J113" s="103" t="str">
        <f>IF(AND(D113="Y",booking!H113&lt;&gt;booking!I113,booking!I113&gt;0),booking!I113,"-")</f>
        <v>-</v>
      </c>
      <c r="K113" s="84" t="str">
        <f>IFERROR(VLOOKUP(J113,Database!$A$2:$L$175,8,FALSE),"-")</f>
        <v>-</v>
      </c>
      <c r="L113" s="84" t="str">
        <f>IFERROR(VLOOKUP(J113,Database!$A$2:$L$175,6,FALSE),"-")</f>
        <v>-</v>
      </c>
      <c r="M113" s="100" t="str">
        <f>IFERROR(VLOOKUP(J113,Database!$A$2:$L$175,9,FALSE),"-")</f>
        <v>-</v>
      </c>
      <c r="N113" s="103" t="str">
        <f>IF(AND(D113="Y",booking!L113&lt;&gt;booking!M113,booking!M113&gt;0),booking!M113,"-")</f>
        <v>-</v>
      </c>
      <c r="O113" s="84" t="str">
        <f>IFERROR(VLOOKUP(N113,Database!$A$2:$L$175,8,FALSE),"-")</f>
        <v>-</v>
      </c>
      <c r="P113" s="84" t="str">
        <f>IFERROR(VLOOKUP(N113,Database!$A$2:$L$175,6,FALSE),"-")</f>
        <v>-</v>
      </c>
      <c r="Q113" s="88" t="str">
        <f>IFERROR(VLOOKUP(N113,Database!$A$2:$L$175,9,FALSE),"-")</f>
        <v>-</v>
      </c>
      <c r="R113" s="104">
        <f>IF(AND(D113="Y",booking!P113&lt;&gt;booking!Q113,booking!Q113&gt;0),booking!Q113,"-")</f>
        <v>51</v>
      </c>
      <c r="S113" s="84">
        <f>IFERROR(VLOOKUP(R113,Database!$A$2:$L$175,8,FALSE),"-")</f>
        <v>0</v>
      </c>
      <c r="T113" s="84" t="str">
        <f>IFERROR(VLOOKUP(R113,Database!$A$2:$L$175,6,FALSE),"-")</f>
        <v>DK</v>
      </c>
      <c r="U113" s="88">
        <f>IFERROR(VLOOKUP(R113,Database!$A$2:$L$175,9,FALSE),"-")</f>
        <v>0</v>
      </c>
      <c r="V113" s="103" t="str">
        <f>IF(AND(D113="Y",booking!T113&lt;&gt;booking!U113,booking!U113&gt;0),booking!U113,"-")</f>
        <v>-</v>
      </c>
      <c r="W113" s="85" t="str">
        <f>IFERROR(VLOOKUP(V113,Database!$A$2:$L$175,8,FALSE),"-")</f>
        <v>-</v>
      </c>
      <c r="X113" s="85" t="str">
        <f>IFERROR(VLOOKUP(V113,Database!$A$2:$L$175,6,FALSE),"-")</f>
        <v>-</v>
      </c>
      <c r="Y113" s="87" t="str">
        <f>IFERROR(VLOOKUP(V113,Database!$A$2:$L$175,9,FALSE),"-")</f>
        <v>-</v>
      </c>
    </row>
    <row r="114" spans="1:25" ht="15" customHeight="1" thickBot="1" x14ac:dyDescent="0.4">
      <c r="A114" s="94" t="str">
        <f>rengøring!A114</f>
        <v>mandag</v>
      </c>
      <c r="B114" s="90">
        <f>rengøring!B114</f>
        <v>46251</v>
      </c>
      <c r="C114" s="9"/>
      <c r="D114" s="95" t="str">
        <f>IF(booking!AB114&gt;0,"Y","-")</f>
        <v>Y</v>
      </c>
      <c r="E114" s="102">
        <f>IF(AND(D114="Y",booking!D114&lt;&gt;booking!E114,booking!E114&gt;0),booking!E114,"-")</f>
        <v>26</v>
      </c>
      <c r="F114" s="84">
        <f>IFERROR(VLOOKUP(E114,Database!$A$2:$L$175,8,FALSE),"-")</f>
        <v>0</v>
      </c>
      <c r="G114" s="84" t="str">
        <f>IFERROR(VLOOKUP(E114,Database!$A$2:$L$175,6,FALSE),"-")</f>
        <v>DK</v>
      </c>
      <c r="H114" s="100">
        <f>IFERROR(VLOOKUP(E114,Database!$A$2:$L$175,9,FALSE),"-")</f>
        <v>0</v>
      </c>
      <c r="I114" s="119"/>
      <c r="J114" s="103" t="str">
        <f>IF(AND(D114="Y",booking!H114&lt;&gt;booking!I114,booking!I114&gt;0),booking!I114,"-")</f>
        <v>-</v>
      </c>
      <c r="K114" s="84" t="str">
        <f>IFERROR(VLOOKUP(J114,Database!$A$2:$L$175,8,FALSE),"-")</f>
        <v>-</v>
      </c>
      <c r="L114" s="84" t="str">
        <f>IFERROR(VLOOKUP(J114,Database!$A$2:$L$175,6,FALSE),"-")</f>
        <v>-</v>
      </c>
      <c r="M114" s="100" t="str">
        <f>IFERROR(VLOOKUP(J114,Database!$A$2:$L$175,9,FALSE),"-")</f>
        <v>-</v>
      </c>
      <c r="N114" s="103">
        <f>IF(AND(D114="Y",booking!L114&lt;&gt;booking!M114,booking!M114&gt;0),booking!M114,"-")</f>
        <v>52</v>
      </c>
      <c r="O114" s="84">
        <f>IFERROR(VLOOKUP(N114,Database!$A$2:$L$175,8,FALSE),"-")</f>
        <v>0</v>
      </c>
      <c r="P114" s="84" t="str">
        <f>IFERROR(VLOOKUP(N114,Database!$A$2:$L$175,6,FALSE),"-")</f>
        <v>DK</v>
      </c>
      <c r="Q114" s="88">
        <f>IFERROR(VLOOKUP(N114,Database!$A$2:$L$175,9,FALSE),"-")</f>
        <v>0</v>
      </c>
      <c r="R114" s="104" t="str">
        <f>IF(AND(D114="Y",booking!P114&lt;&gt;booking!Q114,booking!Q114&gt;0),booking!Q114,"-")</f>
        <v>-</v>
      </c>
      <c r="S114" s="84" t="str">
        <f>IFERROR(VLOOKUP(R114,Database!$A$2:$L$175,8,FALSE),"-")</f>
        <v>-</v>
      </c>
      <c r="T114" s="84" t="str">
        <f>IFERROR(VLOOKUP(R114,Database!$A$2:$L$175,6,FALSE),"-")</f>
        <v>-</v>
      </c>
      <c r="U114" s="88" t="str">
        <f>IFERROR(VLOOKUP(R114,Database!$A$2:$L$175,9,FALSE),"-")</f>
        <v>-</v>
      </c>
      <c r="V114" s="103">
        <f>IF(AND(D114="Y",booking!T114&lt;&gt;booking!U114,booking!U114&gt;0),booking!U114,"-")</f>
        <v>21</v>
      </c>
      <c r="W114" s="85">
        <f>IFERROR(VLOOKUP(V114,Database!$A$2:$L$175,8,FALSE),"-")</f>
        <v>0</v>
      </c>
      <c r="X114" s="85" t="str">
        <f>IFERROR(VLOOKUP(V114,Database!$A$2:$L$175,6,FALSE),"-")</f>
        <v>S</v>
      </c>
      <c r="Y114" s="87">
        <f>IFERROR(VLOOKUP(V114,Database!$A$2:$L$175,9,FALSE),"-")</f>
        <v>0</v>
      </c>
    </row>
    <row r="115" spans="1:25" ht="15" customHeight="1" thickBot="1" x14ac:dyDescent="0.4">
      <c r="A115" s="94" t="str">
        <f>rengøring!A115</f>
        <v>tirsdag</v>
      </c>
      <c r="B115" s="90">
        <f>rengøring!B115</f>
        <v>46252</v>
      </c>
      <c r="C115" s="9"/>
      <c r="D115" s="95" t="str">
        <f>IF(booking!AB115&gt;0,"Y","-")</f>
        <v>-</v>
      </c>
      <c r="E115" s="102" t="str">
        <f>IF(AND(D115="Y",booking!D115&lt;&gt;booking!E115,booking!E115&gt;0),booking!E115,"-")</f>
        <v>-</v>
      </c>
      <c r="F115" s="84" t="str">
        <f>IFERROR(VLOOKUP(E115,Database!$A$2:$L$175,8,FALSE),"-")</f>
        <v>-</v>
      </c>
      <c r="G115" s="84" t="str">
        <f>IFERROR(VLOOKUP(E115,Database!$A$2:$L$175,6,FALSE),"-")</f>
        <v>-</v>
      </c>
      <c r="H115" s="100" t="str">
        <f>IFERROR(VLOOKUP(E115,Database!$A$2:$L$175,9,FALSE),"-")</f>
        <v>-</v>
      </c>
      <c r="I115" s="119"/>
      <c r="J115" s="103" t="str">
        <f>IF(AND(D115="Y",booking!H115&lt;&gt;booking!I115,booking!I115&gt;0),booking!I115,"-")</f>
        <v>-</v>
      </c>
      <c r="K115" s="84" t="str">
        <f>IFERROR(VLOOKUP(J115,Database!$A$2:$L$175,8,FALSE),"-")</f>
        <v>-</v>
      </c>
      <c r="L115" s="84" t="str">
        <f>IFERROR(VLOOKUP(J115,Database!$A$2:$L$175,6,FALSE),"-")</f>
        <v>-</v>
      </c>
      <c r="M115" s="100" t="str">
        <f>IFERROR(VLOOKUP(J115,Database!$A$2:$L$175,9,FALSE),"-")</f>
        <v>-</v>
      </c>
      <c r="N115" s="103" t="str">
        <f>IF(AND(D115="Y",booking!L115&lt;&gt;booking!M115,booking!M115&gt;0),booking!M115,"-")</f>
        <v>-</v>
      </c>
      <c r="O115" s="84" t="str">
        <f>IFERROR(VLOOKUP(N115,Database!$A$2:$L$175,8,FALSE),"-")</f>
        <v>-</v>
      </c>
      <c r="P115" s="84" t="str">
        <f>IFERROR(VLOOKUP(N115,Database!$A$2:$L$175,6,FALSE),"-")</f>
        <v>-</v>
      </c>
      <c r="Q115" s="88" t="str">
        <f>IFERROR(VLOOKUP(N115,Database!$A$2:$L$175,9,FALSE),"-")</f>
        <v>-</v>
      </c>
      <c r="R115" s="104" t="str">
        <f>IF(AND(D115="Y",booking!P115&lt;&gt;booking!Q115,booking!Q115&gt;0),booking!Q115,"-")</f>
        <v>-</v>
      </c>
      <c r="S115" s="84" t="str">
        <f>IFERROR(VLOOKUP(R115,Database!$A$2:$L$175,8,FALSE),"-")</f>
        <v>-</v>
      </c>
      <c r="T115" s="84" t="str">
        <f>IFERROR(VLOOKUP(R115,Database!$A$2:$L$175,6,FALSE),"-")</f>
        <v>-</v>
      </c>
      <c r="U115" s="88" t="str">
        <f>IFERROR(VLOOKUP(R115,Database!$A$2:$L$175,9,FALSE),"-")</f>
        <v>-</v>
      </c>
      <c r="V115" s="103" t="str">
        <f>IF(AND(D115="Y",booking!T115&lt;&gt;booking!U115,booking!U115&gt;0),booking!U115,"-")</f>
        <v>-</v>
      </c>
      <c r="W115" s="85" t="str">
        <f>IFERROR(VLOOKUP(V115,Database!$A$2:$L$175,8,FALSE),"-")</f>
        <v>-</v>
      </c>
      <c r="X115" s="85" t="str">
        <f>IFERROR(VLOOKUP(V115,Database!$A$2:$L$175,6,FALSE),"-")</f>
        <v>-</v>
      </c>
      <c r="Y115" s="87" t="str">
        <f>IFERROR(VLOOKUP(V115,Database!$A$2:$L$175,9,FALSE),"-")</f>
        <v>-</v>
      </c>
    </row>
    <row r="116" spans="1:25" ht="15" customHeight="1" thickBot="1" x14ac:dyDescent="0.4">
      <c r="A116" s="94" t="str">
        <f>rengøring!A116</f>
        <v>onsdag</v>
      </c>
      <c r="B116" s="90">
        <f>rengøring!B116</f>
        <v>46253</v>
      </c>
      <c r="C116" s="9"/>
      <c r="D116" s="95" t="str">
        <f>IF(booking!AB116&gt;0,"Y","-")</f>
        <v>-</v>
      </c>
      <c r="E116" s="102" t="str">
        <f>IF(AND(D116="Y",booking!D116&lt;&gt;booking!E116,booking!E116&gt;0),booking!E116,"-")</f>
        <v>-</v>
      </c>
      <c r="F116" s="84" t="str">
        <f>IFERROR(VLOOKUP(E116,Database!$A$2:$L$175,8,FALSE),"-")</f>
        <v>-</v>
      </c>
      <c r="G116" s="84" t="str">
        <f>IFERROR(VLOOKUP(E116,Database!$A$2:$L$175,6,FALSE),"-")</f>
        <v>-</v>
      </c>
      <c r="H116" s="100" t="str">
        <f>IFERROR(VLOOKUP(E116,Database!$A$2:$L$175,9,FALSE),"-")</f>
        <v>-</v>
      </c>
      <c r="I116" s="119"/>
      <c r="J116" s="103" t="str">
        <f>IF(AND(D116="Y",booking!H116&lt;&gt;booking!I116,booking!I116&gt;0),booking!I116,"-")</f>
        <v>-</v>
      </c>
      <c r="K116" s="84" t="str">
        <f>IFERROR(VLOOKUP(J116,Database!$A$2:$L$175,8,FALSE),"-")</f>
        <v>-</v>
      </c>
      <c r="L116" s="84" t="str">
        <f>IFERROR(VLOOKUP(J116,Database!$A$2:$L$175,6,FALSE),"-")</f>
        <v>-</v>
      </c>
      <c r="M116" s="100" t="str">
        <f>IFERROR(VLOOKUP(J116,Database!$A$2:$L$175,9,FALSE),"-")</f>
        <v>-</v>
      </c>
      <c r="N116" s="103" t="str">
        <f>IF(AND(D116="Y",booking!L116&lt;&gt;booking!M116,booking!M116&gt;0),booking!M116,"-")</f>
        <v>-</v>
      </c>
      <c r="O116" s="84" t="str">
        <f>IFERROR(VLOOKUP(N116,Database!$A$2:$L$175,8,FALSE),"-")</f>
        <v>-</v>
      </c>
      <c r="P116" s="84" t="str">
        <f>IFERROR(VLOOKUP(N116,Database!$A$2:$L$175,6,FALSE),"-")</f>
        <v>-</v>
      </c>
      <c r="Q116" s="88" t="str">
        <f>IFERROR(VLOOKUP(N116,Database!$A$2:$L$175,9,FALSE),"-")</f>
        <v>-</v>
      </c>
      <c r="R116" s="104" t="str">
        <f>IF(AND(D116="Y",booking!P116&lt;&gt;booking!Q116,booking!Q116&gt;0),booking!Q116,"-")</f>
        <v>-</v>
      </c>
      <c r="S116" s="84" t="str">
        <f>IFERROR(VLOOKUP(R116,Database!$A$2:$L$175,8,FALSE),"-")</f>
        <v>-</v>
      </c>
      <c r="T116" s="84" t="str">
        <f>IFERROR(VLOOKUP(R116,Database!$A$2:$L$175,6,FALSE),"-")</f>
        <v>-</v>
      </c>
      <c r="U116" s="88" t="str">
        <f>IFERROR(VLOOKUP(R116,Database!$A$2:$L$175,9,FALSE),"-")</f>
        <v>-</v>
      </c>
      <c r="V116" s="103" t="str">
        <f>IF(AND(D116="Y",booking!T116&lt;&gt;booking!U116,booking!U116&gt;0),booking!U116,"-")</f>
        <v>-</v>
      </c>
      <c r="W116" s="85" t="str">
        <f>IFERROR(VLOOKUP(V116,Database!$A$2:$L$175,8,FALSE),"-")</f>
        <v>-</v>
      </c>
      <c r="X116" s="85" t="str">
        <f>IFERROR(VLOOKUP(V116,Database!$A$2:$L$175,6,FALSE),"-")</f>
        <v>-</v>
      </c>
      <c r="Y116" s="87" t="str">
        <f>IFERROR(VLOOKUP(V116,Database!$A$2:$L$175,9,FALSE),"-")</f>
        <v>-</v>
      </c>
    </row>
    <row r="117" spans="1:25" ht="15" customHeight="1" thickBot="1" x14ac:dyDescent="0.4">
      <c r="A117" s="94" t="str">
        <f>rengøring!A117</f>
        <v>torsdag</v>
      </c>
      <c r="B117" s="90">
        <f>rengøring!B117</f>
        <v>46254</v>
      </c>
      <c r="C117" s="9"/>
      <c r="D117" s="95" t="str">
        <f>IF(booking!AB117&gt;0,"Y","-")</f>
        <v>Y</v>
      </c>
      <c r="E117" s="102" t="str">
        <f>IF(AND(D117="Y",booking!D117&lt;&gt;booking!E117,booking!E117&gt;0),booking!E117,"-")</f>
        <v>-</v>
      </c>
      <c r="F117" s="84" t="str">
        <f>IFERROR(VLOOKUP(E117,Database!$A$2:$L$175,8,FALSE),"-")</f>
        <v>-</v>
      </c>
      <c r="G117" s="84" t="str">
        <f>IFERROR(VLOOKUP(E117,Database!$A$2:$L$175,6,FALSE),"-")</f>
        <v>-</v>
      </c>
      <c r="H117" s="100" t="str">
        <f>IFERROR(VLOOKUP(E117,Database!$A$2:$L$175,9,FALSE),"-")</f>
        <v>-</v>
      </c>
      <c r="I117" s="119"/>
      <c r="J117" s="103">
        <f>IF(AND(D117="Y",booking!H117&lt;&gt;booking!I117,booking!I117&gt;0),booking!I117,"-")</f>
        <v>54</v>
      </c>
      <c r="K117" s="84">
        <f>IFERROR(VLOOKUP(J117,Database!$A$2:$L$175,8,FALSE),"-")</f>
        <v>0</v>
      </c>
      <c r="L117" s="84" t="str">
        <f>IFERROR(VLOOKUP(J117,Database!$A$2:$L$175,6,FALSE),"-")</f>
        <v>DK</v>
      </c>
      <c r="M117" s="100">
        <f>IFERROR(VLOOKUP(J117,Database!$A$2:$L$175,9,FALSE),"-")</f>
        <v>0</v>
      </c>
      <c r="N117" s="103" t="str">
        <f>IF(AND(D117="Y",booking!L117&lt;&gt;booking!M117,booking!M117&gt;0),booking!M117,"-")</f>
        <v>-</v>
      </c>
      <c r="O117" s="84" t="str">
        <f>IFERROR(VLOOKUP(N117,Database!$A$2:$L$175,8,FALSE),"-")</f>
        <v>-</v>
      </c>
      <c r="P117" s="84" t="str">
        <f>IFERROR(VLOOKUP(N117,Database!$A$2:$L$175,6,FALSE),"-")</f>
        <v>-</v>
      </c>
      <c r="Q117" s="88" t="str">
        <f>IFERROR(VLOOKUP(N117,Database!$A$2:$L$175,9,FALSE),"-")</f>
        <v>-</v>
      </c>
      <c r="R117" s="104" t="str">
        <f>IF(AND(D117="Y",booking!P117&lt;&gt;booking!Q117,booking!Q117&gt;0),booking!Q117,"-")</f>
        <v>-</v>
      </c>
      <c r="S117" s="84" t="str">
        <f>IFERROR(VLOOKUP(R117,Database!$A$2:$L$175,8,FALSE),"-")</f>
        <v>-</v>
      </c>
      <c r="T117" s="84" t="str">
        <f>IFERROR(VLOOKUP(R117,Database!$A$2:$L$175,6,FALSE),"-")</f>
        <v>-</v>
      </c>
      <c r="U117" s="88" t="str">
        <f>IFERROR(VLOOKUP(R117,Database!$A$2:$L$175,9,FALSE),"-")</f>
        <v>-</v>
      </c>
      <c r="V117" s="103" t="str">
        <f>IF(AND(D117="Y",booking!T117&lt;&gt;booking!U117,booking!U117&gt;0),booking!U117,"-")</f>
        <v>-</v>
      </c>
      <c r="W117" s="85" t="str">
        <f>IFERROR(VLOOKUP(V117,Database!$A$2:$L$175,8,FALSE),"-")</f>
        <v>-</v>
      </c>
      <c r="X117" s="85" t="str">
        <f>IFERROR(VLOOKUP(V117,Database!$A$2:$L$175,6,FALSE),"-")</f>
        <v>-</v>
      </c>
      <c r="Y117" s="87" t="str">
        <f>IFERROR(VLOOKUP(V117,Database!$A$2:$L$175,9,FALSE),"-")</f>
        <v>-</v>
      </c>
    </row>
    <row r="118" spans="1:25" ht="15" customHeight="1" thickBot="1" x14ac:dyDescent="0.4">
      <c r="A118" s="94" t="str">
        <f>rengøring!A118</f>
        <v>fredag</v>
      </c>
      <c r="B118" s="90">
        <f>rengøring!B118</f>
        <v>46255</v>
      </c>
      <c r="C118" s="9"/>
      <c r="D118" s="95" t="str">
        <f>IF(booking!AB118&gt;0,"Y","-")</f>
        <v>Y</v>
      </c>
      <c r="E118" s="102" t="str">
        <f>IF(AND(D118="Y",booking!D118&lt;&gt;booking!E118,booking!E118&gt;0),booking!E118,"-")</f>
        <v>-</v>
      </c>
      <c r="F118" s="84" t="str">
        <f>IFERROR(VLOOKUP(E118,Database!$A$2:$L$175,8,FALSE),"-")</f>
        <v>-</v>
      </c>
      <c r="G118" s="84" t="str">
        <f>IFERROR(VLOOKUP(E118,Database!$A$2:$L$175,6,FALSE),"-")</f>
        <v>-</v>
      </c>
      <c r="H118" s="100" t="str">
        <f>IFERROR(VLOOKUP(E118,Database!$A$2:$L$175,9,FALSE),"-")</f>
        <v>-</v>
      </c>
      <c r="I118" s="119"/>
      <c r="J118" s="103" t="str">
        <f>IF(AND(D118="Y",booking!H118&lt;&gt;booking!I118,booking!I118&gt;0),booking!I118,"-")</f>
        <v>-</v>
      </c>
      <c r="K118" s="84" t="str">
        <f>IFERROR(VLOOKUP(J118,Database!$A$2:$L$175,8,FALSE),"-")</f>
        <v>-</v>
      </c>
      <c r="L118" s="84" t="str">
        <f>IFERROR(VLOOKUP(J118,Database!$A$2:$L$175,6,FALSE),"-")</f>
        <v>-</v>
      </c>
      <c r="M118" s="100" t="str">
        <f>IFERROR(VLOOKUP(J118,Database!$A$2:$L$175,9,FALSE),"-")</f>
        <v>-</v>
      </c>
      <c r="N118" s="103">
        <f>IF(AND(D118="Y",booking!L118&lt;&gt;booking!M118,booking!M118&gt;0),booking!M118,"-")</f>
        <v>54</v>
      </c>
      <c r="O118" s="84">
        <f>IFERROR(VLOOKUP(N118,Database!$A$2:$L$175,8,FALSE),"-")</f>
        <v>0</v>
      </c>
      <c r="P118" s="84" t="str">
        <f>IFERROR(VLOOKUP(N118,Database!$A$2:$L$175,6,FALSE),"-")</f>
        <v>DK</v>
      </c>
      <c r="Q118" s="88">
        <f>IFERROR(VLOOKUP(N118,Database!$A$2:$L$175,9,FALSE),"-")</f>
        <v>0</v>
      </c>
      <c r="R118" s="104" t="str">
        <f>IF(AND(D118="Y",booking!P118&lt;&gt;booking!Q118,booking!Q118&gt;0),booking!Q118,"-")</f>
        <v>-</v>
      </c>
      <c r="S118" s="84" t="str">
        <f>IFERROR(VLOOKUP(R118,Database!$A$2:$L$175,8,FALSE),"-")</f>
        <v>-</v>
      </c>
      <c r="T118" s="84" t="str">
        <f>IFERROR(VLOOKUP(R118,Database!$A$2:$L$175,6,FALSE),"-")</f>
        <v>-</v>
      </c>
      <c r="U118" s="88" t="str">
        <f>IFERROR(VLOOKUP(R118,Database!$A$2:$L$175,9,FALSE),"-")</f>
        <v>-</v>
      </c>
      <c r="V118" s="103" t="str">
        <f>IF(AND(D118="Y",booking!T118&lt;&gt;booking!U118,booking!U118&gt;0),booking!U118,"-")</f>
        <v>-</v>
      </c>
      <c r="W118" s="85" t="str">
        <f>IFERROR(VLOOKUP(V118,Database!$A$2:$L$175,8,FALSE),"-")</f>
        <v>-</v>
      </c>
      <c r="X118" s="85" t="str">
        <f>IFERROR(VLOOKUP(V118,Database!$A$2:$L$175,6,FALSE),"-")</f>
        <v>-</v>
      </c>
      <c r="Y118" s="87" t="str">
        <f>IFERROR(VLOOKUP(V118,Database!$A$2:$L$175,9,FALSE),"-")</f>
        <v>-</v>
      </c>
    </row>
    <row r="119" spans="1:25" ht="15" customHeight="1" thickBot="1" x14ac:dyDescent="0.4">
      <c r="A119" s="94" t="str">
        <f>rengøring!A119</f>
        <v>lørdag</v>
      </c>
      <c r="B119" s="90">
        <f>rengøring!B119</f>
        <v>46256</v>
      </c>
      <c r="C119" s="9"/>
      <c r="D119" s="95" t="str">
        <f>IF(booking!AB119&gt;0,"Y","-")</f>
        <v>Y</v>
      </c>
      <c r="E119" s="102">
        <f>IF(AND(D119="Y",booking!D119&lt;&gt;booking!E119,booking!E119&gt;0),booking!E119,"-")</f>
        <v>65</v>
      </c>
      <c r="F119" s="84">
        <f>IFERROR(VLOOKUP(E119,Database!$A$2:$L$175,8,FALSE),"-")</f>
        <v>0</v>
      </c>
      <c r="G119" s="84" t="str">
        <f>IFERROR(VLOOKUP(E119,Database!$A$2:$L$175,6,FALSE),"-")</f>
        <v>DK</v>
      </c>
      <c r="H119" s="100" t="str">
        <f>IFERROR(VLOOKUP(E119,Database!$A$2:$L$175,9,FALSE),"-")</f>
        <v>Dobb</v>
      </c>
      <c r="I119" s="119"/>
      <c r="J119" s="103" t="str">
        <f>IF(AND(D119="Y",booking!H119&lt;&gt;booking!I119,booking!I119&gt;0),booking!I119,"-")</f>
        <v>-</v>
      </c>
      <c r="K119" s="84" t="str">
        <f>IFERROR(VLOOKUP(J119,Database!$A$2:$L$175,8,FALSE),"-")</f>
        <v>-</v>
      </c>
      <c r="L119" s="84" t="str">
        <f>IFERROR(VLOOKUP(J119,Database!$A$2:$L$175,6,FALSE),"-")</f>
        <v>-</v>
      </c>
      <c r="M119" s="100" t="str">
        <f>IFERROR(VLOOKUP(J119,Database!$A$2:$L$175,9,FALSE),"-")</f>
        <v>-</v>
      </c>
      <c r="N119" s="103" t="str">
        <f>IF(AND(D119="Y",booking!L119&lt;&gt;booking!M119,booking!M119&gt;0),booking!M119,"-")</f>
        <v>-</v>
      </c>
      <c r="O119" s="84" t="str">
        <f>IFERROR(VLOOKUP(N119,Database!$A$2:$L$175,8,FALSE),"-")</f>
        <v>-</v>
      </c>
      <c r="P119" s="84" t="str">
        <f>IFERROR(VLOOKUP(N119,Database!$A$2:$L$175,6,FALSE),"-")</f>
        <v>-</v>
      </c>
      <c r="Q119" s="88" t="str">
        <f>IFERROR(VLOOKUP(N119,Database!$A$2:$L$175,9,FALSE),"-")</f>
        <v>-</v>
      </c>
      <c r="R119" s="104" t="str">
        <f>IF(AND(D119="Y",booking!P119&lt;&gt;booking!Q119,booking!Q119&gt;0),booking!Q119,"-")</f>
        <v>-</v>
      </c>
      <c r="S119" s="84" t="str">
        <f>IFERROR(VLOOKUP(R119,Database!$A$2:$L$175,8,FALSE),"-")</f>
        <v>-</v>
      </c>
      <c r="T119" s="84" t="str">
        <f>IFERROR(VLOOKUP(R119,Database!$A$2:$L$175,6,FALSE),"-")</f>
        <v>-</v>
      </c>
      <c r="U119" s="88" t="str">
        <f>IFERROR(VLOOKUP(R119,Database!$A$2:$L$175,9,FALSE),"-")</f>
        <v>-</v>
      </c>
      <c r="V119" s="103">
        <f>IF(AND(D119="Y",booking!T119&lt;&gt;booking!U119,booking!U119&gt;0),booking!U119,"-")</f>
        <v>25</v>
      </c>
      <c r="W119" s="85">
        <f>IFERROR(VLOOKUP(V119,Database!$A$2:$L$175,8,FALSE),"-")</f>
        <v>0</v>
      </c>
      <c r="X119" s="85" t="str">
        <f>IFERROR(VLOOKUP(V119,Database!$A$2:$L$175,6,FALSE),"-")</f>
        <v>CH</v>
      </c>
      <c r="Y119" s="87" t="str">
        <f>IFERROR(VLOOKUP(V119,Database!$A$2:$L$175,9,FALSE),"-")</f>
        <v>sing</v>
      </c>
    </row>
    <row r="120" spans="1:25" ht="15" customHeight="1" thickBot="1" x14ac:dyDescent="0.4">
      <c r="A120" s="94" t="str">
        <f>rengøring!A120</f>
        <v>søndag</v>
      </c>
      <c r="B120" s="90">
        <f>rengøring!B120</f>
        <v>46257</v>
      </c>
      <c r="C120" s="9"/>
      <c r="D120" s="95" t="str">
        <f>IF(booking!AB120&gt;0,"Y","-")</f>
        <v>-</v>
      </c>
      <c r="E120" s="102" t="str">
        <f>IF(AND(D120="Y",booking!D120&lt;&gt;booking!E120,booking!E120&gt;0),booking!E120,"-")</f>
        <v>-</v>
      </c>
      <c r="F120" s="84" t="str">
        <f>IFERROR(VLOOKUP(E120,Database!$A$2:$L$175,8,FALSE),"-")</f>
        <v>-</v>
      </c>
      <c r="G120" s="84" t="str">
        <f>IFERROR(VLOOKUP(E120,Database!$A$2:$L$175,6,FALSE),"-")</f>
        <v>-</v>
      </c>
      <c r="H120" s="100" t="str">
        <f>IFERROR(VLOOKUP(E120,Database!$A$2:$L$175,9,FALSE),"-")</f>
        <v>-</v>
      </c>
      <c r="I120" s="119"/>
      <c r="J120" s="103" t="str">
        <f>IF(AND(D120="Y",booking!H120&lt;&gt;booking!I120,booking!I120&gt;0),booking!I120,"-")</f>
        <v>-</v>
      </c>
      <c r="K120" s="84" t="str">
        <f>IFERROR(VLOOKUP(J120,Database!$A$2:$L$175,8,FALSE),"-")</f>
        <v>-</v>
      </c>
      <c r="L120" s="84" t="str">
        <f>IFERROR(VLOOKUP(J120,Database!$A$2:$L$175,6,FALSE),"-")</f>
        <v>-</v>
      </c>
      <c r="M120" s="100" t="str">
        <f>IFERROR(VLOOKUP(J120,Database!$A$2:$L$175,9,FALSE),"-")</f>
        <v>-</v>
      </c>
      <c r="N120" s="103" t="str">
        <f>IF(AND(D120="Y",booking!L120&lt;&gt;booking!M120,booking!M120&gt;0),booking!M120,"-")</f>
        <v>-</v>
      </c>
      <c r="O120" s="84" t="str">
        <f>IFERROR(VLOOKUP(N120,Database!$A$2:$L$175,8,FALSE),"-")</f>
        <v>-</v>
      </c>
      <c r="P120" s="84" t="str">
        <f>IFERROR(VLOOKUP(N120,Database!$A$2:$L$175,6,FALSE),"-")</f>
        <v>-</v>
      </c>
      <c r="Q120" s="88" t="str">
        <f>IFERROR(VLOOKUP(N120,Database!$A$2:$L$175,9,FALSE),"-")</f>
        <v>-</v>
      </c>
      <c r="R120" s="104" t="str">
        <f>IF(AND(D120="Y",booking!P120&lt;&gt;booking!Q120,booking!Q120&gt;0),booking!Q120,"-")</f>
        <v>-</v>
      </c>
      <c r="S120" s="84" t="str">
        <f>IFERROR(VLOOKUP(R120,Database!$A$2:$L$175,8,FALSE),"-")</f>
        <v>-</v>
      </c>
      <c r="T120" s="84" t="str">
        <f>IFERROR(VLOOKUP(R120,Database!$A$2:$L$175,6,FALSE),"-")</f>
        <v>-</v>
      </c>
      <c r="U120" s="88" t="str">
        <f>IFERROR(VLOOKUP(R120,Database!$A$2:$L$175,9,FALSE),"-")</f>
        <v>-</v>
      </c>
      <c r="V120" s="103" t="str">
        <f>IF(AND(D120="Y",booking!T120&lt;&gt;booking!U120,booking!U120&gt;0),booking!U120,"-")</f>
        <v>-</v>
      </c>
      <c r="W120" s="85" t="str">
        <f>IFERROR(VLOOKUP(V120,Database!$A$2:$L$175,8,FALSE),"-")</f>
        <v>-</v>
      </c>
      <c r="X120" s="85" t="str">
        <f>IFERROR(VLOOKUP(V120,Database!$A$2:$L$175,6,FALSE),"-")</f>
        <v>-</v>
      </c>
      <c r="Y120" s="87" t="str">
        <f>IFERROR(VLOOKUP(V120,Database!$A$2:$L$175,9,FALSE),"-")</f>
        <v>-</v>
      </c>
    </row>
    <row r="121" spans="1:25" ht="15" customHeight="1" thickBot="1" x14ac:dyDescent="0.4">
      <c r="A121" s="94" t="str">
        <f>rengøring!A121</f>
        <v>mandag</v>
      </c>
      <c r="B121" s="90">
        <f>rengøring!B121</f>
        <v>46258</v>
      </c>
      <c r="C121" s="9"/>
      <c r="D121" s="95" t="str">
        <f>IF(booking!AB121&gt;0,"Y","-")</f>
        <v>Y</v>
      </c>
      <c r="E121" s="102" t="str">
        <f>IF(AND(D121="Y",booking!D121&lt;&gt;booking!E121,booking!E121&gt;0),booking!E121,"-")</f>
        <v>-</v>
      </c>
      <c r="F121" s="84" t="str">
        <f>IFERROR(VLOOKUP(E121,Database!$A$2:$L$175,8,FALSE),"-")</f>
        <v>-</v>
      </c>
      <c r="G121" s="84" t="str">
        <f>IFERROR(VLOOKUP(E121,Database!$A$2:$L$175,6,FALSE),"-")</f>
        <v>-</v>
      </c>
      <c r="H121" s="100" t="str">
        <f>IFERROR(VLOOKUP(E121,Database!$A$2:$L$175,9,FALSE),"-")</f>
        <v>-</v>
      </c>
      <c r="I121" s="119"/>
      <c r="J121" s="103" t="str">
        <f>IF(AND(D121="Y",booking!H121&lt;&gt;booking!I121,booking!I121&gt;0),booking!I121,"-")</f>
        <v>-</v>
      </c>
      <c r="K121" s="84" t="str">
        <f>IFERROR(VLOOKUP(J121,Database!$A$2:$L$175,8,FALSE),"-")</f>
        <v>-</v>
      </c>
      <c r="L121" s="84" t="str">
        <f>IFERROR(VLOOKUP(J121,Database!$A$2:$L$175,6,FALSE),"-")</f>
        <v>-</v>
      </c>
      <c r="M121" s="100" t="str">
        <f>IFERROR(VLOOKUP(J121,Database!$A$2:$L$175,9,FALSE),"-")</f>
        <v>-</v>
      </c>
      <c r="N121" s="103">
        <f>IF(AND(D121="Y",booking!L121&lt;&gt;booking!M121,booking!M121&gt;0),booking!M121,"-")</f>
        <v>60</v>
      </c>
      <c r="O121" s="84">
        <f>IFERROR(VLOOKUP(N121,Database!$A$2:$L$175,8,FALSE),"-")</f>
        <v>0</v>
      </c>
      <c r="P121" s="84" t="str">
        <f>IFERROR(VLOOKUP(N121,Database!$A$2:$L$175,6,FALSE),"-")</f>
        <v>DK</v>
      </c>
      <c r="Q121" s="88">
        <f>IFERROR(VLOOKUP(N121,Database!$A$2:$L$175,9,FALSE),"-")</f>
        <v>0</v>
      </c>
      <c r="R121" s="104" t="str">
        <f>IF(AND(D121="Y",booking!P121&lt;&gt;booking!Q121,booking!Q121&gt;0),booking!Q121,"-")</f>
        <v>-</v>
      </c>
      <c r="S121" s="84" t="str">
        <f>IFERROR(VLOOKUP(R121,Database!$A$2:$L$175,8,FALSE),"-")</f>
        <v>-</v>
      </c>
      <c r="T121" s="84" t="str">
        <f>IFERROR(VLOOKUP(R121,Database!$A$2:$L$175,6,FALSE),"-")</f>
        <v>-</v>
      </c>
      <c r="U121" s="88" t="str">
        <f>IFERROR(VLOOKUP(R121,Database!$A$2:$L$175,9,FALSE),"-")</f>
        <v>-</v>
      </c>
      <c r="V121" s="103" t="str">
        <f>IF(AND(D121="Y",booking!T121&lt;&gt;booking!U121,booking!U121&gt;0),booking!U121,"-")</f>
        <v>-</v>
      </c>
      <c r="W121" s="85" t="str">
        <f>IFERROR(VLOOKUP(V121,Database!$A$2:$L$175,8,FALSE),"-")</f>
        <v>-</v>
      </c>
      <c r="X121" s="85" t="str">
        <f>IFERROR(VLOOKUP(V121,Database!$A$2:$L$175,6,FALSE),"-")</f>
        <v>-</v>
      </c>
      <c r="Y121" s="87" t="str">
        <f>IFERROR(VLOOKUP(V121,Database!$A$2:$L$175,9,FALSE),"-")</f>
        <v>-</v>
      </c>
    </row>
    <row r="122" spans="1:25" ht="15" customHeight="1" thickBot="1" x14ac:dyDescent="0.4">
      <c r="A122" s="94" t="str">
        <f>rengøring!A122</f>
        <v>tirsdag</v>
      </c>
      <c r="B122" s="90">
        <f>rengøring!B122</f>
        <v>46259</v>
      </c>
      <c r="C122" s="9"/>
      <c r="D122" s="95" t="str">
        <f>IF(booking!AB122&gt;0,"Y","-")</f>
        <v>-</v>
      </c>
      <c r="E122" s="102" t="str">
        <f>IF(AND(D122="Y",booking!D122&lt;&gt;booking!E122,booking!E122&gt;0),booking!E122,"-")</f>
        <v>-</v>
      </c>
      <c r="F122" s="84" t="str">
        <f>IFERROR(VLOOKUP(E122,Database!$A$2:$L$175,8,FALSE),"-")</f>
        <v>-</v>
      </c>
      <c r="G122" s="84" t="str">
        <f>IFERROR(VLOOKUP(E122,Database!$A$2:$L$175,6,FALSE),"-")</f>
        <v>-</v>
      </c>
      <c r="H122" s="100" t="str">
        <f>IFERROR(VLOOKUP(E122,Database!$A$2:$L$175,9,FALSE),"-")</f>
        <v>-</v>
      </c>
      <c r="I122" s="119"/>
      <c r="J122" s="103" t="str">
        <f>IF(AND(D122="Y",booking!H122&lt;&gt;booking!I122,booking!I122&gt;0),booking!I122,"-")</f>
        <v>-</v>
      </c>
      <c r="K122" s="84" t="str">
        <f>IFERROR(VLOOKUP(J122,Database!$A$2:$L$175,8,FALSE),"-")</f>
        <v>-</v>
      </c>
      <c r="L122" s="84" t="str">
        <f>IFERROR(VLOOKUP(J122,Database!$A$2:$L$175,6,FALSE),"-")</f>
        <v>-</v>
      </c>
      <c r="M122" s="100" t="str">
        <f>IFERROR(VLOOKUP(J122,Database!$A$2:$L$175,9,FALSE),"-")</f>
        <v>-</v>
      </c>
      <c r="N122" s="103" t="str">
        <f>IF(AND(D122="Y",booking!L122&lt;&gt;booking!M122,booking!M122&gt;0),booking!M122,"-")</f>
        <v>-</v>
      </c>
      <c r="O122" s="84" t="str">
        <f>IFERROR(VLOOKUP(N122,Database!$A$2:$L$175,8,FALSE),"-")</f>
        <v>-</v>
      </c>
      <c r="P122" s="84" t="str">
        <f>IFERROR(VLOOKUP(N122,Database!$A$2:$L$175,6,FALSE),"-")</f>
        <v>-</v>
      </c>
      <c r="Q122" s="88" t="str">
        <f>IFERROR(VLOOKUP(N122,Database!$A$2:$L$175,9,FALSE),"-")</f>
        <v>-</v>
      </c>
      <c r="R122" s="104" t="str">
        <f>IF(AND(D122="Y",booking!P122&lt;&gt;booking!Q122,booking!Q122&gt;0),booking!Q122,"-")</f>
        <v>-</v>
      </c>
      <c r="S122" s="84" t="str">
        <f>IFERROR(VLOOKUP(R122,Database!$A$2:$L$175,8,FALSE),"-")</f>
        <v>-</v>
      </c>
      <c r="T122" s="84" t="str">
        <f>IFERROR(VLOOKUP(R122,Database!$A$2:$L$175,6,FALSE),"-")</f>
        <v>-</v>
      </c>
      <c r="U122" s="88" t="str">
        <f>IFERROR(VLOOKUP(R122,Database!$A$2:$L$175,9,FALSE),"-")</f>
        <v>-</v>
      </c>
      <c r="V122" s="103" t="str">
        <f>IF(AND(D122="Y",booking!T122&lt;&gt;booking!U122,booking!U122&gt;0),booking!U122,"-")</f>
        <v>-</v>
      </c>
      <c r="W122" s="85" t="str">
        <f>IFERROR(VLOOKUP(V122,Database!$A$2:$L$175,8,FALSE),"-")</f>
        <v>-</v>
      </c>
      <c r="X122" s="85" t="str">
        <f>IFERROR(VLOOKUP(V122,Database!$A$2:$L$175,6,FALSE),"-")</f>
        <v>-</v>
      </c>
      <c r="Y122" s="87" t="str">
        <f>IFERROR(VLOOKUP(V122,Database!$A$2:$L$175,9,FALSE),"-")</f>
        <v>-</v>
      </c>
    </row>
    <row r="123" spans="1:25" ht="15" customHeight="1" thickBot="1" x14ac:dyDescent="0.4">
      <c r="A123" s="94" t="str">
        <f>rengøring!A123</f>
        <v>onsdag</v>
      </c>
      <c r="B123" s="90">
        <f>rengøring!B123</f>
        <v>46260</v>
      </c>
      <c r="C123" s="9"/>
      <c r="D123" s="95" t="str">
        <f>IF(booking!AB123&gt;0,"Y","-")</f>
        <v>Y</v>
      </c>
      <c r="E123" s="102">
        <f>IF(AND(D123="Y",booking!D123&lt;&gt;booking!E123,booking!E123&gt;0),booking!E123,"-")</f>
        <v>67</v>
      </c>
      <c r="F123" s="84">
        <f>IFERROR(VLOOKUP(E123,Database!$A$2:$L$175,8,FALSE),"-")</f>
        <v>0</v>
      </c>
      <c r="G123" s="84" t="str">
        <f>IFERROR(VLOOKUP(E123,Database!$A$2:$L$175,6,FALSE),"-")</f>
        <v>D</v>
      </c>
      <c r="H123" s="100">
        <f>IFERROR(VLOOKUP(E123,Database!$A$2:$L$175,9,FALSE),"-")</f>
        <v>0</v>
      </c>
      <c r="I123" s="119"/>
      <c r="J123" s="103">
        <f>IF(AND(D123="Y",booking!H123&lt;&gt;booking!I123,booking!I123&gt;0),booking!I123,"-")</f>
        <v>71</v>
      </c>
      <c r="K123" s="84">
        <f>IFERROR(VLOOKUP(J123,Database!$A$2:$L$175,8,FALSE),"-")</f>
        <v>0</v>
      </c>
      <c r="L123" s="84" t="str">
        <f>IFERROR(VLOOKUP(J123,Database!$A$2:$L$175,6,FALSE),"-")</f>
        <v>D</v>
      </c>
      <c r="M123" s="100" t="str">
        <f>IFERROR(VLOOKUP(J123,Database!$A$2:$L$175,9,FALSE),"-")</f>
        <v>sing</v>
      </c>
      <c r="N123" s="103" t="str">
        <f>IF(AND(D123="Y",booking!L123&lt;&gt;booking!M123,booking!M123&gt;0),booking!M123,"-")</f>
        <v>-</v>
      </c>
      <c r="O123" s="84" t="str">
        <f>IFERROR(VLOOKUP(N123,Database!$A$2:$L$175,8,FALSE),"-")</f>
        <v>-</v>
      </c>
      <c r="P123" s="84" t="str">
        <f>IFERROR(VLOOKUP(N123,Database!$A$2:$L$175,6,FALSE),"-")</f>
        <v>-</v>
      </c>
      <c r="Q123" s="88" t="str">
        <f>IFERROR(VLOOKUP(N123,Database!$A$2:$L$175,9,FALSE),"-")</f>
        <v>-</v>
      </c>
      <c r="R123" s="104">
        <f>IF(AND(D123="Y",booking!P123&lt;&gt;booking!Q123,booking!Q123&gt;0),booking!Q123,"-")</f>
        <v>78</v>
      </c>
      <c r="S123" s="84">
        <f>IFERROR(VLOOKUP(R123,Database!$A$2:$L$175,8,FALSE),"-")</f>
        <v>0</v>
      </c>
      <c r="T123" s="84" t="str">
        <f>IFERROR(VLOOKUP(R123,Database!$A$2:$L$175,6,FALSE),"-")</f>
        <v>D</v>
      </c>
      <c r="U123" s="88">
        <f>IFERROR(VLOOKUP(R123,Database!$A$2:$L$175,9,FALSE),"-")</f>
        <v>0</v>
      </c>
      <c r="V123" s="103" t="str">
        <f>IF(AND(D123="Y",booking!T123&lt;&gt;booking!U123,booking!U123&gt;0),booking!U123,"-")</f>
        <v>-</v>
      </c>
      <c r="W123" s="85" t="str">
        <f>IFERROR(VLOOKUP(V123,Database!$A$2:$L$175,8,FALSE),"-")</f>
        <v>-</v>
      </c>
      <c r="X123" s="85" t="str">
        <f>IFERROR(VLOOKUP(V123,Database!$A$2:$L$175,6,FALSE),"-")</f>
        <v>-</v>
      </c>
      <c r="Y123" s="87" t="str">
        <f>IFERROR(VLOOKUP(V123,Database!$A$2:$L$175,9,FALSE),"-")</f>
        <v>-</v>
      </c>
    </row>
    <row r="124" spans="1:25" ht="15" customHeight="1" thickBot="1" x14ac:dyDescent="0.4">
      <c r="A124" s="94" t="str">
        <f>rengøring!A124</f>
        <v>torsdag</v>
      </c>
      <c r="B124" s="90">
        <f>rengøring!B124</f>
        <v>46261</v>
      </c>
      <c r="C124" s="9"/>
      <c r="D124" s="95" t="str">
        <f>IF(booking!AB124&gt;0,"Y","-")</f>
        <v>-</v>
      </c>
      <c r="E124" s="102" t="str">
        <f>IF(AND(D124="Y",booking!D124&lt;&gt;booking!E124,booking!E124&gt;0),booking!E124,"-")</f>
        <v>-</v>
      </c>
      <c r="F124" s="84" t="str">
        <f>IFERROR(VLOOKUP(E124,Database!$A$2:$L$175,8,FALSE),"-")</f>
        <v>-</v>
      </c>
      <c r="G124" s="84" t="str">
        <f>IFERROR(VLOOKUP(E124,Database!$A$2:$L$175,6,FALSE),"-")</f>
        <v>-</v>
      </c>
      <c r="H124" s="100" t="str">
        <f>IFERROR(VLOOKUP(E124,Database!$A$2:$L$175,9,FALSE),"-")</f>
        <v>-</v>
      </c>
      <c r="I124" s="119"/>
      <c r="J124" s="103" t="str">
        <f>IF(AND(D124="Y",booking!H124&lt;&gt;booking!I124,booking!I124&gt;0),booking!I124,"-")</f>
        <v>-</v>
      </c>
      <c r="K124" s="84" t="str">
        <f>IFERROR(VLOOKUP(J124,Database!$A$2:$L$175,8,FALSE),"-")</f>
        <v>-</v>
      </c>
      <c r="L124" s="84" t="str">
        <f>IFERROR(VLOOKUP(J124,Database!$A$2:$L$175,6,FALSE),"-")</f>
        <v>-</v>
      </c>
      <c r="M124" s="100" t="str">
        <f>IFERROR(VLOOKUP(J124,Database!$A$2:$L$175,9,FALSE),"-")</f>
        <v>-</v>
      </c>
      <c r="N124" s="103" t="str">
        <f>IF(AND(D124="Y",booking!L124&lt;&gt;booking!M124,booking!M124&gt;0),booking!M124,"-")</f>
        <v>-</v>
      </c>
      <c r="O124" s="84" t="str">
        <f>IFERROR(VLOOKUP(N124,Database!$A$2:$L$175,8,FALSE),"-")</f>
        <v>-</v>
      </c>
      <c r="P124" s="84" t="str">
        <f>IFERROR(VLOOKUP(N124,Database!$A$2:$L$175,6,FALSE),"-")</f>
        <v>-</v>
      </c>
      <c r="Q124" s="88" t="str">
        <f>IFERROR(VLOOKUP(N124,Database!$A$2:$L$175,9,FALSE),"-")</f>
        <v>-</v>
      </c>
      <c r="R124" s="104" t="str">
        <f>IF(AND(D124="Y",booking!P124&lt;&gt;booking!Q124,booking!Q124&gt;0),booking!Q124,"-")</f>
        <v>-</v>
      </c>
      <c r="S124" s="84" t="str">
        <f>IFERROR(VLOOKUP(R124,Database!$A$2:$L$175,8,FALSE),"-")</f>
        <v>-</v>
      </c>
      <c r="T124" s="84" t="str">
        <f>IFERROR(VLOOKUP(R124,Database!$A$2:$L$175,6,FALSE),"-")</f>
        <v>-</v>
      </c>
      <c r="U124" s="88" t="str">
        <f>IFERROR(VLOOKUP(R124,Database!$A$2:$L$175,9,FALSE),"-")</f>
        <v>-</v>
      </c>
      <c r="V124" s="103" t="str">
        <f>IF(AND(D124="Y",booking!T124&lt;&gt;booking!U124,booking!U124&gt;0),booking!U124,"-")</f>
        <v>-</v>
      </c>
      <c r="W124" s="85" t="str">
        <f>IFERROR(VLOOKUP(V124,Database!$A$2:$L$175,8,FALSE),"-")</f>
        <v>-</v>
      </c>
      <c r="X124" s="85" t="str">
        <f>IFERROR(VLOOKUP(V124,Database!$A$2:$L$175,6,FALSE),"-")</f>
        <v>-</v>
      </c>
      <c r="Y124" s="87" t="str">
        <f>IFERROR(VLOOKUP(V124,Database!$A$2:$L$175,9,FALSE),"-")</f>
        <v>-</v>
      </c>
    </row>
    <row r="125" spans="1:25" ht="15" customHeight="1" thickBot="1" x14ac:dyDescent="0.4">
      <c r="A125" s="94" t="str">
        <f>rengøring!A125</f>
        <v>fredag</v>
      </c>
      <c r="B125" s="90">
        <f>rengøring!B125</f>
        <v>46262</v>
      </c>
      <c r="C125" s="9"/>
      <c r="D125" s="95" t="str">
        <f>IF(booking!AB125&gt;0,"Y","-")</f>
        <v>-</v>
      </c>
      <c r="E125" s="102" t="str">
        <f>IF(AND(D125="Y",booking!D125&lt;&gt;booking!E125,booking!E125&gt;0),booking!E125,"-")</f>
        <v>-</v>
      </c>
      <c r="F125" s="84" t="str">
        <f>IFERROR(VLOOKUP(E125,Database!$A$2:$L$175,8,FALSE),"-")</f>
        <v>-</v>
      </c>
      <c r="G125" s="84" t="str">
        <f>IFERROR(VLOOKUP(E125,Database!$A$2:$L$175,6,FALSE),"-")</f>
        <v>-</v>
      </c>
      <c r="H125" s="100" t="str">
        <f>IFERROR(VLOOKUP(E125,Database!$A$2:$L$175,9,FALSE),"-")</f>
        <v>-</v>
      </c>
      <c r="I125" s="119"/>
      <c r="J125" s="103" t="str">
        <f>IF(AND(D125="Y",booking!H125&lt;&gt;booking!I125,booking!I125&gt;0),booking!I125,"-")</f>
        <v>-</v>
      </c>
      <c r="K125" s="84" t="str">
        <f>IFERROR(VLOOKUP(J125,Database!$A$2:$L$175,8,FALSE),"-")</f>
        <v>-</v>
      </c>
      <c r="L125" s="84" t="str">
        <f>IFERROR(VLOOKUP(J125,Database!$A$2:$L$175,6,FALSE),"-")</f>
        <v>-</v>
      </c>
      <c r="M125" s="100" t="str">
        <f>IFERROR(VLOOKUP(J125,Database!$A$2:$L$175,9,FALSE),"-")</f>
        <v>-</v>
      </c>
      <c r="N125" s="103" t="str">
        <f>IF(AND(D125="Y",booking!L125&lt;&gt;booking!M125,booking!M125&gt;0),booking!M125,"-")</f>
        <v>-</v>
      </c>
      <c r="O125" s="84" t="str">
        <f>IFERROR(VLOOKUP(N125,Database!$A$2:$L$175,8,FALSE),"-")</f>
        <v>-</v>
      </c>
      <c r="P125" s="84" t="str">
        <f>IFERROR(VLOOKUP(N125,Database!$A$2:$L$175,6,FALSE),"-")</f>
        <v>-</v>
      </c>
      <c r="Q125" s="88" t="str">
        <f>IFERROR(VLOOKUP(N125,Database!$A$2:$L$175,9,FALSE),"-")</f>
        <v>-</v>
      </c>
      <c r="R125" s="104" t="str">
        <f>IF(AND(D125="Y",booking!P125&lt;&gt;booking!Q125,booking!Q125&gt;0),booking!Q125,"-")</f>
        <v>-</v>
      </c>
      <c r="S125" s="84" t="str">
        <f>IFERROR(VLOOKUP(R125,Database!$A$2:$L$175,8,FALSE),"-")</f>
        <v>-</v>
      </c>
      <c r="T125" s="84" t="str">
        <f>IFERROR(VLOOKUP(R125,Database!$A$2:$L$175,6,FALSE),"-")</f>
        <v>-</v>
      </c>
      <c r="U125" s="88" t="str">
        <f>IFERROR(VLOOKUP(R125,Database!$A$2:$L$175,9,FALSE),"-")</f>
        <v>-</v>
      </c>
      <c r="V125" s="103" t="str">
        <f>IF(AND(D125="Y",booking!T125&lt;&gt;booking!U125,booking!U125&gt;0),booking!U125,"-")</f>
        <v>-</v>
      </c>
      <c r="W125" s="85" t="str">
        <f>IFERROR(VLOOKUP(V125,Database!$A$2:$L$175,8,FALSE),"-")</f>
        <v>-</v>
      </c>
      <c r="X125" s="85" t="str">
        <f>IFERROR(VLOOKUP(V125,Database!$A$2:$L$175,6,FALSE),"-")</f>
        <v>-</v>
      </c>
      <c r="Y125" s="87" t="str">
        <f>IFERROR(VLOOKUP(V125,Database!$A$2:$L$175,9,FALSE),"-")</f>
        <v>-</v>
      </c>
    </row>
    <row r="126" spans="1:25" ht="15" customHeight="1" thickBot="1" x14ac:dyDescent="0.4">
      <c r="A126" s="94" t="str">
        <f>rengøring!A126</f>
        <v>lørdag</v>
      </c>
      <c r="B126" s="90">
        <f>rengøring!B126</f>
        <v>46263</v>
      </c>
      <c r="C126" s="9"/>
      <c r="D126" s="95" t="str">
        <f>IF(booking!AB126&gt;0,"Y","-")</f>
        <v>-</v>
      </c>
      <c r="E126" s="102" t="str">
        <f>IF(AND(D126="Y",booking!D126&lt;&gt;booking!E126,booking!E126&gt;0),booking!E126,"-")</f>
        <v>-</v>
      </c>
      <c r="F126" s="84" t="str">
        <f>IFERROR(VLOOKUP(E126,Database!$A$2:$L$175,8,FALSE),"-")</f>
        <v>-</v>
      </c>
      <c r="G126" s="84" t="str">
        <f>IFERROR(VLOOKUP(E126,Database!$A$2:$L$175,6,FALSE),"-")</f>
        <v>-</v>
      </c>
      <c r="H126" s="100" t="str">
        <f>IFERROR(VLOOKUP(E126,Database!$A$2:$L$175,9,FALSE),"-")</f>
        <v>-</v>
      </c>
      <c r="I126" s="119"/>
      <c r="J126" s="103" t="str">
        <f>IF(AND(D126="Y",booking!H126&lt;&gt;booking!I126,booking!I126&gt;0),booking!I126,"-")</f>
        <v>-</v>
      </c>
      <c r="K126" s="84" t="str">
        <f>IFERROR(VLOOKUP(J126,Database!$A$2:$L$175,8,FALSE),"-")</f>
        <v>-</v>
      </c>
      <c r="L126" s="84" t="str">
        <f>IFERROR(VLOOKUP(J126,Database!$A$2:$L$175,6,FALSE),"-")</f>
        <v>-</v>
      </c>
      <c r="M126" s="100" t="str">
        <f>IFERROR(VLOOKUP(J126,Database!$A$2:$L$175,9,FALSE),"-")</f>
        <v>-</v>
      </c>
      <c r="N126" s="103" t="str">
        <f>IF(AND(D126="Y",booking!L126&lt;&gt;booking!M126,booking!M126&gt;0),booking!M126,"-")</f>
        <v>-</v>
      </c>
      <c r="O126" s="84" t="str">
        <f>IFERROR(VLOOKUP(N126,Database!$A$2:$L$175,8,FALSE),"-")</f>
        <v>-</v>
      </c>
      <c r="P126" s="84" t="str">
        <f>IFERROR(VLOOKUP(N126,Database!$A$2:$L$175,6,FALSE),"-")</f>
        <v>-</v>
      </c>
      <c r="Q126" s="88" t="str">
        <f>IFERROR(VLOOKUP(N126,Database!$A$2:$L$175,9,FALSE),"-")</f>
        <v>-</v>
      </c>
      <c r="R126" s="104" t="str">
        <f>IF(AND(D126="Y",booking!P126&lt;&gt;booking!Q126,booking!Q126&gt;0),booking!Q126,"-")</f>
        <v>-</v>
      </c>
      <c r="S126" s="84" t="str">
        <f>IFERROR(VLOOKUP(R126,Database!$A$2:$L$175,8,FALSE),"-")</f>
        <v>-</v>
      </c>
      <c r="T126" s="84" t="str">
        <f>IFERROR(VLOOKUP(R126,Database!$A$2:$L$175,6,FALSE),"-")</f>
        <v>-</v>
      </c>
      <c r="U126" s="88" t="str">
        <f>IFERROR(VLOOKUP(R126,Database!$A$2:$L$175,9,FALSE),"-")</f>
        <v>-</v>
      </c>
      <c r="V126" s="103" t="str">
        <f>IF(AND(D126="Y",booking!T126&lt;&gt;booking!U126,booking!U126&gt;0),booking!U126,"-")</f>
        <v>-</v>
      </c>
      <c r="W126" s="85" t="str">
        <f>IFERROR(VLOOKUP(V126,Database!$A$2:$L$175,8,FALSE),"-")</f>
        <v>-</v>
      </c>
      <c r="X126" s="85" t="str">
        <f>IFERROR(VLOOKUP(V126,Database!$A$2:$L$175,6,FALSE),"-")</f>
        <v>-</v>
      </c>
      <c r="Y126" s="87" t="str">
        <f>IFERROR(VLOOKUP(V126,Database!$A$2:$L$175,9,FALSE),"-")</f>
        <v>-</v>
      </c>
    </row>
    <row r="127" spans="1:25" ht="15" customHeight="1" thickBot="1" x14ac:dyDescent="0.4">
      <c r="A127" s="94" t="str">
        <f>rengøring!A127</f>
        <v>søndag</v>
      </c>
      <c r="B127" s="90">
        <f>rengøring!B127</f>
        <v>46264</v>
      </c>
      <c r="C127" s="9"/>
      <c r="D127" s="95" t="str">
        <f>IF(booking!AB127&gt;0,"Y","-")</f>
        <v>-</v>
      </c>
      <c r="E127" s="102" t="str">
        <f>IF(AND(D127="Y",booking!D127&lt;&gt;booking!E127,booking!E127&gt;0),booking!E127,"-")</f>
        <v>-</v>
      </c>
      <c r="F127" s="84" t="str">
        <f>IFERROR(VLOOKUP(E127,Database!$A$2:$L$175,8,FALSE),"-")</f>
        <v>-</v>
      </c>
      <c r="G127" s="84" t="str">
        <f>IFERROR(VLOOKUP(E127,Database!$A$2:$L$175,6,FALSE),"-")</f>
        <v>-</v>
      </c>
      <c r="H127" s="100" t="str">
        <f>IFERROR(VLOOKUP(E127,Database!$A$2:$L$175,9,FALSE),"-")</f>
        <v>-</v>
      </c>
      <c r="I127" s="119"/>
      <c r="J127" s="103" t="str">
        <f>IF(AND(D127="Y",booking!H127&lt;&gt;booking!I127,booking!I127&gt;0),booking!I127,"-")</f>
        <v>-</v>
      </c>
      <c r="K127" s="84" t="str">
        <f>IFERROR(VLOOKUP(J127,Database!$A$2:$L$175,8,FALSE),"-")</f>
        <v>-</v>
      </c>
      <c r="L127" s="84" t="str">
        <f>IFERROR(VLOOKUP(J127,Database!$A$2:$L$175,6,FALSE),"-")</f>
        <v>-</v>
      </c>
      <c r="M127" s="100" t="str">
        <f>IFERROR(VLOOKUP(J127,Database!$A$2:$L$175,9,FALSE),"-")</f>
        <v>-</v>
      </c>
      <c r="N127" s="103" t="str">
        <f>IF(AND(D127="Y",booking!L127&lt;&gt;booking!M127,booking!M127&gt;0),booking!M127,"-")</f>
        <v>-</v>
      </c>
      <c r="O127" s="84" t="str">
        <f>IFERROR(VLOOKUP(N127,Database!$A$2:$L$175,8,FALSE),"-")</f>
        <v>-</v>
      </c>
      <c r="P127" s="84" t="str">
        <f>IFERROR(VLOOKUP(N127,Database!$A$2:$L$175,6,FALSE),"-")</f>
        <v>-</v>
      </c>
      <c r="Q127" s="88" t="str">
        <f>IFERROR(VLOOKUP(N127,Database!$A$2:$L$175,9,FALSE),"-")</f>
        <v>-</v>
      </c>
      <c r="R127" s="104" t="str">
        <f>IF(AND(D127="Y",booking!P127&lt;&gt;booking!Q127,booking!Q127&gt;0),booking!Q127,"-")</f>
        <v>-</v>
      </c>
      <c r="S127" s="84" t="str">
        <f>IFERROR(VLOOKUP(R127,Database!$A$2:$L$175,8,FALSE),"-")</f>
        <v>-</v>
      </c>
      <c r="T127" s="84" t="str">
        <f>IFERROR(VLOOKUP(R127,Database!$A$2:$L$175,6,FALSE),"-")</f>
        <v>-</v>
      </c>
      <c r="U127" s="88" t="str">
        <f>IFERROR(VLOOKUP(R127,Database!$A$2:$L$175,9,FALSE),"-")</f>
        <v>-</v>
      </c>
      <c r="V127" s="103" t="str">
        <f>IF(AND(D127="Y",booking!T127&lt;&gt;booking!U127,booking!U127&gt;0),booking!U127,"-")</f>
        <v>-</v>
      </c>
      <c r="W127" s="85" t="str">
        <f>IFERROR(VLOOKUP(V127,Database!$A$2:$L$175,8,FALSE),"-")</f>
        <v>-</v>
      </c>
      <c r="X127" s="85" t="str">
        <f>IFERROR(VLOOKUP(V127,Database!$A$2:$L$175,6,FALSE),"-")</f>
        <v>-</v>
      </c>
      <c r="Y127" s="87" t="str">
        <f>IFERROR(VLOOKUP(V127,Database!$A$2:$L$175,9,FALSE),"-")</f>
        <v>-</v>
      </c>
    </row>
    <row r="128" spans="1:25" ht="15" customHeight="1" thickBot="1" x14ac:dyDescent="0.4">
      <c r="A128" s="94" t="str">
        <f>rengøring!A128</f>
        <v>mandag</v>
      </c>
      <c r="B128" s="90">
        <f>rengøring!B128</f>
        <v>46265</v>
      </c>
      <c r="C128" s="9"/>
      <c r="D128" s="95" t="str">
        <f>IF(booking!AB128&gt;0,"Y","-")</f>
        <v>-</v>
      </c>
      <c r="E128" s="102" t="str">
        <f>IF(AND(D128="Y",booking!D128&lt;&gt;booking!E128,booking!E128&gt;0),booking!E128,"-")</f>
        <v>-</v>
      </c>
      <c r="F128" s="84" t="str">
        <f>IFERROR(VLOOKUP(E128,Database!$A$2:$L$175,8,FALSE),"-")</f>
        <v>-</v>
      </c>
      <c r="G128" s="84" t="str">
        <f>IFERROR(VLOOKUP(E128,Database!$A$2:$L$175,6,FALSE),"-")</f>
        <v>-</v>
      </c>
      <c r="H128" s="100" t="str">
        <f>IFERROR(VLOOKUP(E128,Database!$A$2:$L$175,9,FALSE),"-")</f>
        <v>-</v>
      </c>
      <c r="I128" s="119"/>
      <c r="J128" s="103" t="str">
        <f>IF(AND(D128="Y",booking!H128&lt;&gt;booking!I128,booking!I128&gt;0),booking!I128,"-")</f>
        <v>-</v>
      </c>
      <c r="K128" s="84" t="str">
        <f>IFERROR(VLOOKUP(J128,Database!$A$2:$L$175,8,FALSE),"-")</f>
        <v>-</v>
      </c>
      <c r="L128" s="84" t="str">
        <f>IFERROR(VLOOKUP(J128,Database!$A$2:$L$175,6,FALSE),"-")</f>
        <v>-</v>
      </c>
      <c r="M128" s="100" t="str">
        <f>IFERROR(VLOOKUP(J128,Database!$A$2:$L$175,9,FALSE),"-")</f>
        <v>-</v>
      </c>
      <c r="N128" s="103" t="str">
        <f>IF(AND(D128="Y",booking!L128&lt;&gt;booking!M128,booking!M128&gt;0),booking!M128,"-")</f>
        <v>-</v>
      </c>
      <c r="O128" s="84" t="str">
        <f>IFERROR(VLOOKUP(N128,Database!$A$2:$L$175,8,FALSE),"-")</f>
        <v>-</v>
      </c>
      <c r="P128" s="84" t="str">
        <f>IFERROR(VLOOKUP(N128,Database!$A$2:$L$175,6,FALSE),"-")</f>
        <v>-</v>
      </c>
      <c r="Q128" s="88" t="str">
        <f>IFERROR(VLOOKUP(N128,Database!$A$2:$L$175,9,FALSE),"-")</f>
        <v>-</v>
      </c>
      <c r="R128" s="104" t="str">
        <f>IF(AND(D128="Y",booking!P128&lt;&gt;booking!Q128,booking!Q128&gt;0),booking!Q128,"-")</f>
        <v>-</v>
      </c>
      <c r="S128" s="84" t="str">
        <f>IFERROR(VLOOKUP(R128,Database!$A$2:$L$175,8,FALSE),"-")</f>
        <v>-</v>
      </c>
      <c r="T128" s="84" t="str">
        <f>IFERROR(VLOOKUP(R128,Database!$A$2:$L$175,6,FALSE),"-")</f>
        <v>-</v>
      </c>
      <c r="U128" s="88" t="str">
        <f>IFERROR(VLOOKUP(R128,Database!$A$2:$L$175,9,FALSE),"-")</f>
        <v>-</v>
      </c>
      <c r="V128" s="103" t="str">
        <f>IF(AND(D128="Y",booking!T128&lt;&gt;booking!U128,booking!U128&gt;0),booking!U128,"-")</f>
        <v>-</v>
      </c>
      <c r="W128" s="85" t="str">
        <f>IFERROR(VLOOKUP(V128,Database!$A$2:$L$175,8,FALSE),"-")</f>
        <v>-</v>
      </c>
      <c r="X128" s="85" t="str">
        <f>IFERROR(VLOOKUP(V128,Database!$A$2:$L$175,6,FALSE),"-")</f>
        <v>-</v>
      </c>
      <c r="Y128" s="87" t="str">
        <f>IFERROR(VLOOKUP(V128,Database!$A$2:$L$175,9,FALSE),"-")</f>
        <v>-</v>
      </c>
    </row>
    <row r="129" spans="1:25" ht="15" customHeight="1" thickBot="1" x14ac:dyDescent="0.4">
      <c r="A129" s="94" t="str">
        <f>rengøring!A129</f>
        <v>tirsdag</v>
      </c>
      <c r="B129" s="90">
        <f>rengøring!B129</f>
        <v>46266</v>
      </c>
      <c r="C129" s="9"/>
      <c r="D129" s="95" t="str">
        <f>IF(booking!AB129&gt;0,"Y","-")</f>
        <v>-</v>
      </c>
      <c r="E129" s="102" t="str">
        <f>IF(AND(D129="Y",booking!D129&lt;&gt;booking!E129,booking!E129&gt;0),booking!E129,"-")</f>
        <v>-</v>
      </c>
      <c r="F129" s="84" t="str">
        <f>IFERROR(VLOOKUP(E129,Database!$A$2:$L$175,8,FALSE),"-")</f>
        <v>-</v>
      </c>
      <c r="G129" s="84" t="str">
        <f>IFERROR(VLOOKUP(E129,Database!$A$2:$L$175,6,FALSE),"-")</f>
        <v>-</v>
      </c>
      <c r="H129" s="100" t="str">
        <f>IFERROR(VLOOKUP(E129,Database!$A$2:$L$175,9,FALSE),"-")</f>
        <v>-</v>
      </c>
      <c r="I129" s="119"/>
      <c r="J129" s="103" t="str">
        <f>IF(AND(D129="Y",booking!H129&lt;&gt;booking!I129,booking!I129&gt;0),booking!I129,"-")</f>
        <v>-</v>
      </c>
      <c r="K129" s="84" t="str">
        <f>IFERROR(VLOOKUP(J129,Database!$A$2:$L$175,8,FALSE),"-")</f>
        <v>-</v>
      </c>
      <c r="L129" s="84" t="str">
        <f>IFERROR(VLOOKUP(J129,Database!$A$2:$L$175,6,FALSE),"-")</f>
        <v>-</v>
      </c>
      <c r="M129" s="100" t="str">
        <f>IFERROR(VLOOKUP(J129,Database!$A$2:$L$175,9,FALSE),"-")</f>
        <v>-</v>
      </c>
      <c r="N129" s="103" t="str">
        <f>IF(AND(D129="Y",booking!L129&lt;&gt;booking!M129,booking!M129&gt;0),booking!M129,"-")</f>
        <v>-</v>
      </c>
      <c r="O129" s="84" t="str">
        <f>IFERROR(VLOOKUP(N129,Database!$A$2:$L$175,8,FALSE),"-")</f>
        <v>-</v>
      </c>
      <c r="P129" s="84" t="str">
        <f>IFERROR(VLOOKUP(N129,Database!$A$2:$L$175,6,FALSE),"-")</f>
        <v>-</v>
      </c>
      <c r="Q129" s="88" t="str">
        <f>IFERROR(VLOOKUP(N129,Database!$A$2:$L$175,9,FALSE),"-")</f>
        <v>-</v>
      </c>
      <c r="R129" s="104" t="str">
        <f>IF(AND(D129="Y",booking!P129&lt;&gt;booking!Q129,booking!Q129&gt;0),booking!Q129,"-")</f>
        <v>-</v>
      </c>
      <c r="S129" s="84" t="str">
        <f>IFERROR(VLOOKUP(R129,Database!$A$2:$L$175,8,FALSE),"-")</f>
        <v>-</v>
      </c>
      <c r="T129" s="84" t="str">
        <f>IFERROR(VLOOKUP(R129,Database!$A$2:$L$175,6,FALSE),"-")</f>
        <v>-</v>
      </c>
      <c r="U129" s="88" t="str">
        <f>IFERROR(VLOOKUP(R129,Database!$A$2:$L$175,9,FALSE),"-")</f>
        <v>-</v>
      </c>
      <c r="V129" s="103" t="str">
        <f>IF(AND(D129="Y",booking!T129&lt;&gt;booking!U129,booking!U129&gt;0),booking!U129,"-")</f>
        <v>-</v>
      </c>
      <c r="W129" s="85" t="str">
        <f>IFERROR(VLOOKUP(V129,Database!$A$2:$L$175,8,FALSE),"-")</f>
        <v>-</v>
      </c>
      <c r="X129" s="85" t="str">
        <f>IFERROR(VLOOKUP(V129,Database!$A$2:$L$175,6,FALSE),"-")</f>
        <v>-</v>
      </c>
      <c r="Y129" s="87" t="str">
        <f>IFERROR(VLOOKUP(V129,Database!$A$2:$L$175,9,FALSE),"-")</f>
        <v>-</v>
      </c>
    </row>
    <row r="130" spans="1:25" ht="15" customHeight="1" thickBot="1" x14ac:dyDescent="0.4">
      <c r="A130" s="94" t="str">
        <f>rengøring!A130</f>
        <v>onsdag</v>
      </c>
      <c r="B130" s="90">
        <f>rengøring!B130</f>
        <v>46267</v>
      </c>
      <c r="C130" s="9"/>
      <c r="D130" s="95" t="str">
        <f>IF(booking!AB130&gt;0,"Y","-")</f>
        <v>-</v>
      </c>
      <c r="E130" s="102" t="str">
        <f>IF(AND(D130="Y",booking!D130&lt;&gt;booking!E130,booking!E130&gt;0),booking!E130,"-")</f>
        <v>-</v>
      </c>
      <c r="F130" s="84" t="str">
        <f>IFERROR(VLOOKUP(E130,Database!$A$2:$L$175,8,FALSE),"-")</f>
        <v>-</v>
      </c>
      <c r="G130" s="84" t="str">
        <f>IFERROR(VLOOKUP(E130,Database!$A$2:$L$175,6,FALSE),"-")</f>
        <v>-</v>
      </c>
      <c r="H130" s="100" t="str">
        <f>IFERROR(VLOOKUP(E130,Database!$A$2:$L$175,9,FALSE),"-")</f>
        <v>-</v>
      </c>
      <c r="I130" s="119"/>
      <c r="J130" s="103" t="str">
        <f>IF(AND(D130="Y",booking!H130&lt;&gt;booking!I130,booking!I130&gt;0),booking!I130,"-")</f>
        <v>-</v>
      </c>
      <c r="K130" s="84" t="str">
        <f>IFERROR(VLOOKUP(J130,Database!$A$2:$L$175,8,FALSE),"-")</f>
        <v>-</v>
      </c>
      <c r="L130" s="84" t="str">
        <f>IFERROR(VLOOKUP(J130,Database!$A$2:$L$175,6,FALSE),"-")</f>
        <v>-</v>
      </c>
      <c r="M130" s="100" t="str">
        <f>IFERROR(VLOOKUP(J130,Database!$A$2:$L$175,9,FALSE),"-")</f>
        <v>-</v>
      </c>
      <c r="N130" s="103" t="str">
        <f>IF(AND(D130="Y",booking!L130&lt;&gt;booking!M130,booking!M130&gt;0),booking!M130,"-")</f>
        <v>-</v>
      </c>
      <c r="O130" s="84" t="str">
        <f>IFERROR(VLOOKUP(N130,Database!$A$2:$L$175,8,FALSE),"-")</f>
        <v>-</v>
      </c>
      <c r="P130" s="84" t="str">
        <f>IFERROR(VLOOKUP(N130,Database!$A$2:$L$175,6,FALSE),"-")</f>
        <v>-</v>
      </c>
      <c r="Q130" s="88" t="str">
        <f>IFERROR(VLOOKUP(N130,Database!$A$2:$L$175,9,FALSE),"-")</f>
        <v>-</v>
      </c>
      <c r="R130" s="104" t="str">
        <f>IF(AND(D130="Y",booking!P130&lt;&gt;booking!Q130,booking!Q130&gt;0),booking!Q130,"-")</f>
        <v>-</v>
      </c>
      <c r="S130" s="84" t="str">
        <f>IFERROR(VLOOKUP(R130,Database!$A$2:$L$175,8,FALSE),"-")</f>
        <v>-</v>
      </c>
      <c r="T130" s="84" t="str">
        <f>IFERROR(VLOOKUP(R130,Database!$A$2:$L$175,6,FALSE),"-")</f>
        <v>-</v>
      </c>
      <c r="U130" s="88" t="str">
        <f>IFERROR(VLOOKUP(R130,Database!$A$2:$L$175,9,FALSE),"-")</f>
        <v>-</v>
      </c>
      <c r="V130" s="103" t="str">
        <f>IF(AND(D130="Y",booking!T130&lt;&gt;booking!U130,booking!U130&gt;0),booking!U130,"-")</f>
        <v>-</v>
      </c>
      <c r="W130" s="85" t="str">
        <f>IFERROR(VLOOKUP(V130,Database!$A$2:$L$175,8,FALSE),"-")</f>
        <v>-</v>
      </c>
      <c r="X130" s="85" t="str">
        <f>IFERROR(VLOOKUP(V130,Database!$A$2:$L$175,6,FALSE),"-")</f>
        <v>-</v>
      </c>
      <c r="Y130" s="87" t="str">
        <f>IFERROR(VLOOKUP(V130,Database!$A$2:$L$175,9,FALSE),"-")</f>
        <v>-</v>
      </c>
    </row>
    <row r="131" spans="1:25" ht="15" customHeight="1" thickBot="1" x14ac:dyDescent="0.4">
      <c r="A131" s="94" t="str">
        <f>rengøring!A131</f>
        <v>torsdag</v>
      </c>
      <c r="B131" s="90">
        <f>rengøring!B131</f>
        <v>46268</v>
      </c>
      <c r="C131" s="9"/>
      <c r="D131" s="95" t="str">
        <f>IF(booking!AB131&gt;0,"Y","-")</f>
        <v>-</v>
      </c>
      <c r="E131" s="102" t="str">
        <f>IF(AND(D131="Y",booking!D131&lt;&gt;booking!E131,booking!E131&gt;0),booking!E131,"-")</f>
        <v>-</v>
      </c>
      <c r="F131" s="84" t="str">
        <f>IFERROR(VLOOKUP(E131,Database!$A$2:$L$175,8,FALSE),"-")</f>
        <v>-</v>
      </c>
      <c r="G131" s="84" t="str">
        <f>IFERROR(VLOOKUP(E131,Database!$A$2:$L$175,6,FALSE),"-")</f>
        <v>-</v>
      </c>
      <c r="H131" s="100" t="str">
        <f>IFERROR(VLOOKUP(E131,Database!$A$2:$L$175,9,FALSE),"-")</f>
        <v>-</v>
      </c>
      <c r="I131" s="119"/>
      <c r="J131" s="103" t="str">
        <f>IF(AND(D131="Y",booking!H131&lt;&gt;booking!I131,booking!I131&gt;0),booking!I131,"-")</f>
        <v>-</v>
      </c>
      <c r="K131" s="84" t="str">
        <f>IFERROR(VLOOKUP(J131,Database!$A$2:$L$175,8,FALSE),"-")</f>
        <v>-</v>
      </c>
      <c r="L131" s="84" t="str">
        <f>IFERROR(VLOOKUP(J131,Database!$A$2:$L$175,6,FALSE),"-")</f>
        <v>-</v>
      </c>
      <c r="M131" s="100" t="str">
        <f>IFERROR(VLOOKUP(J131,Database!$A$2:$L$175,9,FALSE),"-")</f>
        <v>-</v>
      </c>
      <c r="N131" s="103" t="str">
        <f>IF(AND(D131="Y",booking!L131&lt;&gt;booking!M131,booking!M131&gt;0),booking!M131,"-")</f>
        <v>-</v>
      </c>
      <c r="O131" s="84" t="str">
        <f>IFERROR(VLOOKUP(N131,Database!$A$2:$L$175,8,FALSE),"-")</f>
        <v>-</v>
      </c>
      <c r="P131" s="84" t="str">
        <f>IFERROR(VLOOKUP(N131,Database!$A$2:$L$175,6,FALSE),"-")</f>
        <v>-</v>
      </c>
      <c r="Q131" s="88" t="str">
        <f>IFERROR(VLOOKUP(N131,Database!$A$2:$L$175,9,FALSE),"-")</f>
        <v>-</v>
      </c>
      <c r="R131" s="104" t="str">
        <f>IF(AND(D131="Y",booking!P131&lt;&gt;booking!Q131,booking!Q131&gt;0),booking!Q131,"-")</f>
        <v>-</v>
      </c>
      <c r="S131" s="84" t="str">
        <f>IFERROR(VLOOKUP(R131,Database!$A$2:$L$175,8,FALSE),"-")</f>
        <v>-</v>
      </c>
      <c r="T131" s="84" t="str">
        <f>IFERROR(VLOOKUP(R131,Database!$A$2:$L$175,6,FALSE),"-")</f>
        <v>-</v>
      </c>
      <c r="U131" s="88" t="str">
        <f>IFERROR(VLOOKUP(R131,Database!$A$2:$L$175,9,FALSE),"-")</f>
        <v>-</v>
      </c>
      <c r="V131" s="103" t="str">
        <f>IF(AND(D131="Y",booking!T131&lt;&gt;booking!U131,booking!U131&gt;0),booking!U131,"-")</f>
        <v>-</v>
      </c>
      <c r="W131" s="85" t="str">
        <f>IFERROR(VLOOKUP(V131,Database!$A$2:$L$175,8,FALSE),"-")</f>
        <v>-</v>
      </c>
      <c r="X131" s="85" t="str">
        <f>IFERROR(VLOOKUP(V131,Database!$A$2:$L$175,6,FALSE),"-")</f>
        <v>-</v>
      </c>
      <c r="Y131" s="87" t="str">
        <f>IFERROR(VLOOKUP(V131,Database!$A$2:$L$175,9,FALSE),"-")</f>
        <v>-</v>
      </c>
    </row>
    <row r="132" spans="1:25" ht="15" customHeight="1" thickBot="1" x14ac:dyDescent="0.4">
      <c r="A132" s="94" t="str">
        <f>rengøring!A132</f>
        <v>fredag</v>
      </c>
      <c r="B132" s="90">
        <f>rengøring!B132</f>
        <v>46269</v>
      </c>
      <c r="C132" s="9"/>
      <c r="D132" s="95" t="str">
        <f>IF(booking!AB132&gt;0,"Y","-")</f>
        <v>-</v>
      </c>
      <c r="E132" s="102" t="str">
        <f>IF(AND(D132="Y",booking!D132&lt;&gt;booking!E132,booking!E132&gt;0),booking!E132,"-")</f>
        <v>-</v>
      </c>
      <c r="F132" s="84" t="str">
        <f>IFERROR(VLOOKUP(E132,Database!$A$2:$L$175,8,FALSE),"-")</f>
        <v>-</v>
      </c>
      <c r="G132" s="84" t="str">
        <f>IFERROR(VLOOKUP(E132,Database!$A$2:$L$175,6,FALSE),"-")</f>
        <v>-</v>
      </c>
      <c r="H132" s="100" t="str">
        <f>IFERROR(VLOOKUP(E132,Database!$A$2:$L$175,9,FALSE),"-")</f>
        <v>-</v>
      </c>
      <c r="I132" s="119"/>
      <c r="J132" s="103" t="str">
        <f>IF(AND(D132="Y",booking!H132&lt;&gt;booking!I132,booking!I132&gt;0),booking!I132,"-")</f>
        <v>-</v>
      </c>
      <c r="K132" s="84" t="str">
        <f>IFERROR(VLOOKUP(J132,Database!$A$2:$L$175,8,FALSE),"-")</f>
        <v>-</v>
      </c>
      <c r="L132" s="84" t="str">
        <f>IFERROR(VLOOKUP(J132,Database!$A$2:$L$175,6,FALSE),"-")</f>
        <v>-</v>
      </c>
      <c r="M132" s="100" t="str">
        <f>IFERROR(VLOOKUP(J132,Database!$A$2:$L$175,9,FALSE),"-")</f>
        <v>-</v>
      </c>
      <c r="N132" s="103" t="str">
        <f>IF(AND(D132="Y",booking!L132&lt;&gt;booking!M132,booking!M132&gt;0),booking!M132,"-")</f>
        <v>-</v>
      </c>
      <c r="O132" s="84" t="str">
        <f>IFERROR(VLOOKUP(N132,Database!$A$2:$L$175,8,FALSE),"-")</f>
        <v>-</v>
      </c>
      <c r="P132" s="84" t="str">
        <f>IFERROR(VLOOKUP(N132,Database!$A$2:$L$175,6,FALSE),"-")</f>
        <v>-</v>
      </c>
      <c r="Q132" s="88" t="str">
        <f>IFERROR(VLOOKUP(N132,Database!$A$2:$L$175,9,FALSE),"-")</f>
        <v>-</v>
      </c>
      <c r="R132" s="104" t="str">
        <f>IF(AND(D132="Y",booking!P132&lt;&gt;booking!Q132,booking!Q132&gt;0),booking!Q132,"-")</f>
        <v>-</v>
      </c>
      <c r="S132" s="84" t="str">
        <f>IFERROR(VLOOKUP(R132,Database!$A$2:$L$175,8,FALSE),"-")</f>
        <v>-</v>
      </c>
      <c r="T132" s="84" t="str">
        <f>IFERROR(VLOOKUP(R132,Database!$A$2:$L$175,6,FALSE),"-")</f>
        <v>-</v>
      </c>
      <c r="U132" s="88" t="str">
        <f>IFERROR(VLOOKUP(R132,Database!$A$2:$L$175,9,FALSE),"-")</f>
        <v>-</v>
      </c>
      <c r="V132" s="103" t="str">
        <f>IF(AND(D132="Y",booking!T132&lt;&gt;booking!U132,booking!U132&gt;0),booking!U132,"-")</f>
        <v>-</v>
      </c>
      <c r="W132" s="85" t="str">
        <f>IFERROR(VLOOKUP(V132,Database!$A$2:$L$175,8,FALSE),"-")</f>
        <v>-</v>
      </c>
      <c r="X132" s="85" t="str">
        <f>IFERROR(VLOOKUP(V132,Database!$A$2:$L$175,6,FALSE),"-")</f>
        <v>-</v>
      </c>
      <c r="Y132" s="87" t="str">
        <f>IFERROR(VLOOKUP(V132,Database!$A$2:$L$175,9,FALSE),"-")</f>
        <v>-</v>
      </c>
    </row>
    <row r="133" spans="1:25" ht="15" customHeight="1" thickBot="1" x14ac:dyDescent="0.4">
      <c r="A133" s="94" t="str">
        <f>rengøring!A133</f>
        <v>lørdag</v>
      </c>
      <c r="B133" s="90">
        <f>rengøring!B133</f>
        <v>46270</v>
      </c>
      <c r="C133" s="9"/>
      <c r="D133" s="95" t="str">
        <f>IF(booking!AB133&gt;0,"Y","-")</f>
        <v>-</v>
      </c>
      <c r="E133" s="102" t="str">
        <f>IF(AND(D133="Y",booking!D133&lt;&gt;booking!E133,booking!E133&gt;0),booking!E133,"-")</f>
        <v>-</v>
      </c>
      <c r="F133" s="84" t="str">
        <f>IFERROR(VLOOKUP(E133,Database!$A$2:$L$175,8,FALSE),"-")</f>
        <v>-</v>
      </c>
      <c r="G133" s="84" t="str">
        <f>IFERROR(VLOOKUP(E133,Database!$A$2:$L$175,6,FALSE),"-")</f>
        <v>-</v>
      </c>
      <c r="H133" s="100" t="str">
        <f>IFERROR(VLOOKUP(E133,Database!$A$2:$L$175,9,FALSE),"-")</f>
        <v>-</v>
      </c>
      <c r="I133" s="119"/>
      <c r="J133" s="103" t="str">
        <f>IF(AND(D133="Y",booking!H133&lt;&gt;booking!I133,booking!I133&gt;0),booking!I133,"-")</f>
        <v>-</v>
      </c>
      <c r="K133" s="84" t="str">
        <f>IFERROR(VLOOKUP(J133,Database!$A$2:$L$175,8,FALSE),"-")</f>
        <v>-</v>
      </c>
      <c r="L133" s="84" t="str">
        <f>IFERROR(VLOOKUP(J133,Database!$A$2:$L$175,6,FALSE),"-")</f>
        <v>-</v>
      </c>
      <c r="M133" s="100" t="str">
        <f>IFERROR(VLOOKUP(J133,Database!$A$2:$L$175,9,FALSE),"-")</f>
        <v>-</v>
      </c>
      <c r="N133" s="103" t="str">
        <f>IF(AND(D133="Y",booking!L133&lt;&gt;booking!M133,booking!M133&gt;0),booking!M133,"-")</f>
        <v>-</v>
      </c>
      <c r="O133" s="84" t="str">
        <f>IFERROR(VLOOKUP(N133,Database!$A$2:$L$175,8,FALSE),"-")</f>
        <v>-</v>
      </c>
      <c r="P133" s="84" t="str">
        <f>IFERROR(VLOOKUP(N133,Database!$A$2:$L$175,6,FALSE),"-")</f>
        <v>-</v>
      </c>
      <c r="Q133" s="88" t="str">
        <f>IFERROR(VLOOKUP(N133,Database!$A$2:$L$175,9,FALSE),"-")</f>
        <v>-</v>
      </c>
      <c r="R133" s="104" t="str">
        <f>IF(AND(D133="Y",booking!P133&lt;&gt;booking!Q133,booking!Q133&gt;0),booking!Q133,"-")</f>
        <v>-</v>
      </c>
      <c r="S133" s="84" t="str">
        <f>IFERROR(VLOOKUP(R133,Database!$A$2:$L$175,8,FALSE),"-")</f>
        <v>-</v>
      </c>
      <c r="T133" s="84" t="str">
        <f>IFERROR(VLOOKUP(R133,Database!$A$2:$L$175,6,FALSE),"-")</f>
        <v>-</v>
      </c>
      <c r="U133" s="88" t="str">
        <f>IFERROR(VLOOKUP(R133,Database!$A$2:$L$175,9,FALSE),"-")</f>
        <v>-</v>
      </c>
      <c r="V133" s="103" t="str">
        <f>IF(AND(D133="Y",booking!T133&lt;&gt;booking!U133,booking!U133&gt;0),booking!U133,"-")</f>
        <v>-</v>
      </c>
      <c r="W133" s="85" t="str">
        <f>IFERROR(VLOOKUP(V133,Database!$A$2:$L$175,8,FALSE),"-")</f>
        <v>-</v>
      </c>
      <c r="X133" s="85" t="str">
        <f>IFERROR(VLOOKUP(V133,Database!$A$2:$L$175,6,FALSE),"-")</f>
        <v>-</v>
      </c>
      <c r="Y133" s="87" t="str">
        <f>IFERROR(VLOOKUP(V133,Database!$A$2:$L$175,9,FALSE),"-")</f>
        <v>-</v>
      </c>
    </row>
    <row r="134" spans="1:25" ht="15" customHeight="1" thickBot="1" x14ac:dyDescent="0.4">
      <c r="A134" s="94" t="str">
        <f>rengøring!A134</f>
        <v>søndag</v>
      </c>
      <c r="B134" s="90">
        <f>rengøring!B134</f>
        <v>46271</v>
      </c>
      <c r="C134" s="9"/>
      <c r="D134" s="95" t="str">
        <f>IF(booking!AB134&gt;0,"Y","-")</f>
        <v>Y</v>
      </c>
      <c r="E134" s="102" t="str">
        <f>IF(AND(D134="Y",booking!D134&lt;&gt;booking!E134,booking!E134&gt;0),booking!E134,"-")</f>
        <v>-</v>
      </c>
      <c r="F134" s="84" t="str">
        <f>IFERROR(VLOOKUP(E134,Database!$A$2:$L$175,8,FALSE),"-")</f>
        <v>-</v>
      </c>
      <c r="G134" s="84" t="str">
        <f>IFERROR(VLOOKUP(E134,Database!$A$2:$L$175,6,FALSE),"-")</f>
        <v>-</v>
      </c>
      <c r="H134" s="100" t="str">
        <f>IFERROR(VLOOKUP(E134,Database!$A$2:$L$175,9,FALSE),"-")</f>
        <v>-</v>
      </c>
      <c r="I134" s="119"/>
      <c r="J134" s="103" t="str">
        <f>IF(AND(D134="Y",booking!H134&lt;&gt;booking!I134,booking!I134&gt;0),booking!I134,"-")</f>
        <v>-</v>
      </c>
      <c r="K134" s="84" t="str">
        <f>IFERROR(VLOOKUP(J134,Database!$A$2:$L$175,8,FALSE),"-")</f>
        <v>-</v>
      </c>
      <c r="L134" s="84" t="str">
        <f>IFERROR(VLOOKUP(J134,Database!$A$2:$L$175,6,FALSE),"-")</f>
        <v>-</v>
      </c>
      <c r="M134" s="100" t="str">
        <f>IFERROR(VLOOKUP(J134,Database!$A$2:$L$175,9,FALSE),"-")</f>
        <v>-</v>
      </c>
      <c r="N134" s="103" t="str">
        <f>IF(AND(D134="Y",booking!L134&lt;&gt;booking!M134,booking!M134&gt;0),booking!M134,"-")</f>
        <v>-</v>
      </c>
      <c r="O134" s="84" t="str">
        <f>IFERROR(VLOOKUP(N134,Database!$A$2:$L$175,8,FALSE),"-")</f>
        <v>-</v>
      </c>
      <c r="P134" s="84" t="str">
        <f>IFERROR(VLOOKUP(N134,Database!$A$2:$L$175,6,FALSE),"-")</f>
        <v>-</v>
      </c>
      <c r="Q134" s="88" t="str">
        <f>IFERROR(VLOOKUP(N134,Database!$A$2:$L$175,9,FALSE),"-")</f>
        <v>-</v>
      </c>
      <c r="R134" s="104" t="str">
        <f>IF(AND(D134="Y",booking!P134&lt;&gt;booking!Q134,booking!Q134&gt;0),booking!Q134,"-")</f>
        <v>-</v>
      </c>
      <c r="S134" s="84" t="str">
        <f>IFERROR(VLOOKUP(R134,Database!$A$2:$L$175,8,FALSE),"-")</f>
        <v>-</v>
      </c>
      <c r="T134" s="84" t="str">
        <f>IFERROR(VLOOKUP(R134,Database!$A$2:$L$175,6,FALSE),"-")</f>
        <v>-</v>
      </c>
      <c r="U134" s="88" t="str">
        <f>IFERROR(VLOOKUP(R134,Database!$A$2:$L$175,9,FALSE),"-")</f>
        <v>-</v>
      </c>
      <c r="V134" s="103">
        <f>IF(AND(D134="Y",booking!T134&lt;&gt;booking!U134,booking!U134&gt;0),booking!U134,"-")</f>
        <v>22</v>
      </c>
      <c r="W134" s="85">
        <f>IFERROR(VLOOKUP(V134,Database!$A$2:$L$175,8,FALSE),"-")</f>
        <v>0</v>
      </c>
      <c r="X134" s="85" t="str">
        <f>IFERROR(VLOOKUP(V134,Database!$A$2:$L$175,6,FALSE),"-")</f>
        <v>D</v>
      </c>
      <c r="Y134" s="87">
        <f>IFERROR(VLOOKUP(V134,Database!$A$2:$L$175,9,FALSE),"-")</f>
        <v>0</v>
      </c>
    </row>
    <row r="135" spans="1:25" ht="15" customHeight="1" thickBot="1" x14ac:dyDescent="0.4">
      <c r="A135" s="94" t="str">
        <f>rengøring!A135</f>
        <v>mandag</v>
      </c>
      <c r="B135" s="90">
        <f>rengøring!B135</f>
        <v>46272</v>
      </c>
      <c r="C135" s="9"/>
      <c r="D135" s="95" t="str">
        <f>IF(booking!AB135&gt;0,"Y","-")</f>
        <v>-</v>
      </c>
      <c r="E135" s="102" t="str">
        <f>IF(AND(D135="Y",booking!D135&lt;&gt;booking!E135,booking!E135&gt;0),booking!E135,"-")</f>
        <v>-</v>
      </c>
      <c r="F135" s="84" t="str">
        <f>IFERROR(VLOOKUP(E135,Database!$A$2:$L$175,8,FALSE),"-")</f>
        <v>-</v>
      </c>
      <c r="G135" s="84" t="str">
        <f>IFERROR(VLOOKUP(E135,Database!$A$2:$L$175,6,FALSE),"-")</f>
        <v>-</v>
      </c>
      <c r="H135" s="100" t="str">
        <f>IFERROR(VLOOKUP(E135,Database!$A$2:$L$175,9,FALSE),"-")</f>
        <v>-</v>
      </c>
      <c r="I135" s="119"/>
      <c r="J135" s="103" t="str">
        <f>IF(AND(D135="Y",booking!H135&lt;&gt;booking!I135,booking!I135&gt;0),booking!I135,"-")</f>
        <v>-</v>
      </c>
      <c r="K135" s="84" t="str">
        <f>IFERROR(VLOOKUP(J135,Database!$A$2:$L$175,8,FALSE),"-")</f>
        <v>-</v>
      </c>
      <c r="L135" s="84" t="str">
        <f>IFERROR(VLOOKUP(J135,Database!$A$2:$L$175,6,FALSE),"-")</f>
        <v>-</v>
      </c>
      <c r="M135" s="100" t="str">
        <f>IFERROR(VLOOKUP(J135,Database!$A$2:$L$175,9,FALSE),"-")</f>
        <v>-</v>
      </c>
      <c r="N135" s="103" t="str">
        <f>IF(AND(D135="Y",booking!L135&lt;&gt;booking!M135,booking!M135&gt;0),booking!M135,"-")</f>
        <v>-</v>
      </c>
      <c r="O135" s="84" t="str">
        <f>IFERROR(VLOOKUP(N135,Database!$A$2:$L$175,8,FALSE),"-")</f>
        <v>-</v>
      </c>
      <c r="P135" s="84" t="str">
        <f>IFERROR(VLOOKUP(N135,Database!$A$2:$L$175,6,FALSE),"-")</f>
        <v>-</v>
      </c>
      <c r="Q135" s="88" t="str">
        <f>IFERROR(VLOOKUP(N135,Database!$A$2:$L$175,9,FALSE),"-")</f>
        <v>-</v>
      </c>
      <c r="R135" s="104" t="str">
        <f>IF(AND(D135="Y",booking!P135&lt;&gt;booking!Q135,booking!Q135&gt;0),booking!Q135,"-")</f>
        <v>-</v>
      </c>
      <c r="S135" s="84" t="str">
        <f>IFERROR(VLOOKUP(R135,Database!$A$2:$L$175,8,FALSE),"-")</f>
        <v>-</v>
      </c>
      <c r="T135" s="84" t="str">
        <f>IFERROR(VLOOKUP(R135,Database!$A$2:$L$175,6,FALSE),"-")</f>
        <v>-</v>
      </c>
      <c r="U135" s="88" t="str">
        <f>IFERROR(VLOOKUP(R135,Database!$A$2:$L$175,9,FALSE),"-")</f>
        <v>-</v>
      </c>
      <c r="V135" s="103" t="str">
        <f>IF(AND(D135="Y",booking!T135&lt;&gt;booking!U135,booking!U135&gt;0),booking!U135,"-")</f>
        <v>-</v>
      </c>
      <c r="W135" s="85" t="str">
        <f>IFERROR(VLOOKUP(V135,Database!$A$2:$L$175,8,FALSE),"-")</f>
        <v>-</v>
      </c>
      <c r="X135" s="85" t="str">
        <f>IFERROR(VLOOKUP(V135,Database!$A$2:$L$175,6,FALSE),"-")</f>
        <v>-</v>
      </c>
      <c r="Y135" s="87" t="str">
        <f>IFERROR(VLOOKUP(V135,Database!$A$2:$L$175,9,FALSE),"-")</f>
        <v>-</v>
      </c>
    </row>
    <row r="136" spans="1:25" ht="15" customHeight="1" thickBot="1" x14ac:dyDescent="0.4">
      <c r="A136" s="94" t="str">
        <f>rengøring!A136</f>
        <v>tirsdag</v>
      </c>
      <c r="B136" s="90">
        <f>rengøring!B136</f>
        <v>46273</v>
      </c>
      <c r="C136" s="9"/>
      <c r="D136" s="95" t="str">
        <f>IF(booking!AB136&gt;0,"Y","-")</f>
        <v>-</v>
      </c>
      <c r="E136" s="102" t="str">
        <f>IF(AND(D136="Y",booking!D136&lt;&gt;booking!E136,booking!E136&gt;0),booking!E136,"-")</f>
        <v>-</v>
      </c>
      <c r="F136" s="84" t="str">
        <f>IFERROR(VLOOKUP(E136,Database!$A$2:$L$175,8,FALSE),"-")</f>
        <v>-</v>
      </c>
      <c r="G136" s="84" t="str">
        <f>IFERROR(VLOOKUP(E136,Database!$A$2:$L$175,6,FALSE),"-")</f>
        <v>-</v>
      </c>
      <c r="H136" s="100" t="str">
        <f>IFERROR(VLOOKUP(E136,Database!$A$2:$L$175,9,FALSE),"-")</f>
        <v>-</v>
      </c>
      <c r="I136" s="119"/>
      <c r="J136" s="103" t="str">
        <f>IF(AND(D136="Y",booking!H136&lt;&gt;booking!I136,booking!I136&gt;0),booking!I136,"-")</f>
        <v>-</v>
      </c>
      <c r="K136" s="84" t="str">
        <f>IFERROR(VLOOKUP(J136,Database!$A$2:$L$175,8,FALSE),"-")</f>
        <v>-</v>
      </c>
      <c r="L136" s="84" t="str">
        <f>IFERROR(VLOOKUP(J136,Database!$A$2:$L$175,6,FALSE),"-")</f>
        <v>-</v>
      </c>
      <c r="M136" s="100" t="str">
        <f>IFERROR(VLOOKUP(J136,Database!$A$2:$L$175,9,FALSE),"-")</f>
        <v>-</v>
      </c>
      <c r="N136" s="103" t="str">
        <f>IF(AND(D136="Y",booking!L136&lt;&gt;booking!M136,booking!M136&gt;0),booking!M136,"-")</f>
        <v>-</v>
      </c>
      <c r="O136" s="84" t="str">
        <f>IFERROR(VLOOKUP(N136,Database!$A$2:$L$175,8,FALSE),"-")</f>
        <v>-</v>
      </c>
      <c r="P136" s="84" t="str">
        <f>IFERROR(VLOOKUP(N136,Database!$A$2:$L$175,6,FALSE),"-")</f>
        <v>-</v>
      </c>
      <c r="Q136" s="88" t="str">
        <f>IFERROR(VLOOKUP(N136,Database!$A$2:$L$175,9,FALSE),"-")</f>
        <v>-</v>
      </c>
      <c r="R136" s="104" t="str">
        <f>IF(AND(D136="Y",booking!P136&lt;&gt;booking!Q136,booking!Q136&gt;0),booking!Q136,"-")</f>
        <v>-</v>
      </c>
      <c r="S136" s="84" t="str">
        <f>IFERROR(VLOOKUP(R136,Database!$A$2:$L$175,8,FALSE),"-")</f>
        <v>-</v>
      </c>
      <c r="T136" s="84" t="str">
        <f>IFERROR(VLOOKUP(R136,Database!$A$2:$L$175,6,FALSE),"-")</f>
        <v>-</v>
      </c>
      <c r="U136" s="88" t="str">
        <f>IFERROR(VLOOKUP(R136,Database!$A$2:$L$175,9,FALSE),"-")</f>
        <v>-</v>
      </c>
      <c r="V136" s="103" t="str">
        <f>IF(AND(D136="Y",booking!T136&lt;&gt;booking!U136,booking!U136&gt;0),booking!U136,"-")</f>
        <v>-</v>
      </c>
      <c r="W136" s="85" t="str">
        <f>IFERROR(VLOOKUP(V136,Database!$A$2:$L$175,8,FALSE),"-")</f>
        <v>-</v>
      </c>
      <c r="X136" s="85" t="str">
        <f>IFERROR(VLOOKUP(V136,Database!$A$2:$L$175,6,FALSE),"-")</f>
        <v>-</v>
      </c>
      <c r="Y136" s="87" t="str">
        <f>IFERROR(VLOOKUP(V136,Database!$A$2:$L$175,9,FALSE),"-")</f>
        <v>-</v>
      </c>
    </row>
    <row r="137" spans="1:25" ht="15" customHeight="1" thickBot="1" x14ac:dyDescent="0.4">
      <c r="A137" s="94" t="str">
        <f>rengøring!A137</f>
        <v>onsdag</v>
      </c>
      <c r="B137" s="90">
        <f>rengøring!B137</f>
        <v>46274</v>
      </c>
      <c r="C137" s="9"/>
      <c r="D137" s="95" t="str">
        <f>IF(booking!AB137&gt;0,"Y","-")</f>
        <v>-</v>
      </c>
      <c r="E137" s="102" t="str">
        <f>IF(AND(D137="Y",booking!D137&lt;&gt;booking!E137,booking!E137&gt;0),booking!E137,"-")</f>
        <v>-</v>
      </c>
      <c r="F137" s="84" t="str">
        <f>IFERROR(VLOOKUP(E137,Database!$A$2:$L$175,8,FALSE),"-")</f>
        <v>-</v>
      </c>
      <c r="G137" s="84" t="str">
        <f>IFERROR(VLOOKUP(E137,Database!$A$2:$L$175,6,FALSE),"-")</f>
        <v>-</v>
      </c>
      <c r="H137" s="100" t="str">
        <f>IFERROR(VLOOKUP(E137,Database!$A$2:$L$175,9,FALSE),"-")</f>
        <v>-</v>
      </c>
      <c r="I137" s="119"/>
      <c r="J137" s="103" t="str">
        <f>IF(AND(D137="Y",booking!H137&lt;&gt;booking!I137,booking!I137&gt;0),booking!I137,"-")</f>
        <v>-</v>
      </c>
      <c r="K137" s="84" t="str">
        <f>IFERROR(VLOOKUP(J137,Database!$A$2:$L$175,8,FALSE),"-")</f>
        <v>-</v>
      </c>
      <c r="L137" s="84" t="str">
        <f>IFERROR(VLOOKUP(J137,Database!$A$2:$L$175,6,FALSE),"-")</f>
        <v>-</v>
      </c>
      <c r="M137" s="100" t="str">
        <f>IFERROR(VLOOKUP(J137,Database!$A$2:$L$175,9,FALSE),"-")</f>
        <v>-</v>
      </c>
      <c r="N137" s="103" t="str">
        <f>IF(AND(D137="Y",booking!L137&lt;&gt;booking!M137,booking!M137&gt;0),booking!M137,"-")</f>
        <v>-</v>
      </c>
      <c r="O137" s="84" t="str">
        <f>IFERROR(VLOOKUP(N137,Database!$A$2:$L$175,8,FALSE),"-")</f>
        <v>-</v>
      </c>
      <c r="P137" s="84" t="str">
        <f>IFERROR(VLOOKUP(N137,Database!$A$2:$L$175,6,FALSE),"-")</f>
        <v>-</v>
      </c>
      <c r="Q137" s="88" t="str">
        <f>IFERROR(VLOOKUP(N137,Database!$A$2:$L$175,9,FALSE),"-")</f>
        <v>-</v>
      </c>
      <c r="R137" s="104" t="str">
        <f>IF(AND(D137="Y",booking!P137&lt;&gt;booking!Q137,booking!Q137&gt;0),booking!Q137,"-")</f>
        <v>-</v>
      </c>
      <c r="S137" s="84" t="str">
        <f>IFERROR(VLOOKUP(R137,Database!$A$2:$L$175,8,FALSE),"-")</f>
        <v>-</v>
      </c>
      <c r="T137" s="84" t="str">
        <f>IFERROR(VLOOKUP(R137,Database!$A$2:$L$175,6,FALSE),"-")</f>
        <v>-</v>
      </c>
      <c r="U137" s="88" t="str">
        <f>IFERROR(VLOOKUP(R137,Database!$A$2:$L$175,9,FALSE),"-")</f>
        <v>-</v>
      </c>
      <c r="V137" s="103" t="str">
        <f>IF(AND(D137="Y",booking!T137&lt;&gt;booking!U137,booking!U137&gt;0),booking!U137,"-")</f>
        <v>-</v>
      </c>
      <c r="W137" s="85" t="str">
        <f>IFERROR(VLOOKUP(V137,Database!$A$2:$L$175,8,FALSE),"-")</f>
        <v>-</v>
      </c>
      <c r="X137" s="85" t="str">
        <f>IFERROR(VLOOKUP(V137,Database!$A$2:$L$175,6,FALSE),"-")</f>
        <v>-</v>
      </c>
      <c r="Y137" s="87" t="str">
        <f>IFERROR(VLOOKUP(V137,Database!$A$2:$L$175,9,FALSE),"-")</f>
        <v>-</v>
      </c>
    </row>
    <row r="138" spans="1:25" ht="15" customHeight="1" thickBot="1" x14ac:dyDescent="0.4">
      <c r="A138" s="94" t="str">
        <f>rengøring!A138</f>
        <v>torsdag</v>
      </c>
      <c r="B138" s="90">
        <f>rengøring!B138</f>
        <v>46275</v>
      </c>
      <c r="C138" s="9"/>
      <c r="D138" s="95" t="str">
        <f>IF(booking!AB138&gt;0,"Y","-")</f>
        <v>-</v>
      </c>
      <c r="E138" s="102" t="str">
        <f>IF(AND(D138="Y",booking!D138&lt;&gt;booking!E138,booking!E138&gt;0),booking!E138,"-")</f>
        <v>-</v>
      </c>
      <c r="F138" s="84" t="str">
        <f>IFERROR(VLOOKUP(E138,Database!$A$2:$L$175,8,FALSE),"-")</f>
        <v>-</v>
      </c>
      <c r="G138" s="84" t="str">
        <f>IFERROR(VLOOKUP(E138,Database!$A$2:$L$175,6,FALSE),"-")</f>
        <v>-</v>
      </c>
      <c r="H138" s="100" t="str">
        <f>IFERROR(VLOOKUP(E138,Database!$A$2:$L$175,9,FALSE),"-")</f>
        <v>-</v>
      </c>
      <c r="I138" s="119"/>
      <c r="J138" s="103" t="str">
        <f>IF(AND(D138="Y",booking!H138&lt;&gt;booking!I138,booking!I138&gt;0),booking!I138,"-")</f>
        <v>-</v>
      </c>
      <c r="K138" s="84" t="str">
        <f>IFERROR(VLOOKUP(J138,Database!$A$2:$L$175,8,FALSE),"-")</f>
        <v>-</v>
      </c>
      <c r="L138" s="84" t="str">
        <f>IFERROR(VLOOKUP(J138,Database!$A$2:$L$175,6,FALSE),"-")</f>
        <v>-</v>
      </c>
      <c r="M138" s="100" t="str">
        <f>IFERROR(VLOOKUP(J138,Database!$A$2:$L$175,9,FALSE),"-")</f>
        <v>-</v>
      </c>
      <c r="N138" s="103" t="str">
        <f>IF(AND(D138="Y",booking!L138&lt;&gt;booking!M138,booking!M138&gt;0),booking!M138,"-")</f>
        <v>-</v>
      </c>
      <c r="O138" s="84" t="str">
        <f>IFERROR(VLOOKUP(N138,Database!$A$2:$L$175,8,FALSE),"-")</f>
        <v>-</v>
      </c>
      <c r="P138" s="84" t="str">
        <f>IFERROR(VLOOKUP(N138,Database!$A$2:$L$175,6,FALSE),"-")</f>
        <v>-</v>
      </c>
      <c r="Q138" s="88" t="str">
        <f>IFERROR(VLOOKUP(N138,Database!$A$2:$L$175,9,FALSE),"-")</f>
        <v>-</v>
      </c>
      <c r="R138" s="104" t="str">
        <f>IF(AND(D138="Y",booking!P138&lt;&gt;booking!Q138,booking!Q138&gt;0),booking!Q138,"-")</f>
        <v>-</v>
      </c>
      <c r="S138" s="84" t="str">
        <f>IFERROR(VLOOKUP(R138,Database!$A$2:$L$175,8,FALSE),"-")</f>
        <v>-</v>
      </c>
      <c r="T138" s="84" t="str">
        <f>IFERROR(VLOOKUP(R138,Database!$A$2:$L$175,6,FALSE),"-")</f>
        <v>-</v>
      </c>
      <c r="U138" s="88" t="str">
        <f>IFERROR(VLOOKUP(R138,Database!$A$2:$L$175,9,FALSE),"-")</f>
        <v>-</v>
      </c>
      <c r="V138" s="103" t="str">
        <f>IF(AND(D138="Y",booking!T138&lt;&gt;booking!U138,booking!U138&gt;0),booking!U138,"-")</f>
        <v>-</v>
      </c>
      <c r="W138" s="85" t="str">
        <f>IFERROR(VLOOKUP(V138,Database!$A$2:$L$175,8,FALSE),"-")</f>
        <v>-</v>
      </c>
      <c r="X138" s="85" t="str">
        <f>IFERROR(VLOOKUP(V138,Database!$A$2:$L$175,6,FALSE),"-")</f>
        <v>-</v>
      </c>
      <c r="Y138" s="87" t="str">
        <f>IFERROR(VLOOKUP(V138,Database!$A$2:$L$175,9,FALSE),"-")</f>
        <v>-</v>
      </c>
    </row>
    <row r="139" spans="1:25" ht="15" customHeight="1" thickBot="1" x14ac:dyDescent="0.4">
      <c r="A139" s="94" t="str">
        <f>rengøring!A139</f>
        <v>fredag</v>
      </c>
      <c r="B139" s="90">
        <f>rengøring!B139</f>
        <v>46276</v>
      </c>
      <c r="C139" s="9"/>
      <c r="D139" s="95" t="str">
        <f>IF(booking!AB139&gt;0,"Y","-")</f>
        <v>-</v>
      </c>
      <c r="E139" s="102" t="str">
        <f>IF(AND(D139="Y",booking!D139&lt;&gt;booking!E139,booking!E139&gt;0),booking!E139,"-")</f>
        <v>-</v>
      </c>
      <c r="F139" s="84" t="str">
        <f>IFERROR(VLOOKUP(E139,Database!$A$2:$L$175,8,FALSE),"-")</f>
        <v>-</v>
      </c>
      <c r="G139" s="84" t="str">
        <f>IFERROR(VLOOKUP(E139,Database!$A$2:$L$175,6,FALSE),"-")</f>
        <v>-</v>
      </c>
      <c r="H139" s="100" t="str">
        <f>IFERROR(VLOOKUP(E139,Database!$A$2:$L$175,9,FALSE),"-")</f>
        <v>-</v>
      </c>
      <c r="I139" s="119"/>
      <c r="J139" s="103" t="str">
        <f>IF(AND(D139="Y",booking!H139&lt;&gt;booking!I139,booking!I139&gt;0),booking!I139,"-")</f>
        <v>-</v>
      </c>
      <c r="K139" s="84" t="str">
        <f>IFERROR(VLOOKUP(J139,Database!$A$2:$L$175,8,FALSE),"-")</f>
        <v>-</v>
      </c>
      <c r="L139" s="84" t="str">
        <f>IFERROR(VLOOKUP(J139,Database!$A$2:$L$175,6,FALSE),"-")</f>
        <v>-</v>
      </c>
      <c r="M139" s="100" t="str">
        <f>IFERROR(VLOOKUP(J139,Database!$A$2:$L$175,9,FALSE),"-")</f>
        <v>-</v>
      </c>
      <c r="N139" s="103" t="str">
        <f>IF(AND(D139="Y",booking!L139&lt;&gt;booking!M139,booking!M139&gt;0),booking!M139,"-")</f>
        <v>-</v>
      </c>
      <c r="O139" s="84" t="str">
        <f>IFERROR(VLOOKUP(N139,Database!$A$2:$L$175,8,FALSE),"-")</f>
        <v>-</v>
      </c>
      <c r="P139" s="84" t="str">
        <f>IFERROR(VLOOKUP(N139,Database!$A$2:$L$175,6,FALSE),"-")</f>
        <v>-</v>
      </c>
      <c r="Q139" s="88" t="str">
        <f>IFERROR(VLOOKUP(N139,Database!$A$2:$L$175,9,FALSE),"-")</f>
        <v>-</v>
      </c>
      <c r="R139" s="104" t="str">
        <f>IF(AND(D139="Y",booking!P139&lt;&gt;booking!Q139,booking!Q139&gt;0),booking!Q139,"-")</f>
        <v>-</v>
      </c>
      <c r="S139" s="84" t="str">
        <f>IFERROR(VLOOKUP(R139,Database!$A$2:$L$175,8,FALSE),"-")</f>
        <v>-</v>
      </c>
      <c r="T139" s="84" t="str">
        <f>IFERROR(VLOOKUP(R139,Database!$A$2:$L$175,6,FALSE),"-")</f>
        <v>-</v>
      </c>
      <c r="U139" s="88" t="str">
        <f>IFERROR(VLOOKUP(R139,Database!$A$2:$L$175,9,FALSE),"-")</f>
        <v>-</v>
      </c>
      <c r="V139" s="103" t="str">
        <f>IF(AND(D139="Y",booking!T139&lt;&gt;booking!U139,booking!U139&gt;0),booking!U139,"-")</f>
        <v>-</v>
      </c>
      <c r="W139" s="85" t="str">
        <f>IFERROR(VLOOKUP(V139,Database!$A$2:$L$175,8,FALSE),"-")</f>
        <v>-</v>
      </c>
      <c r="X139" s="85" t="str">
        <f>IFERROR(VLOOKUP(V139,Database!$A$2:$L$175,6,FALSE),"-")</f>
        <v>-</v>
      </c>
      <c r="Y139" s="87" t="str">
        <f>IFERROR(VLOOKUP(V139,Database!$A$2:$L$175,9,FALSE),"-")</f>
        <v>-</v>
      </c>
    </row>
    <row r="140" spans="1:25" ht="15" customHeight="1" thickBot="1" x14ac:dyDescent="0.4">
      <c r="A140" s="94" t="str">
        <f>rengøring!A140</f>
        <v>lørdag</v>
      </c>
      <c r="B140" s="90">
        <f>rengøring!B140</f>
        <v>46277</v>
      </c>
      <c r="C140" s="9"/>
      <c r="D140" s="95" t="str">
        <f>IF(booking!AB140&gt;0,"Y","-")</f>
        <v>-</v>
      </c>
      <c r="E140" s="102" t="str">
        <f>IF(AND(D140="Y",booking!D140&lt;&gt;booking!E140,booking!E140&gt;0),booking!E140,"-")</f>
        <v>-</v>
      </c>
      <c r="F140" s="84" t="str">
        <f>IFERROR(VLOOKUP(E140,Database!$A$2:$L$175,8,FALSE),"-")</f>
        <v>-</v>
      </c>
      <c r="G140" s="84" t="str">
        <f>IFERROR(VLOOKUP(E140,Database!$A$2:$L$175,6,FALSE),"-")</f>
        <v>-</v>
      </c>
      <c r="H140" s="100" t="str">
        <f>IFERROR(VLOOKUP(E140,Database!$A$2:$L$175,9,FALSE),"-")</f>
        <v>-</v>
      </c>
      <c r="I140" s="119"/>
      <c r="J140" s="103" t="str">
        <f>IF(AND(D140="Y",booking!H140&lt;&gt;booking!I140,booking!I140&gt;0),booking!I140,"-")</f>
        <v>-</v>
      </c>
      <c r="K140" s="84" t="str">
        <f>IFERROR(VLOOKUP(J140,Database!$A$2:$L$175,8,FALSE),"-")</f>
        <v>-</v>
      </c>
      <c r="L140" s="84" t="str">
        <f>IFERROR(VLOOKUP(J140,Database!$A$2:$L$175,6,FALSE),"-")</f>
        <v>-</v>
      </c>
      <c r="M140" s="100" t="str">
        <f>IFERROR(VLOOKUP(J140,Database!$A$2:$L$175,9,FALSE),"-")</f>
        <v>-</v>
      </c>
      <c r="N140" s="103" t="str">
        <f>IF(AND(D140="Y",booking!L140&lt;&gt;booking!M140,booking!M140&gt;0),booking!M140,"-")</f>
        <v>-</v>
      </c>
      <c r="O140" s="84" t="str">
        <f>IFERROR(VLOOKUP(N140,Database!$A$2:$L$175,8,FALSE),"-")</f>
        <v>-</v>
      </c>
      <c r="P140" s="84" t="str">
        <f>IFERROR(VLOOKUP(N140,Database!$A$2:$L$175,6,FALSE),"-")</f>
        <v>-</v>
      </c>
      <c r="Q140" s="88" t="str">
        <f>IFERROR(VLOOKUP(N140,Database!$A$2:$L$175,9,FALSE),"-")</f>
        <v>-</v>
      </c>
      <c r="R140" s="104" t="str">
        <f>IF(AND(D140="Y",booking!P140&lt;&gt;booking!Q140,booking!Q140&gt;0),booking!Q140,"-")</f>
        <v>-</v>
      </c>
      <c r="S140" s="84" t="str">
        <f>IFERROR(VLOOKUP(R140,Database!$A$2:$L$175,8,FALSE),"-")</f>
        <v>-</v>
      </c>
      <c r="T140" s="84" t="str">
        <f>IFERROR(VLOOKUP(R140,Database!$A$2:$L$175,6,FALSE),"-")</f>
        <v>-</v>
      </c>
      <c r="U140" s="88" t="str">
        <f>IFERROR(VLOOKUP(R140,Database!$A$2:$L$175,9,FALSE),"-")</f>
        <v>-</v>
      </c>
      <c r="V140" s="103" t="str">
        <f>IF(AND(D140="Y",booking!T140&lt;&gt;booking!U140,booking!U140&gt;0),booking!U140,"-")</f>
        <v>-</v>
      </c>
      <c r="W140" s="85" t="str">
        <f>IFERROR(VLOOKUP(V140,Database!$A$2:$L$175,8,FALSE),"-")</f>
        <v>-</v>
      </c>
      <c r="X140" s="85" t="str">
        <f>IFERROR(VLOOKUP(V140,Database!$A$2:$L$175,6,FALSE),"-")</f>
        <v>-</v>
      </c>
      <c r="Y140" s="87" t="str">
        <f>IFERROR(VLOOKUP(V140,Database!$A$2:$L$175,9,FALSE),"-")</f>
        <v>-</v>
      </c>
    </row>
    <row r="141" spans="1:25" ht="15" customHeight="1" thickBot="1" x14ac:dyDescent="0.4">
      <c r="A141" s="94" t="str">
        <f>rengøring!A141</f>
        <v>søndag</v>
      </c>
      <c r="B141" s="90">
        <f>rengøring!B141</f>
        <v>46278</v>
      </c>
      <c r="C141" s="9"/>
      <c r="D141" s="95" t="str">
        <f>IF(booking!AB141&gt;0,"Y","-")</f>
        <v>-</v>
      </c>
      <c r="E141" s="102" t="str">
        <f>IF(AND(D141="Y",booking!D141&lt;&gt;booking!E141,booking!E141&gt;0),booking!E141,"-")</f>
        <v>-</v>
      </c>
      <c r="F141" s="84" t="str">
        <f>IFERROR(VLOOKUP(E141,Database!$A$2:$L$175,8,FALSE),"-")</f>
        <v>-</v>
      </c>
      <c r="G141" s="84" t="str">
        <f>IFERROR(VLOOKUP(E141,Database!$A$2:$L$175,6,FALSE),"-")</f>
        <v>-</v>
      </c>
      <c r="H141" s="100" t="str">
        <f>IFERROR(VLOOKUP(E141,Database!$A$2:$L$175,9,FALSE),"-")</f>
        <v>-</v>
      </c>
      <c r="I141" s="119"/>
      <c r="J141" s="103" t="str">
        <f>IF(AND(D141="Y",booking!H141&lt;&gt;booking!I141,booking!I141&gt;0),booking!I141,"-")</f>
        <v>-</v>
      </c>
      <c r="K141" s="84" t="str">
        <f>IFERROR(VLOOKUP(J141,Database!$A$2:$L$175,8,FALSE),"-")</f>
        <v>-</v>
      </c>
      <c r="L141" s="84" t="str">
        <f>IFERROR(VLOOKUP(J141,Database!$A$2:$L$175,6,FALSE),"-")</f>
        <v>-</v>
      </c>
      <c r="M141" s="100" t="str">
        <f>IFERROR(VLOOKUP(J141,Database!$A$2:$L$175,9,FALSE),"-")</f>
        <v>-</v>
      </c>
      <c r="N141" s="103" t="str">
        <f>IF(AND(D141="Y",booking!L141&lt;&gt;booking!M141,booking!M141&gt;0),booking!M141,"-")</f>
        <v>-</v>
      </c>
      <c r="O141" s="84" t="str">
        <f>IFERROR(VLOOKUP(N141,Database!$A$2:$L$175,8,FALSE),"-")</f>
        <v>-</v>
      </c>
      <c r="P141" s="84" t="str">
        <f>IFERROR(VLOOKUP(N141,Database!$A$2:$L$175,6,FALSE),"-")</f>
        <v>-</v>
      </c>
      <c r="Q141" s="88" t="str">
        <f>IFERROR(VLOOKUP(N141,Database!$A$2:$L$175,9,FALSE),"-")</f>
        <v>-</v>
      </c>
      <c r="R141" s="104" t="str">
        <f>IF(AND(D141="Y",booking!P141&lt;&gt;booking!Q141,booking!Q141&gt;0),booking!Q141,"-")</f>
        <v>-</v>
      </c>
      <c r="S141" s="84" t="str">
        <f>IFERROR(VLOOKUP(R141,Database!$A$2:$L$175,8,FALSE),"-")</f>
        <v>-</v>
      </c>
      <c r="T141" s="84" t="str">
        <f>IFERROR(VLOOKUP(R141,Database!$A$2:$L$175,6,FALSE),"-")</f>
        <v>-</v>
      </c>
      <c r="U141" s="88" t="str">
        <f>IFERROR(VLOOKUP(R141,Database!$A$2:$L$175,9,FALSE),"-")</f>
        <v>-</v>
      </c>
      <c r="V141" s="103" t="str">
        <f>IF(AND(D141="Y",booking!T141&lt;&gt;booking!U141,booking!U141&gt;0),booking!U141,"-")</f>
        <v>-</v>
      </c>
      <c r="W141" s="85" t="str">
        <f>IFERROR(VLOOKUP(V141,Database!$A$2:$L$175,8,FALSE),"-")</f>
        <v>-</v>
      </c>
      <c r="X141" s="85" t="str">
        <f>IFERROR(VLOOKUP(V141,Database!$A$2:$L$175,6,FALSE),"-")</f>
        <v>-</v>
      </c>
      <c r="Y141" s="87" t="str">
        <f>IFERROR(VLOOKUP(V141,Database!$A$2:$L$175,9,FALSE),"-")</f>
        <v>-</v>
      </c>
    </row>
    <row r="142" spans="1:25" ht="15" customHeight="1" thickBot="1" x14ac:dyDescent="0.4">
      <c r="A142" s="94" t="str">
        <f>rengøring!A142</f>
        <v>mandag</v>
      </c>
      <c r="B142" s="90">
        <f>rengøring!B142</f>
        <v>46279</v>
      </c>
      <c r="C142" s="9"/>
      <c r="D142" s="95" t="str">
        <f>IF(booking!AB142&gt;0,"Y","-")</f>
        <v>-</v>
      </c>
      <c r="E142" s="102" t="str">
        <f>IF(AND(D142="Y",booking!D142&lt;&gt;booking!E142,booking!E142&gt;0),booking!E142,"-")</f>
        <v>-</v>
      </c>
      <c r="F142" s="84" t="str">
        <f>IFERROR(VLOOKUP(E142,Database!$A$2:$L$175,8,FALSE),"-")</f>
        <v>-</v>
      </c>
      <c r="G142" s="84" t="str">
        <f>IFERROR(VLOOKUP(E142,Database!$A$2:$L$175,6,FALSE),"-")</f>
        <v>-</v>
      </c>
      <c r="H142" s="100" t="str">
        <f>IFERROR(VLOOKUP(E142,Database!$A$2:$L$175,9,FALSE),"-")</f>
        <v>-</v>
      </c>
      <c r="I142" s="119"/>
      <c r="J142" s="103" t="str">
        <f>IF(AND(D142="Y",booking!H142&lt;&gt;booking!I142,booking!I142&gt;0),booking!I142,"-")</f>
        <v>-</v>
      </c>
      <c r="K142" s="84" t="str">
        <f>IFERROR(VLOOKUP(J142,Database!$A$2:$L$175,8,FALSE),"-")</f>
        <v>-</v>
      </c>
      <c r="L142" s="84" t="str">
        <f>IFERROR(VLOOKUP(J142,Database!$A$2:$L$175,6,FALSE),"-")</f>
        <v>-</v>
      </c>
      <c r="M142" s="100" t="str">
        <f>IFERROR(VLOOKUP(J142,Database!$A$2:$L$175,9,FALSE),"-")</f>
        <v>-</v>
      </c>
      <c r="N142" s="103" t="str">
        <f>IF(AND(D142="Y",booking!L142&lt;&gt;booking!M142,booking!M142&gt;0),booking!M142,"-")</f>
        <v>-</v>
      </c>
      <c r="O142" s="84" t="str">
        <f>IFERROR(VLOOKUP(N142,Database!$A$2:$L$175,8,FALSE),"-")</f>
        <v>-</v>
      </c>
      <c r="P142" s="84" t="str">
        <f>IFERROR(VLOOKUP(N142,Database!$A$2:$L$175,6,FALSE),"-")</f>
        <v>-</v>
      </c>
      <c r="Q142" s="88" t="str">
        <f>IFERROR(VLOOKUP(N142,Database!$A$2:$L$175,9,FALSE),"-")</f>
        <v>-</v>
      </c>
      <c r="R142" s="104" t="str">
        <f>IF(AND(D142="Y",booking!P142&lt;&gt;booking!Q142,booking!Q142&gt;0),booking!Q142,"-")</f>
        <v>-</v>
      </c>
      <c r="S142" s="84" t="str">
        <f>IFERROR(VLOOKUP(R142,Database!$A$2:$L$175,8,FALSE),"-")</f>
        <v>-</v>
      </c>
      <c r="T142" s="84" t="str">
        <f>IFERROR(VLOOKUP(R142,Database!$A$2:$L$175,6,FALSE),"-")</f>
        <v>-</v>
      </c>
      <c r="U142" s="88" t="str">
        <f>IFERROR(VLOOKUP(R142,Database!$A$2:$L$175,9,FALSE),"-")</f>
        <v>-</v>
      </c>
      <c r="V142" s="103" t="str">
        <f>IF(AND(D142="Y",booking!T142&lt;&gt;booking!U142,booking!U142&gt;0),booking!U142,"-")</f>
        <v>-</v>
      </c>
      <c r="W142" s="85" t="str">
        <f>IFERROR(VLOOKUP(V142,Database!$A$2:$L$175,8,FALSE),"-")</f>
        <v>-</v>
      </c>
      <c r="X142" s="85" t="str">
        <f>IFERROR(VLOOKUP(V142,Database!$A$2:$L$175,6,FALSE),"-")</f>
        <v>-</v>
      </c>
      <c r="Y142" s="87" t="str">
        <f>IFERROR(VLOOKUP(V142,Database!$A$2:$L$175,9,FALSE),"-")</f>
        <v>-</v>
      </c>
    </row>
    <row r="143" spans="1:25" ht="15" customHeight="1" thickBot="1" x14ac:dyDescent="0.4">
      <c r="A143" s="94" t="str">
        <f>rengøring!A143</f>
        <v>tirsdag</v>
      </c>
      <c r="B143" s="90">
        <f>rengøring!B143</f>
        <v>46280</v>
      </c>
      <c r="C143" s="9"/>
      <c r="D143" s="95" t="str">
        <f>IF(booking!AB143&gt;0,"Y","-")</f>
        <v>-</v>
      </c>
      <c r="E143" s="102" t="str">
        <f>IF(AND(D143="Y",booking!D143&lt;&gt;booking!E143,booking!E143&gt;0),booking!E143,"-")</f>
        <v>-</v>
      </c>
      <c r="F143" s="84" t="str">
        <f>IFERROR(VLOOKUP(E143,Database!$A$2:$L$175,8,FALSE),"-")</f>
        <v>-</v>
      </c>
      <c r="G143" s="84" t="str">
        <f>IFERROR(VLOOKUP(E143,Database!$A$2:$L$175,6,FALSE),"-")</f>
        <v>-</v>
      </c>
      <c r="H143" s="100" t="str">
        <f>IFERROR(VLOOKUP(E143,Database!$A$2:$L$175,9,FALSE),"-")</f>
        <v>-</v>
      </c>
      <c r="I143" s="119"/>
      <c r="J143" s="103" t="str">
        <f>IF(AND(D143="Y",booking!H143&lt;&gt;booking!I143,booking!I143&gt;0),booking!I143,"-")</f>
        <v>-</v>
      </c>
      <c r="K143" s="84" t="str">
        <f>IFERROR(VLOOKUP(J143,Database!$A$2:$L$175,8,FALSE),"-")</f>
        <v>-</v>
      </c>
      <c r="L143" s="84" t="str">
        <f>IFERROR(VLOOKUP(J143,Database!$A$2:$L$175,6,FALSE),"-")</f>
        <v>-</v>
      </c>
      <c r="M143" s="100" t="str">
        <f>IFERROR(VLOOKUP(J143,Database!$A$2:$L$175,9,FALSE),"-")</f>
        <v>-</v>
      </c>
      <c r="N143" s="103" t="str">
        <f>IF(AND(D143="Y",booking!L143&lt;&gt;booking!M143,booking!M143&gt;0),booking!M143,"-")</f>
        <v>-</v>
      </c>
      <c r="O143" s="84" t="str">
        <f>IFERROR(VLOOKUP(N143,Database!$A$2:$L$175,8,FALSE),"-")</f>
        <v>-</v>
      </c>
      <c r="P143" s="84" t="str">
        <f>IFERROR(VLOOKUP(N143,Database!$A$2:$L$175,6,FALSE),"-")</f>
        <v>-</v>
      </c>
      <c r="Q143" s="88" t="str">
        <f>IFERROR(VLOOKUP(N143,Database!$A$2:$L$175,9,FALSE),"-")</f>
        <v>-</v>
      </c>
      <c r="R143" s="104" t="str">
        <f>IF(AND(D143="Y",booking!P143&lt;&gt;booking!Q143,booking!Q143&gt;0),booking!Q143,"-")</f>
        <v>-</v>
      </c>
      <c r="S143" s="84" t="str">
        <f>IFERROR(VLOOKUP(R143,Database!$A$2:$L$175,8,FALSE),"-")</f>
        <v>-</v>
      </c>
      <c r="T143" s="84" t="str">
        <f>IFERROR(VLOOKUP(R143,Database!$A$2:$L$175,6,FALSE),"-")</f>
        <v>-</v>
      </c>
      <c r="U143" s="88" t="str">
        <f>IFERROR(VLOOKUP(R143,Database!$A$2:$L$175,9,FALSE),"-")</f>
        <v>-</v>
      </c>
      <c r="V143" s="103" t="str">
        <f>IF(AND(D143="Y",booking!T143&lt;&gt;booking!U143,booking!U143&gt;0),booking!U143,"-")</f>
        <v>-</v>
      </c>
      <c r="W143" s="85" t="str">
        <f>IFERROR(VLOOKUP(V143,Database!$A$2:$L$175,8,FALSE),"-")</f>
        <v>-</v>
      </c>
      <c r="X143" s="85" t="str">
        <f>IFERROR(VLOOKUP(V143,Database!$A$2:$L$175,6,FALSE),"-")</f>
        <v>-</v>
      </c>
      <c r="Y143" s="87" t="str">
        <f>IFERROR(VLOOKUP(V143,Database!$A$2:$L$175,9,FALSE),"-")</f>
        <v>-</v>
      </c>
    </row>
    <row r="144" spans="1:25" ht="15" customHeight="1" thickBot="1" x14ac:dyDescent="0.4">
      <c r="A144" s="94" t="str">
        <f>rengøring!A144</f>
        <v>onsdag</v>
      </c>
      <c r="B144" s="90">
        <f>rengøring!B144</f>
        <v>46281</v>
      </c>
      <c r="C144" s="9"/>
      <c r="D144" s="95" t="str">
        <f>IF(booking!AB144&gt;0,"Y","-")</f>
        <v>Y</v>
      </c>
      <c r="E144" s="102" t="str">
        <f>IF(AND(D144="Y",booking!D144&lt;&gt;booking!E144,booking!E144&gt;0),booking!E144,"-")</f>
        <v>-</v>
      </c>
      <c r="F144" s="84" t="str">
        <f>IFERROR(VLOOKUP(E144,Database!$A$2:$L$175,8,FALSE),"-")</f>
        <v>-</v>
      </c>
      <c r="G144" s="84" t="str">
        <f>IFERROR(VLOOKUP(E144,Database!$A$2:$L$175,6,FALSE),"-")</f>
        <v>-</v>
      </c>
      <c r="H144" s="100" t="str">
        <f>IFERROR(VLOOKUP(E144,Database!$A$2:$L$175,9,FALSE),"-")</f>
        <v>-</v>
      </c>
      <c r="I144" s="119"/>
      <c r="J144" s="103">
        <f>IF(AND(D144="Y",booking!H144&lt;&gt;booking!I144,booking!I144&gt;0),booking!I144,"-")</f>
        <v>47</v>
      </c>
      <c r="K144" s="84">
        <f>IFERROR(VLOOKUP(J144,Database!$A$2:$L$175,8,FALSE),"-")</f>
        <v>0</v>
      </c>
      <c r="L144" s="84" t="str">
        <f>IFERROR(VLOOKUP(J144,Database!$A$2:$L$175,6,FALSE),"-")</f>
        <v>DK</v>
      </c>
      <c r="M144" s="100">
        <f>IFERROR(VLOOKUP(J144,Database!$A$2:$L$175,9,FALSE),"-")</f>
        <v>0</v>
      </c>
      <c r="N144" s="103" t="str">
        <f>IF(AND(D144="Y",booking!L144&lt;&gt;booking!M144,booking!M144&gt;0),booking!M144,"-")</f>
        <v>-</v>
      </c>
      <c r="O144" s="84" t="str">
        <f>IFERROR(VLOOKUP(N144,Database!$A$2:$L$175,8,FALSE),"-")</f>
        <v>-</v>
      </c>
      <c r="P144" s="84" t="str">
        <f>IFERROR(VLOOKUP(N144,Database!$A$2:$L$175,6,FALSE),"-")</f>
        <v>-</v>
      </c>
      <c r="Q144" s="88" t="str">
        <f>IFERROR(VLOOKUP(N144,Database!$A$2:$L$175,9,FALSE),"-")</f>
        <v>-</v>
      </c>
      <c r="R144" s="104" t="str">
        <f>IF(AND(D144="Y",booking!P144&lt;&gt;booking!Q144,booking!Q144&gt;0),booking!Q144,"-")</f>
        <v>-</v>
      </c>
      <c r="S144" s="84" t="str">
        <f>IFERROR(VLOOKUP(R144,Database!$A$2:$L$175,8,FALSE),"-")</f>
        <v>-</v>
      </c>
      <c r="T144" s="84" t="str">
        <f>IFERROR(VLOOKUP(R144,Database!$A$2:$L$175,6,FALSE),"-")</f>
        <v>-</v>
      </c>
      <c r="U144" s="88" t="str">
        <f>IFERROR(VLOOKUP(R144,Database!$A$2:$L$175,9,FALSE),"-")</f>
        <v>-</v>
      </c>
      <c r="V144" s="103" t="str">
        <f>IF(AND(D144="Y",booking!T144&lt;&gt;booking!U144,booking!U144&gt;0),booking!U144,"-")</f>
        <v>-</v>
      </c>
      <c r="W144" s="85" t="str">
        <f>IFERROR(VLOOKUP(V144,Database!$A$2:$L$175,8,FALSE),"-")</f>
        <v>-</v>
      </c>
      <c r="X144" s="85" t="str">
        <f>IFERROR(VLOOKUP(V144,Database!$A$2:$L$175,6,FALSE),"-")</f>
        <v>-</v>
      </c>
      <c r="Y144" s="87" t="str">
        <f>IFERROR(VLOOKUP(V144,Database!$A$2:$L$175,9,FALSE),"-")</f>
        <v>-</v>
      </c>
    </row>
    <row r="145" spans="1:25" ht="15" customHeight="1" thickBot="1" x14ac:dyDescent="0.4">
      <c r="A145" s="94" t="str">
        <f>rengøring!A145</f>
        <v>torsdag</v>
      </c>
      <c r="B145" s="90">
        <f>rengøring!B145</f>
        <v>46282</v>
      </c>
      <c r="C145" s="9"/>
      <c r="D145" s="95" t="str">
        <f>IF(booking!AB145&gt;0,"Y","-")</f>
        <v>Y</v>
      </c>
      <c r="E145" s="102">
        <f>IF(AND(D145="Y",booking!D145&lt;&gt;booking!E145,booking!E145&gt;0),booking!E145,"-")</f>
        <v>41</v>
      </c>
      <c r="F145" s="84">
        <f>IFERROR(VLOOKUP(E145,Database!$A$2:$L$175,8,FALSE),"-")</f>
        <v>0</v>
      </c>
      <c r="G145" s="84" t="str">
        <f>IFERROR(VLOOKUP(E145,Database!$A$2:$L$175,6,FALSE),"-")</f>
        <v>DK</v>
      </c>
      <c r="H145" s="100" t="str">
        <f>IFERROR(VLOOKUP(E145,Database!$A$2:$L$175,9,FALSE),"-")</f>
        <v>sing</v>
      </c>
      <c r="I145" s="119"/>
      <c r="J145" s="103" t="str">
        <f>IF(AND(D145="Y",booking!H145&lt;&gt;booking!I145,booking!I145&gt;0),booking!I145,"-")</f>
        <v>-</v>
      </c>
      <c r="K145" s="84" t="str">
        <f>IFERROR(VLOOKUP(J145,Database!$A$2:$L$175,8,FALSE),"-")</f>
        <v>-</v>
      </c>
      <c r="L145" s="84" t="str">
        <f>IFERROR(VLOOKUP(J145,Database!$A$2:$L$175,6,FALSE),"-")</f>
        <v>-</v>
      </c>
      <c r="M145" s="100" t="str">
        <f>IFERROR(VLOOKUP(J145,Database!$A$2:$L$175,9,FALSE),"-")</f>
        <v>-</v>
      </c>
      <c r="N145" s="103" t="str">
        <f>IF(AND(D145="Y",booking!L145&lt;&gt;booking!M145,booking!M145&gt;0),booking!M145,"-")</f>
        <v>-</v>
      </c>
      <c r="O145" s="84" t="str">
        <f>IFERROR(VLOOKUP(N145,Database!$A$2:$L$175,8,FALSE),"-")</f>
        <v>-</v>
      </c>
      <c r="P145" s="84" t="str">
        <f>IFERROR(VLOOKUP(N145,Database!$A$2:$L$175,6,FALSE),"-")</f>
        <v>-</v>
      </c>
      <c r="Q145" s="88" t="str">
        <f>IFERROR(VLOOKUP(N145,Database!$A$2:$L$175,9,FALSE),"-")</f>
        <v>-</v>
      </c>
      <c r="R145" s="104">
        <f>IF(AND(D145="Y",booking!P145&lt;&gt;booking!Q145,booking!Q145&gt;0),booking!Q145,"-")</f>
        <v>42</v>
      </c>
      <c r="S145" s="84">
        <f>IFERROR(VLOOKUP(R145,Database!$A$2:$L$175,8,FALSE),"-")</f>
        <v>0</v>
      </c>
      <c r="T145" s="84" t="str">
        <f>IFERROR(VLOOKUP(R145,Database!$A$2:$L$175,6,FALSE),"-")</f>
        <v>S</v>
      </c>
      <c r="U145" s="88">
        <f>IFERROR(VLOOKUP(R145,Database!$A$2:$L$175,9,FALSE),"-")</f>
        <v>0</v>
      </c>
      <c r="V145" s="103" t="str">
        <f>IF(AND(D145="Y",booking!T145&lt;&gt;booking!U145,booking!U145&gt;0),booking!U145,"-")</f>
        <v>-</v>
      </c>
      <c r="W145" s="85" t="str">
        <f>IFERROR(VLOOKUP(V145,Database!$A$2:$L$175,8,FALSE),"-")</f>
        <v>-</v>
      </c>
      <c r="X145" s="85" t="str">
        <f>IFERROR(VLOOKUP(V145,Database!$A$2:$L$175,6,FALSE),"-")</f>
        <v>-</v>
      </c>
      <c r="Y145" s="87" t="str">
        <f>IFERROR(VLOOKUP(V145,Database!$A$2:$L$175,9,FALSE),"-")</f>
        <v>-</v>
      </c>
    </row>
    <row r="146" spans="1:25" ht="15" customHeight="1" thickBot="1" x14ac:dyDescent="0.4">
      <c r="A146" s="94" t="str">
        <f>rengøring!A146</f>
        <v>fredag</v>
      </c>
      <c r="B146" s="90">
        <f>rengøring!B146</f>
        <v>46283</v>
      </c>
      <c r="C146" s="9"/>
      <c r="D146" s="95" t="str">
        <f>IF(booking!AB146&gt;0,"Y","-")</f>
        <v>Y</v>
      </c>
      <c r="E146" s="102" t="str">
        <f>IF(AND(D146="Y",booking!D146&lt;&gt;booking!E146,booking!E146&gt;0),booking!E146,"-")</f>
        <v>-</v>
      </c>
      <c r="F146" s="84" t="str">
        <f>IFERROR(VLOOKUP(E146,Database!$A$2:$L$175,8,FALSE),"-")</f>
        <v>-</v>
      </c>
      <c r="G146" s="84" t="str">
        <f>IFERROR(VLOOKUP(E146,Database!$A$2:$L$175,6,FALSE),"-")</f>
        <v>-</v>
      </c>
      <c r="H146" s="100" t="str">
        <f>IFERROR(VLOOKUP(E146,Database!$A$2:$L$175,9,FALSE),"-")</f>
        <v>-</v>
      </c>
      <c r="I146" s="119"/>
      <c r="J146" s="103" t="str">
        <f>IF(AND(D146="Y",booking!H146&lt;&gt;booking!I146,booking!I146&gt;0),booking!I146,"-")</f>
        <v>-</v>
      </c>
      <c r="K146" s="84" t="str">
        <f>IFERROR(VLOOKUP(J146,Database!$A$2:$L$175,8,FALSE),"-")</f>
        <v>-</v>
      </c>
      <c r="L146" s="84" t="str">
        <f>IFERROR(VLOOKUP(J146,Database!$A$2:$L$175,6,FALSE),"-")</f>
        <v>-</v>
      </c>
      <c r="M146" s="100" t="str">
        <f>IFERROR(VLOOKUP(J146,Database!$A$2:$L$175,9,FALSE),"-")</f>
        <v>-</v>
      </c>
      <c r="N146" s="103" t="str">
        <f>IF(AND(D146="Y",booking!L146&lt;&gt;booking!M146,booking!M146&gt;0),booking!M146,"-")</f>
        <v>-</v>
      </c>
      <c r="O146" s="84" t="str">
        <f>IFERROR(VLOOKUP(N146,Database!$A$2:$L$175,8,FALSE),"-")</f>
        <v>-</v>
      </c>
      <c r="P146" s="84" t="str">
        <f>IFERROR(VLOOKUP(N146,Database!$A$2:$L$175,6,FALSE),"-")</f>
        <v>-</v>
      </c>
      <c r="Q146" s="88" t="str">
        <f>IFERROR(VLOOKUP(N146,Database!$A$2:$L$175,9,FALSE),"-")</f>
        <v>-</v>
      </c>
      <c r="R146" s="104" t="str">
        <f>IF(AND(D146="Y",booking!P146&lt;&gt;booking!Q146,booking!Q146&gt;0),booking!Q146,"-")</f>
        <v>-</v>
      </c>
      <c r="S146" s="84" t="str">
        <f>IFERROR(VLOOKUP(R146,Database!$A$2:$L$175,8,FALSE),"-")</f>
        <v>-</v>
      </c>
      <c r="T146" s="84" t="str">
        <f>IFERROR(VLOOKUP(R146,Database!$A$2:$L$175,6,FALSE),"-")</f>
        <v>-</v>
      </c>
      <c r="U146" s="88" t="str">
        <f>IFERROR(VLOOKUP(R146,Database!$A$2:$L$175,9,FALSE),"-")</f>
        <v>-</v>
      </c>
      <c r="V146" s="103">
        <f>IF(AND(D146="Y",booking!T146&lt;&gt;booking!U146,booking!U146&gt;0),booking!U146,"-")</f>
        <v>3</v>
      </c>
      <c r="W146" s="85">
        <f>IFERROR(VLOOKUP(V146,Database!$A$2:$L$175,8,FALSE),"-")</f>
        <v>0</v>
      </c>
      <c r="X146" s="85" t="str">
        <f>IFERROR(VLOOKUP(V146,Database!$A$2:$L$175,6,FALSE),"-")</f>
        <v>DK</v>
      </c>
      <c r="Y146" s="87">
        <f>IFERROR(VLOOKUP(V146,Database!$A$2:$L$175,9,FALSE),"-")</f>
        <v>0</v>
      </c>
    </row>
    <row r="147" spans="1:25" ht="15" customHeight="1" thickBot="1" x14ac:dyDescent="0.4">
      <c r="A147" s="94" t="str">
        <f>rengøring!A147</f>
        <v>lørdag</v>
      </c>
      <c r="B147" s="90">
        <f>rengøring!B147</f>
        <v>46284</v>
      </c>
      <c r="C147" s="9"/>
      <c r="D147" s="95" t="str">
        <f>IF(booking!AB147&gt;0,"Y","-")</f>
        <v>-</v>
      </c>
      <c r="E147" s="102" t="str">
        <f>IF(AND(D147="Y",booking!D147&lt;&gt;booking!E147,booking!E147&gt;0),booking!E147,"-")</f>
        <v>-</v>
      </c>
      <c r="F147" s="84" t="str">
        <f>IFERROR(VLOOKUP(E147,Database!$A$2:$L$175,8,FALSE),"-")</f>
        <v>-</v>
      </c>
      <c r="G147" s="84" t="str">
        <f>IFERROR(VLOOKUP(E147,Database!$A$2:$L$175,6,FALSE),"-")</f>
        <v>-</v>
      </c>
      <c r="H147" s="100" t="str">
        <f>IFERROR(VLOOKUP(E147,Database!$A$2:$L$175,9,FALSE),"-")</f>
        <v>-</v>
      </c>
      <c r="I147" s="119"/>
      <c r="J147" s="103" t="str">
        <f>IF(AND(D147="Y",booking!H147&lt;&gt;booking!I147,booking!I147&gt;0),booking!I147,"-")</f>
        <v>-</v>
      </c>
      <c r="K147" s="84" t="str">
        <f>IFERROR(VLOOKUP(J147,Database!$A$2:$L$175,8,FALSE),"-")</f>
        <v>-</v>
      </c>
      <c r="L147" s="84" t="str">
        <f>IFERROR(VLOOKUP(J147,Database!$A$2:$L$175,6,FALSE),"-")</f>
        <v>-</v>
      </c>
      <c r="M147" s="100" t="str">
        <f>IFERROR(VLOOKUP(J147,Database!$A$2:$L$175,9,FALSE),"-")</f>
        <v>-</v>
      </c>
      <c r="N147" s="103" t="str">
        <f>IF(AND(D147="Y",booking!L147&lt;&gt;booking!M147,booking!M147&gt;0),booking!M147,"-")</f>
        <v>-</v>
      </c>
      <c r="O147" s="84" t="str">
        <f>IFERROR(VLOOKUP(N147,Database!$A$2:$L$175,8,FALSE),"-")</f>
        <v>-</v>
      </c>
      <c r="P147" s="84" t="str">
        <f>IFERROR(VLOOKUP(N147,Database!$A$2:$L$175,6,FALSE),"-")</f>
        <v>-</v>
      </c>
      <c r="Q147" s="88" t="str">
        <f>IFERROR(VLOOKUP(N147,Database!$A$2:$L$175,9,FALSE),"-")</f>
        <v>-</v>
      </c>
      <c r="R147" s="104" t="str">
        <f>IF(AND(D147="Y",booking!P147&lt;&gt;booking!Q147,booking!Q147&gt;0),booking!Q147,"-")</f>
        <v>-</v>
      </c>
      <c r="S147" s="84" t="str">
        <f>IFERROR(VLOOKUP(R147,Database!$A$2:$L$175,8,FALSE),"-")</f>
        <v>-</v>
      </c>
      <c r="T147" s="84" t="str">
        <f>IFERROR(VLOOKUP(R147,Database!$A$2:$L$175,6,FALSE),"-")</f>
        <v>-</v>
      </c>
      <c r="U147" s="88" t="str">
        <f>IFERROR(VLOOKUP(R147,Database!$A$2:$L$175,9,FALSE),"-")</f>
        <v>-</v>
      </c>
      <c r="V147" s="103" t="str">
        <f>IF(AND(D147="Y",booking!T147&lt;&gt;booking!U147,booking!U147&gt;0),booking!U147,"-")</f>
        <v>-</v>
      </c>
      <c r="W147" s="85" t="str">
        <f>IFERROR(VLOOKUP(V147,Database!$A$2:$L$175,8,FALSE),"-")</f>
        <v>-</v>
      </c>
      <c r="X147" s="85" t="str">
        <f>IFERROR(VLOOKUP(V147,Database!$A$2:$L$175,6,FALSE),"-")</f>
        <v>-</v>
      </c>
      <c r="Y147" s="87" t="str">
        <f>IFERROR(VLOOKUP(V147,Database!$A$2:$L$175,9,FALSE),"-")</f>
        <v>-</v>
      </c>
    </row>
    <row r="148" spans="1:25" ht="15" customHeight="1" thickBot="1" x14ac:dyDescent="0.4">
      <c r="A148" s="94" t="str">
        <f>rengøring!A148</f>
        <v>søndag</v>
      </c>
      <c r="B148" s="90">
        <f>rengøring!B148</f>
        <v>46285</v>
      </c>
      <c r="C148" s="9"/>
      <c r="D148" s="95" t="str">
        <f>IF(booking!AB148&gt;0,"Y","-")</f>
        <v>-</v>
      </c>
      <c r="E148" s="102" t="str">
        <f>IF(AND(D148="Y",booking!D148&lt;&gt;booking!E148,booking!E148&gt;0),booking!E148,"-")</f>
        <v>-</v>
      </c>
      <c r="F148" s="84" t="str">
        <f>IFERROR(VLOOKUP(E148,Database!$A$2:$L$175,8,FALSE),"-")</f>
        <v>-</v>
      </c>
      <c r="G148" s="84" t="str">
        <f>IFERROR(VLOOKUP(E148,Database!$A$2:$L$175,6,FALSE),"-")</f>
        <v>-</v>
      </c>
      <c r="H148" s="100" t="str">
        <f>IFERROR(VLOOKUP(E148,Database!$A$2:$L$175,9,FALSE),"-")</f>
        <v>-</v>
      </c>
      <c r="I148" s="119"/>
      <c r="J148" s="103" t="str">
        <f>IF(AND(D148="Y",booking!H148&lt;&gt;booking!I148,booking!I148&gt;0),booking!I148,"-")</f>
        <v>-</v>
      </c>
      <c r="K148" s="84" t="str">
        <f>IFERROR(VLOOKUP(J148,Database!$A$2:$L$175,8,FALSE),"-")</f>
        <v>-</v>
      </c>
      <c r="L148" s="84" t="str">
        <f>IFERROR(VLOOKUP(J148,Database!$A$2:$L$175,6,FALSE),"-")</f>
        <v>-</v>
      </c>
      <c r="M148" s="100" t="str">
        <f>IFERROR(VLOOKUP(J148,Database!$A$2:$L$175,9,FALSE),"-")</f>
        <v>-</v>
      </c>
      <c r="N148" s="103" t="str">
        <f>IF(AND(D148="Y",booking!L148&lt;&gt;booking!M148,booking!M148&gt;0),booking!M148,"-")</f>
        <v>-</v>
      </c>
      <c r="O148" s="84" t="str">
        <f>IFERROR(VLOOKUP(N148,Database!$A$2:$L$175,8,FALSE),"-")</f>
        <v>-</v>
      </c>
      <c r="P148" s="84" t="str">
        <f>IFERROR(VLOOKUP(N148,Database!$A$2:$L$175,6,FALSE),"-")</f>
        <v>-</v>
      </c>
      <c r="Q148" s="88" t="str">
        <f>IFERROR(VLOOKUP(N148,Database!$A$2:$L$175,9,FALSE),"-")</f>
        <v>-</v>
      </c>
      <c r="R148" s="104" t="str">
        <f>IF(AND(D148="Y",booking!P148&lt;&gt;booking!Q148,booking!Q148&gt;0),booking!Q148,"-")</f>
        <v>-</v>
      </c>
      <c r="S148" s="84" t="str">
        <f>IFERROR(VLOOKUP(R148,Database!$A$2:$L$175,8,FALSE),"-")</f>
        <v>-</v>
      </c>
      <c r="T148" s="84" t="str">
        <f>IFERROR(VLOOKUP(R148,Database!$A$2:$L$175,6,FALSE),"-")</f>
        <v>-</v>
      </c>
      <c r="U148" s="88" t="str">
        <f>IFERROR(VLOOKUP(R148,Database!$A$2:$L$175,9,FALSE),"-")</f>
        <v>-</v>
      </c>
      <c r="V148" s="103" t="str">
        <f>IF(AND(D148="Y",booking!T148&lt;&gt;booking!U148,booking!U148&gt;0),booking!U148,"-")</f>
        <v>-</v>
      </c>
      <c r="W148" s="85" t="str">
        <f>IFERROR(VLOOKUP(V148,Database!$A$2:$L$175,8,FALSE),"-")</f>
        <v>-</v>
      </c>
      <c r="X148" s="85" t="str">
        <f>IFERROR(VLOOKUP(V148,Database!$A$2:$L$175,6,FALSE),"-")</f>
        <v>-</v>
      </c>
      <c r="Y148" s="87" t="str">
        <f>IFERROR(VLOOKUP(V148,Database!$A$2:$L$175,9,FALSE),"-")</f>
        <v>-</v>
      </c>
    </row>
    <row r="149" spans="1:25" ht="15" customHeight="1" thickBot="1" x14ac:dyDescent="0.4">
      <c r="A149" s="94" t="str">
        <f>rengøring!A149</f>
        <v>mandag</v>
      </c>
      <c r="B149" s="90">
        <f>rengøring!B149</f>
        <v>46286</v>
      </c>
      <c r="C149" s="9"/>
      <c r="D149" s="95" t="str">
        <f>IF(booking!AB149&gt;0,"Y","-")</f>
        <v>-</v>
      </c>
      <c r="E149" s="102" t="str">
        <f>IF(AND(D149="Y",booking!D149&lt;&gt;booking!E149,booking!E149&gt;0),booking!E149,"-")</f>
        <v>-</v>
      </c>
      <c r="F149" s="84" t="str">
        <f>IFERROR(VLOOKUP(E149,Database!$A$2:$L$175,8,FALSE),"-")</f>
        <v>-</v>
      </c>
      <c r="G149" s="84" t="str">
        <f>IFERROR(VLOOKUP(E149,Database!$A$2:$L$175,6,FALSE),"-")</f>
        <v>-</v>
      </c>
      <c r="H149" s="100" t="str">
        <f>IFERROR(VLOOKUP(E149,Database!$A$2:$L$175,9,FALSE),"-")</f>
        <v>-</v>
      </c>
      <c r="I149" s="119"/>
      <c r="J149" s="103" t="str">
        <f>IF(AND(D149="Y",booking!H149&lt;&gt;booking!I149,booking!I149&gt;0),booking!I149,"-")</f>
        <v>-</v>
      </c>
      <c r="K149" s="84" t="str">
        <f>IFERROR(VLOOKUP(J149,Database!$A$2:$L$175,8,FALSE),"-")</f>
        <v>-</v>
      </c>
      <c r="L149" s="84" t="str">
        <f>IFERROR(VLOOKUP(J149,Database!$A$2:$L$175,6,FALSE),"-")</f>
        <v>-</v>
      </c>
      <c r="M149" s="100" t="str">
        <f>IFERROR(VLOOKUP(J149,Database!$A$2:$L$175,9,FALSE),"-")</f>
        <v>-</v>
      </c>
      <c r="N149" s="103" t="str">
        <f>IF(AND(D149="Y",booking!L149&lt;&gt;booking!M149,booking!M149&gt;0),booking!M149,"-")</f>
        <v>-</v>
      </c>
      <c r="O149" s="84" t="str">
        <f>IFERROR(VLOOKUP(N149,Database!$A$2:$L$175,8,FALSE),"-")</f>
        <v>-</v>
      </c>
      <c r="P149" s="84" t="str">
        <f>IFERROR(VLOOKUP(N149,Database!$A$2:$L$175,6,FALSE),"-")</f>
        <v>-</v>
      </c>
      <c r="Q149" s="88" t="str">
        <f>IFERROR(VLOOKUP(N149,Database!$A$2:$L$175,9,FALSE),"-")</f>
        <v>-</v>
      </c>
      <c r="R149" s="104" t="str">
        <f>IF(AND(D149="Y",booking!P149&lt;&gt;booking!Q149,booking!Q149&gt;0),booking!Q149,"-")</f>
        <v>-</v>
      </c>
      <c r="S149" s="84" t="str">
        <f>IFERROR(VLOOKUP(R149,Database!$A$2:$L$175,8,FALSE),"-")</f>
        <v>-</v>
      </c>
      <c r="T149" s="84" t="str">
        <f>IFERROR(VLOOKUP(R149,Database!$A$2:$L$175,6,FALSE),"-")</f>
        <v>-</v>
      </c>
      <c r="U149" s="88" t="str">
        <f>IFERROR(VLOOKUP(R149,Database!$A$2:$L$175,9,FALSE),"-")</f>
        <v>-</v>
      </c>
      <c r="V149" s="103" t="str">
        <f>IF(AND(D149="Y",booking!T149&lt;&gt;booking!U149,booking!U149&gt;0),booking!U149,"-")</f>
        <v>-</v>
      </c>
      <c r="W149" s="85" t="str">
        <f>IFERROR(VLOOKUP(V149,Database!$A$2:$L$175,8,FALSE),"-")</f>
        <v>-</v>
      </c>
      <c r="X149" s="85" t="str">
        <f>IFERROR(VLOOKUP(V149,Database!$A$2:$L$175,6,FALSE),"-")</f>
        <v>-</v>
      </c>
      <c r="Y149" s="87" t="str">
        <f>IFERROR(VLOOKUP(V149,Database!$A$2:$L$175,9,FALSE),"-")</f>
        <v>-</v>
      </c>
    </row>
    <row r="150" spans="1:25" ht="15" customHeight="1" thickBot="1" x14ac:dyDescent="0.4">
      <c r="A150" s="94" t="str">
        <f>rengøring!A150</f>
        <v>tirsdag</v>
      </c>
      <c r="B150" s="90">
        <f>rengøring!B150</f>
        <v>46287</v>
      </c>
      <c r="C150" s="9"/>
      <c r="D150" s="95" t="str">
        <f>IF(booking!AB150&gt;0,"Y","-")</f>
        <v>-</v>
      </c>
      <c r="E150" s="102" t="str">
        <f>IF(AND(D150="Y",booking!D150&lt;&gt;booking!E150,booking!E150&gt;0),booking!E150,"-")</f>
        <v>-</v>
      </c>
      <c r="F150" s="84" t="str">
        <f>IFERROR(VLOOKUP(E150,Database!$A$2:$L$175,8,FALSE),"-")</f>
        <v>-</v>
      </c>
      <c r="G150" s="84" t="str">
        <f>IFERROR(VLOOKUP(E150,Database!$A$2:$L$175,6,FALSE),"-")</f>
        <v>-</v>
      </c>
      <c r="H150" s="100" t="str">
        <f>IFERROR(VLOOKUP(E150,Database!$A$2:$L$175,9,FALSE),"-")</f>
        <v>-</v>
      </c>
      <c r="I150" s="119"/>
      <c r="J150" s="103" t="str">
        <f>IF(AND(D150="Y",booking!H150&lt;&gt;booking!I150,booking!I150&gt;0),booking!I150,"-")</f>
        <v>-</v>
      </c>
      <c r="K150" s="84" t="str">
        <f>IFERROR(VLOOKUP(J150,Database!$A$2:$L$175,8,FALSE),"-")</f>
        <v>-</v>
      </c>
      <c r="L150" s="84" t="str">
        <f>IFERROR(VLOOKUP(J150,Database!$A$2:$L$175,6,FALSE),"-")</f>
        <v>-</v>
      </c>
      <c r="M150" s="100" t="str">
        <f>IFERROR(VLOOKUP(J150,Database!$A$2:$L$175,9,FALSE),"-")</f>
        <v>-</v>
      </c>
      <c r="N150" s="103" t="str">
        <f>IF(AND(D150="Y",booking!L150&lt;&gt;booking!M150,booking!M150&gt;0),booking!M150,"-")</f>
        <v>-</v>
      </c>
      <c r="O150" s="84" t="str">
        <f>IFERROR(VLOOKUP(N150,Database!$A$2:$L$175,8,FALSE),"-")</f>
        <v>-</v>
      </c>
      <c r="P150" s="84" t="str">
        <f>IFERROR(VLOOKUP(N150,Database!$A$2:$L$175,6,FALSE),"-")</f>
        <v>-</v>
      </c>
      <c r="Q150" s="88" t="str">
        <f>IFERROR(VLOOKUP(N150,Database!$A$2:$L$175,9,FALSE),"-")</f>
        <v>-</v>
      </c>
      <c r="R150" s="104" t="str">
        <f>IF(AND(D150="Y",booking!P150&lt;&gt;booking!Q150,booking!Q150&gt;0),booking!Q150,"-")</f>
        <v>-</v>
      </c>
      <c r="S150" s="84" t="str">
        <f>IFERROR(VLOOKUP(R150,Database!$A$2:$L$175,8,FALSE),"-")</f>
        <v>-</v>
      </c>
      <c r="T150" s="84" t="str">
        <f>IFERROR(VLOOKUP(R150,Database!$A$2:$L$175,6,FALSE),"-")</f>
        <v>-</v>
      </c>
      <c r="U150" s="88" t="str">
        <f>IFERROR(VLOOKUP(R150,Database!$A$2:$L$175,9,FALSE),"-")</f>
        <v>-</v>
      </c>
      <c r="V150" s="103" t="str">
        <f>IF(AND(D150="Y",booking!T150&lt;&gt;booking!U150,booking!U150&gt;0),booking!U150,"-")</f>
        <v>-</v>
      </c>
      <c r="W150" s="85" t="str">
        <f>IFERROR(VLOOKUP(V150,Database!$A$2:$L$175,8,FALSE),"-")</f>
        <v>-</v>
      </c>
      <c r="X150" s="85" t="str">
        <f>IFERROR(VLOOKUP(V150,Database!$A$2:$L$175,6,FALSE),"-")</f>
        <v>-</v>
      </c>
      <c r="Y150" s="87" t="str">
        <f>IFERROR(VLOOKUP(V150,Database!$A$2:$L$175,9,FALSE),"-")</f>
        <v>-</v>
      </c>
    </row>
    <row r="151" spans="1:25" ht="15" customHeight="1" thickBot="1" x14ac:dyDescent="0.4">
      <c r="A151" s="94" t="str">
        <f>rengøring!A151</f>
        <v>onsdag</v>
      </c>
      <c r="B151" s="90">
        <f>rengøring!B151</f>
        <v>46288</v>
      </c>
      <c r="C151" s="9"/>
      <c r="D151" s="95" t="str">
        <f>IF(booking!AB151&gt;0,"Y","-")</f>
        <v>-</v>
      </c>
      <c r="E151" s="102" t="str">
        <f>IF(AND(D151="Y",booking!D151&lt;&gt;booking!E151,booking!E151&gt;0),booking!E151,"-")</f>
        <v>-</v>
      </c>
      <c r="F151" s="84" t="str">
        <f>IFERROR(VLOOKUP(E151,Database!$A$2:$L$175,8,FALSE),"-")</f>
        <v>-</v>
      </c>
      <c r="G151" s="84" t="str">
        <f>IFERROR(VLOOKUP(E151,Database!$A$2:$L$175,6,FALSE),"-")</f>
        <v>-</v>
      </c>
      <c r="H151" s="100" t="str">
        <f>IFERROR(VLOOKUP(E151,Database!$A$2:$L$175,9,FALSE),"-")</f>
        <v>-</v>
      </c>
      <c r="I151" s="119"/>
      <c r="J151" s="103" t="str">
        <f>IF(AND(D151="Y",booking!H151&lt;&gt;booking!I151,booking!I151&gt;0),booking!I151,"-")</f>
        <v>-</v>
      </c>
      <c r="K151" s="84" t="str">
        <f>IFERROR(VLOOKUP(J151,Database!$A$2:$L$175,8,FALSE),"-")</f>
        <v>-</v>
      </c>
      <c r="L151" s="84" t="str">
        <f>IFERROR(VLOOKUP(J151,Database!$A$2:$L$175,6,FALSE),"-")</f>
        <v>-</v>
      </c>
      <c r="M151" s="100" t="str">
        <f>IFERROR(VLOOKUP(J151,Database!$A$2:$L$175,9,FALSE),"-")</f>
        <v>-</v>
      </c>
      <c r="N151" s="103" t="str">
        <f>IF(AND(D151="Y",booking!L151&lt;&gt;booking!M151,booking!M151&gt;0),booking!M151,"-")</f>
        <v>-</v>
      </c>
      <c r="O151" s="84" t="str">
        <f>IFERROR(VLOOKUP(N151,Database!$A$2:$L$175,8,FALSE),"-")</f>
        <v>-</v>
      </c>
      <c r="P151" s="84" t="str">
        <f>IFERROR(VLOOKUP(N151,Database!$A$2:$L$175,6,FALSE),"-")</f>
        <v>-</v>
      </c>
      <c r="Q151" s="88" t="str">
        <f>IFERROR(VLOOKUP(N151,Database!$A$2:$L$175,9,FALSE),"-")</f>
        <v>-</v>
      </c>
      <c r="R151" s="104" t="str">
        <f>IF(AND(D151="Y",booking!P151&lt;&gt;booking!Q151,booking!Q151&gt;0),booking!Q151,"-")</f>
        <v>-</v>
      </c>
      <c r="S151" s="84" t="str">
        <f>IFERROR(VLOOKUP(R151,Database!$A$2:$L$175,8,FALSE),"-")</f>
        <v>-</v>
      </c>
      <c r="T151" s="84" t="str">
        <f>IFERROR(VLOOKUP(R151,Database!$A$2:$L$175,6,FALSE),"-")</f>
        <v>-</v>
      </c>
      <c r="U151" s="88" t="str">
        <f>IFERROR(VLOOKUP(R151,Database!$A$2:$L$175,9,FALSE),"-")</f>
        <v>-</v>
      </c>
      <c r="V151" s="103" t="str">
        <f>IF(AND(D151="Y",booking!T151&lt;&gt;booking!U151,booking!U151&gt;0),booking!U151,"-")</f>
        <v>-</v>
      </c>
      <c r="W151" s="85" t="str">
        <f>IFERROR(VLOOKUP(V151,Database!$A$2:$L$175,8,FALSE),"-")</f>
        <v>-</v>
      </c>
      <c r="X151" s="85" t="str">
        <f>IFERROR(VLOOKUP(V151,Database!$A$2:$L$175,6,FALSE),"-")</f>
        <v>-</v>
      </c>
      <c r="Y151" s="87" t="str">
        <f>IFERROR(VLOOKUP(V151,Database!$A$2:$L$175,9,FALSE),"-")</f>
        <v>-</v>
      </c>
    </row>
    <row r="152" spans="1:25" ht="15" customHeight="1" thickBot="1" x14ac:dyDescent="0.4">
      <c r="A152" s="94" t="str">
        <f>rengøring!A152</f>
        <v>torsdag</v>
      </c>
      <c r="B152" s="90">
        <f>rengøring!B152</f>
        <v>46289</v>
      </c>
      <c r="C152" s="9"/>
      <c r="D152" s="95" t="str">
        <f>IF(booking!AB152&gt;0,"Y","-")</f>
        <v>-</v>
      </c>
      <c r="E152" s="102" t="str">
        <f>IF(AND(D152="Y",booking!D152&lt;&gt;booking!E152,booking!E152&gt;0),booking!E152,"-")</f>
        <v>-</v>
      </c>
      <c r="F152" s="84" t="str">
        <f>IFERROR(VLOOKUP(E152,Database!$A$2:$L$175,8,FALSE),"-")</f>
        <v>-</v>
      </c>
      <c r="G152" s="84" t="str">
        <f>IFERROR(VLOOKUP(E152,Database!$A$2:$L$175,6,FALSE),"-")</f>
        <v>-</v>
      </c>
      <c r="H152" s="100" t="str">
        <f>IFERROR(VLOOKUP(E152,Database!$A$2:$L$175,9,FALSE),"-")</f>
        <v>-</v>
      </c>
      <c r="I152" s="119"/>
      <c r="J152" s="103" t="str">
        <f>IF(AND(D152="Y",booking!H152&lt;&gt;booking!I152,booking!I152&gt;0),booking!I152,"-")</f>
        <v>-</v>
      </c>
      <c r="K152" s="84" t="str">
        <f>IFERROR(VLOOKUP(J152,Database!$A$2:$L$175,8,FALSE),"-")</f>
        <v>-</v>
      </c>
      <c r="L152" s="84" t="str">
        <f>IFERROR(VLOOKUP(J152,Database!$A$2:$L$175,6,FALSE),"-")</f>
        <v>-</v>
      </c>
      <c r="M152" s="100" t="str">
        <f>IFERROR(VLOOKUP(J152,Database!$A$2:$L$175,9,FALSE),"-")</f>
        <v>-</v>
      </c>
      <c r="N152" s="103" t="str">
        <f>IF(AND(D152="Y",booking!L152&lt;&gt;booking!M152,booking!M152&gt;0),booking!M152,"-")</f>
        <v>-</v>
      </c>
      <c r="O152" s="84" t="str">
        <f>IFERROR(VLOOKUP(N152,Database!$A$2:$L$175,8,FALSE),"-")</f>
        <v>-</v>
      </c>
      <c r="P152" s="84" t="str">
        <f>IFERROR(VLOOKUP(N152,Database!$A$2:$L$175,6,FALSE),"-")</f>
        <v>-</v>
      </c>
      <c r="Q152" s="88" t="str">
        <f>IFERROR(VLOOKUP(N152,Database!$A$2:$L$175,9,FALSE),"-")</f>
        <v>-</v>
      </c>
      <c r="R152" s="104" t="str">
        <f>IF(AND(D152="Y",booking!P152&lt;&gt;booking!Q152,booking!Q152&gt;0),booking!Q152,"-")</f>
        <v>-</v>
      </c>
      <c r="S152" s="84" t="str">
        <f>IFERROR(VLOOKUP(R152,Database!$A$2:$L$175,8,FALSE),"-")</f>
        <v>-</v>
      </c>
      <c r="T152" s="84" t="str">
        <f>IFERROR(VLOOKUP(R152,Database!$A$2:$L$175,6,FALSE),"-")</f>
        <v>-</v>
      </c>
      <c r="U152" s="88" t="str">
        <f>IFERROR(VLOOKUP(R152,Database!$A$2:$L$175,9,FALSE),"-")</f>
        <v>-</v>
      </c>
      <c r="V152" s="103" t="str">
        <f>IF(AND(D152="Y",booking!T152&lt;&gt;booking!U152,booking!U152&gt;0),booking!U152,"-")</f>
        <v>-</v>
      </c>
      <c r="W152" s="85" t="str">
        <f>IFERROR(VLOOKUP(V152,Database!$A$2:$L$175,8,FALSE),"-")</f>
        <v>-</v>
      </c>
      <c r="X152" s="85" t="str">
        <f>IFERROR(VLOOKUP(V152,Database!$A$2:$L$175,6,FALSE),"-")</f>
        <v>-</v>
      </c>
      <c r="Y152" s="87" t="str">
        <f>IFERROR(VLOOKUP(V152,Database!$A$2:$L$175,9,FALSE),"-")</f>
        <v>-</v>
      </c>
    </row>
    <row r="153" spans="1:25" ht="15" customHeight="1" thickBot="1" x14ac:dyDescent="0.4">
      <c r="A153" s="94" t="str">
        <f>rengøring!A153</f>
        <v>fredag</v>
      </c>
      <c r="B153" s="90">
        <f>rengøring!B153</f>
        <v>46290</v>
      </c>
      <c r="C153" s="9"/>
      <c r="D153" s="95" t="str">
        <f>IF(booking!AB153&gt;0,"Y","-")</f>
        <v>-</v>
      </c>
      <c r="E153" s="102" t="str">
        <f>IF(AND(D153="Y",booking!D153&lt;&gt;booking!E153,booking!E153&gt;0),booking!E153,"-")</f>
        <v>-</v>
      </c>
      <c r="F153" s="84" t="str">
        <f>IFERROR(VLOOKUP(E153,Database!$A$2:$L$175,8,FALSE),"-")</f>
        <v>-</v>
      </c>
      <c r="G153" s="84" t="str">
        <f>IFERROR(VLOOKUP(E153,Database!$A$2:$L$175,6,FALSE),"-")</f>
        <v>-</v>
      </c>
      <c r="H153" s="100" t="str">
        <f>IFERROR(VLOOKUP(E153,Database!$A$2:$L$175,9,FALSE),"-")</f>
        <v>-</v>
      </c>
      <c r="I153" s="119"/>
      <c r="J153" s="103" t="str">
        <f>IF(AND(D153="Y",booking!H153&lt;&gt;booking!I153,booking!I153&gt;0),booking!I153,"-")</f>
        <v>-</v>
      </c>
      <c r="K153" s="84" t="str">
        <f>IFERROR(VLOOKUP(J153,Database!$A$2:$L$175,8,FALSE),"-")</f>
        <v>-</v>
      </c>
      <c r="L153" s="84" t="str">
        <f>IFERROR(VLOOKUP(J153,Database!$A$2:$L$175,6,FALSE),"-")</f>
        <v>-</v>
      </c>
      <c r="M153" s="100" t="str">
        <f>IFERROR(VLOOKUP(J153,Database!$A$2:$L$175,9,FALSE),"-")</f>
        <v>-</v>
      </c>
      <c r="N153" s="103" t="str">
        <f>IF(AND(D153="Y",booking!L153&lt;&gt;booking!M153,booking!M153&gt;0),booking!M153,"-")</f>
        <v>-</v>
      </c>
      <c r="O153" s="84" t="str">
        <f>IFERROR(VLOOKUP(N153,Database!$A$2:$L$175,8,FALSE),"-")</f>
        <v>-</v>
      </c>
      <c r="P153" s="84" t="str">
        <f>IFERROR(VLOOKUP(N153,Database!$A$2:$L$175,6,FALSE),"-")</f>
        <v>-</v>
      </c>
      <c r="Q153" s="88" t="str">
        <f>IFERROR(VLOOKUP(N153,Database!$A$2:$L$175,9,FALSE),"-")</f>
        <v>-</v>
      </c>
      <c r="R153" s="104" t="str">
        <f>IF(AND(D153="Y",booking!P153&lt;&gt;booking!Q153,booking!Q153&gt;0),booking!Q153,"-")</f>
        <v>-</v>
      </c>
      <c r="S153" s="84" t="str">
        <f>IFERROR(VLOOKUP(R153,Database!$A$2:$L$175,8,FALSE),"-")</f>
        <v>-</v>
      </c>
      <c r="T153" s="84" t="str">
        <f>IFERROR(VLOOKUP(R153,Database!$A$2:$L$175,6,FALSE),"-")</f>
        <v>-</v>
      </c>
      <c r="U153" s="88" t="str">
        <f>IFERROR(VLOOKUP(R153,Database!$A$2:$L$175,9,FALSE),"-")</f>
        <v>-</v>
      </c>
      <c r="V153" s="103" t="str">
        <f>IF(AND(D153="Y",booking!T153&lt;&gt;booking!U153,booking!U153&gt;0),booking!U153,"-")</f>
        <v>-</v>
      </c>
      <c r="W153" s="85" t="str">
        <f>IFERROR(VLOOKUP(V153,Database!$A$2:$L$175,8,FALSE),"-")</f>
        <v>-</v>
      </c>
      <c r="X153" s="85" t="str">
        <f>IFERROR(VLOOKUP(V153,Database!$A$2:$L$175,6,FALSE),"-")</f>
        <v>-</v>
      </c>
      <c r="Y153" s="87" t="str">
        <f>IFERROR(VLOOKUP(V153,Database!$A$2:$L$175,9,FALSE),"-")</f>
        <v>-</v>
      </c>
    </row>
    <row r="154" spans="1:25" ht="15" customHeight="1" thickBot="1" x14ac:dyDescent="0.4">
      <c r="A154" s="94" t="str">
        <f>rengøring!A154</f>
        <v>lørdag</v>
      </c>
      <c r="B154" s="90">
        <f>rengøring!B154</f>
        <v>46291</v>
      </c>
      <c r="C154" s="9"/>
      <c r="D154" s="95" t="str">
        <f>IF(booking!AB154&gt;0,"Y","-")</f>
        <v>-</v>
      </c>
      <c r="E154" s="102" t="str">
        <f>IF(AND(D154="Y",booking!D154&lt;&gt;booking!E154,booking!E154&gt;0),booking!E154,"-")</f>
        <v>-</v>
      </c>
      <c r="F154" s="84" t="str">
        <f>IFERROR(VLOOKUP(E154,Database!$A$2:$L$175,8,FALSE),"-")</f>
        <v>-</v>
      </c>
      <c r="G154" s="84" t="str">
        <f>IFERROR(VLOOKUP(E154,Database!$A$2:$L$175,6,FALSE),"-")</f>
        <v>-</v>
      </c>
      <c r="H154" s="100" t="str">
        <f>IFERROR(VLOOKUP(E154,Database!$A$2:$L$175,9,FALSE),"-")</f>
        <v>-</v>
      </c>
      <c r="I154" s="119"/>
      <c r="J154" s="103" t="str">
        <f>IF(AND(D154="Y",booking!H154&lt;&gt;booking!I154,booking!I154&gt;0),booking!I154,"-")</f>
        <v>-</v>
      </c>
      <c r="K154" s="84" t="str">
        <f>IFERROR(VLOOKUP(J154,Database!$A$2:$L$175,8,FALSE),"-")</f>
        <v>-</v>
      </c>
      <c r="L154" s="84" t="str">
        <f>IFERROR(VLOOKUP(J154,Database!$A$2:$L$175,6,FALSE),"-")</f>
        <v>-</v>
      </c>
      <c r="M154" s="100" t="str">
        <f>IFERROR(VLOOKUP(J154,Database!$A$2:$L$175,9,FALSE),"-")</f>
        <v>-</v>
      </c>
      <c r="N154" s="103" t="str">
        <f>IF(AND(D154="Y",booking!L154&lt;&gt;booking!M154,booking!M154&gt;0),booking!M154,"-")</f>
        <v>-</v>
      </c>
      <c r="O154" s="84" t="str">
        <f>IFERROR(VLOOKUP(N154,Database!$A$2:$L$175,8,FALSE),"-")</f>
        <v>-</v>
      </c>
      <c r="P154" s="84" t="str">
        <f>IFERROR(VLOOKUP(N154,Database!$A$2:$L$175,6,FALSE),"-")</f>
        <v>-</v>
      </c>
      <c r="Q154" s="88" t="str">
        <f>IFERROR(VLOOKUP(N154,Database!$A$2:$L$175,9,FALSE),"-")</f>
        <v>-</v>
      </c>
      <c r="R154" s="104" t="str">
        <f>IF(AND(D154="Y",booking!P154&lt;&gt;booking!Q154,booking!Q154&gt;0),booking!Q154,"-")</f>
        <v>-</v>
      </c>
      <c r="S154" s="84" t="str">
        <f>IFERROR(VLOOKUP(R154,Database!$A$2:$L$175,8,FALSE),"-")</f>
        <v>-</v>
      </c>
      <c r="T154" s="84" t="str">
        <f>IFERROR(VLOOKUP(R154,Database!$A$2:$L$175,6,FALSE),"-")</f>
        <v>-</v>
      </c>
      <c r="U154" s="88" t="str">
        <f>IFERROR(VLOOKUP(R154,Database!$A$2:$L$175,9,FALSE),"-")</f>
        <v>-</v>
      </c>
      <c r="V154" s="103" t="str">
        <f>IF(AND(D154="Y",booking!T154&lt;&gt;booking!U154,booking!U154&gt;0),booking!U154,"-")</f>
        <v>-</v>
      </c>
      <c r="W154" s="85" t="str">
        <f>IFERROR(VLOOKUP(V154,Database!$A$2:$L$175,8,FALSE),"-")</f>
        <v>-</v>
      </c>
      <c r="X154" s="85" t="str">
        <f>IFERROR(VLOOKUP(V154,Database!$A$2:$L$175,6,FALSE),"-")</f>
        <v>-</v>
      </c>
      <c r="Y154" s="87" t="str">
        <f>IFERROR(VLOOKUP(V154,Database!$A$2:$L$175,9,FALSE),"-")</f>
        <v>-</v>
      </c>
    </row>
    <row r="155" spans="1:25" ht="15" customHeight="1" thickBot="1" x14ac:dyDescent="0.4">
      <c r="A155" s="94" t="str">
        <f>rengøring!A155</f>
        <v>søndag</v>
      </c>
      <c r="B155" s="90">
        <f>rengøring!B155</f>
        <v>46292</v>
      </c>
      <c r="C155" s="9"/>
      <c r="D155" s="95" t="str">
        <f>IF(booking!AB155&gt;0,"Y","-")</f>
        <v>-</v>
      </c>
      <c r="E155" s="102" t="str">
        <f>IF(AND(D155="Y",booking!D155&lt;&gt;booking!E155,booking!E155&gt;0),booking!E155,"-")</f>
        <v>-</v>
      </c>
      <c r="F155" s="84" t="str">
        <f>IFERROR(VLOOKUP(E155,Database!$A$2:$L$175,8,FALSE),"-")</f>
        <v>-</v>
      </c>
      <c r="G155" s="84" t="str">
        <f>IFERROR(VLOOKUP(E155,Database!$A$2:$L$175,6,FALSE),"-")</f>
        <v>-</v>
      </c>
      <c r="H155" s="100" t="str">
        <f>IFERROR(VLOOKUP(E155,Database!$A$2:$L$175,9,FALSE),"-")</f>
        <v>-</v>
      </c>
      <c r="I155" s="119"/>
      <c r="J155" s="103" t="str">
        <f>IF(AND(D155="Y",booking!H155&lt;&gt;booking!I155,booking!I155&gt;0),booking!I155,"-")</f>
        <v>-</v>
      </c>
      <c r="K155" s="84" t="str">
        <f>IFERROR(VLOOKUP(J155,Database!$A$2:$L$175,8,FALSE),"-")</f>
        <v>-</v>
      </c>
      <c r="L155" s="84" t="str">
        <f>IFERROR(VLOOKUP(J155,Database!$A$2:$L$175,6,FALSE),"-")</f>
        <v>-</v>
      </c>
      <c r="M155" s="100" t="str">
        <f>IFERROR(VLOOKUP(J155,Database!$A$2:$L$175,9,FALSE),"-")</f>
        <v>-</v>
      </c>
      <c r="N155" s="103" t="str">
        <f>IF(AND(D155="Y",booking!L155&lt;&gt;booking!M155,booking!M155&gt;0),booking!M155,"-")</f>
        <v>-</v>
      </c>
      <c r="O155" s="84" t="str">
        <f>IFERROR(VLOOKUP(N155,Database!$A$2:$L$175,8,FALSE),"-")</f>
        <v>-</v>
      </c>
      <c r="P155" s="84" t="str">
        <f>IFERROR(VLOOKUP(N155,Database!$A$2:$L$175,6,FALSE),"-")</f>
        <v>-</v>
      </c>
      <c r="Q155" s="88" t="str">
        <f>IFERROR(VLOOKUP(N155,Database!$A$2:$L$175,9,FALSE),"-")</f>
        <v>-</v>
      </c>
      <c r="R155" s="104" t="str">
        <f>IF(AND(D155="Y",booking!P155&lt;&gt;booking!Q155,booking!Q155&gt;0),booking!Q155,"-")</f>
        <v>-</v>
      </c>
      <c r="S155" s="84" t="str">
        <f>IFERROR(VLOOKUP(R155,Database!$A$2:$L$175,8,FALSE),"-")</f>
        <v>-</v>
      </c>
      <c r="T155" s="84" t="str">
        <f>IFERROR(VLOOKUP(R155,Database!$A$2:$L$175,6,FALSE),"-")</f>
        <v>-</v>
      </c>
      <c r="U155" s="88" t="str">
        <f>IFERROR(VLOOKUP(R155,Database!$A$2:$L$175,9,FALSE),"-")</f>
        <v>-</v>
      </c>
      <c r="V155" s="103" t="str">
        <f>IF(AND(D155="Y",booking!T155&lt;&gt;booking!U155,booking!U155&gt;0),booking!U155,"-")</f>
        <v>-</v>
      </c>
      <c r="W155" s="85" t="str">
        <f>IFERROR(VLOOKUP(V155,Database!$A$2:$L$175,8,FALSE),"-")</f>
        <v>-</v>
      </c>
      <c r="X155" s="85" t="str">
        <f>IFERROR(VLOOKUP(V155,Database!$A$2:$L$175,6,FALSE),"-")</f>
        <v>-</v>
      </c>
      <c r="Y155" s="87" t="str">
        <f>IFERROR(VLOOKUP(V155,Database!$A$2:$L$175,9,FALSE),"-")</f>
        <v>-</v>
      </c>
    </row>
    <row r="156" spans="1:25" ht="15" customHeight="1" thickBot="1" x14ac:dyDescent="0.4">
      <c r="A156" s="94" t="str">
        <f>rengøring!A156</f>
        <v>mandag</v>
      </c>
      <c r="B156" s="90">
        <f>rengøring!B156</f>
        <v>46293</v>
      </c>
      <c r="C156" s="9"/>
      <c r="D156" s="95" t="str">
        <f>IF(booking!AB156&gt;0,"Y","-")</f>
        <v>-</v>
      </c>
      <c r="E156" s="102" t="str">
        <f>IF(AND(D156="Y",booking!D156&lt;&gt;booking!E156,booking!E156&gt;0),booking!E156,"-")</f>
        <v>-</v>
      </c>
      <c r="F156" s="84" t="str">
        <f>IFERROR(VLOOKUP(E156,Database!$A$2:$L$175,8,FALSE),"-")</f>
        <v>-</v>
      </c>
      <c r="G156" s="84" t="str">
        <f>IFERROR(VLOOKUP(E156,Database!$A$2:$L$175,6,FALSE),"-")</f>
        <v>-</v>
      </c>
      <c r="H156" s="100" t="str">
        <f>IFERROR(VLOOKUP(E156,Database!$A$2:$L$175,9,FALSE),"-")</f>
        <v>-</v>
      </c>
      <c r="I156" s="119"/>
      <c r="J156" s="103" t="str">
        <f>IF(AND(D156="Y",booking!H156&lt;&gt;booking!I156,booking!I156&gt;0),booking!I156,"-")</f>
        <v>-</v>
      </c>
      <c r="K156" s="84" t="str">
        <f>IFERROR(VLOOKUP(J156,Database!$A$2:$L$175,8,FALSE),"-")</f>
        <v>-</v>
      </c>
      <c r="L156" s="84" t="str">
        <f>IFERROR(VLOOKUP(J156,Database!$A$2:$L$175,6,FALSE),"-")</f>
        <v>-</v>
      </c>
      <c r="M156" s="100" t="str">
        <f>IFERROR(VLOOKUP(J156,Database!$A$2:$L$175,9,FALSE),"-")</f>
        <v>-</v>
      </c>
      <c r="N156" s="103" t="str">
        <f>IF(AND(D156="Y",booking!L156&lt;&gt;booking!M156,booking!M156&gt;0),booking!M156,"-")</f>
        <v>-</v>
      </c>
      <c r="O156" s="84" t="str">
        <f>IFERROR(VLOOKUP(N156,Database!$A$2:$L$175,8,FALSE),"-")</f>
        <v>-</v>
      </c>
      <c r="P156" s="84" t="str">
        <f>IFERROR(VLOOKUP(N156,Database!$A$2:$L$175,6,FALSE),"-")</f>
        <v>-</v>
      </c>
      <c r="Q156" s="88" t="str">
        <f>IFERROR(VLOOKUP(N156,Database!$A$2:$L$175,9,FALSE),"-")</f>
        <v>-</v>
      </c>
      <c r="R156" s="104" t="str">
        <f>IF(AND(D156="Y",booking!P156&lt;&gt;booking!Q156,booking!Q156&gt;0),booking!Q156,"-")</f>
        <v>-</v>
      </c>
      <c r="S156" s="84" t="str">
        <f>IFERROR(VLOOKUP(R156,Database!$A$2:$L$175,8,FALSE),"-")</f>
        <v>-</v>
      </c>
      <c r="T156" s="84" t="str">
        <f>IFERROR(VLOOKUP(R156,Database!$A$2:$L$175,6,FALSE),"-")</f>
        <v>-</v>
      </c>
      <c r="U156" s="88" t="str">
        <f>IFERROR(VLOOKUP(R156,Database!$A$2:$L$175,9,FALSE),"-")</f>
        <v>-</v>
      </c>
      <c r="V156" s="103" t="str">
        <f>IF(AND(D156="Y",booking!T156&lt;&gt;booking!U156,booking!U156&gt;0),booking!U156,"-")</f>
        <v>-</v>
      </c>
      <c r="W156" s="85" t="str">
        <f>IFERROR(VLOOKUP(V156,Database!$A$2:$L$175,8,FALSE),"-")</f>
        <v>-</v>
      </c>
      <c r="X156" s="85" t="str">
        <f>IFERROR(VLOOKUP(V156,Database!$A$2:$L$175,6,FALSE),"-")</f>
        <v>-</v>
      </c>
      <c r="Y156" s="87" t="str">
        <f>IFERROR(VLOOKUP(V156,Database!$A$2:$L$175,9,FALSE),"-")</f>
        <v>-</v>
      </c>
    </row>
    <row r="157" spans="1:25" ht="15" customHeight="1" thickBot="1" x14ac:dyDescent="0.4">
      <c r="A157" s="94" t="str">
        <f>rengøring!A157</f>
        <v>tirsdag</v>
      </c>
      <c r="B157" s="90">
        <f>rengøring!B157</f>
        <v>46294</v>
      </c>
      <c r="C157" s="9"/>
      <c r="D157" s="95" t="str">
        <f>IF(booking!AB157&gt;0,"Y","-")</f>
        <v>-</v>
      </c>
      <c r="E157" s="102" t="str">
        <f>IF(AND(D157="Y",booking!D157&lt;&gt;booking!E157,booking!E157&gt;0),booking!E157,"-")</f>
        <v>-</v>
      </c>
      <c r="F157" s="84" t="str">
        <f>IFERROR(VLOOKUP(E157,Database!$A$2:$L$175,8,FALSE),"-")</f>
        <v>-</v>
      </c>
      <c r="G157" s="84" t="str">
        <f>IFERROR(VLOOKUP(E157,Database!$A$2:$L$175,6,FALSE),"-")</f>
        <v>-</v>
      </c>
      <c r="H157" s="100" t="str">
        <f>IFERROR(VLOOKUP(E157,Database!$A$2:$L$175,9,FALSE),"-")</f>
        <v>-</v>
      </c>
      <c r="I157" s="119"/>
      <c r="J157" s="103" t="str">
        <f>IF(AND(D157="Y",booking!H157&lt;&gt;booking!I157,booking!I157&gt;0),booking!I157,"-")</f>
        <v>-</v>
      </c>
      <c r="K157" s="84" t="str">
        <f>IFERROR(VLOOKUP(J157,Database!$A$2:$L$175,8,FALSE),"-")</f>
        <v>-</v>
      </c>
      <c r="L157" s="84" t="str">
        <f>IFERROR(VLOOKUP(J157,Database!$A$2:$L$175,6,FALSE),"-")</f>
        <v>-</v>
      </c>
      <c r="M157" s="100" t="str">
        <f>IFERROR(VLOOKUP(J157,Database!$A$2:$L$175,9,FALSE),"-")</f>
        <v>-</v>
      </c>
      <c r="N157" s="103" t="str">
        <f>IF(AND(D157="Y",booking!L157&lt;&gt;booking!M157,booking!M157&gt;0),booking!M157,"-")</f>
        <v>-</v>
      </c>
      <c r="O157" s="84" t="str">
        <f>IFERROR(VLOOKUP(N157,Database!$A$2:$L$175,8,FALSE),"-")</f>
        <v>-</v>
      </c>
      <c r="P157" s="84" t="str">
        <f>IFERROR(VLOOKUP(N157,Database!$A$2:$L$175,6,FALSE),"-")</f>
        <v>-</v>
      </c>
      <c r="Q157" s="88" t="str">
        <f>IFERROR(VLOOKUP(N157,Database!$A$2:$L$175,9,FALSE),"-")</f>
        <v>-</v>
      </c>
      <c r="R157" s="104" t="str">
        <f>IF(AND(D157="Y",booking!P157&lt;&gt;booking!Q157,booking!Q157&gt;0),booking!Q157,"-")</f>
        <v>-</v>
      </c>
      <c r="S157" s="84" t="str">
        <f>IFERROR(VLOOKUP(R157,Database!$A$2:$L$175,8,FALSE),"-")</f>
        <v>-</v>
      </c>
      <c r="T157" s="84" t="str">
        <f>IFERROR(VLOOKUP(R157,Database!$A$2:$L$175,6,FALSE),"-")</f>
        <v>-</v>
      </c>
      <c r="U157" s="88" t="str">
        <f>IFERROR(VLOOKUP(R157,Database!$A$2:$L$175,9,FALSE),"-")</f>
        <v>-</v>
      </c>
      <c r="V157" s="103" t="str">
        <f>IF(AND(D157="Y",booking!T157&lt;&gt;booking!U157,booking!U157&gt;0),booking!U157,"-")</f>
        <v>-</v>
      </c>
      <c r="W157" s="85" t="str">
        <f>IFERROR(VLOOKUP(V157,Database!$A$2:$L$175,8,FALSE),"-")</f>
        <v>-</v>
      </c>
      <c r="X157" s="85" t="str">
        <f>IFERROR(VLOOKUP(V157,Database!$A$2:$L$175,6,FALSE),"-")</f>
        <v>-</v>
      </c>
      <c r="Y157" s="87" t="str">
        <f>IFERROR(VLOOKUP(V157,Database!$A$2:$L$175,9,FALSE),"-")</f>
        <v>-</v>
      </c>
    </row>
    <row r="158" spans="1:25" ht="15" customHeight="1" thickBot="1" x14ac:dyDescent="0.4">
      <c r="A158" s="94" t="str">
        <f>rengøring!A158</f>
        <v>onsdag</v>
      </c>
      <c r="B158" s="90">
        <f>rengøring!B158</f>
        <v>46295</v>
      </c>
      <c r="C158" s="9"/>
      <c r="D158" s="95" t="str">
        <f>IF(booking!AB158&gt;0,"Y","-")</f>
        <v>-</v>
      </c>
      <c r="E158" s="102" t="str">
        <f>IF(AND(D158="Y",booking!D158&lt;&gt;booking!E158,booking!E158&gt;0),booking!E158,"-")</f>
        <v>-</v>
      </c>
      <c r="F158" s="84" t="str">
        <f>IFERROR(VLOOKUP(E158,Database!$A$2:$L$175,8,FALSE),"-")</f>
        <v>-</v>
      </c>
      <c r="G158" s="84" t="str">
        <f>IFERROR(VLOOKUP(E158,Database!$A$2:$L$175,6,FALSE),"-")</f>
        <v>-</v>
      </c>
      <c r="H158" s="100" t="str">
        <f>IFERROR(VLOOKUP(E158,Database!$A$2:$L$175,9,FALSE),"-")</f>
        <v>-</v>
      </c>
      <c r="I158" s="119"/>
      <c r="J158" s="103" t="str">
        <f>IF(AND(D158="Y",booking!H158&lt;&gt;booking!I158,booking!I158&gt;0),booking!I158,"-")</f>
        <v>-</v>
      </c>
      <c r="K158" s="84" t="str">
        <f>IFERROR(VLOOKUP(J158,Database!$A$2:$L$175,8,FALSE),"-")</f>
        <v>-</v>
      </c>
      <c r="L158" s="84" t="str">
        <f>IFERROR(VLOOKUP(J158,Database!$A$2:$L$175,6,FALSE),"-")</f>
        <v>-</v>
      </c>
      <c r="M158" s="100" t="str">
        <f>IFERROR(VLOOKUP(J158,Database!$A$2:$L$175,9,FALSE),"-")</f>
        <v>-</v>
      </c>
      <c r="N158" s="103" t="str">
        <f>IF(AND(D158="Y",booking!L158&lt;&gt;booking!M158,booking!M158&gt;0),booking!M158,"-")</f>
        <v>-</v>
      </c>
      <c r="O158" s="84" t="str">
        <f>IFERROR(VLOOKUP(N158,Database!$A$2:$L$175,8,FALSE),"-")</f>
        <v>-</v>
      </c>
      <c r="P158" s="84" t="str">
        <f>IFERROR(VLOOKUP(N158,Database!$A$2:$L$175,6,FALSE),"-")</f>
        <v>-</v>
      </c>
      <c r="Q158" s="88" t="str">
        <f>IFERROR(VLOOKUP(N158,Database!$A$2:$L$175,9,FALSE),"-")</f>
        <v>-</v>
      </c>
      <c r="R158" s="104" t="str">
        <f>IF(AND(D158="Y",booking!P158&lt;&gt;booking!Q158,booking!Q158&gt;0),booking!Q158,"-")</f>
        <v>-</v>
      </c>
      <c r="S158" s="84" t="str">
        <f>IFERROR(VLOOKUP(R158,Database!$A$2:$L$175,8,FALSE),"-")</f>
        <v>-</v>
      </c>
      <c r="T158" s="84" t="str">
        <f>IFERROR(VLOOKUP(R158,Database!$A$2:$L$175,6,FALSE),"-")</f>
        <v>-</v>
      </c>
      <c r="U158" s="88" t="str">
        <f>IFERROR(VLOOKUP(R158,Database!$A$2:$L$175,9,FALSE),"-")</f>
        <v>-</v>
      </c>
      <c r="V158" s="103" t="str">
        <f>IF(AND(D158="Y",booking!T158&lt;&gt;booking!U158,booking!U158&gt;0),booking!U158,"-")</f>
        <v>-</v>
      </c>
      <c r="W158" s="85" t="str">
        <f>IFERROR(VLOOKUP(V158,Database!$A$2:$L$175,8,FALSE),"-")</f>
        <v>-</v>
      </c>
      <c r="X158" s="85" t="str">
        <f>IFERROR(VLOOKUP(V158,Database!$A$2:$L$175,6,FALSE),"-")</f>
        <v>-</v>
      </c>
      <c r="Y158" s="87" t="str">
        <f>IFERROR(VLOOKUP(V158,Database!$A$2:$L$175,9,FALSE),"-")</f>
        <v>-</v>
      </c>
    </row>
    <row r="159" spans="1:25" ht="15" customHeight="1" thickBot="1" x14ac:dyDescent="0.4">
      <c r="A159" s="94" t="str">
        <f>rengøring!A159</f>
        <v>torsdag</v>
      </c>
      <c r="B159" s="90">
        <f>rengøring!B159</f>
        <v>46296</v>
      </c>
      <c r="C159" s="9"/>
      <c r="D159" s="95" t="str">
        <f>IF(booking!AB159&gt;0,"Y","-")</f>
        <v>-</v>
      </c>
      <c r="E159" s="102" t="str">
        <f>IF(AND(D159="Y",booking!D159&lt;&gt;booking!E159,booking!E159&gt;0),booking!E159,"-")</f>
        <v>-</v>
      </c>
      <c r="F159" s="84" t="str">
        <f>IFERROR(VLOOKUP(E159,Database!$A$2:$L$175,8,FALSE),"-")</f>
        <v>-</v>
      </c>
      <c r="G159" s="84" t="str">
        <f>IFERROR(VLOOKUP(E159,Database!$A$2:$L$175,6,FALSE),"-")</f>
        <v>-</v>
      </c>
      <c r="H159" s="100" t="str">
        <f>IFERROR(VLOOKUP(E159,Database!$A$2:$L$175,9,FALSE),"-")</f>
        <v>-</v>
      </c>
      <c r="I159" s="119"/>
      <c r="J159" s="103" t="str">
        <f>IF(AND(D159="Y",booking!H159&lt;&gt;booking!I159,booking!I159&gt;0),booking!I159,"-")</f>
        <v>-</v>
      </c>
      <c r="K159" s="84" t="str">
        <f>IFERROR(VLOOKUP(J159,Database!$A$2:$L$175,8,FALSE),"-")</f>
        <v>-</v>
      </c>
      <c r="L159" s="84" t="str">
        <f>IFERROR(VLOOKUP(J159,Database!$A$2:$L$175,6,FALSE),"-")</f>
        <v>-</v>
      </c>
      <c r="M159" s="100" t="str">
        <f>IFERROR(VLOOKUP(J159,Database!$A$2:$L$175,9,FALSE),"-")</f>
        <v>-</v>
      </c>
      <c r="N159" s="103" t="str">
        <f>IF(AND(D159="Y",booking!L159&lt;&gt;booking!M159,booking!M159&gt;0),booking!M159,"-")</f>
        <v>-</v>
      </c>
      <c r="O159" s="84" t="str">
        <f>IFERROR(VLOOKUP(N159,Database!$A$2:$L$175,8,FALSE),"-")</f>
        <v>-</v>
      </c>
      <c r="P159" s="84" t="str">
        <f>IFERROR(VLOOKUP(N159,Database!$A$2:$L$175,6,FALSE),"-")</f>
        <v>-</v>
      </c>
      <c r="Q159" s="88" t="str">
        <f>IFERROR(VLOOKUP(N159,Database!$A$2:$L$175,9,FALSE),"-")</f>
        <v>-</v>
      </c>
      <c r="R159" s="104" t="str">
        <f>IF(AND(D159="Y",booking!P159&lt;&gt;booking!Q159,booking!Q159&gt;0),booking!Q159,"-")</f>
        <v>-</v>
      </c>
      <c r="S159" s="84" t="str">
        <f>IFERROR(VLOOKUP(R159,Database!$A$2:$L$175,8,FALSE),"-")</f>
        <v>-</v>
      </c>
      <c r="T159" s="84" t="str">
        <f>IFERROR(VLOOKUP(R159,Database!$A$2:$L$175,6,FALSE),"-")</f>
        <v>-</v>
      </c>
      <c r="U159" s="88" t="str">
        <f>IFERROR(VLOOKUP(R159,Database!$A$2:$L$175,9,FALSE),"-")</f>
        <v>-</v>
      </c>
      <c r="V159" s="103" t="str">
        <f>IF(AND(D159="Y",booking!T159&lt;&gt;booking!U159,booking!U159&gt;0),booking!U159,"-")</f>
        <v>-</v>
      </c>
      <c r="W159" s="85" t="str">
        <f>IFERROR(VLOOKUP(V159,Database!$A$2:$L$175,8,FALSE),"-")</f>
        <v>-</v>
      </c>
      <c r="X159" s="85" t="str">
        <f>IFERROR(VLOOKUP(V159,Database!$A$2:$L$175,6,FALSE),"-")</f>
        <v>-</v>
      </c>
      <c r="Y159" s="87" t="str">
        <f>IFERROR(VLOOKUP(V159,Database!$A$2:$L$175,9,FALSE),"-")</f>
        <v>-</v>
      </c>
    </row>
    <row r="160" spans="1:25" ht="15" customHeight="1" thickBot="1" x14ac:dyDescent="0.4">
      <c r="A160" s="94" t="str">
        <f>rengøring!A160</f>
        <v>fredag</v>
      </c>
      <c r="B160" s="90">
        <f>rengøring!B160</f>
        <v>46297</v>
      </c>
      <c r="C160" s="9"/>
      <c r="D160" s="95" t="str">
        <f>IF(booking!AB160&gt;0,"Y","-")</f>
        <v>-</v>
      </c>
      <c r="E160" s="102" t="str">
        <f>IF(AND(D160="Y",booking!D160&lt;&gt;booking!E160,booking!E160&gt;0),booking!E160,"-")</f>
        <v>-</v>
      </c>
      <c r="F160" s="84" t="str">
        <f>IFERROR(VLOOKUP(E160,Database!$A$2:$L$175,8,FALSE),"-")</f>
        <v>-</v>
      </c>
      <c r="G160" s="84" t="str">
        <f>IFERROR(VLOOKUP(E160,Database!$A$2:$L$175,6,FALSE),"-")</f>
        <v>-</v>
      </c>
      <c r="H160" s="100" t="str">
        <f>IFERROR(VLOOKUP(E160,Database!$A$2:$L$175,9,FALSE),"-")</f>
        <v>-</v>
      </c>
      <c r="I160" s="119"/>
      <c r="J160" s="103" t="str">
        <f>IF(AND(D160="Y",booking!H160&lt;&gt;booking!I160,booking!I160&gt;0),booking!I160,"-")</f>
        <v>-</v>
      </c>
      <c r="K160" s="84" t="str">
        <f>IFERROR(VLOOKUP(J160,Database!$A$2:$L$175,8,FALSE),"-")</f>
        <v>-</v>
      </c>
      <c r="L160" s="84" t="str">
        <f>IFERROR(VLOOKUP(J160,Database!$A$2:$L$175,6,FALSE),"-")</f>
        <v>-</v>
      </c>
      <c r="M160" s="100" t="str">
        <f>IFERROR(VLOOKUP(J160,Database!$A$2:$L$175,9,FALSE),"-")</f>
        <v>-</v>
      </c>
      <c r="N160" s="103" t="str">
        <f>IF(AND(D160="Y",booking!L160&lt;&gt;booking!M160,booking!M160&gt;0),booking!M160,"-")</f>
        <v>-</v>
      </c>
      <c r="O160" s="84" t="str">
        <f>IFERROR(VLOOKUP(N160,Database!$A$2:$L$175,8,FALSE),"-")</f>
        <v>-</v>
      </c>
      <c r="P160" s="84" t="str">
        <f>IFERROR(VLOOKUP(N160,Database!$A$2:$L$175,6,FALSE),"-")</f>
        <v>-</v>
      </c>
      <c r="Q160" s="88" t="str">
        <f>IFERROR(VLOOKUP(N160,Database!$A$2:$L$175,9,FALSE),"-")</f>
        <v>-</v>
      </c>
      <c r="R160" s="104" t="str">
        <f>IF(AND(D160="Y",booking!P160&lt;&gt;booking!Q160,booking!Q160&gt;0),booking!Q160,"-")</f>
        <v>-</v>
      </c>
      <c r="S160" s="84" t="str">
        <f>IFERROR(VLOOKUP(R160,Database!$A$2:$L$175,8,FALSE),"-")</f>
        <v>-</v>
      </c>
      <c r="T160" s="84" t="str">
        <f>IFERROR(VLOOKUP(R160,Database!$A$2:$L$175,6,FALSE),"-")</f>
        <v>-</v>
      </c>
      <c r="U160" s="88" t="str">
        <f>IFERROR(VLOOKUP(R160,Database!$A$2:$L$175,9,FALSE),"-")</f>
        <v>-</v>
      </c>
      <c r="V160" s="103" t="str">
        <f>IF(AND(D160="Y",booking!T160&lt;&gt;booking!U160,booking!U160&gt;0),booking!U160,"-")</f>
        <v>-</v>
      </c>
      <c r="W160" s="85" t="str">
        <f>IFERROR(VLOOKUP(V160,Database!$A$2:$L$175,8,FALSE),"-")</f>
        <v>-</v>
      </c>
      <c r="X160" s="85" t="str">
        <f>IFERROR(VLOOKUP(V160,Database!$A$2:$L$175,6,FALSE),"-")</f>
        <v>-</v>
      </c>
      <c r="Y160" s="87" t="str">
        <f>IFERROR(VLOOKUP(V160,Database!$A$2:$L$175,9,FALSE),"-")</f>
        <v>-</v>
      </c>
    </row>
    <row r="161" spans="1:25" ht="15" customHeight="1" thickBot="1" x14ac:dyDescent="0.4">
      <c r="A161" s="94" t="str">
        <f>rengøring!A161</f>
        <v>lørdag</v>
      </c>
      <c r="B161" s="90">
        <f>rengøring!B161</f>
        <v>46298</v>
      </c>
      <c r="C161" s="9"/>
      <c r="D161" s="95" t="str">
        <f>IF(booking!AB161&gt;0,"Y","-")</f>
        <v>-</v>
      </c>
      <c r="E161" s="102" t="str">
        <f>IF(AND(D161="Y",booking!D161&lt;&gt;booking!E161,booking!E161&gt;0),booking!E161,"-")</f>
        <v>-</v>
      </c>
      <c r="F161" s="84" t="str">
        <f>IFERROR(VLOOKUP(E161,Database!$A$2:$L$175,8,FALSE),"-")</f>
        <v>-</v>
      </c>
      <c r="G161" s="84" t="str">
        <f>IFERROR(VLOOKUP(E161,Database!$A$2:$L$175,6,FALSE),"-")</f>
        <v>-</v>
      </c>
      <c r="H161" s="100" t="str">
        <f>IFERROR(VLOOKUP(E161,Database!$A$2:$L$175,9,FALSE),"-")</f>
        <v>-</v>
      </c>
      <c r="I161" s="119"/>
      <c r="J161" s="103" t="str">
        <f>IF(AND(D161="Y",booking!H161&lt;&gt;booking!I161,booking!I161&gt;0),booking!I161,"-")</f>
        <v>-</v>
      </c>
      <c r="K161" s="84" t="str">
        <f>IFERROR(VLOOKUP(J161,Database!$A$2:$L$175,8,FALSE),"-")</f>
        <v>-</v>
      </c>
      <c r="L161" s="84" t="str">
        <f>IFERROR(VLOOKUP(J161,Database!$A$2:$L$175,6,FALSE),"-")</f>
        <v>-</v>
      </c>
      <c r="M161" s="100" t="str">
        <f>IFERROR(VLOOKUP(J161,Database!$A$2:$L$175,9,FALSE),"-")</f>
        <v>-</v>
      </c>
      <c r="N161" s="103" t="str">
        <f>IF(AND(D161="Y",booking!L161&lt;&gt;booking!M161,booking!M161&gt;0),booking!M161,"-")</f>
        <v>-</v>
      </c>
      <c r="O161" s="84" t="str">
        <f>IFERROR(VLOOKUP(N161,Database!$A$2:$L$175,8,FALSE),"-")</f>
        <v>-</v>
      </c>
      <c r="P161" s="84" t="str">
        <f>IFERROR(VLOOKUP(N161,Database!$A$2:$L$175,6,FALSE),"-")</f>
        <v>-</v>
      </c>
      <c r="Q161" s="88" t="str">
        <f>IFERROR(VLOOKUP(N161,Database!$A$2:$L$175,9,FALSE),"-")</f>
        <v>-</v>
      </c>
      <c r="R161" s="104" t="str">
        <f>IF(AND(D161="Y",booking!P161&lt;&gt;booking!Q161,booking!Q161&gt;0),booking!Q161,"-")</f>
        <v>-</v>
      </c>
      <c r="S161" s="84" t="str">
        <f>IFERROR(VLOOKUP(R161,Database!$A$2:$L$175,8,FALSE),"-")</f>
        <v>-</v>
      </c>
      <c r="T161" s="84" t="str">
        <f>IFERROR(VLOOKUP(R161,Database!$A$2:$L$175,6,FALSE),"-")</f>
        <v>-</v>
      </c>
      <c r="U161" s="88" t="str">
        <f>IFERROR(VLOOKUP(R161,Database!$A$2:$L$175,9,FALSE),"-")</f>
        <v>-</v>
      </c>
      <c r="V161" s="103" t="str">
        <f>IF(AND(D161="Y",booking!T161&lt;&gt;booking!U161,booking!U161&gt;0),booking!U161,"-")</f>
        <v>-</v>
      </c>
      <c r="W161" s="85" t="str">
        <f>IFERROR(VLOOKUP(V161,Database!$A$2:$L$175,8,FALSE),"-")</f>
        <v>-</v>
      </c>
      <c r="X161" s="85" t="str">
        <f>IFERROR(VLOOKUP(V161,Database!$A$2:$L$175,6,FALSE),"-")</f>
        <v>-</v>
      </c>
      <c r="Y161" s="87" t="str">
        <f>IFERROR(VLOOKUP(V161,Database!$A$2:$L$175,9,FALSE),"-")</f>
        <v>-</v>
      </c>
    </row>
    <row r="162" spans="1:25" ht="15" customHeight="1" thickBot="1" x14ac:dyDescent="0.4">
      <c r="A162" s="94" t="str">
        <f>rengøring!A162</f>
        <v>søndag</v>
      </c>
      <c r="B162" s="90">
        <f>rengøring!B162</f>
        <v>46299</v>
      </c>
      <c r="C162" s="9"/>
      <c r="D162" s="95" t="str">
        <f>IF(booking!AB162&gt;0,"Y","-")</f>
        <v>-</v>
      </c>
      <c r="E162" s="102" t="str">
        <f>IF(AND(D162="Y",booking!D162&lt;&gt;booking!E162,booking!E162&gt;0),booking!E162,"-")</f>
        <v>-</v>
      </c>
      <c r="F162" s="84" t="str">
        <f>IFERROR(VLOOKUP(E162,Database!$A$2:$L$175,8,FALSE),"-")</f>
        <v>-</v>
      </c>
      <c r="G162" s="84" t="str">
        <f>IFERROR(VLOOKUP(E162,Database!$A$2:$L$175,6,FALSE),"-")</f>
        <v>-</v>
      </c>
      <c r="H162" s="100" t="str">
        <f>IFERROR(VLOOKUP(E162,Database!$A$2:$L$175,9,FALSE),"-")</f>
        <v>-</v>
      </c>
      <c r="I162" s="119"/>
      <c r="J162" s="103" t="str">
        <f>IF(AND(D162="Y",booking!H162&lt;&gt;booking!I162,booking!I162&gt;0),booking!I162,"-")</f>
        <v>-</v>
      </c>
      <c r="K162" s="84" t="str">
        <f>IFERROR(VLOOKUP(J162,Database!$A$2:$L$175,8,FALSE),"-")</f>
        <v>-</v>
      </c>
      <c r="L162" s="84" t="str">
        <f>IFERROR(VLOOKUP(J162,Database!$A$2:$L$175,6,FALSE),"-")</f>
        <v>-</v>
      </c>
      <c r="M162" s="100" t="str">
        <f>IFERROR(VLOOKUP(J162,Database!$A$2:$L$175,9,FALSE),"-")</f>
        <v>-</v>
      </c>
      <c r="N162" s="103" t="str">
        <f>IF(AND(D162="Y",booking!L162&lt;&gt;booking!M162,booking!M162&gt;0),booking!M162,"-")</f>
        <v>-</v>
      </c>
      <c r="O162" s="84" t="str">
        <f>IFERROR(VLOOKUP(N162,Database!$A$2:$L$175,8,FALSE),"-")</f>
        <v>-</v>
      </c>
      <c r="P162" s="84" t="str">
        <f>IFERROR(VLOOKUP(N162,Database!$A$2:$L$175,6,FALSE),"-")</f>
        <v>-</v>
      </c>
      <c r="Q162" s="88" t="str">
        <f>IFERROR(VLOOKUP(N162,Database!$A$2:$L$175,9,FALSE),"-")</f>
        <v>-</v>
      </c>
      <c r="R162" s="104" t="str">
        <f>IF(AND(D162="Y",booking!P162&lt;&gt;booking!Q162,booking!Q162&gt;0),booking!Q162,"-")</f>
        <v>-</v>
      </c>
      <c r="S162" s="84" t="str">
        <f>IFERROR(VLOOKUP(R162,Database!$A$2:$L$175,8,FALSE),"-")</f>
        <v>-</v>
      </c>
      <c r="T162" s="84" t="str">
        <f>IFERROR(VLOOKUP(R162,Database!$A$2:$L$175,6,FALSE),"-")</f>
        <v>-</v>
      </c>
      <c r="U162" s="88" t="str">
        <f>IFERROR(VLOOKUP(R162,Database!$A$2:$L$175,9,FALSE),"-")</f>
        <v>-</v>
      </c>
      <c r="V162" s="103" t="str">
        <f>IF(AND(D162="Y",booking!T162&lt;&gt;booking!U162,booking!U162&gt;0),booking!U162,"-")</f>
        <v>-</v>
      </c>
      <c r="W162" s="85" t="str">
        <f>IFERROR(VLOOKUP(V162,Database!$A$2:$L$175,8,FALSE),"-")</f>
        <v>-</v>
      </c>
      <c r="X162" s="85" t="str">
        <f>IFERROR(VLOOKUP(V162,Database!$A$2:$L$175,6,FALSE),"-")</f>
        <v>-</v>
      </c>
      <c r="Y162" s="87" t="str">
        <f>IFERROR(VLOOKUP(V162,Database!$A$2:$L$175,9,FALSE),"-")</f>
        <v>-</v>
      </c>
    </row>
    <row r="163" spans="1:25" ht="15" customHeight="1" thickBot="1" x14ac:dyDescent="0.4">
      <c r="A163" s="94" t="str">
        <f>rengøring!A163</f>
        <v>mandag</v>
      </c>
      <c r="B163" s="90">
        <f>rengøring!B163</f>
        <v>46300</v>
      </c>
      <c r="C163" s="9"/>
      <c r="D163" s="95" t="str">
        <f>IF(booking!AB163&gt;0,"Y","-")</f>
        <v>-</v>
      </c>
      <c r="E163" s="102" t="str">
        <f>IF(AND(D163="Y",booking!D163&lt;&gt;booking!E163,booking!E163&gt;0),booking!E163,"-")</f>
        <v>-</v>
      </c>
      <c r="F163" s="84" t="str">
        <f>IFERROR(VLOOKUP(E163,Database!$A$2:$L$175,8,FALSE),"-")</f>
        <v>-</v>
      </c>
      <c r="G163" s="84" t="str">
        <f>IFERROR(VLOOKUP(E163,Database!$A$2:$L$175,6,FALSE),"-")</f>
        <v>-</v>
      </c>
      <c r="H163" s="100" t="str">
        <f>IFERROR(VLOOKUP(E163,Database!$A$2:$L$175,9,FALSE),"-")</f>
        <v>-</v>
      </c>
      <c r="I163" s="119"/>
      <c r="J163" s="103" t="str">
        <f>IF(AND(D163="Y",booking!H163&lt;&gt;booking!I163,booking!I163&gt;0),booking!I163,"-")</f>
        <v>-</v>
      </c>
      <c r="K163" s="84" t="str">
        <f>IFERROR(VLOOKUP(J163,Database!$A$2:$L$175,8,FALSE),"-")</f>
        <v>-</v>
      </c>
      <c r="L163" s="84" t="str">
        <f>IFERROR(VLOOKUP(J163,Database!$A$2:$L$175,6,FALSE),"-")</f>
        <v>-</v>
      </c>
      <c r="M163" s="100" t="str">
        <f>IFERROR(VLOOKUP(J163,Database!$A$2:$L$175,9,FALSE),"-")</f>
        <v>-</v>
      </c>
      <c r="N163" s="103" t="str">
        <f>IF(AND(D163="Y",booking!L163&lt;&gt;booking!M163,booking!M163&gt;0),booking!M163,"-")</f>
        <v>-</v>
      </c>
      <c r="O163" s="84" t="str">
        <f>IFERROR(VLOOKUP(N163,Database!$A$2:$L$175,8,FALSE),"-")</f>
        <v>-</v>
      </c>
      <c r="P163" s="84" t="str">
        <f>IFERROR(VLOOKUP(N163,Database!$A$2:$L$175,6,FALSE),"-")</f>
        <v>-</v>
      </c>
      <c r="Q163" s="88" t="str">
        <f>IFERROR(VLOOKUP(N163,Database!$A$2:$L$175,9,FALSE),"-")</f>
        <v>-</v>
      </c>
      <c r="R163" s="104" t="str">
        <f>IF(AND(D163="Y",booking!P163&lt;&gt;booking!Q163,booking!Q163&gt;0),booking!Q163,"-")</f>
        <v>-</v>
      </c>
      <c r="S163" s="84" t="str">
        <f>IFERROR(VLOOKUP(R163,Database!$A$2:$L$175,8,FALSE),"-")</f>
        <v>-</v>
      </c>
      <c r="T163" s="84" t="str">
        <f>IFERROR(VLOOKUP(R163,Database!$A$2:$L$175,6,FALSE),"-")</f>
        <v>-</v>
      </c>
      <c r="U163" s="88" t="str">
        <f>IFERROR(VLOOKUP(R163,Database!$A$2:$L$175,9,FALSE),"-")</f>
        <v>-</v>
      </c>
      <c r="V163" s="103" t="str">
        <f>IF(AND(D163="Y",booking!T163&lt;&gt;booking!U163,booking!U163&gt;0),booking!U163,"-")</f>
        <v>-</v>
      </c>
      <c r="W163" s="85" t="str">
        <f>IFERROR(VLOOKUP(V163,Database!$A$2:$L$175,8,FALSE),"-")</f>
        <v>-</v>
      </c>
      <c r="X163" s="85" t="str">
        <f>IFERROR(VLOOKUP(V163,Database!$A$2:$L$175,6,FALSE),"-")</f>
        <v>-</v>
      </c>
      <c r="Y163" s="87" t="str">
        <f>IFERROR(VLOOKUP(V163,Database!$A$2:$L$175,9,FALSE),"-")</f>
        <v>-</v>
      </c>
    </row>
    <row r="164" spans="1:25" ht="15" customHeight="1" thickBot="1" x14ac:dyDescent="0.4">
      <c r="A164" s="94" t="str">
        <f>rengøring!A164</f>
        <v>tirsdag</v>
      </c>
      <c r="B164" s="90">
        <f>rengøring!B164</f>
        <v>46301</v>
      </c>
      <c r="C164" s="9"/>
      <c r="D164" s="95" t="str">
        <f>IF(booking!AB164&gt;0,"Y","-")</f>
        <v>-</v>
      </c>
      <c r="E164" s="102" t="str">
        <f>IF(AND(D164="Y",booking!D164&lt;&gt;booking!E164,booking!E164&gt;0),booking!E164,"-")</f>
        <v>-</v>
      </c>
      <c r="F164" s="84" t="str">
        <f>IFERROR(VLOOKUP(E164,Database!$A$2:$L$175,8,FALSE),"-")</f>
        <v>-</v>
      </c>
      <c r="G164" s="84" t="str">
        <f>IFERROR(VLOOKUP(E164,Database!$A$2:$L$175,6,FALSE),"-")</f>
        <v>-</v>
      </c>
      <c r="H164" s="100" t="str">
        <f>IFERROR(VLOOKUP(E164,Database!$A$2:$L$175,9,FALSE),"-")</f>
        <v>-</v>
      </c>
      <c r="I164" s="119"/>
      <c r="J164" s="103" t="str">
        <f>IF(AND(D164="Y",booking!H164&lt;&gt;booking!I164,booking!I164&gt;0),booking!I164,"-")</f>
        <v>-</v>
      </c>
      <c r="K164" s="84" t="str">
        <f>IFERROR(VLOOKUP(J164,Database!$A$2:$L$175,8,FALSE),"-")</f>
        <v>-</v>
      </c>
      <c r="L164" s="84" t="str">
        <f>IFERROR(VLOOKUP(J164,Database!$A$2:$L$175,6,FALSE),"-")</f>
        <v>-</v>
      </c>
      <c r="M164" s="100" t="str">
        <f>IFERROR(VLOOKUP(J164,Database!$A$2:$L$175,9,FALSE),"-")</f>
        <v>-</v>
      </c>
      <c r="N164" s="103" t="str">
        <f>IF(AND(D164="Y",booking!L164&lt;&gt;booking!M164,booking!M164&gt;0),booking!M164,"-")</f>
        <v>-</v>
      </c>
      <c r="O164" s="84" t="str">
        <f>IFERROR(VLOOKUP(N164,Database!$A$2:$L$175,8,FALSE),"-")</f>
        <v>-</v>
      </c>
      <c r="P164" s="84" t="str">
        <f>IFERROR(VLOOKUP(N164,Database!$A$2:$L$175,6,FALSE),"-")</f>
        <v>-</v>
      </c>
      <c r="Q164" s="88" t="str">
        <f>IFERROR(VLOOKUP(N164,Database!$A$2:$L$175,9,FALSE),"-")</f>
        <v>-</v>
      </c>
      <c r="R164" s="104" t="str">
        <f>IF(AND(D164="Y",booking!P164&lt;&gt;booking!Q164,booking!Q164&gt;0),booking!Q164,"-")</f>
        <v>-</v>
      </c>
      <c r="S164" s="84" t="str">
        <f>IFERROR(VLOOKUP(R164,Database!$A$2:$L$175,8,FALSE),"-")</f>
        <v>-</v>
      </c>
      <c r="T164" s="84" t="str">
        <f>IFERROR(VLOOKUP(R164,Database!$A$2:$L$175,6,FALSE),"-")</f>
        <v>-</v>
      </c>
      <c r="U164" s="88" t="str">
        <f>IFERROR(VLOOKUP(R164,Database!$A$2:$L$175,9,FALSE),"-")</f>
        <v>-</v>
      </c>
      <c r="V164" s="103" t="str">
        <f>IF(AND(D164="Y",booking!T164&lt;&gt;booking!U164,booking!U164&gt;0),booking!U164,"-")</f>
        <v>-</v>
      </c>
      <c r="W164" s="85" t="str">
        <f>IFERROR(VLOOKUP(V164,Database!$A$2:$L$175,8,FALSE),"-")</f>
        <v>-</v>
      </c>
      <c r="X164" s="85" t="str">
        <f>IFERROR(VLOOKUP(V164,Database!$A$2:$L$175,6,FALSE),"-")</f>
        <v>-</v>
      </c>
      <c r="Y164" s="87" t="str">
        <f>IFERROR(VLOOKUP(V164,Database!$A$2:$L$175,9,FALSE),"-")</f>
        <v>-</v>
      </c>
    </row>
    <row r="165" spans="1:25" ht="15" customHeight="1" thickBot="1" x14ac:dyDescent="0.4">
      <c r="A165" s="94" t="str">
        <f>rengøring!A165</f>
        <v>onsdag</v>
      </c>
      <c r="B165" s="90">
        <f>rengøring!B165</f>
        <v>46302</v>
      </c>
      <c r="C165" s="9"/>
      <c r="D165" s="95" t="str">
        <f>IF(booking!AB165&gt;0,"Y","-")</f>
        <v>-</v>
      </c>
      <c r="E165" s="102" t="str">
        <f>IF(AND(D165="Y",booking!D165&lt;&gt;booking!E165,booking!E165&gt;0),booking!E165,"-")</f>
        <v>-</v>
      </c>
      <c r="F165" s="84" t="str">
        <f>IFERROR(VLOOKUP(E165,Database!$A$2:$L$175,8,FALSE),"-")</f>
        <v>-</v>
      </c>
      <c r="G165" s="84" t="str">
        <f>IFERROR(VLOOKUP(E165,Database!$A$2:$L$175,6,FALSE),"-")</f>
        <v>-</v>
      </c>
      <c r="H165" s="100" t="str">
        <f>IFERROR(VLOOKUP(E165,Database!$A$2:$L$175,9,FALSE),"-")</f>
        <v>-</v>
      </c>
      <c r="I165" s="119"/>
      <c r="J165" s="103" t="str">
        <f>IF(AND(D165="Y",booking!H165&lt;&gt;booking!I165,booking!I165&gt;0),booking!I165,"-")</f>
        <v>-</v>
      </c>
      <c r="K165" s="84" t="str">
        <f>IFERROR(VLOOKUP(J165,Database!$A$2:$L$175,8,FALSE),"-")</f>
        <v>-</v>
      </c>
      <c r="L165" s="84" t="str">
        <f>IFERROR(VLOOKUP(J165,Database!$A$2:$L$175,6,FALSE),"-")</f>
        <v>-</v>
      </c>
      <c r="M165" s="100" t="str">
        <f>IFERROR(VLOOKUP(J165,Database!$A$2:$L$175,9,FALSE),"-")</f>
        <v>-</v>
      </c>
      <c r="N165" s="103" t="str">
        <f>IF(AND(D165="Y",booking!L165&lt;&gt;booking!M165,booking!M165&gt;0),booking!M165,"-")</f>
        <v>-</v>
      </c>
      <c r="O165" s="84" t="str">
        <f>IFERROR(VLOOKUP(N165,Database!$A$2:$L$175,8,FALSE),"-")</f>
        <v>-</v>
      </c>
      <c r="P165" s="84" t="str">
        <f>IFERROR(VLOOKUP(N165,Database!$A$2:$L$175,6,FALSE),"-")</f>
        <v>-</v>
      </c>
      <c r="Q165" s="88" t="str">
        <f>IFERROR(VLOOKUP(N165,Database!$A$2:$L$175,9,FALSE),"-")</f>
        <v>-</v>
      </c>
      <c r="R165" s="104" t="str">
        <f>IF(AND(D165="Y",booking!P165&lt;&gt;booking!Q165,booking!Q165&gt;0),booking!Q165,"-")</f>
        <v>-</v>
      </c>
      <c r="S165" s="84" t="str">
        <f>IFERROR(VLOOKUP(R165,Database!$A$2:$L$175,8,FALSE),"-")</f>
        <v>-</v>
      </c>
      <c r="T165" s="84" t="str">
        <f>IFERROR(VLOOKUP(R165,Database!$A$2:$L$175,6,FALSE),"-")</f>
        <v>-</v>
      </c>
      <c r="U165" s="88" t="str">
        <f>IFERROR(VLOOKUP(R165,Database!$A$2:$L$175,9,FALSE),"-")</f>
        <v>-</v>
      </c>
      <c r="V165" s="103" t="str">
        <f>IF(AND(D165="Y",booking!T165&lt;&gt;booking!U165,booking!U165&gt;0),booking!U165,"-")</f>
        <v>-</v>
      </c>
      <c r="W165" s="85" t="str">
        <f>IFERROR(VLOOKUP(V165,Database!$A$2:$L$175,8,FALSE),"-")</f>
        <v>-</v>
      </c>
      <c r="X165" s="85" t="str">
        <f>IFERROR(VLOOKUP(V165,Database!$A$2:$L$175,6,FALSE),"-")</f>
        <v>-</v>
      </c>
      <c r="Y165" s="87" t="str">
        <f>IFERROR(VLOOKUP(V165,Database!$A$2:$L$175,9,FALSE),"-")</f>
        <v>-</v>
      </c>
    </row>
    <row r="166" spans="1:25" ht="15" customHeight="1" thickBot="1" x14ac:dyDescent="0.4">
      <c r="A166" s="94" t="str">
        <f>rengøring!A166</f>
        <v>torsdag</v>
      </c>
      <c r="B166" s="90">
        <f>rengøring!B166</f>
        <v>46303</v>
      </c>
      <c r="C166" s="9"/>
      <c r="D166" s="95" t="str">
        <f>IF(booking!AB166&gt;0,"Y","-")</f>
        <v>-</v>
      </c>
      <c r="E166" s="102" t="str">
        <f>IF(AND(D166="Y",booking!D166&lt;&gt;booking!E166,booking!E166&gt;0),booking!E166,"-")</f>
        <v>-</v>
      </c>
      <c r="F166" s="84" t="str">
        <f>IFERROR(VLOOKUP(E166,Database!$A$2:$L$175,8,FALSE),"-")</f>
        <v>-</v>
      </c>
      <c r="G166" s="84" t="str">
        <f>IFERROR(VLOOKUP(E166,Database!$A$2:$L$175,6,FALSE),"-")</f>
        <v>-</v>
      </c>
      <c r="H166" s="100" t="str">
        <f>IFERROR(VLOOKUP(E166,Database!$A$2:$L$175,9,FALSE),"-")</f>
        <v>-</v>
      </c>
      <c r="I166" s="119"/>
      <c r="J166" s="103" t="str">
        <f>IF(AND(D166="Y",booking!H166&lt;&gt;booking!I166,booking!I166&gt;0),booking!I166,"-")</f>
        <v>-</v>
      </c>
      <c r="K166" s="84" t="str">
        <f>IFERROR(VLOOKUP(J166,Database!$A$2:$L$175,8,FALSE),"-")</f>
        <v>-</v>
      </c>
      <c r="L166" s="84" t="str">
        <f>IFERROR(VLOOKUP(J166,Database!$A$2:$L$175,6,FALSE),"-")</f>
        <v>-</v>
      </c>
      <c r="M166" s="100" t="str">
        <f>IFERROR(VLOOKUP(J166,Database!$A$2:$L$175,9,FALSE),"-")</f>
        <v>-</v>
      </c>
      <c r="N166" s="103" t="str">
        <f>IF(AND(D166="Y",booking!L166&lt;&gt;booking!M166,booking!M166&gt;0),booking!M166,"-")</f>
        <v>-</v>
      </c>
      <c r="O166" s="84" t="str">
        <f>IFERROR(VLOOKUP(N166,Database!$A$2:$L$175,8,FALSE),"-")</f>
        <v>-</v>
      </c>
      <c r="P166" s="84" t="str">
        <f>IFERROR(VLOOKUP(N166,Database!$A$2:$L$175,6,FALSE),"-")</f>
        <v>-</v>
      </c>
      <c r="Q166" s="88" t="str">
        <f>IFERROR(VLOOKUP(N166,Database!$A$2:$L$175,9,FALSE),"-")</f>
        <v>-</v>
      </c>
      <c r="R166" s="104" t="str">
        <f>IF(AND(D166="Y",booking!P166&lt;&gt;booking!Q166,booking!Q166&gt;0),booking!Q166,"-")</f>
        <v>-</v>
      </c>
      <c r="S166" s="84" t="str">
        <f>IFERROR(VLOOKUP(R166,Database!$A$2:$L$175,8,FALSE),"-")</f>
        <v>-</v>
      </c>
      <c r="T166" s="84" t="str">
        <f>IFERROR(VLOOKUP(R166,Database!$A$2:$L$175,6,FALSE),"-")</f>
        <v>-</v>
      </c>
      <c r="U166" s="88" t="str">
        <f>IFERROR(VLOOKUP(R166,Database!$A$2:$L$175,9,FALSE),"-")</f>
        <v>-</v>
      </c>
      <c r="V166" s="103" t="str">
        <f>IF(AND(D166="Y",booking!T166&lt;&gt;booking!U166,booking!U166&gt;0),booking!U166,"-")</f>
        <v>-</v>
      </c>
      <c r="W166" s="85" t="str">
        <f>IFERROR(VLOOKUP(V166,Database!$A$2:$L$175,8,FALSE),"-")</f>
        <v>-</v>
      </c>
      <c r="X166" s="85" t="str">
        <f>IFERROR(VLOOKUP(V166,Database!$A$2:$L$175,6,FALSE),"-")</f>
        <v>-</v>
      </c>
      <c r="Y166" s="87" t="str">
        <f>IFERROR(VLOOKUP(V166,Database!$A$2:$L$175,9,FALSE),"-")</f>
        <v>-</v>
      </c>
    </row>
    <row r="167" spans="1:25" ht="15" customHeight="1" thickBot="1" x14ac:dyDescent="0.4">
      <c r="A167" s="94" t="str">
        <f>rengøring!A167</f>
        <v>fredag</v>
      </c>
      <c r="B167" s="90">
        <f>rengøring!B167</f>
        <v>46304</v>
      </c>
      <c r="C167" s="9"/>
      <c r="D167" s="95" t="str">
        <f>IF(booking!AB167&gt;0,"Y","-")</f>
        <v>-</v>
      </c>
      <c r="E167" s="102" t="str">
        <f>IF(AND(D167="Y",booking!D167&lt;&gt;booking!E167,booking!E167&gt;0),booking!E167,"-")</f>
        <v>-</v>
      </c>
      <c r="F167" s="84" t="str">
        <f>IFERROR(VLOOKUP(E167,Database!$A$2:$L$175,8,FALSE),"-")</f>
        <v>-</v>
      </c>
      <c r="G167" s="84" t="str">
        <f>IFERROR(VLOOKUP(E167,Database!$A$2:$L$175,6,FALSE),"-")</f>
        <v>-</v>
      </c>
      <c r="H167" s="100" t="str">
        <f>IFERROR(VLOOKUP(E167,Database!$A$2:$L$175,9,FALSE),"-")</f>
        <v>-</v>
      </c>
      <c r="I167" s="119"/>
      <c r="J167" s="103" t="str">
        <f>IF(AND(D167="Y",booking!H167&lt;&gt;booking!I167,booking!I167&gt;0),booking!I167,"-")</f>
        <v>-</v>
      </c>
      <c r="K167" s="84" t="str">
        <f>IFERROR(VLOOKUP(J167,Database!$A$2:$L$175,8,FALSE),"-")</f>
        <v>-</v>
      </c>
      <c r="L167" s="84" t="str">
        <f>IFERROR(VLOOKUP(J167,Database!$A$2:$L$175,6,FALSE),"-")</f>
        <v>-</v>
      </c>
      <c r="M167" s="100" t="str">
        <f>IFERROR(VLOOKUP(J167,Database!$A$2:$L$175,9,FALSE),"-")</f>
        <v>-</v>
      </c>
      <c r="N167" s="103" t="str">
        <f>IF(AND(D167="Y",booking!L167&lt;&gt;booking!M167,booking!M167&gt;0),booking!M167,"-")</f>
        <v>-</v>
      </c>
      <c r="O167" s="84" t="str">
        <f>IFERROR(VLOOKUP(N167,Database!$A$2:$L$175,8,FALSE),"-")</f>
        <v>-</v>
      </c>
      <c r="P167" s="84" t="str">
        <f>IFERROR(VLOOKUP(N167,Database!$A$2:$L$175,6,FALSE),"-")</f>
        <v>-</v>
      </c>
      <c r="Q167" s="88" t="str">
        <f>IFERROR(VLOOKUP(N167,Database!$A$2:$L$175,9,FALSE),"-")</f>
        <v>-</v>
      </c>
      <c r="R167" s="104" t="str">
        <f>IF(AND(D167="Y",booking!P167&lt;&gt;booking!Q167,booking!Q167&gt;0),booking!Q167,"-")</f>
        <v>-</v>
      </c>
      <c r="S167" s="84" t="str">
        <f>IFERROR(VLOOKUP(R167,Database!$A$2:$L$175,8,FALSE),"-")</f>
        <v>-</v>
      </c>
      <c r="T167" s="84" t="str">
        <f>IFERROR(VLOOKUP(R167,Database!$A$2:$L$175,6,FALSE),"-")</f>
        <v>-</v>
      </c>
      <c r="U167" s="88" t="str">
        <f>IFERROR(VLOOKUP(R167,Database!$A$2:$L$175,9,FALSE),"-")</f>
        <v>-</v>
      </c>
      <c r="V167" s="103" t="str">
        <f>IF(AND(D167="Y",booking!T167&lt;&gt;booking!U167,booking!U167&gt;0),booking!U167,"-")</f>
        <v>-</v>
      </c>
      <c r="W167" s="85" t="str">
        <f>IFERROR(VLOOKUP(V167,Database!$A$2:$L$175,8,FALSE),"-")</f>
        <v>-</v>
      </c>
      <c r="X167" s="85" t="str">
        <f>IFERROR(VLOOKUP(V167,Database!$A$2:$L$175,6,FALSE),"-")</f>
        <v>-</v>
      </c>
      <c r="Y167" s="87" t="str">
        <f>IFERROR(VLOOKUP(V167,Database!$A$2:$L$175,9,FALSE),"-")</f>
        <v>-</v>
      </c>
    </row>
    <row r="168" spans="1:25" ht="15" customHeight="1" thickBot="1" x14ac:dyDescent="0.4">
      <c r="A168" s="94" t="str">
        <f>rengøring!A168</f>
        <v>lørdag</v>
      </c>
      <c r="B168" s="90">
        <f>rengøring!B168</f>
        <v>46305</v>
      </c>
      <c r="C168" s="9"/>
      <c r="D168" s="95" t="str">
        <f>IF(booking!AB168&gt;0,"Y","-")</f>
        <v>-</v>
      </c>
      <c r="E168" s="102" t="str">
        <f>IF(AND(D168="Y",booking!D168&lt;&gt;booking!E168,booking!E168&gt;0),booking!E168,"-")</f>
        <v>-</v>
      </c>
      <c r="F168" s="84" t="str">
        <f>IFERROR(VLOOKUP(E168,Database!$A$2:$L$175,8,FALSE),"-")</f>
        <v>-</v>
      </c>
      <c r="G168" s="84" t="str">
        <f>IFERROR(VLOOKUP(E168,Database!$A$2:$L$175,6,FALSE),"-")</f>
        <v>-</v>
      </c>
      <c r="H168" s="100" t="str">
        <f>IFERROR(VLOOKUP(E168,Database!$A$2:$L$175,9,FALSE),"-")</f>
        <v>-</v>
      </c>
      <c r="I168" s="119"/>
      <c r="J168" s="103" t="str">
        <f>IF(AND(D168="Y",booking!H168&lt;&gt;booking!I168,booking!I168&gt;0),booking!I168,"-")</f>
        <v>-</v>
      </c>
      <c r="K168" s="84" t="str">
        <f>IFERROR(VLOOKUP(J168,Database!$A$2:$L$175,8,FALSE),"-")</f>
        <v>-</v>
      </c>
      <c r="L168" s="84" t="str">
        <f>IFERROR(VLOOKUP(J168,Database!$A$2:$L$175,6,FALSE),"-")</f>
        <v>-</v>
      </c>
      <c r="M168" s="100" t="str">
        <f>IFERROR(VLOOKUP(J168,Database!$A$2:$L$175,9,FALSE),"-")</f>
        <v>-</v>
      </c>
      <c r="N168" s="103" t="str">
        <f>IF(AND(D168="Y",booking!L168&lt;&gt;booking!M168,booking!M168&gt;0),booking!M168,"-")</f>
        <v>-</v>
      </c>
      <c r="O168" s="84" t="str">
        <f>IFERROR(VLOOKUP(N168,Database!$A$2:$L$175,8,FALSE),"-")</f>
        <v>-</v>
      </c>
      <c r="P168" s="84" t="str">
        <f>IFERROR(VLOOKUP(N168,Database!$A$2:$L$175,6,FALSE),"-")</f>
        <v>-</v>
      </c>
      <c r="Q168" s="88" t="str">
        <f>IFERROR(VLOOKUP(N168,Database!$A$2:$L$175,9,FALSE),"-")</f>
        <v>-</v>
      </c>
      <c r="R168" s="104" t="str">
        <f>IF(AND(D168="Y",booking!P168&lt;&gt;booking!Q168,booking!Q168&gt;0),booking!Q168,"-")</f>
        <v>-</v>
      </c>
      <c r="S168" s="84" t="str">
        <f>IFERROR(VLOOKUP(R168,Database!$A$2:$L$175,8,FALSE),"-")</f>
        <v>-</v>
      </c>
      <c r="T168" s="84" t="str">
        <f>IFERROR(VLOOKUP(R168,Database!$A$2:$L$175,6,FALSE),"-")</f>
        <v>-</v>
      </c>
      <c r="U168" s="88" t="str">
        <f>IFERROR(VLOOKUP(R168,Database!$A$2:$L$175,9,FALSE),"-")</f>
        <v>-</v>
      </c>
      <c r="V168" s="103" t="str">
        <f>IF(AND(D168="Y",booking!T168&lt;&gt;booking!U168,booking!U168&gt;0),booking!U168,"-")</f>
        <v>-</v>
      </c>
      <c r="W168" s="85" t="str">
        <f>IFERROR(VLOOKUP(V168,Database!$A$2:$L$175,8,FALSE),"-")</f>
        <v>-</v>
      </c>
      <c r="X168" s="85" t="str">
        <f>IFERROR(VLOOKUP(V168,Database!$A$2:$L$175,6,FALSE),"-")</f>
        <v>-</v>
      </c>
      <c r="Y168" s="87" t="str">
        <f>IFERROR(VLOOKUP(V168,Database!$A$2:$L$175,9,FALSE),"-")</f>
        <v>-</v>
      </c>
    </row>
    <row r="169" spans="1:25" ht="15" customHeight="1" thickBot="1" x14ac:dyDescent="0.4">
      <c r="A169" s="94" t="str">
        <f>rengøring!A169</f>
        <v>søndag</v>
      </c>
      <c r="B169" s="90">
        <f>rengøring!B169</f>
        <v>46306</v>
      </c>
      <c r="C169" s="9"/>
      <c r="D169" s="95" t="str">
        <f>IF(booking!AB169&gt;0,"Y","-")</f>
        <v>-</v>
      </c>
      <c r="E169" s="102" t="str">
        <f>IF(AND(D169="Y",booking!D169&lt;&gt;booking!E169,booking!E169&gt;0),booking!E169,"-")</f>
        <v>-</v>
      </c>
      <c r="F169" s="84" t="str">
        <f>IFERROR(VLOOKUP(E169,Database!$A$2:$L$175,8,FALSE),"-")</f>
        <v>-</v>
      </c>
      <c r="G169" s="84" t="str">
        <f>IFERROR(VLOOKUP(E169,Database!$A$2:$L$175,6,FALSE),"-")</f>
        <v>-</v>
      </c>
      <c r="H169" s="100" t="str">
        <f>IFERROR(VLOOKUP(E169,Database!$A$2:$L$175,9,FALSE),"-")</f>
        <v>-</v>
      </c>
      <c r="I169" s="119"/>
      <c r="J169" s="103" t="str">
        <f>IF(AND(D169="Y",booking!H169&lt;&gt;booking!I169,booking!I169&gt;0),booking!I169,"-")</f>
        <v>-</v>
      </c>
      <c r="K169" s="84" t="str">
        <f>IFERROR(VLOOKUP(J169,Database!$A$2:$L$175,8,FALSE),"-")</f>
        <v>-</v>
      </c>
      <c r="L169" s="84" t="str">
        <f>IFERROR(VLOOKUP(J169,Database!$A$2:$L$175,6,FALSE),"-")</f>
        <v>-</v>
      </c>
      <c r="M169" s="100" t="str">
        <f>IFERROR(VLOOKUP(J169,Database!$A$2:$L$175,9,FALSE),"-")</f>
        <v>-</v>
      </c>
      <c r="N169" s="103" t="str">
        <f>IF(AND(D169="Y",booking!L169&lt;&gt;booking!M169,booking!M169&gt;0),booking!M169,"-")</f>
        <v>-</v>
      </c>
      <c r="O169" s="84" t="str">
        <f>IFERROR(VLOOKUP(N169,Database!$A$2:$L$175,8,FALSE),"-")</f>
        <v>-</v>
      </c>
      <c r="P169" s="84" t="str">
        <f>IFERROR(VLOOKUP(N169,Database!$A$2:$L$175,6,FALSE),"-")</f>
        <v>-</v>
      </c>
      <c r="Q169" s="88" t="str">
        <f>IFERROR(VLOOKUP(N169,Database!$A$2:$L$175,9,FALSE),"-")</f>
        <v>-</v>
      </c>
      <c r="R169" s="104" t="str">
        <f>IF(AND(D169="Y",booking!P169&lt;&gt;booking!Q169,booking!Q169&gt;0),booking!Q169,"-")</f>
        <v>-</v>
      </c>
      <c r="S169" s="84" t="str">
        <f>IFERROR(VLOOKUP(R169,Database!$A$2:$L$175,8,FALSE),"-")</f>
        <v>-</v>
      </c>
      <c r="T169" s="84" t="str">
        <f>IFERROR(VLOOKUP(R169,Database!$A$2:$L$175,6,FALSE),"-")</f>
        <v>-</v>
      </c>
      <c r="U169" s="88" t="str">
        <f>IFERROR(VLOOKUP(R169,Database!$A$2:$L$175,9,FALSE),"-")</f>
        <v>-</v>
      </c>
      <c r="V169" s="103" t="str">
        <f>IF(AND(D169="Y",booking!T169&lt;&gt;booking!U169,booking!U169&gt;0),booking!U169,"-")</f>
        <v>-</v>
      </c>
      <c r="W169" s="85" t="str">
        <f>IFERROR(VLOOKUP(V169,Database!$A$2:$L$175,8,FALSE),"-")</f>
        <v>-</v>
      </c>
      <c r="X169" s="85" t="str">
        <f>IFERROR(VLOOKUP(V169,Database!$A$2:$L$175,6,FALSE),"-")</f>
        <v>-</v>
      </c>
      <c r="Y169" s="87" t="str">
        <f>IFERROR(VLOOKUP(V169,Database!$A$2:$L$175,9,FALSE),"-")</f>
        <v>-</v>
      </c>
    </row>
    <row r="170" spans="1:25" ht="15" customHeight="1" thickBot="1" x14ac:dyDescent="0.4">
      <c r="A170" s="94" t="str">
        <f>rengøring!A170</f>
        <v>mandag</v>
      </c>
      <c r="B170" s="90">
        <f>rengøring!B170</f>
        <v>46307</v>
      </c>
      <c r="C170" s="9"/>
      <c r="D170" s="95" t="str">
        <f>IF(booking!AB170&gt;0,"Y","-")</f>
        <v>-</v>
      </c>
      <c r="E170" s="102" t="str">
        <f>IF(AND(D170="Y",booking!D170&lt;&gt;booking!E170,booking!E170&gt;0),booking!E170,"-")</f>
        <v>-</v>
      </c>
      <c r="F170" s="84" t="str">
        <f>IFERROR(VLOOKUP(E170,Database!$A$2:$L$175,8,FALSE),"-")</f>
        <v>-</v>
      </c>
      <c r="G170" s="84" t="str">
        <f>IFERROR(VLOOKUP(E170,Database!$A$2:$L$175,6,FALSE),"-")</f>
        <v>-</v>
      </c>
      <c r="H170" s="100" t="str">
        <f>IFERROR(VLOOKUP(E170,Database!$A$2:$L$175,9,FALSE),"-")</f>
        <v>-</v>
      </c>
      <c r="I170" s="119"/>
      <c r="J170" s="103" t="str">
        <f>IF(AND(D170="Y",booking!H170&lt;&gt;booking!I170,booking!I170&gt;0),booking!I170,"-")</f>
        <v>-</v>
      </c>
      <c r="K170" s="84" t="str">
        <f>IFERROR(VLOOKUP(J170,Database!$A$2:$L$175,8,FALSE),"-")</f>
        <v>-</v>
      </c>
      <c r="L170" s="84" t="str">
        <f>IFERROR(VLOOKUP(J170,Database!$A$2:$L$175,6,FALSE),"-")</f>
        <v>-</v>
      </c>
      <c r="M170" s="100" t="str">
        <f>IFERROR(VLOOKUP(J170,Database!$A$2:$L$175,9,FALSE),"-")</f>
        <v>-</v>
      </c>
      <c r="N170" s="103" t="str">
        <f>IF(AND(D170="Y",booking!L170&lt;&gt;booking!M170,booking!M170&gt;0),booking!M170,"-")</f>
        <v>-</v>
      </c>
      <c r="O170" s="84" t="str">
        <f>IFERROR(VLOOKUP(N170,Database!$A$2:$L$175,8,FALSE),"-")</f>
        <v>-</v>
      </c>
      <c r="P170" s="84" t="str">
        <f>IFERROR(VLOOKUP(N170,Database!$A$2:$L$175,6,FALSE),"-")</f>
        <v>-</v>
      </c>
      <c r="Q170" s="88" t="str">
        <f>IFERROR(VLOOKUP(N170,Database!$A$2:$L$175,9,FALSE),"-")</f>
        <v>-</v>
      </c>
      <c r="R170" s="104" t="str">
        <f>IF(AND(D170="Y",booking!P170&lt;&gt;booking!Q170,booking!Q170&gt;0),booking!Q170,"-")</f>
        <v>-</v>
      </c>
      <c r="S170" s="84" t="str">
        <f>IFERROR(VLOOKUP(R170,Database!$A$2:$L$175,8,FALSE),"-")</f>
        <v>-</v>
      </c>
      <c r="T170" s="84" t="str">
        <f>IFERROR(VLOOKUP(R170,Database!$A$2:$L$175,6,FALSE),"-")</f>
        <v>-</v>
      </c>
      <c r="U170" s="88" t="str">
        <f>IFERROR(VLOOKUP(R170,Database!$A$2:$L$175,9,FALSE),"-")</f>
        <v>-</v>
      </c>
      <c r="V170" s="103" t="str">
        <f>IF(AND(D170="Y",booking!T170&lt;&gt;booking!U170,booking!U170&gt;0),booking!U170,"-")</f>
        <v>-</v>
      </c>
      <c r="W170" s="85" t="str">
        <f>IFERROR(VLOOKUP(V170,Database!$A$2:$L$175,8,FALSE),"-")</f>
        <v>-</v>
      </c>
      <c r="X170" s="85" t="str">
        <f>IFERROR(VLOOKUP(V170,Database!$A$2:$L$175,6,FALSE),"-")</f>
        <v>-</v>
      </c>
      <c r="Y170" s="87" t="str">
        <f>IFERROR(VLOOKUP(V170,Database!$A$2:$L$175,9,FALSE),"-")</f>
        <v>-</v>
      </c>
    </row>
    <row r="171" spans="1:25" ht="15" customHeight="1" thickBot="1" x14ac:dyDescent="0.4">
      <c r="A171" s="96" t="str">
        <f>rengøring!A171</f>
        <v>tirsdag</v>
      </c>
      <c r="B171" s="97">
        <f>rengøring!B171</f>
        <v>46308</v>
      </c>
      <c r="C171" s="13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6" t="str">
        <f>IFERROR(VLOOKUP(E171,Database!$A$2:$L$175,8,FALSE),"-")</f>
        <v>-</v>
      </c>
      <c r="G171" s="86" t="str">
        <f>IFERROR(VLOOKUP(E171,Database!$A$2:$L$175,6,FALSE),"-")</f>
        <v>-</v>
      </c>
      <c r="H171" s="101" t="str">
        <f>IFERROR(VLOOKUP(E171,Database!$A$2:$L$175,9,FALSE),"-")</f>
        <v>-</v>
      </c>
      <c r="I171" s="2"/>
      <c r="J171" s="103" t="str">
        <f>IF(AND(D171="Y",booking!H171&lt;&gt;booking!I171,booking!I171&gt;0),booking!I171,"-")</f>
        <v>-</v>
      </c>
      <c r="K171" s="86" t="str">
        <f>IFERROR(VLOOKUP(J171,Database!$A$2:$L$175,8,FALSE),"-")</f>
        <v>-</v>
      </c>
      <c r="L171" s="86" t="str">
        <f>IFERROR(VLOOKUP(J171,Database!$A$2:$L$175,6,FALSE),"-")</f>
        <v>-</v>
      </c>
      <c r="M171" s="101" t="str">
        <f>IFERROR(VLOOKUP(J171,Database!$A$2:$L$175,9,FALSE),"-")</f>
        <v>-</v>
      </c>
      <c r="N171" s="103" t="str">
        <f>IF(AND(D171="Y",booking!L171&lt;&gt;booking!M171,booking!M171&gt;0),booking!M171,"-")</f>
        <v>-</v>
      </c>
      <c r="O171" s="86" t="str">
        <f>IFERROR(VLOOKUP(N171,Database!$A$2:$L$175,8,FALSE),"-")</f>
        <v>-</v>
      </c>
      <c r="P171" s="86" t="str">
        <f>IFERROR(VLOOKUP(N171,Database!$A$2:$L$175,6,FALSE),"-")</f>
        <v>-</v>
      </c>
      <c r="Q171" s="89" t="str">
        <f>IFERROR(VLOOKUP(N171,Database!$A$2:$L$175,9,FALSE),"-")</f>
        <v>-</v>
      </c>
      <c r="R171" s="104" t="str">
        <f>IF(AND(D171="Y",booking!P171&lt;&gt;booking!Q171,booking!Q171&gt;0),booking!Q171,"-")</f>
        <v>-</v>
      </c>
      <c r="S171" s="86" t="str">
        <f>IFERROR(VLOOKUP(R171,Database!$A$2:$L$175,8,FALSE),"-")</f>
        <v>-</v>
      </c>
      <c r="T171" s="86" t="str">
        <f>IFERROR(VLOOKUP(R171,Database!$A$2:$L$175,6,FALSE),"-")</f>
        <v>-</v>
      </c>
      <c r="U171" s="89" t="str">
        <f>IFERROR(VLOOKUP(R171,Database!$A$2:$L$175,9,FALSE),"-")</f>
        <v>-</v>
      </c>
      <c r="V171" s="103" t="str">
        <f>IF(AND(D171="Y",booking!T171&lt;&gt;booking!U171,booking!U171&gt;0),booking!U171,"-")</f>
        <v>-</v>
      </c>
      <c r="W171" s="85" t="str">
        <f>IFERROR(VLOOKUP(V171,Database!$A$2:$L$175,8,FALSE),"-")</f>
        <v>-</v>
      </c>
      <c r="X171" s="85" t="str">
        <f>IFERROR(VLOOKUP(V171,Database!$A$2:$L$175,6,FALSE),"-")</f>
        <v>-</v>
      </c>
      <c r="Y171" s="87" t="str">
        <f>IFERROR(VLOOKUP(V171,Database!$A$2:$L$175,9,FALSE),"-")</f>
        <v>-</v>
      </c>
    </row>
    <row r="172" spans="1:25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 t="str">
        <f>Database!Q49</f>
        <v>N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1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 t="str">
        <f>Database!Q72</f>
        <v>N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1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 t="str">
        <f>Database!Q83</f>
        <v>Y</v>
      </c>
      <c r="C83" s="2">
        <f t="shared" si="2"/>
        <v>2</v>
      </c>
      <c r="D83" s="2">
        <f>IF(B83="Y",Database!K83,"-")</f>
        <v>1</v>
      </c>
      <c r="E83" s="2">
        <f>IF(AND(D83&gt;1,B83="Y"),Database!L83/D83,Database!L83)</f>
        <v>2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6" t="s">
        <v>147</v>
      </c>
      <c r="C1" s="107" t="s">
        <v>148</v>
      </c>
      <c r="D1" s="108" t="s">
        <v>149</v>
      </c>
      <c r="E1" s="105" t="s">
        <v>150</v>
      </c>
      <c r="F1" s="108" t="s">
        <v>151</v>
      </c>
      <c r="G1" s="105" t="s">
        <v>152</v>
      </c>
      <c r="H1" s="108" t="s">
        <v>153</v>
      </c>
      <c r="I1" s="105" t="s">
        <v>154</v>
      </c>
      <c r="J1" s="108" t="s">
        <v>155</v>
      </c>
      <c r="K1" s="105" t="s">
        <v>156</v>
      </c>
      <c r="L1" s="108" t="s">
        <v>157</v>
      </c>
      <c r="M1" s="105" t="s">
        <v>158</v>
      </c>
    </row>
    <row r="2" spans="1:13" x14ac:dyDescent="0.35">
      <c r="A2" s="5">
        <f>booking!C2</f>
        <v>46139</v>
      </c>
      <c r="B2" s="137" t="str">
        <f>IF(booking!D2&gt;0,"oc","va")</f>
        <v>va</v>
      </c>
      <c r="C2" s="138" t="str">
        <f>IF(booking!E2&gt;0,"oc","va")</f>
        <v>va</v>
      </c>
      <c r="D2" s="137" t="str">
        <f>IF(booking!H2&gt;0,"oc","va")</f>
        <v>va</v>
      </c>
      <c r="E2" s="138" t="str">
        <f>IF(booking!I2&gt;0,"oc","va")</f>
        <v>va</v>
      </c>
      <c r="F2" s="137" t="str">
        <f>IF(booking!L2&gt;0,"oc","va")</f>
        <v>va</v>
      </c>
      <c r="G2" s="138" t="str">
        <f>IF(booking!M2&gt;0,"oc","va")</f>
        <v>va</v>
      </c>
      <c r="H2" s="137" t="str">
        <f>IF(booking!P2&gt;0,"oc","va")</f>
        <v>va</v>
      </c>
      <c r="I2" s="138" t="str">
        <f>IF(booking!Q2&gt;0,"oc","va")</f>
        <v>va</v>
      </c>
      <c r="J2" s="137" t="str">
        <f>IF(booking!T2&gt;0,"oc","va")</f>
        <v>va</v>
      </c>
      <c r="K2" s="138" t="str">
        <f>IF(booking!U2&gt;0,"oc","va")</f>
        <v>va</v>
      </c>
      <c r="L2" s="137" t="str">
        <f>IF(booking!X2&gt;0,"oc","va")</f>
        <v>va</v>
      </c>
      <c r="M2" s="138" t="str">
        <f>IF(booking!Y2&gt;0,"oc","va")</f>
        <v>va</v>
      </c>
    </row>
    <row r="3" spans="1:13" x14ac:dyDescent="0.35">
      <c r="A3" s="5">
        <f>booking!C3</f>
        <v>46140</v>
      </c>
      <c r="B3" s="137" t="str">
        <f>IF(booking!D3&gt;0,"oc","va")</f>
        <v>va</v>
      </c>
      <c r="C3" s="138" t="str">
        <f>IF(booking!E3&gt;0,"oc","va")</f>
        <v>va</v>
      </c>
      <c r="D3" s="137" t="str">
        <f>IF(booking!H3&gt;0,"oc","va")</f>
        <v>va</v>
      </c>
      <c r="E3" s="138" t="str">
        <f>IF(booking!I3&gt;0,"oc","va")</f>
        <v>va</v>
      </c>
      <c r="F3" s="137" t="str">
        <f>IF(booking!L3&gt;0,"oc","va")</f>
        <v>va</v>
      </c>
      <c r="G3" s="138" t="str">
        <f>IF(booking!M3&gt;0,"oc","va")</f>
        <v>va</v>
      </c>
      <c r="H3" s="137" t="str">
        <f>IF(booking!P3&gt;0,"oc","va")</f>
        <v>va</v>
      </c>
      <c r="I3" s="138" t="str">
        <f>IF(booking!Q3&gt;0,"oc","va")</f>
        <v>va</v>
      </c>
      <c r="J3" s="137" t="str">
        <f>IF(booking!T3&gt;0,"oc","va")</f>
        <v>va</v>
      </c>
      <c r="K3" s="138" t="str">
        <f>IF(booking!U3&gt;0,"oc","va")</f>
        <v>va</v>
      </c>
      <c r="L3" s="137" t="str">
        <f>IF(booking!X3&gt;0,"oc","va")</f>
        <v>va</v>
      </c>
      <c r="M3" s="138" t="str">
        <f>IF(booking!Y3&gt;0,"oc","va")</f>
        <v>va</v>
      </c>
    </row>
    <row r="4" spans="1:13" x14ac:dyDescent="0.35">
      <c r="A4" s="5">
        <f>booking!C4</f>
        <v>46141</v>
      </c>
      <c r="B4" s="137" t="str">
        <f>IF(booking!D4&gt;0,"oc","va")</f>
        <v>va</v>
      </c>
      <c r="C4" s="138" t="str">
        <f>IF(booking!E4&gt;0,"oc","va")</f>
        <v>va</v>
      </c>
      <c r="D4" s="137" t="str">
        <f>IF(booking!H4&gt;0,"oc","va")</f>
        <v>va</v>
      </c>
      <c r="E4" s="138" t="str">
        <f>IF(booking!I4&gt;0,"oc","va")</f>
        <v>va</v>
      </c>
      <c r="F4" s="137" t="str">
        <f>IF(booking!L4&gt;0,"oc","va")</f>
        <v>va</v>
      </c>
      <c r="G4" s="138" t="str">
        <f>IF(booking!M4&gt;0,"oc","va")</f>
        <v>va</v>
      </c>
      <c r="H4" s="137" t="str">
        <f>IF(booking!P4&gt;0,"oc","va")</f>
        <v>va</v>
      </c>
      <c r="I4" s="138" t="str">
        <f>IF(booking!Q4&gt;0,"oc","va")</f>
        <v>va</v>
      </c>
      <c r="J4" s="137" t="str">
        <f>IF(booking!T4&gt;0,"oc","va")</f>
        <v>va</v>
      </c>
      <c r="K4" s="138" t="str">
        <f>IF(booking!U4&gt;0,"oc","va")</f>
        <v>va</v>
      </c>
      <c r="L4" s="137" t="str">
        <f>IF(booking!X4&gt;0,"oc","va")</f>
        <v>va</v>
      </c>
      <c r="M4" s="138" t="str">
        <f>IF(booking!Y4&gt;0,"oc","va")</f>
        <v>va</v>
      </c>
    </row>
    <row r="5" spans="1:13" x14ac:dyDescent="0.35">
      <c r="A5" s="5">
        <f>booking!C5</f>
        <v>46142</v>
      </c>
      <c r="B5" s="137" t="str">
        <f>IF(booking!D5&gt;0,"oc","va")</f>
        <v>va</v>
      </c>
      <c r="C5" s="138" t="str">
        <f>IF(booking!E5&gt;0,"oc","va")</f>
        <v>va</v>
      </c>
      <c r="D5" s="137" t="str">
        <f>IF(booking!H5&gt;0,"oc","va")</f>
        <v>va</v>
      </c>
      <c r="E5" s="138" t="str">
        <f>IF(booking!I5&gt;0,"oc","va")</f>
        <v>va</v>
      </c>
      <c r="F5" s="137" t="str">
        <f>IF(booking!L5&gt;0,"oc","va")</f>
        <v>va</v>
      </c>
      <c r="G5" s="138" t="str">
        <f>IF(booking!M5&gt;0,"oc","va")</f>
        <v>va</v>
      </c>
      <c r="H5" s="137" t="str">
        <f>IF(booking!P5&gt;0,"oc","va")</f>
        <v>va</v>
      </c>
      <c r="I5" s="138" t="str">
        <f>IF(booking!Q5&gt;0,"oc","va")</f>
        <v>va</v>
      </c>
      <c r="J5" s="137" t="str">
        <f>IF(booking!T5&gt;0,"oc","va")</f>
        <v>va</v>
      </c>
      <c r="K5" s="138" t="str">
        <f>IF(booking!U5&gt;0,"oc","va")</f>
        <v>va</v>
      </c>
      <c r="L5" s="137" t="str">
        <f>IF(booking!X5&gt;0,"oc","va")</f>
        <v>va</v>
      </c>
      <c r="M5" s="138" t="str">
        <f>IF(booking!Y5&gt;0,"oc","va")</f>
        <v>va</v>
      </c>
    </row>
    <row r="6" spans="1:13" x14ac:dyDescent="0.35">
      <c r="A6" s="5">
        <f>booking!C6</f>
        <v>46143</v>
      </c>
      <c r="B6" s="137" t="str">
        <f>IF(booking!D6&gt;0,"oc","va")</f>
        <v>va</v>
      </c>
      <c r="C6" s="138" t="str">
        <f>IF(booking!E6&gt;0,"oc","va")</f>
        <v>va</v>
      </c>
      <c r="D6" s="137" t="str">
        <f>IF(booking!H6&gt;0,"oc","va")</f>
        <v>va</v>
      </c>
      <c r="E6" s="138" t="str">
        <f>IF(booking!I6&gt;0,"oc","va")</f>
        <v>oc</v>
      </c>
      <c r="F6" s="137" t="str">
        <f>IF(booking!L6&gt;0,"oc","va")</f>
        <v>va</v>
      </c>
      <c r="G6" s="138" t="str">
        <f>IF(booking!M6&gt;0,"oc","va")</f>
        <v>oc</v>
      </c>
      <c r="H6" s="137" t="str">
        <f>IF(booking!P6&gt;0,"oc","va")</f>
        <v>va</v>
      </c>
      <c r="I6" s="138" t="str">
        <f>IF(booking!Q6&gt;0,"oc","va")</f>
        <v>oc</v>
      </c>
      <c r="J6" s="137" t="str">
        <f>IF(booking!T6&gt;0,"oc","va")</f>
        <v>va</v>
      </c>
      <c r="K6" s="138" t="str">
        <f>IF(booking!U6&gt;0,"oc","va")</f>
        <v>oc</v>
      </c>
      <c r="L6" s="137" t="str">
        <f>IF(booking!X6&gt;0,"oc","va")</f>
        <v>va</v>
      </c>
      <c r="M6" s="138" t="str">
        <f>IF(booking!Y6&gt;0,"oc","va")</f>
        <v>va</v>
      </c>
    </row>
    <row r="7" spans="1:13" x14ac:dyDescent="0.35">
      <c r="A7" s="5">
        <f>booking!C7</f>
        <v>46144</v>
      </c>
      <c r="B7" s="137" t="str">
        <f>IF(booking!D7&gt;0,"oc","va")</f>
        <v>va</v>
      </c>
      <c r="C7" s="138" t="str">
        <f>IF(booking!E7&gt;0,"oc","va")</f>
        <v>va</v>
      </c>
      <c r="D7" s="137" t="str">
        <f>IF(booking!H7&gt;0,"oc","va")</f>
        <v>oc</v>
      </c>
      <c r="E7" s="138" t="str">
        <f>IF(booking!I7&gt;0,"oc","va")</f>
        <v>oc</v>
      </c>
      <c r="F7" s="137" t="str">
        <f>IF(booking!L7&gt;0,"oc","va")</f>
        <v>oc</v>
      </c>
      <c r="G7" s="138" t="str">
        <f>IF(booking!M7&gt;0,"oc","va")</f>
        <v>oc</v>
      </c>
      <c r="H7" s="137" t="str">
        <f>IF(booking!P7&gt;0,"oc","va")</f>
        <v>oc</v>
      </c>
      <c r="I7" s="138" t="str">
        <f>IF(booking!Q7&gt;0,"oc","va")</f>
        <v>oc</v>
      </c>
      <c r="J7" s="137" t="str">
        <f>IF(booking!T7&gt;0,"oc","va")</f>
        <v>oc</v>
      </c>
      <c r="K7" s="138" t="str">
        <f>IF(booking!U7&gt;0,"oc","va")</f>
        <v>oc</v>
      </c>
      <c r="L7" s="137" t="str">
        <f>IF(booking!X7&gt;0,"oc","va")</f>
        <v>va</v>
      </c>
      <c r="M7" s="138" t="str">
        <f>IF(booking!Y7&gt;0,"oc","va")</f>
        <v>va</v>
      </c>
    </row>
    <row r="8" spans="1:13" x14ac:dyDescent="0.35">
      <c r="A8" s="5">
        <f>booking!C8</f>
        <v>46145</v>
      </c>
      <c r="B8" s="137" t="str">
        <f>IF(booking!D8&gt;0,"oc","va")</f>
        <v>va</v>
      </c>
      <c r="C8" s="138" t="str">
        <f>IF(booking!E8&gt;0,"oc","va")</f>
        <v>va</v>
      </c>
      <c r="D8" s="137" t="str">
        <f>IF(booking!H8&gt;0,"oc","va")</f>
        <v>oc</v>
      </c>
      <c r="E8" s="138" t="str">
        <f>IF(booking!I8&gt;0,"oc","va")</f>
        <v>va</v>
      </c>
      <c r="F8" s="137" t="str">
        <f>IF(booking!L8&gt;0,"oc","va")</f>
        <v>oc</v>
      </c>
      <c r="G8" s="138" t="str">
        <f>IF(booking!M8&gt;0,"oc","va")</f>
        <v>va</v>
      </c>
      <c r="H8" s="137" t="str">
        <f>IF(booking!P8&gt;0,"oc","va")</f>
        <v>oc</v>
      </c>
      <c r="I8" s="138" t="str">
        <f>IF(booking!Q8&gt;0,"oc","va")</f>
        <v>oc</v>
      </c>
      <c r="J8" s="137" t="str">
        <f>IF(booking!T8&gt;0,"oc","va")</f>
        <v>oc</v>
      </c>
      <c r="K8" s="138" t="str">
        <f>IF(booking!U8&gt;0,"oc","va")</f>
        <v>va</v>
      </c>
      <c r="L8" s="137" t="str">
        <f>IF(booking!X8&gt;0,"oc","va")</f>
        <v>va</v>
      </c>
      <c r="M8" s="138" t="str">
        <f>IF(booking!Y8&gt;0,"oc","va")</f>
        <v>va</v>
      </c>
    </row>
    <row r="9" spans="1:13" x14ac:dyDescent="0.35">
      <c r="A9" s="5">
        <f>booking!C9</f>
        <v>46146</v>
      </c>
      <c r="B9" s="137" t="str">
        <f>IF(booking!D9&gt;0,"oc","va")</f>
        <v>va</v>
      </c>
      <c r="C9" s="138" t="str">
        <f>IF(booking!E9&gt;0,"oc","va")</f>
        <v>va</v>
      </c>
      <c r="D9" s="137" t="str">
        <f>IF(booking!H9&gt;0,"oc","va")</f>
        <v>va</v>
      </c>
      <c r="E9" s="138" t="str">
        <f>IF(booking!I9&gt;0,"oc","va")</f>
        <v>va</v>
      </c>
      <c r="F9" s="137" t="str">
        <f>IF(booking!L9&gt;0,"oc","va")</f>
        <v>va</v>
      </c>
      <c r="G9" s="138" t="str">
        <f>IF(booking!M9&gt;0,"oc","va")</f>
        <v>va</v>
      </c>
      <c r="H9" s="137" t="str">
        <f>IF(booking!P9&gt;0,"oc","va")</f>
        <v>oc</v>
      </c>
      <c r="I9" s="138" t="str">
        <f>IF(booking!Q9&gt;0,"oc","va")</f>
        <v>oc</v>
      </c>
      <c r="J9" s="137" t="str">
        <f>IF(booking!T9&gt;0,"oc","va")</f>
        <v>va</v>
      </c>
      <c r="K9" s="138" t="str">
        <f>IF(booking!U9&gt;0,"oc","va")</f>
        <v>va</v>
      </c>
      <c r="L9" s="137" t="str">
        <f>IF(booking!X9&gt;0,"oc","va")</f>
        <v>va</v>
      </c>
      <c r="M9" s="138" t="str">
        <f>IF(booking!Y9&gt;0,"oc","va")</f>
        <v>va</v>
      </c>
    </row>
    <row r="10" spans="1:13" x14ac:dyDescent="0.35">
      <c r="A10" s="5">
        <f>booking!C10</f>
        <v>46147</v>
      </c>
      <c r="B10" s="137" t="str">
        <f>IF(booking!D10&gt;0,"oc","va")</f>
        <v>va</v>
      </c>
      <c r="C10" s="138" t="str">
        <f>IF(booking!E10&gt;0,"oc","va")</f>
        <v>va</v>
      </c>
      <c r="D10" s="137" t="str">
        <f>IF(booking!H10&gt;0,"oc","va")</f>
        <v>va</v>
      </c>
      <c r="E10" s="138" t="str">
        <f>IF(booking!I11&gt;0,"oc","va")</f>
        <v>va</v>
      </c>
      <c r="F10" s="137" t="str">
        <f>IF(booking!L10&gt;0,"oc","va")</f>
        <v>va</v>
      </c>
      <c r="G10" s="138" t="str">
        <f>IF(booking!M10&gt;0,"oc","va")</f>
        <v>va</v>
      </c>
      <c r="H10" s="137" t="str">
        <f>IF(booking!P10&gt;0,"oc","va")</f>
        <v>oc</v>
      </c>
      <c r="I10" s="138" t="str">
        <f>IF(booking!Q10&gt;0,"oc","va")</f>
        <v>oc</v>
      </c>
      <c r="J10" s="137" t="str">
        <f>IF(booking!T10&gt;0,"oc","va")</f>
        <v>va</v>
      </c>
      <c r="K10" s="138" t="str">
        <f>IF(booking!U10&gt;0,"oc","va")</f>
        <v>va</v>
      </c>
      <c r="L10" s="137" t="str">
        <f>IF(booking!X10&gt;0,"oc","va")</f>
        <v>va</v>
      </c>
      <c r="M10" s="138" t="str">
        <f>IF(booking!Y10&gt;0,"oc","va")</f>
        <v>va</v>
      </c>
    </row>
    <row r="11" spans="1:13" x14ac:dyDescent="0.35">
      <c r="A11" s="5">
        <f>booking!C11</f>
        <v>46148</v>
      </c>
      <c r="B11" s="137" t="str">
        <f>IF(booking!D11&gt;0,"oc","va")</f>
        <v>va</v>
      </c>
      <c r="C11" s="138" t="str">
        <f>IF(booking!E11&gt;0,"oc","va")</f>
        <v>va</v>
      </c>
      <c r="D11" s="137" t="str">
        <f>IF(booking!H11&gt;0,"oc","va")</f>
        <v>va</v>
      </c>
      <c r="E11" s="138" t="e">
        <f>IF(booking!#REF!&gt;0,"oc","va")</f>
        <v>#REF!</v>
      </c>
      <c r="F11" s="137" t="str">
        <f>IF(booking!L11&gt;0,"oc","va")</f>
        <v>va</v>
      </c>
      <c r="G11" s="138" t="str">
        <f>IF(booking!M11&gt;0,"oc","va")</f>
        <v>va</v>
      </c>
      <c r="H11" s="137" t="str">
        <f>IF(booking!P11&gt;0,"oc","va")</f>
        <v>oc</v>
      </c>
      <c r="I11" s="138" t="str">
        <f>IF(booking!Q11&gt;0,"oc","va")</f>
        <v>oc</v>
      </c>
      <c r="J11" s="137" t="str">
        <f>IF(booking!T11&gt;0,"oc","va")</f>
        <v>va</v>
      </c>
      <c r="K11" s="138" t="str">
        <f>IF(booking!U11&gt;0,"oc","va")</f>
        <v>va</v>
      </c>
      <c r="L11" s="137" t="str">
        <f>IF(booking!X11&gt;0,"oc","va")</f>
        <v>va</v>
      </c>
      <c r="M11" s="138" t="str">
        <f>IF(booking!Y11&gt;0,"oc","va")</f>
        <v>va</v>
      </c>
    </row>
    <row r="12" spans="1:13" x14ac:dyDescent="0.35">
      <c r="A12" s="5">
        <f>booking!C12</f>
        <v>46149</v>
      </c>
      <c r="B12" s="137" t="str">
        <f>IF(booking!D12&gt;0,"oc","va")</f>
        <v>va</v>
      </c>
      <c r="C12" s="138" t="str">
        <f>IF(booking!E12&gt;0,"oc","va")</f>
        <v>va</v>
      </c>
      <c r="D12" s="137" t="str">
        <f>IF(booking!H12&gt;0,"oc","va")</f>
        <v>va</v>
      </c>
      <c r="E12" s="138" t="str">
        <f>IF(booking!I12&gt;0,"oc","va")</f>
        <v>oc</v>
      </c>
      <c r="F12" s="137" t="str">
        <f>IF(booking!L12&gt;0,"oc","va")</f>
        <v>va</v>
      </c>
      <c r="G12" s="138" t="str">
        <f>IF(booking!M12&gt;0,"oc","va")</f>
        <v>oc</v>
      </c>
      <c r="H12" s="137" t="str">
        <f>IF(booking!P12&gt;0,"oc","va")</f>
        <v>oc</v>
      </c>
      <c r="I12" s="138" t="str">
        <f>IF(booking!Q12&gt;0,"oc","va")</f>
        <v>oc</v>
      </c>
      <c r="J12" s="137" t="str">
        <f>IF(booking!T12&gt;0,"oc","va")</f>
        <v>va</v>
      </c>
      <c r="K12" s="138" t="str">
        <f>IF(booking!U12&gt;0,"oc","va")</f>
        <v>va</v>
      </c>
      <c r="L12" s="137" t="str">
        <f>IF(booking!X12&gt;0,"oc","va")</f>
        <v>va</v>
      </c>
      <c r="M12" s="138" t="str">
        <f>IF(booking!Y12&gt;0,"oc","va")</f>
        <v>va</v>
      </c>
    </row>
    <row r="13" spans="1:13" x14ac:dyDescent="0.35">
      <c r="A13" s="5">
        <f>booking!C13</f>
        <v>46150</v>
      </c>
      <c r="B13" s="137" t="str">
        <f>IF(booking!D13&gt;0,"oc","va")</f>
        <v>va</v>
      </c>
      <c r="C13" s="138" t="str">
        <f>IF(booking!E13&gt;0,"oc","va")</f>
        <v>va</v>
      </c>
      <c r="D13" s="137" t="str">
        <f>IF(booking!H13&gt;0,"oc","va")</f>
        <v>oc</v>
      </c>
      <c r="E13" s="138" t="str">
        <f>IF(booking!I13&gt;0,"oc","va")</f>
        <v>oc</v>
      </c>
      <c r="F13" s="137" t="str">
        <f>IF(booking!L13&gt;0,"oc","va")</f>
        <v>oc</v>
      </c>
      <c r="G13" s="138" t="str">
        <f>IF(booking!M13&gt;0,"oc","va")</f>
        <v>oc</v>
      </c>
      <c r="H13" s="137" t="str">
        <f>IF(booking!P13&gt;0,"oc","va")</f>
        <v>oc</v>
      </c>
      <c r="I13" s="138" t="str">
        <f>IF(booking!Q13&gt;0,"oc","va")</f>
        <v>oc</v>
      </c>
      <c r="J13" s="137" t="str">
        <f>IF(booking!T13&gt;0,"oc","va")</f>
        <v>va</v>
      </c>
      <c r="K13" s="138" t="str">
        <f>IF(booking!U13&gt;0,"oc","va")</f>
        <v>va</v>
      </c>
      <c r="L13" s="137" t="str">
        <f>IF(booking!X13&gt;0,"oc","va")</f>
        <v>va</v>
      </c>
      <c r="M13" s="138" t="str">
        <f>IF(booking!Y13&gt;0,"oc","va")</f>
        <v>va</v>
      </c>
    </row>
    <row r="14" spans="1:13" x14ac:dyDescent="0.35">
      <c r="A14" s="5">
        <f>booking!C14</f>
        <v>46151</v>
      </c>
      <c r="B14" s="137" t="str">
        <f>IF(booking!D14&gt;0,"oc","va")</f>
        <v>va</v>
      </c>
      <c r="C14" s="138" t="str">
        <f>IF(booking!E14&gt;0,"oc","va")</f>
        <v>va</v>
      </c>
      <c r="D14" s="137" t="str">
        <f>IF(booking!H14&gt;0,"oc","va")</f>
        <v>oc</v>
      </c>
      <c r="E14" s="138" t="str">
        <f>IF(booking!I14&gt;0,"oc","va")</f>
        <v>oc</v>
      </c>
      <c r="F14" s="137" t="str">
        <f>IF(booking!L14&gt;0,"oc","va")</f>
        <v>oc</v>
      </c>
      <c r="G14" s="138" t="str">
        <f>IF(booking!M14&gt;0,"oc","va")</f>
        <v>oc</v>
      </c>
      <c r="H14" s="137" t="str">
        <f>IF(booking!P14&gt;0,"oc","va")</f>
        <v>oc</v>
      </c>
      <c r="I14" s="138" t="str">
        <f>IF(booking!Q14&gt;0,"oc","va")</f>
        <v>oc</v>
      </c>
      <c r="J14" s="137" t="str">
        <f>IF(booking!T14&gt;0,"oc","va")</f>
        <v>va</v>
      </c>
      <c r="K14" s="138" t="str">
        <f>IF(booking!U14&gt;0,"oc","va")</f>
        <v>va</v>
      </c>
      <c r="L14" s="137" t="str">
        <f>IF(booking!X14&gt;0,"oc","va")</f>
        <v>va</v>
      </c>
      <c r="M14" s="138" t="str">
        <f>IF(booking!Y14&gt;0,"oc","va")</f>
        <v>va</v>
      </c>
    </row>
    <row r="15" spans="1:13" x14ac:dyDescent="0.35">
      <c r="A15" s="5">
        <f>booking!C15</f>
        <v>46152</v>
      </c>
      <c r="B15" s="137" t="str">
        <f>IF(booking!D15&gt;0,"oc","va")</f>
        <v>va</v>
      </c>
      <c r="C15" s="138" t="str">
        <f>IF(booking!E15&gt;0,"oc","va")</f>
        <v>va</v>
      </c>
      <c r="D15" s="137" t="str">
        <f>IF(booking!H15&gt;0,"oc","va")</f>
        <v>oc</v>
      </c>
      <c r="E15" s="138" t="str">
        <f>IF(booking!I15&gt;0,"oc","va")</f>
        <v>va</v>
      </c>
      <c r="F15" s="137" t="str">
        <f>IF(booking!L15&gt;0,"oc","va")</f>
        <v>oc</v>
      </c>
      <c r="G15" s="138" t="str">
        <f>IF(booking!M15&gt;0,"oc","va")</f>
        <v>va</v>
      </c>
      <c r="H15" s="137" t="str">
        <f>IF(booking!P15&gt;0,"oc","va")</f>
        <v>oc</v>
      </c>
      <c r="I15" s="138" t="str">
        <f>IF(booking!Q15&gt;0,"oc","va")</f>
        <v>va</v>
      </c>
      <c r="J15" s="137" t="str">
        <f>IF(booking!T15&gt;0,"oc","va")</f>
        <v>va</v>
      </c>
      <c r="K15" s="138" t="str">
        <f>IF(booking!U15&gt;0,"oc","va")</f>
        <v>va</v>
      </c>
      <c r="L15" s="137" t="str">
        <f>IF(booking!X15&gt;0,"oc","va")</f>
        <v>va</v>
      </c>
      <c r="M15" s="138" t="str">
        <f>IF(booking!Y15&gt;0,"oc","va")</f>
        <v>va</v>
      </c>
    </row>
    <row r="16" spans="1:13" x14ac:dyDescent="0.35">
      <c r="A16" s="5">
        <f>booking!C16</f>
        <v>46153</v>
      </c>
      <c r="B16" s="137" t="str">
        <f>IF(booking!D16&gt;0,"oc","va")</f>
        <v>va</v>
      </c>
      <c r="C16" s="138" t="str">
        <f>IF(booking!E16&gt;0,"oc","va")</f>
        <v>va</v>
      </c>
      <c r="D16" s="137" t="str">
        <f>IF(booking!H16&gt;0,"oc","va")</f>
        <v>va</v>
      </c>
      <c r="E16" s="138" t="str">
        <f>IF(booking!I16&gt;0,"oc","va")</f>
        <v>va</v>
      </c>
      <c r="F16" s="137" t="str">
        <f>IF(booking!L16&gt;0,"oc","va")</f>
        <v>va</v>
      </c>
      <c r="G16" s="138" t="str">
        <f>IF(booking!M16&gt;0,"oc","va")</f>
        <v>va</v>
      </c>
      <c r="H16" s="137" t="str">
        <f>IF(booking!P16&gt;0,"oc","va")</f>
        <v>va</v>
      </c>
      <c r="I16" s="138" t="str">
        <f>IF(booking!Q16&gt;0,"oc","va")</f>
        <v>va</v>
      </c>
      <c r="J16" s="137" t="str">
        <f>IF(booking!T16&gt;0,"oc","va")</f>
        <v>va</v>
      </c>
      <c r="K16" s="138" t="str">
        <f>IF(booking!U16&gt;0,"oc","va")</f>
        <v>oc</v>
      </c>
      <c r="L16" s="137" t="str">
        <f>IF(booking!X16&gt;0,"oc","va")</f>
        <v>va</v>
      </c>
      <c r="M16" s="138" t="str">
        <f>IF(booking!Y16&gt;0,"oc","va")</f>
        <v>va</v>
      </c>
    </row>
    <row r="17" spans="1:13" x14ac:dyDescent="0.35">
      <c r="A17" s="5">
        <f>booking!C17</f>
        <v>46154</v>
      </c>
      <c r="B17" s="137" t="str">
        <f>IF(booking!D17&gt;0,"oc","va")</f>
        <v>va</v>
      </c>
      <c r="C17" s="138" t="str">
        <f>IF(booking!E17&gt;0,"oc","va")</f>
        <v>va</v>
      </c>
      <c r="D17" s="137" t="str">
        <f>IF(booking!H17&gt;0,"oc","va")</f>
        <v>va</v>
      </c>
      <c r="E17" s="138" t="str">
        <f>IF(booking!I17&gt;0,"oc","va")</f>
        <v>va</v>
      </c>
      <c r="F17" s="137" t="str">
        <f>IF(booking!L17&gt;0,"oc","va")</f>
        <v>va</v>
      </c>
      <c r="G17" s="138" t="str">
        <f>IF(booking!M17&gt;0,"oc","va")</f>
        <v>va</v>
      </c>
      <c r="H17" s="137" t="str">
        <f>IF(booking!P17&gt;0,"oc","va")</f>
        <v>va</v>
      </c>
      <c r="I17" s="138" t="str">
        <f>IF(booking!Q17&gt;0,"oc","va")</f>
        <v>va</v>
      </c>
      <c r="J17" s="137" t="str">
        <f>IF(booking!T17&gt;0,"oc","va")</f>
        <v>oc</v>
      </c>
      <c r="K17" s="138" t="str">
        <f>IF(booking!U17&gt;0,"oc","va")</f>
        <v>oc</v>
      </c>
      <c r="L17" s="137" t="str">
        <f>IF(booking!X17&gt;0,"oc","va")</f>
        <v>va</v>
      </c>
      <c r="M17" s="138" t="str">
        <f>IF(booking!Y17&gt;0,"oc","va")</f>
        <v>va</v>
      </c>
    </row>
    <row r="18" spans="1:13" x14ac:dyDescent="0.35">
      <c r="A18" s="5">
        <f>booking!C18</f>
        <v>46155</v>
      </c>
      <c r="B18" s="137" t="str">
        <f>IF(booking!D18&gt;0,"oc","va")</f>
        <v>va</v>
      </c>
      <c r="C18" s="138" t="str">
        <f>IF(booking!E18&gt;0,"oc","va")</f>
        <v>va</v>
      </c>
      <c r="D18" s="137" t="str">
        <f>IF(booking!H18&gt;0,"oc","va")</f>
        <v>va</v>
      </c>
      <c r="E18" s="138" t="str">
        <f>IF(booking!I18&gt;0,"oc","va")</f>
        <v>va</v>
      </c>
      <c r="F18" s="137" t="str">
        <f>IF(booking!L18&gt;0,"oc","va")</f>
        <v>va</v>
      </c>
      <c r="G18" s="138" t="str">
        <f>IF(booking!M18&gt;0,"oc","va")</f>
        <v>va</v>
      </c>
      <c r="H18" s="137" t="str">
        <f>IF(booking!P18&gt;0,"oc","va")</f>
        <v>va</v>
      </c>
      <c r="I18" s="138" t="str">
        <f>IF(booking!Q18&gt;0,"oc","va")</f>
        <v>oc</v>
      </c>
      <c r="J18" s="137" t="str">
        <f>IF(booking!T18&gt;0,"oc","va")</f>
        <v>oc</v>
      </c>
      <c r="K18" s="138" t="str">
        <f>IF(booking!U18&gt;0,"oc","va")</f>
        <v>va</v>
      </c>
      <c r="L18" s="137" t="str">
        <f>IF(booking!X18&gt;0,"oc","va")</f>
        <v>va</v>
      </c>
      <c r="M18" s="138" t="str">
        <f>IF(booking!Y18&gt;0,"oc","va")</f>
        <v>va</v>
      </c>
    </row>
    <row r="19" spans="1:13" x14ac:dyDescent="0.35">
      <c r="A19" s="5">
        <f>booking!C19</f>
        <v>46156</v>
      </c>
      <c r="B19" s="137" t="str">
        <f>IF(booking!D19&gt;0,"oc","va")</f>
        <v>va</v>
      </c>
      <c r="C19" s="138" t="str">
        <f>IF(booking!E19&gt;0,"oc","va")</f>
        <v>va</v>
      </c>
      <c r="D19" s="137" t="str">
        <f>IF(booking!H19&gt;0,"oc","va")</f>
        <v>va</v>
      </c>
      <c r="E19" s="138" t="str">
        <f>IF(booking!I19&gt;0,"oc","va")</f>
        <v>va</v>
      </c>
      <c r="F19" s="137" t="str">
        <f>IF(booking!L19&gt;0,"oc","va")</f>
        <v>va</v>
      </c>
      <c r="G19" s="138" t="str">
        <f>IF(booking!M19&gt;0,"oc","va")</f>
        <v>va</v>
      </c>
      <c r="H19" s="137" t="str">
        <f>IF(booking!P19&gt;0,"oc","va")</f>
        <v>oc</v>
      </c>
      <c r="I19" s="138" t="str">
        <f>IF(booking!Q19&gt;0,"oc","va")</f>
        <v>oc</v>
      </c>
      <c r="J19" s="137" t="str">
        <f>IF(booking!T19&gt;0,"oc","va")</f>
        <v>va</v>
      </c>
      <c r="K19" s="138" t="str">
        <f>IF(booking!U19&gt;0,"oc","va")</f>
        <v>oc</v>
      </c>
      <c r="L19" s="137" t="str">
        <f>IF(booking!X19&gt;0,"oc","va")</f>
        <v>va</v>
      </c>
      <c r="M19" s="138" t="str">
        <f>IF(booking!Y19&gt;0,"oc","va")</f>
        <v>va</v>
      </c>
    </row>
    <row r="20" spans="1:13" x14ac:dyDescent="0.35">
      <c r="A20" s="5">
        <f>booking!C20</f>
        <v>46157</v>
      </c>
      <c r="B20" s="137" t="str">
        <f>IF(booking!D20&gt;0,"oc","va")</f>
        <v>va</v>
      </c>
      <c r="C20" s="138" t="str">
        <f>IF(booking!E20&gt;0,"oc","va")</f>
        <v>va</v>
      </c>
      <c r="D20" s="137" t="str">
        <f>IF(booking!H20&gt;0,"oc","va")</f>
        <v>va</v>
      </c>
      <c r="E20" s="138" t="str">
        <f>IF(booking!I20&gt;0,"oc","va")</f>
        <v>va</v>
      </c>
      <c r="F20" s="137" t="str">
        <f>IF(booking!L20&gt;0,"oc","va")</f>
        <v>va</v>
      </c>
      <c r="G20" s="138" t="str">
        <f>IF(booking!M20&gt;0,"oc","va")</f>
        <v>va</v>
      </c>
      <c r="H20" s="137" t="str">
        <f>IF(booking!P20&gt;0,"oc","va")</f>
        <v>oc</v>
      </c>
      <c r="I20" s="138" t="str">
        <f>IF(booking!Q20&gt;0,"oc","va")</f>
        <v>oc</v>
      </c>
      <c r="J20" s="137" t="str">
        <f>IF(booking!T20&gt;0,"oc","va")</f>
        <v>oc</v>
      </c>
      <c r="K20" s="138" t="str">
        <f>IF(booking!U20&gt;0,"oc","va")</f>
        <v>oc</v>
      </c>
      <c r="L20" s="137" t="str">
        <f>IF(booking!X20&gt;0,"oc","va")</f>
        <v>va</v>
      </c>
      <c r="M20" s="138" t="str">
        <f>IF(booking!Y20&gt;0,"oc","va")</f>
        <v>va</v>
      </c>
    </row>
    <row r="21" spans="1:13" x14ac:dyDescent="0.35">
      <c r="A21" s="5">
        <f>booking!C21</f>
        <v>46158</v>
      </c>
      <c r="B21" s="137" t="str">
        <f>IF(booking!D21&gt;0,"oc","va")</f>
        <v>va</v>
      </c>
      <c r="C21" s="138" t="str">
        <f>IF(booking!E21&gt;0,"oc","va")</f>
        <v>oc</v>
      </c>
      <c r="D21" s="137" t="str">
        <f>IF(booking!H21&gt;0,"oc","va")</f>
        <v>va</v>
      </c>
      <c r="E21" s="138" t="str">
        <f>IF(booking!I21&gt;0,"oc","va")</f>
        <v>va</v>
      </c>
      <c r="F21" s="137" t="str">
        <f>IF(booking!L21&gt;0,"oc","va")</f>
        <v>va</v>
      </c>
      <c r="G21" s="138" t="str">
        <f>IF(booking!M21&gt;0,"oc","va")</f>
        <v>va</v>
      </c>
      <c r="H21" s="137" t="str">
        <f>IF(booking!P21&gt;0,"oc","va")</f>
        <v>oc</v>
      </c>
      <c r="I21" s="138" t="str">
        <f>IF(booking!Q21&gt;0,"oc","va")</f>
        <v>va</v>
      </c>
      <c r="J21" s="137" t="str">
        <f>IF(booking!T21&gt;0,"oc","va")</f>
        <v>oc</v>
      </c>
      <c r="K21" s="138" t="str">
        <f>IF(booking!U21&gt;0,"oc","va")</f>
        <v>oc</v>
      </c>
      <c r="L21" s="137" t="str">
        <f>IF(booking!X21&gt;0,"oc","va")</f>
        <v>va</v>
      </c>
      <c r="M21" s="138" t="str">
        <f>IF(booking!Y21&gt;0,"oc","va")</f>
        <v>va</v>
      </c>
    </row>
    <row r="22" spans="1:13" x14ac:dyDescent="0.35">
      <c r="A22" s="5">
        <f>booking!C22</f>
        <v>46159</v>
      </c>
      <c r="B22" s="137" t="str">
        <f>IF(booking!D22&gt;0,"oc","va")</f>
        <v>oc</v>
      </c>
      <c r="C22" s="138" t="str">
        <f>IF(booking!E22&gt;0,"oc","va")</f>
        <v>oc</v>
      </c>
      <c r="D22" s="137" t="str">
        <f>IF(booking!H22&gt;0,"oc","va")</f>
        <v>va</v>
      </c>
      <c r="E22" s="138" t="str">
        <f>IF(booking!I22&gt;0,"oc","va")</f>
        <v>va</v>
      </c>
      <c r="F22" s="137" t="str">
        <f>IF(booking!L22&gt;0,"oc","va")</f>
        <v>va</v>
      </c>
      <c r="G22" s="138" t="str">
        <f>IF(booking!M22&gt;0,"oc","va")</f>
        <v>va</v>
      </c>
      <c r="H22" s="137" t="str">
        <f>IF(booking!P22&gt;0,"oc","va")</f>
        <v>va</v>
      </c>
      <c r="I22" s="138" t="str">
        <f>IF(booking!Q22&gt;0,"oc","va")</f>
        <v>va</v>
      </c>
      <c r="J22" s="137" t="str">
        <f>IF(booking!T22&gt;0,"oc","va")</f>
        <v>oc</v>
      </c>
      <c r="K22" s="138" t="str">
        <f>IF(booking!U22&gt;0,"oc","va")</f>
        <v>oc</v>
      </c>
      <c r="L22" s="137" t="str">
        <f>IF(booking!X22&gt;0,"oc","va")</f>
        <v>va</v>
      </c>
      <c r="M22" s="138" t="str">
        <f>IF(booking!Y22&gt;0,"oc","va")</f>
        <v>va</v>
      </c>
    </row>
    <row r="23" spans="1:13" x14ac:dyDescent="0.35">
      <c r="A23" s="5">
        <f>booking!C23</f>
        <v>46160</v>
      </c>
      <c r="B23" s="137" t="str">
        <f>IF(booking!D23&gt;0,"oc","va")</f>
        <v>oc</v>
      </c>
      <c r="C23" s="138" t="str">
        <f>IF(booking!E23&gt;0,"oc","va")</f>
        <v>oc</v>
      </c>
      <c r="D23" s="137" t="str">
        <f>IF(booking!H23&gt;0,"oc","va")</f>
        <v>va</v>
      </c>
      <c r="E23" s="138" t="str">
        <f>IF(booking!I23&gt;0,"oc","va")</f>
        <v>va</v>
      </c>
      <c r="F23" s="137" t="str">
        <f>IF(booking!L23&gt;0,"oc","va")</f>
        <v>va</v>
      </c>
      <c r="G23" s="138" t="str">
        <f>IF(booking!M23&gt;0,"oc","va")</f>
        <v>va</v>
      </c>
      <c r="H23" s="137" t="str">
        <f>IF(booking!P23&gt;0,"oc","va")</f>
        <v>va</v>
      </c>
      <c r="I23" s="138" t="str">
        <f>IF(booking!Q23&gt;0,"oc","va")</f>
        <v>va</v>
      </c>
      <c r="J23" s="137" t="str">
        <f>IF(booking!T23&gt;0,"oc","va")</f>
        <v>oc</v>
      </c>
      <c r="K23" s="138" t="str">
        <f>IF(booking!U23&gt;0,"oc","va")</f>
        <v>oc</v>
      </c>
      <c r="L23" s="137" t="str">
        <f>IF(booking!X23&gt;0,"oc","va")</f>
        <v>va</v>
      </c>
      <c r="M23" s="138" t="str">
        <f>IF(booking!Y23&gt;0,"oc","va")</f>
        <v>va</v>
      </c>
    </row>
    <row r="24" spans="1:13" x14ac:dyDescent="0.35">
      <c r="A24" s="5">
        <f>booking!C24</f>
        <v>46161</v>
      </c>
      <c r="B24" s="137" t="str">
        <f>IF(booking!D24&gt;0,"oc","va")</f>
        <v>oc</v>
      </c>
      <c r="C24" s="138" t="str">
        <f>IF(booking!E24&gt;0,"oc","va")</f>
        <v>oc</v>
      </c>
      <c r="D24" s="137" t="str">
        <f>IF(booking!H24&gt;0,"oc","va")</f>
        <v>va</v>
      </c>
      <c r="E24" s="138" t="str">
        <f>IF(booking!I24&gt;0,"oc","va")</f>
        <v>va</v>
      </c>
      <c r="F24" s="137" t="str">
        <f>IF(booking!L24&gt;0,"oc","va")</f>
        <v>va</v>
      </c>
      <c r="G24" s="138" t="str">
        <f>IF(booking!M24&gt;0,"oc","va")</f>
        <v>va</v>
      </c>
      <c r="H24" s="137" t="str">
        <f>IF(booking!P24&gt;0,"oc","va")</f>
        <v>va</v>
      </c>
      <c r="I24" s="138" t="str">
        <f>IF(booking!Q24&gt;0,"oc","va")</f>
        <v>va</v>
      </c>
      <c r="J24" s="137" t="str">
        <f>IF(booking!T24&gt;0,"oc","va")</f>
        <v>oc</v>
      </c>
      <c r="K24" s="138" t="str">
        <f>IF(booking!U24&gt;0,"oc","va")</f>
        <v>oc</v>
      </c>
      <c r="L24" s="137" t="str">
        <f>IF(booking!X24&gt;0,"oc","va")</f>
        <v>va</v>
      </c>
      <c r="M24" s="138" t="str">
        <f>IF(booking!Y24&gt;0,"oc","va")</f>
        <v>va</v>
      </c>
    </row>
    <row r="25" spans="1:13" x14ac:dyDescent="0.35">
      <c r="A25" s="5">
        <f>booking!C25</f>
        <v>46162</v>
      </c>
      <c r="B25" s="137" t="str">
        <f>IF(booking!D25&gt;0,"oc","va")</f>
        <v>oc</v>
      </c>
      <c r="C25" s="138" t="str">
        <f>IF(booking!E25&gt;0,"oc","va")</f>
        <v>oc</v>
      </c>
      <c r="D25" s="137" t="str">
        <f>IF(booking!H25&gt;0,"oc","va")</f>
        <v>va</v>
      </c>
      <c r="E25" s="138" t="str">
        <f>IF(booking!I25&gt;0,"oc","va")</f>
        <v>va</v>
      </c>
      <c r="F25" s="137" t="str">
        <f>IF(booking!L25&gt;0,"oc","va")</f>
        <v>va</v>
      </c>
      <c r="G25" s="138" t="str">
        <f>IF(booking!M25&gt;0,"oc","va")</f>
        <v>va</v>
      </c>
      <c r="H25" s="137" t="str">
        <f>IF(booking!P25&gt;0,"oc","va")</f>
        <v>va</v>
      </c>
      <c r="I25" s="138" t="str">
        <f>IF(booking!Q25&gt;0,"oc","va")</f>
        <v>va</v>
      </c>
      <c r="J25" s="137" t="str">
        <f>IF(booking!T25&gt;0,"oc","va")</f>
        <v>oc</v>
      </c>
      <c r="K25" s="138" t="str">
        <f>IF(booking!U25&gt;0,"oc","va")</f>
        <v>oc</v>
      </c>
      <c r="L25" s="137" t="str">
        <f>IF(booking!X25&gt;0,"oc","va")</f>
        <v>va</v>
      </c>
      <c r="M25" s="138" t="str">
        <f>IF(booking!Y25&gt;0,"oc","va")</f>
        <v>va</v>
      </c>
    </row>
    <row r="26" spans="1:13" x14ac:dyDescent="0.35">
      <c r="A26" s="5">
        <f>booking!C26</f>
        <v>46163</v>
      </c>
      <c r="B26" s="137" t="str">
        <f>IF(booking!D26&gt;0,"oc","va")</f>
        <v>oc</v>
      </c>
      <c r="C26" s="138" t="str">
        <f>IF(booking!E26&gt;0,"oc","va")</f>
        <v>va</v>
      </c>
      <c r="D26" s="137" t="str">
        <f>IF(booking!H26&gt;0,"oc","va")</f>
        <v>va</v>
      </c>
      <c r="E26" s="138" t="str">
        <f>IF(booking!I26&gt;0,"oc","va")</f>
        <v>oc</v>
      </c>
      <c r="F26" s="137" t="str">
        <f>IF(booking!L26&gt;0,"oc","va")</f>
        <v>va</v>
      </c>
      <c r="G26" s="138" t="str">
        <f>IF(booking!M26&gt;0,"oc","va")</f>
        <v>oc</v>
      </c>
      <c r="H26" s="137" t="str">
        <f>IF(booking!P26&gt;0,"oc","va")</f>
        <v>va</v>
      </c>
      <c r="I26" s="138" t="str">
        <f>IF(booking!Q26&gt;0,"oc","va")</f>
        <v>oc</v>
      </c>
      <c r="J26" s="137" t="str">
        <f>IF(booking!T26&gt;0,"oc","va")</f>
        <v>oc</v>
      </c>
      <c r="K26" s="138" t="str">
        <f>IF(booking!U26&gt;0,"oc","va")</f>
        <v>oc</v>
      </c>
      <c r="L26" s="137" t="str">
        <f>IF(booking!X26&gt;0,"oc","va")</f>
        <v>va</v>
      </c>
      <c r="M26" s="138" t="str">
        <f>IF(booking!Y26&gt;0,"oc","va")</f>
        <v>va</v>
      </c>
    </row>
    <row r="27" spans="1:13" x14ac:dyDescent="0.35">
      <c r="A27" s="5">
        <f>booking!C27</f>
        <v>46164</v>
      </c>
      <c r="B27" s="137" t="str">
        <f>IF(booking!D27&gt;0,"oc","va")</f>
        <v>va</v>
      </c>
      <c r="C27" s="138" t="str">
        <f>IF(booking!E27&gt;0,"oc","va")</f>
        <v>oc</v>
      </c>
      <c r="D27" s="137" t="str">
        <f>IF(booking!H27&gt;0,"oc","va")</f>
        <v>oc</v>
      </c>
      <c r="E27" s="138" t="str">
        <f>IF(booking!I27&gt;0,"oc","va")</f>
        <v>oc</v>
      </c>
      <c r="F27" s="137" t="str">
        <f>IF(booking!L27&gt;0,"oc","va")</f>
        <v>oc</v>
      </c>
      <c r="G27" s="138" t="str">
        <f>IF(booking!M27&gt;0,"oc","va")</f>
        <v>oc</v>
      </c>
      <c r="H27" s="137" t="str">
        <f>IF(booking!P27&gt;0,"oc","va")</f>
        <v>oc</v>
      </c>
      <c r="I27" s="138" t="str">
        <f>IF(booking!Q27&gt;0,"oc","va")</f>
        <v>oc</v>
      </c>
      <c r="J27" s="137" t="str">
        <f>IF(booking!T27&gt;0,"oc","va")</f>
        <v>oc</v>
      </c>
      <c r="K27" s="138" t="str">
        <f>IF(booking!U27&gt;0,"oc","va")</f>
        <v>oc</v>
      </c>
      <c r="L27" s="137" t="str">
        <f>IF(booking!X27&gt;0,"oc","va")</f>
        <v>va</v>
      </c>
      <c r="M27" s="138" t="str">
        <f>IF(booking!Y27&gt;0,"oc","va")</f>
        <v>va</v>
      </c>
    </row>
    <row r="28" spans="1:13" x14ac:dyDescent="0.35">
      <c r="A28" s="5">
        <f>booking!C28</f>
        <v>46165</v>
      </c>
      <c r="B28" s="137" t="str">
        <f>IF(booking!D28&gt;0,"oc","va")</f>
        <v>oc</v>
      </c>
      <c r="C28" s="138" t="str">
        <f>IF(booking!E28&gt;0,"oc","va")</f>
        <v>oc</v>
      </c>
      <c r="D28" s="137" t="str">
        <f>IF(booking!H28&gt;0,"oc","va")</f>
        <v>oc</v>
      </c>
      <c r="E28" s="138" t="str">
        <f>IF(booking!I28&gt;0,"oc","va")</f>
        <v>oc</v>
      </c>
      <c r="F28" s="137" t="str">
        <f>IF(booking!L28&gt;0,"oc","va")</f>
        <v>oc</v>
      </c>
      <c r="G28" s="138" t="str">
        <f>IF(booking!M28&gt;0,"oc","va")</f>
        <v>oc</v>
      </c>
      <c r="H28" s="137" t="str">
        <f>IF(booking!P28&gt;0,"oc","va")</f>
        <v>oc</v>
      </c>
      <c r="I28" s="138" t="str">
        <f>IF(booking!Q28&gt;0,"oc","va")</f>
        <v>oc</v>
      </c>
      <c r="J28" s="137" t="str">
        <f>IF(booking!T28&gt;0,"oc","va")</f>
        <v>oc</v>
      </c>
      <c r="K28" s="138" t="str">
        <f>IF(booking!U28&gt;0,"oc","va")</f>
        <v>oc</v>
      </c>
      <c r="L28" s="137" t="str">
        <f>IF(booking!X28&gt;0,"oc","va")</f>
        <v>va</v>
      </c>
      <c r="M28" s="138" t="str">
        <f>IF(booking!Y28&gt;0,"oc","va")</f>
        <v>va</v>
      </c>
    </row>
    <row r="29" spans="1:13" x14ac:dyDescent="0.35">
      <c r="A29" s="5">
        <f>booking!C29</f>
        <v>46166</v>
      </c>
      <c r="B29" s="137" t="str">
        <f>IF(booking!D29&gt;0,"oc","va")</f>
        <v>oc</v>
      </c>
      <c r="C29" s="138" t="str">
        <f>IF(booking!E29&gt;0,"oc","va")</f>
        <v>oc</v>
      </c>
      <c r="D29" s="137" t="str">
        <f>IF(booking!H29&gt;0,"oc","va")</f>
        <v>oc</v>
      </c>
      <c r="E29" s="138" t="str">
        <f>IF(booking!I29&gt;0,"oc","va")</f>
        <v>oc</v>
      </c>
      <c r="F29" s="137" t="str">
        <f>IF(booking!L29&gt;0,"oc","va")</f>
        <v>oc</v>
      </c>
      <c r="G29" s="138" t="str">
        <f>IF(booking!M29&gt;0,"oc","va")</f>
        <v>oc</v>
      </c>
      <c r="H29" s="137" t="str">
        <f>IF(booking!P29&gt;0,"oc","va")</f>
        <v>oc</v>
      </c>
      <c r="I29" s="138" t="str">
        <f>IF(booking!Q29&gt;0,"oc","va")</f>
        <v>oc</v>
      </c>
      <c r="J29" s="137" t="str">
        <f>IF(booking!T29&gt;0,"oc","va")</f>
        <v>oc</v>
      </c>
      <c r="K29" s="138" t="str">
        <f>IF(booking!U29&gt;0,"oc","va")</f>
        <v>va</v>
      </c>
      <c r="L29" s="137" t="str">
        <f>IF(booking!X29&gt;0,"oc","va")</f>
        <v>va</v>
      </c>
      <c r="M29" s="138" t="str">
        <f>IF(booking!Y29&gt;0,"oc","va")</f>
        <v>va</v>
      </c>
    </row>
    <row r="30" spans="1:13" x14ac:dyDescent="0.35">
      <c r="A30" s="5">
        <f>booking!C30</f>
        <v>46167</v>
      </c>
      <c r="B30" s="137" t="str">
        <f>IF(booking!D30&gt;0,"oc","va")</f>
        <v>oc</v>
      </c>
      <c r="C30" s="138" t="str">
        <f>IF(booking!E30&gt;0,"oc","va")</f>
        <v>va</v>
      </c>
      <c r="D30" s="137" t="str">
        <f>IF(booking!H30&gt;0,"oc","va")</f>
        <v>oc</v>
      </c>
      <c r="E30" s="138" t="str">
        <f>IF(booking!I30&gt;0,"oc","va")</f>
        <v>va</v>
      </c>
      <c r="F30" s="137" t="str">
        <f>IF(booking!L30&gt;0,"oc","va")</f>
        <v>oc</v>
      </c>
      <c r="G30" s="138" t="str">
        <f>IF(booking!M30&gt;0,"oc","va")</f>
        <v>va</v>
      </c>
      <c r="H30" s="137" t="str">
        <f>IF(booking!P30&gt;0,"oc","va")</f>
        <v>oc</v>
      </c>
      <c r="I30" s="138" t="str">
        <f>IF(booking!Q30&gt;0,"oc","va")</f>
        <v>va</v>
      </c>
      <c r="J30" s="137" t="str">
        <f>IF(booking!T30&gt;0,"oc","va")</f>
        <v>va</v>
      </c>
      <c r="K30" s="138" t="str">
        <f>IF(booking!U30&gt;0,"oc","va")</f>
        <v>va</v>
      </c>
      <c r="L30" s="137" t="str">
        <f>IF(booking!X30&gt;0,"oc","va")</f>
        <v>va</v>
      </c>
      <c r="M30" s="138" t="str">
        <f>IF(booking!Y30&gt;0,"oc","va")</f>
        <v>va</v>
      </c>
    </row>
    <row r="31" spans="1:13" x14ac:dyDescent="0.35">
      <c r="A31" s="5">
        <f>booking!C31</f>
        <v>46168</v>
      </c>
      <c r="B31" s="137" t="str">
        <f>IF(booking!D31&gt;0,"oc","va")</f>
        <v>va</v>
      </c>
      <c r="C31" s="138" t="str">
        <f>IF(booking!E31&gt;0,"oc","va")</f>
        <v>va</v>
      </c>
      <c r="D31" s="137" t="str">
        <f>IF(booking!H31&gt;0,"oc","va")</f>
        <v>va</v>
      </c>
      <c r="E31" s="138" t="str">
        <f>IF(booking!I31&gt;0,"oc","va")</f>
        <v>va</v>
      </c>
      <c r="F31" s="137" t="str">
        <f>IF(booking!L31&gt;0,"oc","va")</f>
        <v>va</v>
      </c>
      <c r="G31" s="138" t="str">
        <f>IF(booking!M31&gt;0,"oc","va")</f>
        <v>va</v>
      </c>
      <c r="H31" s="137" t="str">
        <f>IF(booking!P31&gt;0,"oc","va")</f>
        <v>va</v>
      </c>
      <c r="I31" s="138" t="str">
        <f>IF(booking!Q31&gt;0,"oc","va")</f>
        <v>va</v>
      </c>
      <c r="J31" s="137" t="str">
        <f>IF(booking!T31&gt;0,"oc","va")</f>
        <v>va</v>
      </c>
      <c r="K31" s="138" t="str">
        <f>IF(booking!U31&gt;0,"oc","va")</f>
        <v>va</v>
      </c>
      <c r="L31" s="137" t="str">
        <f>IF(booking!X31&gt;0,"oc","va")</f>
        <v>va</v>
      </c>
      <c r="M31" s="138" t="str">
        <f>IF(booking!Y31&gt;0,"oc","va")</f>
        <v>va</v>
      </c>
    </row>
    <row r="32" spans="1:13" x14ac:dyDescent="0.35">
      <c r="A32" s="5">
        <f>booking!C32</f>
        <v>46169</v>
      </c>
      <c r="B32" s="137" t="str">
        <f>IF(booking!D32&gt;0,"oc","va")</f>
        <v>va</v>
      </c>
      <c r="C32" s="138" t="str">
        <f>IF(booking!E32&gt;0,"oc","va")</f>
        <v>va</v>
      </c>
      <c r="D32" s="137" t="str">
        <f>IF(booking!H32&gt;0,"oc","va")</f>
        <v>va</v>
      </c>
      <c r="E32" s="138" t="str">
        <f>IF(booking!I32&gt;0,"oc","va")</f>
        <v>va</v>
      </c>
      <c r="F32" s="137" t="str">
        <f>IF(booking!L32&gt;0,"oc","va")</f>
        <v>va</v>
      </c>
      <c r="G32" s="138" t="str">
        <f>IF(booking!M32&gt;0,"oc","va")</f>
        <v>oc</v>
      </c>
      <c r="H32" s="137" t="str">
        <f>IF(booking!P32&gt;0,"oc","va")</f>
        <v>va</v>
      </c>
      <c r="I32" s="138" t="str">
        <f>IF(booking!Q32&gt;0,"oc","va")</f>
        <v>va</v>
      </c>
      <c r="J32" s="137" t="str">
        <f>IF(booking!T32&gt;0,"oc","va")</f>
        <v>va</v>
      </c>
      <c r="K32" s="138" t="str">
        <f>IF(booking!U32&gt;0,"oc","va")</f>
        <v>va</v>
      </c>
      <c r="L32" s="137" t="str">
        <f>IF(booking!X32&gt;0,"oc","va")</f>
        <v>va</v>
      </c>
      <c r="M32" s="138" t="str">
        <f>IF(booking!Y32&gt;0,"oc","va")</f>
        <v>va</v>
      </c>
    </row>
    <row r="33" spans="1:13" x14ac:dyDescent="0.35">
      <c r="A33" s="5">
        <f>booking!C33</f>
        <v>46170</v>
      </c>
      <c r="B33" s="137" t="str">
        <f>IF(booking!D33&gt;0,"oc","va")</f>
        <v>va</v>
      </c>
      <c r="C33" s="138" t="str">
        <f>IF(booking!E33&gt;0,"oc","va")</f>
        <v>va</v>
      </c>
      <c r="D33" s="137" t="str">
        <f>IF(booking!H33&gt;0,"oc","va")</f>
        <v>va</v>
      </c>
      <c r="E33" s="138" t="str">
        <f>IF(booking!I33&gt;0,"oc","va")</f>
        <v>va</v>
      </c>
      <c r="F33" s="137" t="str">
        <f>IF(booking!L33&gt;0,"oc","va")</f>
        <v>oc</v>
      </c>
      <c r="G33" s="138" t="str">
        <f>IF(booking!M33&gt;0,"oc","va")</f>
        <v>oc</v>
      </c>
      <c r="H33" s="137" t="str">
        <f>IF(booking!P33&gt;0,"oc","va")</f>
        <v>va</v>
      </c>
      <c r="I33" s="138" t="str">
        <f>IF(booking!Q33&gt;0,"oc","va")</f>
        <v>va</v>
      </c>
      <c r="J33" s="137" t="str">
        <f>IF(booking!T33&gt;0,"oc","va")</f>
        <v>va</v>
      </c>
      <c r="K33" s="138" t="str">
        <f>IF(booking!U33&gt;0,"oc","va")</f>
        <v>va</v>
      </c>
      <c r="L33" s="137" t="str">
        <f>IF(booking!X33&gt;0,"oc","va")</f>
        <v>va</v>
      </c>
      <c r="M33" s="138" t="str">
        <f>IF(booking!Y33&gt;0,"oc","va")</f>
        <v>va</v>
      </c>
    </row>
    <row r="34" spans="1:13" x14ac:dyDescent="0.35">
      <c r="A34" s="5">
        <f>booking!C34</f>
        <v>46171</v>
      </c>
      <c r="B34" s="137" t="str">
        <f>IF(booking!D34&gt;0,"oc","va")</f>
        <v>va</v>
      </c>
      <c r="C34" s="138" t="str">
        <f>IF(booking!E34&gt;0,"oc","va")</f>
        <v>va</v>
      </c>
      <c r="D34" s="137" t="str">
        <f>IF(booking!H34&gt;0,"oc","va")</f>
        <v>va</v>
      </c>
      <c r="E34" s="138" t="str">
        <f>IF(booking!I34&gt;0,"oc","va")</f>
        <v>va</v>
      </c>
      <c r="F34" s="137" t="str">
        <f>IF(booking!L34&gt;0,"oc","va")</f>
        <v>oc</v>
      </c>
      <c r="G34" s="138" t="str">
        <f>IF(booking!M34&gt;0,"oc","va")</f>
        <v>oc</v>
      </c>
      <c r="H34" s="137" t="str">
        <f>IF(booking!P34&gt;0,"oc","va")</f>
        <v>va</v>
      </c>
      <c r="I34" s="138" t="str">
        <f>IF(booking!Q34&gt;0,"oc","va")</f>
        <v>va</v>
      </c>
      <c r="J34" s="137" t="str">
        <f>IF(booking!T34&gt;0,"oc","va")</f>
        <v>va</v>
      </c>
      <c r="K34" s="138" t="str">
        <f>IF(booking!U34&gt;0,"oc","va")</f>
        <v>va</v>
      </c>
      <c r="L34" s="137" t="str">
        <f>IF(booking!X34&gt;0,"oc","va")</f>
        <v>va</v>
      </c>
      <c r="M34" s="138" t="str">
        <f>IF(booking!Y34&gt;0,"oc","va")</f>
        <v>va</v>
      </c>
    </row>
    <row r="35" spans="1:13" x14ac:dyDescent="0.35">
      <c r="A35" s="5">
        <f>booking!C35</f>
        <v>46172</v>
      </c>
      <c r="B35" s="137" t="str">
        <f>IF(booking!D35&gt;0,"oc","va")</f>
        <v>va</v>
      </c>
      <c r="C35" s="138" t="str">
        <f>IF(booking!E35&gt;0,"oc","va")</f>
        <v>va</v>
      </c>
      <c r="D35" s="137" t="str">
        <f>IF(booking!H35&gt;0,"oc","va")</f>
        <v>va</v>
      </c>
      <c r="E35" s="138" t="str">
        <f>IF(booking!I35&gt;0,"oc","va")</f>
        <v>va</v>
      </c>
      <c r="F35" s="137" t="str">
        <f>IF(booking!L35&gt;0,"oc","va")</f>
        <v>oc</v>
      </c>
      <c r="G35" s="138" t="str">
        <f>IF(booking!M35&gt;0,"oc","va")</f>
        <v>oc</v>
      </c>
      <c r="H35" s="137" t="str">
        <f>IF(booking!P35&gt;0,"oc","va")</f>
        <v>va</v>
      </c>
      <c r="I35" s="138" t="str">
        <f>IF(booking!Q35&gt;0,"oc","va")</f>
        <v>va</v>
      </c>
      <c r="J35" s="137" t="str">
        <f>IF(booking!T35&gt;0,"oc","va")</f>
        <v>va</v>
      </c>
      <c r="K35" s="138" t="str">
        <f>IF(booking!U35&gt;0,"oc","va")</f>
        <v>va</v>
      </c>
      <c r="L35" s="137" t="str">
        <f>IF(booking!X35&gt;0,"oc","va")</f>
        <v>va</v>
      </c>
      <c r="M35" s="138" t="str">
        <f>IF(booking!Y35&gt;0,"oc","va")</f>
        <v>va</v>
      </c>
    </row>
    <row r="36" spans="1:13" x14ac:dyDescent="0.35">
      <c r="A36" s="5">
        <f>booking!C36</f>
        <v>46173</v>
      </c>
      <c r="B36" s="137" t="str">
        <f>IF(booking!D36&gt;0,"oc","va")</f>
        <v>va</v>
      </c>
      <c r="C36" s="138" t="str">
        <f>IF(booking!E36&gt;0,"oc","va")</f>
        <v>va</v>
      </c>
      <c r="D36" s="137" t="str">
        <f>IF(booking!H36&gt;0,"oc","va")</f>
        <v>va</v>
      </c>
      <c r="E36" s="138" t="str">
        <f>IF(booking!I36&gt;0,"oc","va")</f>
        <v>oc</v>
      </c>
      <c r="F36" s="137" t="str">
        <f>IF(booking!L36&gt;0,"oc","va")</f>
        <v>oc</v>
      </c>
      <c r="G36" s="138" t="str">
        <f>IF(booking!M36&gt;0,"oc","va")</f>
        <v>oc</v>
      </c>
      <c r="H36" s="137" t="str">
        <f>IF(booking!P36&gt;0,"oc","va")</f>
        <v>va</v>
      </c>
      <c r="I36" s="138" t="str">
        <f>IF(booking!Q36&gt;0,"oc","va")</f>
        <v>va</v>
      </c>
      <c r="J36" s="137" t="str">
        <f>IF(booking!T36&gt;0,"oc","va")</f>
        <v>va</v>
      </c>
      <c r="K36" s="138" t="str">
        <f>IF(booking!U36&gt;0,"oc","va")</f>
        <v>va</v>
      </c>
      <c r="L36" s="137" t="str">
        <f>IF(booking!X36&gt;0,"oc","va")</f>
        <v>va</v>
      </c>
      <c r="M36" s="138" t="str">
        <f>IF(booking!Y36&gt;0,"oc","va")</f>
        <v>va</v>
      </c>
    </row>
    <row r="37" spans="1:13" x14ac:dyDescent="0.35">
      <c r="A37" s="5">
        <f>booking!C37</f>
        <v>46174</v>
      </c>
      <c r="B37" s="137" t="str">
        <f>IF(booking!D37&gt;0,"oc","va")</f>
        <v>va</v>
      </c>
      <c r="C37" s="138" t="str">
        <f>IF(booking!E37&gt;0,"oc","va")</f>
        <v>va</v>
      </c>
      <c r="D37" s="137" t="str">
        <f>IF(booking!H37&gt;0,"oc","va")</f>
        <v>oc</v>
      </c>
      <c r="E37" s="138" t="str">
        <f>IF(booking!I37&gt;0,"oc","va")</f>
        <v>oc</v>
      </c>
      <c r="F37" s="137" t="str">
        <f>IF(booking!L37&gt;0,"oc","va")</f>
        <v>oc</v>
      </c>
      <c r="G37" s="138" t="str">
        <f>IF(booking!M37&gt;0,"oc","va")</f>
        <v>va</v>
      </c>
      <c r="H37" s="137" t="str">
        <f>IF(booking!P37&gt;0,"oc","va")</f>
        <v>va</v>
      </c>
      <c r="I37" s="138" t="str">
        <f>IF(booking!Q37&gt;0,"oc","va")</f>
        <v>va</v>
      </c>
      <c r="J37" s="137" t="str">
        <f>IF(booking!T37&gt;0,"oc","va")</f>
        <v>va</v>
      </c>
      <c r="K37" s="138" t="str">
        <f>IF(booking!U37&gt;0,"oc","va")</f>
        <v>va</v>
      </c>
      <c r="L37" s="137" t="str">
        <f>IF(booking!X37&gt;0,"oc","va")</f>
        <v>va</v>
      </c>
      <c r="M37" s="138" t="str">
        <f>IF(booking!Y37&gt;0,"oc","va")</f>
        <v>va</v>
      </c>
    </row>
    <row r="38" spans="1:13" x14ac:dyDescent="0.35">
      <c r="A38" s="5">
        <f>booking!C38</f>
        <v>46175</v>
      </c>
      <c r="B38" s="137" t="str">
        <f>IF(booking!D38&gt;0,"oc","va")</f>
        <v>va</v>
      </c>
      <c r="C38" s="138" t="str">
        <f>IF(booking!E38&gt;0,"oc","va")</f>
        <v>va</v>
      </c>
      <c r="D38" s="137" t="str">
        <f>IF(booking!H38&gt;0,"oc","va")</f>
        <v>oc</v>
      </c>
      <c r="E38" s="138" t="str">
        <f>IF(booking!I38&gt;0,"oc","va")</f>
        <v>oc</v>
      </c>
      <c r="F38" s="137" t="str">
        <f>IF(booking!L38&gt;0,"oc","va")</f>
        <v>va</v>
      </c>
      <c r="G38" s="138" t="str">
        <f>IF(booking!M38&gt;0,"oc","va")</f>
        <v>va</v>
      </c>
      <c r="H38" s="137" t="str">
        <f>IF(booking!P38&gt;0,"oc","va")</f>
        <v>va</v>
      </c>
      <c r="I38" s="138" t="str">
        <f>IF(booking!Q38&gt;0,"oc","va")</f>
        <v>va</v>
      </c>
      <c r="J38" s="137" t="str">
        <f>IF(booking!T38&gt;0,"oc","va")</f>
        <v>va</v>
      </c>
      <c r="K38" s="138" t="str">
        <f>IF(booking!U38&gt;0,"oc","va")</f>
        <v>oc</v>
      </c>
      <c r="L38" s="137" t="str">
        <f>IF(booking!X38&gt;0,"oc","va")</f>
        <v>va</v>
      </c>
      <c r="M38" s="138" t="str">
        <f>IF(booking!Y38&gt;0,"oc","va")</f>
        <v>va</v>
      </c>
    </row>
    <row r="39" spans="1:13" x14ac:dyDescent="0.35">
      <c r="A39" s="5">
        <f>booking!C39</f>
        <v>46176</v>
      </c>
      <c r="B39" s="137" t="str">
        <f>IF(booking!D39&gt;0,"oc","va")</f>
        <v>va</v>
      </c>
      <c r="C39" s="138" t="str">
        <f>IF(booking!E39&gt;0,"oc","va")</f>
        <v>va</v>
      </c>
      <c r="D39" s="137" t="str">
        <f>IF(booking!H39&gt;0,"oc","va")</f>
        <v>oc</v>
      </c>
      <c r="E39" s="138" t="str">
        <f>IF(booking!I39&gt;0,"oc","va")</f>
        <v>oc</v>
      </c>
      <c r="F39" s="137" t="str">
        <f>IF(booking!L39&gt;0,"oc","va")</f>
        <v>va</v>
      </c>
      <c r="G39" s="138" t="str">
        <f>IF(booking!M39&gt;0,"oc","va")</f>
        <v>oc</v>
      </c>
      <c r="H39" s="137" t="str">
        <f>IF(booking!P39&gt;0,"oc","va")</f>
        <v>va</v>
      </c>
      <c r="I39" s="138" t="str">
        <f>IF(booking!Q39&gt;0,"oc","va")</f>
        <v>va</v>
      </c>
      <c r="J39" s="137" t="str">
        <f>IF(booking!T39&gt;0,"oc","va")</f>
        <v>oc</v>
      </c>
      <c r="K39" s="138" t="str">
        <f>IF(booking!U39&gt;0,"oc","va")</f>
        <v>oc</v>
      </c>
      <c r="L39" s="137" t="str">
        <f>IF(booking!X39&gt;0,"oc","va")</f>
        <v>va</v>
      </c>
      <c r="M39" s="138" t="str">
        <f>IF(booking!Y39&gt;0,"oc","va")</f>
        <v>va</v>
      </c>
    </row>
    <row r="40" spans="1:13" x14ac:dyDescent="0.35">
      <c r="A40" s="5">
        <f>booking!C40</f>
        <v>46177</v>
      </c>
      <c r="B40" s="137" t="str">
        <f>IF(booking!D40&gt;0,"oc","va")</f>
        <v>va</v>
      </c>
      <c r="C40" s="138" t="str">
        <f>IF(booking!E40&gt;0,"oc","va")</f>
        <v>va</v>
      </c>
      <c r="D40" s="137" t="str">
        <f>IF(booking!H40&gt;0,"oc","va")</f>
        <v>oc</v>
      </c>
      <c r="E40" s="138" t="str">
        <f>IF(booking!I40&gt;0,"oc","va")</f>
        <v>oc</v>
      </c>
      <c r="F40" s="137" t="str">
        <f>IF(booking!L40&gt;0,"oc","va")</f>
        <v>oc</v>
      </c>
      <c r="G40" s="138" t="str">
        <f>IF(booking!M40&gt;0,"oc","va")</f>
        <v>oc</v>
      </c>
      <c r="H40" s="137" t="str">
        <f>IF(booking!P40&gt;0,"oc","va")</f>
        <v>va</v>
      </c>
      <c r="I40" s="138" t="str">
        <f>IF(booking!Q40&gt;0,"oc","va")</f>
        <v>va</v>
      </c>
      <c r="J40" s="137" t="str">
        <f>IF(booking!T40&gt;0,"oc","va")</f>
        <v>oc</v>
      </c>
      <c r="K40" s="138" t="str">
        <f>IF(booking!U40&gt;0,"oc","va")</f>
        <v>oc</v>
      </c>
      <c r="L40" s="137" t="str">
        <f>IF(booking!X40&gt;0,"oc","va")</f>
        <v>va</v>
      </c>
      <c r="M40" s="138" t="str">
        <f>IF(booking!Y40&gt;0,"oc","va")</f>
        <v>va</v>
      </c>
    </row>
    <row r="41" spans="1:13" x14ac:dyDescent="0.35">
      <c r="A41" s="5">
        <f>booking!C41</f>
        <v>46178</v>
      </c>
      <c r="B41" s="137" t="str">
        <f>IF(booking!D41&gt;0,"oc","va")</f>
        <v>va</v>
      </c>
      <c r="C41" s="138" t="str">
        <f>IF(booking!E41&gt;0,"oc","va")</f>
        <v>oc</v>
      </c>
      <c r="D41" s="137" t="str">
        <f>IF(booking!H41&gt;0,"oc","va")</f>
        <v>oc</v>
      </c>
      <c r="E41" s="138" t="str">
        <f>IF(booking!I41&gt;0,"oc","va")</f>
        <v>oc</v>
      </c>
      <c r="F41" s="137" t="str">
        <f>IF(booking!L41&gt;0,"oc","va")</f>
        <v>oc</v>
      </c>
      <c r="G41" s="138" t="str">
        <f>IF(booking!M41&gt;0,"oc","va")</f>
        <v>oc</v>
      </c>
      <c r="H41" s="137" t="str">
        <f>IF(booking!P41&gt;0,"oc","va")</f>
        <v>va</v>
      </c>
      <c r="I41" s="138" t="str">
        <f>IF(booking!Q41&gt;0,"oc","va")</f>
        <v>va</v>
      </c>
      <c r="J41" s="137" t="str">
        <f>IF(booking!T41&gt;0,"oc","va")</f>
        <v>oc</v>
      </c>
      <c r="K41" s="138" t="str">
        <f>IF(booking!U41&gt;0,"oc","va")</f>
        <v>oc</v>
      </c>
      <c r="L41" s="137" t="str">
        <f>IF(booking!X41&gt;0,"oc","va")</f>
        <v>va</v>
      </c>
      <c r="M41" s="138" t="str">
        <f>IF(booking!Y41&gt;0,"oc","va")</f>
        <v>va</v>
      </c>
    </row>
    <row r="42" spans="1:13" x14ac:dyDescent="0.35">
      <c r="A42" s="5">
        <f>booking!C42</f>
        <v>46179</v>
      </c>
      <c r="B42" s="137" t="str">
        <f>IF(booking!D42&gt;0,"oc","va")</f>
        <v>oc</v>
      </c>
      <c r="C42" s="138" t="str">
        <f>IF(booking!E42&gt;0,"oc","va")</f>
        <v>oc</v>
      </c>
      <c r="D42" s="137" t="str">
        <f>IF(booking!H42&gt;0,"oc","va")</f>
        <v>oc</v>
      </c>
      <c r="E42" s="138" t="str">
        <f>IF(booking!I42&gt;0,"oc","va")</f>
        <v>oc</v>
      </c>
      <c r="F42" s="137" t="str">
        <f>IF(booking!L42&gt;0,"oc","va")</f>
        <v>oc</v>
      </c>
      <c r="G42" s="138" t="str">
        <f>IF(booking!M42&gt;0,"oc","va")</f>
        <v>oc</v>
      </c>
      <c r="H42" s="137" t="str">
        <f>IF(booking!P42&gt;0,"oc","va")</f>
        <v>va</v>
      </c>
      <c r="I42" s="138" t="str">
        <f>IF(booking!Q42&gt;0,"oc","va")</f>
        <v>va</v>
      </c>
      <c r="J42" s="137" t="str">
        <f>IF(booking!T42&gt;0,"oc","va")</f>
        <v>oc</v>
      </c>
      <c r="K42" s="138" t="str">
        <f>IF(booking!U42&gt;0,"oc","va")</f>
        <v>va</v>
      </c>
      <c r="L42" s="137" t="str">
        <f>IF(booking!X42&gt;0,"oc","va")</f>
        <v>va</v>
      </c>
      <c r="M42" s="138" t="str">
        <f>IF(booking!Y42&gt;0,"oc","va")</f>
        <v>va</v>
      </c>
    </row>
    <row r="43" spans="1:13" x14ac:dyDescent="0.35">
      <c r="A43" s="5">
        <f>booking!C43</f>
        <v>46180</v>
      </c>
      <c r="B43" s="137" t="str">
        <f>IF(booking!D43&gt;0,"oc","va")</f>
        <v>oc</v>
      </c>
      <c r="C43" s="138" t="str">
        <f>IF(booking!E43&gt;0,"oc","va")</f>
        <v>va</v>
      </c>
      <c r="D43" s="137" t="str">
        <f>IF(booking!H43&gt;0,"oc","va")</f>
        <v>oc</v>
      </c>
      <c r="E43" s="138" t="str">
        <f>IF(booking!I43&gt;0,"oc","va")</f>
        <v>va</v>
      </c>
      <c r="F43" s="137" t="str">
        <f>IF(booking!L43&gt;0,"oc","va")</f>
        <v>oc</v>
      </c>
      <c r="G43" s="138" t="str">
        <f>IF(booking!M43&gt;0,"oc","va")</f>
        <v>oc</v>
      </c>
      <c r="H43" s="137" t="str">
        <f>IF(booking!P43&gt;0,"oc","va")</f>
        <v>va</v>
      </c>
      <c r="I43" s="138" t="str">
        <f>IF(booking!Q43&gt;0,"oc","va")</f>
        <v>va</v>
      </c>
      <c r="J43" s="137" t="str">
        <f>IF(booking!T43&gt;0,"oc","va")</f>
        <v>va</v>
      </c>
      <c r="K43" s="138" t="str">
        <f>IF(booking!U43&gt;0,"oc","va")</f>
        <v>va</v>
      </c>
      <c r="L43" s="137" t="str">
        <f>IF(booking!X43&gt;0,"oc","va")</f>
        <v>va</v>
      </c>
      <c r="M43" s="138" t="str">
        <f>IF(booking!Y43&gt;0,"oc","va")</f>
        <v>va</v>
      </c>
    </row>
    <row r="44" spans="1:13" x14ac:dyDescent="0.35">
      <c r="A44" s="5">
        <f>booking!C44</f>
        <v>46181</v>
      </c>
      <c r="B44" s="137" t="str">
        <f>IF(booking!D44&gt;0,"oc","va")</f>
        <v>va</v>
      </c>
      <c r="C44" s="138" t="str">
        <f>IF(booking!E44&gt;0,"oc","va")</f>
        <v>va</v>
      </c>
      <c r="D44" s="137" t="str">
        <f>IF(booking!H44&gt;0,"oc","va")</f>
        <v>va</v>
      </c>
      <c r="E44" s="138" t="str">
        <f>IF(booking!I44&gt;0,"oc","va")</f>
        <v>va</v>
      </c>
      <c r="F44" s="137" t="str">
        <f>IF(booking!L44&gt;0,"oc","va")</f>
        <v>oc</v>
      </c>
      <c r="G44" s="138" t="str">
        <f>IF(booking!M44&gt;0,"oc","va")</f>
        <v>oc</v>
      </c>
      <c r="H44" s="137" t="str">
        <f>IF(booking!P44&gt;0,"oc","va")</f>
        <v>va</v>
      </c>
      <c r="I44" s="138" t="str">
        <f>IF(booking!Q44&gt;0,"oc","va")</f>
        <v>oc</v>
      </c>
      <c r="J44" s="137" t="str">
        <f>IF(booking!T44&gt;0,"oc","va")</f>
        <v>va</v>
      </c>
      <c r="K44" s="138" t="str">
        <f>IF(booking!U44&gt;0,"oc","va")</f>
        <v>oc</v>
      </c>
      <c r="L44" s="137" t="str">
        <f>IF(booking!X44&gt;0,"oc","va")</f>
        <v>va</v>
      </c>
      <c r="M44" s="138" t="str">
        <f>IF(booking!Y44&gt;0,"oc","va")</f>
        <v>va</v>
      </c>
    </row>
    <row r="45" spans="1:13" x14ac:dyDescent="0.35">
      <c r="A45" s="5">
        <f>booking!C45</f>
        <v>46182</v>
      </c>
      <c r="B45" s="137" t="str">
        <f>IF(booking!D45&gt;0,"oc","va")</f>
        <v>va</v>
      </c>
      <c r="C45" s="138" t="str">
        <f>IF(booking!E45&gt;0,"oc","va")</f>
        <v>oc</v>
      </c>
      <c r="D45" s="137" t="str">
        <f>IF(booking!H45&gt;0,"oc","va")</f>
        <v>va</v>
      </c>
      <c r="E45" s="138" t="str">
        <f>IF(booking!I45&gt;0,"oc","va")</f>
        <v>oc</v>
      </c>
      <c r="F45" s="137" t="str">
        <f>IF(booking!L45&gt;0,"oc","va")</f>
        <v>oc</v>
      </c>
      <c r="G45" s="138" t="str">
        <f>IF(booking!M45&gt;0,"oc","va")</f>
        <v>oc</v>
      </c>
      <c r="H45" s="137" t="str">
        <f>IF(booking!P45&gt;0,"oc","va")</f>
        <v>oc</v>
      </c>
      <c r="I45" s="138" t="str">
        <f>IF(booking!Q45&gt;0,"oc","va")</f>
        <v>oc</v>
      </c>
      <c r="J45" s="137" t="str">
        <f>IF(booking!T45&gt;0,"oc","va")</f>
        <v>oc</v>
      </c>
      <c r="K45" s="138" t="str">
        <f>IF(booking!U45&gt;0,"oc","va")</f>
        <v>oc</v>
      </c>
      <c r="L45" s="137" t="str">
        <f>IF(booking!X45&gt;0,"oc","va")</f>
        <v>va</v>
      </c>
      <c r="M45" s="138" t="str">
        <f>IF(booking!Y45&gt;0,"oc","va")</f>
        <v>va</v>
      </c>
    </row>
    <row r="46" spans="1:13" x14ac:dyDescent="0.35">
      <c r="A46" s="5">
        <f>booking!C46</f>
        <v>46183</v>
      </c>
      <c r="B46" s="137" t="str">
        <f>IF(booking!D46&gt;0,"oc","va")</f>
        <v>oc</v>
      </c>
      <c r="C46" s="138" t="str">
        <f>IF(booking!E46&gt;0,"oc","va")</f>
        <v>oc</v>
      </c>
      <c r="D46" s="137" t="str">
        <f>IF(booking!H46&gt;0,"oc","va")</f>
        <v>oc</v>
      </c>
      <c r="E46" s="138" t="str">
        <f>IF(booking!I46&gt;0,"oc","va")</f>
        <v>oc</v>
      </c>
      <c r="F46" s="137" t="str">
        <f>IF(booking!L46&gt;0,"oc","va")</f>
        <v>oc</v>
      </c>
      <c r="G46" s="138" t="str">
        <f>IF(booking!M46&gt;0,"oc","va")</f>
        <v>oc</v>
      </c>
      <c r="H46" s="137" t="str">
        <f>IF(booking!P46&gt;0,"oc","va")</f>
        <v>oc</v>
      </c>
      <c r="I46" s="138" t="str">
        <f>IF(booking!Q46&gt;0,"oc","va")</f>
        <v>oc</v>
      </c>
      <c r="J46" s="137" t="str">
        <f>IF(booking!T46&gt;0,"oc","va")</f>
        <v>oc</v>
      </c>
      <c r="K46" s="138" t="str">
        <f>IF(booking!U46&gt;0,"oc","va")</f>
        <v>oc</v>
      </c>
      <c r="L46" s="137" t="str">
        <f>IF(booking!X46&gt;0,"oc","va")</f>
        <v>va</v>
      </c>
      <c r="M46" s="138" t="str">
        <f>IF(booking!Y46&gt;0,"oc","va")</f>
        <v>va</v>
      </c>
    </row>
    <row r="47" spans="1:13" x14ac:dyDescent="0.35">
      <c r="A47" s="5">
        <f>booking!C47</f>
        <v>46184</v>
      </c>
      <c r="B47" s="137" t="str">
        <f>IF(booking!D47&gt;0,"oc","va")</f>
        <v>oc</v>
      </c>
      <c r="C47" s="138" t="str">
        <f>IF(booking!E47&gt;0,"oc","va")</f>
        <v>oc</v>
      </c>
      <c r="D47" s="137" t="str">
        <f>IF(booking!H47&gt;0,"oc","va")</f>
        <v>oc</v>
      </c>
      <c r="E47" s="138" t="str">
        <f>IF(booking!I47&gt;0,"oc","va")</f>
        <v>oc</v>
      </c>
      <c r="F47" s="137" t="str">
        <f>IF(booking!L47&gt;0,"oc","va")</f>
        <v>oc</v>
      </c>
      <c r="G47" s="138" t="str">
        <f>IF(booking!M47&gt;0,"oc","va")</f>
        <v>oc</v>
      </c>
      <c r="H47" s="137" t="str">
        <f>IF(booking!P47&gt;0,"oc","va")</f>
        <v>oc</v>
      </c>
      <c r="I47" s="138" t="str">
        <f>IF(booking!Q47&gt;0,"oc","va")</f>
        <v>oc</v>
      </c>
      <c r="J47" s="137" t="str">
        <f>IF(booking!T47&gt;0,"oc","va")</f>
        <v>oc</v>
      </c>
      <c r="K47" s="138" t="str">
        <f>IF(booking!U47&gt;0,"oc","va")</f>
        <v>oc</v>
      </c>
      <c r="L47" s="137" t="str">
        <f>IF(booking!X47&gt;0,"oc","va")</f>
        <v>va</v>
      </c>
      <c r="M47" s="138" t="str">
        <f>IF(booking!Y47&gt;0,"oc","va")</f>
        <v>va</v>
      </c>
    </row>
    <row r="48" spans="1:13" x14ac:dyDescent="0.35">
      <c r="A48" s="5">
        <f>booking!C48</f>
        <v>46185</v>
      </c>
      <c r="B48" s="137" t="str">
        <f>IF(booking!D48&gt;0,"oc","va")</f>
        <v>oc</v>
      </c>
      <c r="C48" s="138" t="str">
        <f>IF(booking!E48&gt;0,"oc","va")</f>
        <v>oc</v>
      </c>
      <c r="D48" s="137" t="str">
        <f>IF(booking!H48&gt;0,"oc","va")</f>
        <v>oc</v>
      </c>
      <c r="E48" s="138" t="str">
        <f>IF(booking!I48&gt;0,"oc","va")</f>
        <v>oc</v>
      </c>
      <c r="F48" s="137" t="str">
        <f>IF(booking!L48&gt;0,"oc","va")</f>
        <v>oc</v>
      </c>
      <c r="G48" s="138" t="str">
        <f>IF(booking!M48&gt;0,"oc","va")</f>
        <v>oc</v>
      </c>
      <c r="H48" s="137" t="str">
        <f>IF(booking!P48&gt;0,"oc","va")</f>
        <v>oc</v>
      </c>
      <c r="I48" s="138" t="str">
        <f>IF(booking!Q48&gt;0,"oc","va")</f>
        <v>oc</v>
      </c>
      <c r="J48" s="137" t="str">
        <f>IF(booking!T48&gt;0,"oc","va")</f>
        <v>oc</v>
      </c>
      <c r="K48" s="138" t="str">
        <f>IF(booking!U48&gt;0,"oc","va")</f>
        <v>oc</v>
      </c>
      <c r="L48" s="137" t="str">
        <f>IF(booking!X48&gt;0,"oc","va")</f>
        <v>va</v>
      </c>
      <c r="M48" s="138" t="str">
        <f>IF(booking!Y48&gt;0,"oc","va")</f>
        <v>va</v>
      </c>
    </row>
    <row r="49" spans="1:13" x14ac:dyDescent="0.35">
      <c r="A49" s="5">
        <f>booking!C49</f>
        <v>46186</v>
      </c>
      <c r="B49" s="137" t="str">
        <f>IF(booking!D49&gt;0,"oc","va")</f>
        <v>oc</v>
      </c>
      <c r="C49" s="138" t="str">
        <f>IF(booking!E49&gt;0,"oc","va")</f>
        <v>oc</v>
      </c>
      <c r="D49" s="137" t="str">
        <f>IF(booking!H49&gt;0,"oc","va")</f>
        <v>oc</v>
      </c>
      <c r="E49" s="138" t="str">
        <f>IF(booking!I49&gt;0,"oc","va")</f>
        <v>oc</v>
      </c>
      <c r="F49" s="137" t="str">
        <f>IF(booking!L49&gt;0,"oc","va")</f>
        <v>oc</v>
      </c>
      <c r="G49" s="138" t="str">
        <f>IF(booking!M49&gt;0,"oc","va")</f>
        <v>oc</v>
      </c>
      <c r="H49" s="137" t="str">
        <f>IF(booking!P49&gt;0,"oc","va")</f>
        <v>oc</v>
      </c>
      <c r="I49" s="138" t="str">
        <f>IF(booking!Q49&gt;0,"oc","va")</f>
        <v>oc</v>
      </c>
      <c r="J49" s="137" t="str">
        <f>IF(booking!T49&gt;0,"oc","va")</f>
        <v>oc</v>
      </c>
      <c r="K49" s="138" t="str">
        <f>IF(booking!U49&gt;0,"oc","va")</f>
        <v>oc</v>
      </c>
      <c r="L49" s="137" t="str">
        <f>IF(booking!X49&gt;0,"oc","va")</f>
        <v>va</v>
      </c>
      <c r="M49" s="138" t="str">
        <f>IF(booking!Y49&gt;0,"oc","va")</f>
        <v>va</v>
      </c>
    </row>
    <row r="50" spans="1:13" x14ac:dyDescent="0.35">
      <c r="A50" s="5">
        <f>booking!C50</f>
        <v>46187</v>
      </c>
      <c r="B50" s="137" t="str">
        <f>IF(booking!D50&gt;0,"oc","va")</f>
        <v>oc</v>
      </c>
      <c r="C50" s="138" t="str">
        <f>IF(booking!E50&gt;0,"oc","va")</f>
        <v>oc</v>
      </c>
      <c r="D50" s="137" t="str">
        <f>IF(booking!H50&gt;0,"oc","va")</f>
        <v>oc</v>
      </c>
      <c r="E50" s="138" t="str">
        <f>IF(booking!I50&gt;0,"oc","va")</f>
        <v>oc</v>
      </c>
      <c r="F50" s="137" t="str">
        <f>IF(booking!L50&gt;0,"oc","va")</f>
        <v>oc</v>
      </c>
      <c r="G50" s="138" t="str">
        <f>IF(booking!M50&gt;0,"oc","va")</f>
        <v>va</v>
      </c>
      <c r="H50" s="137" t="str">
        <f>IF(booking!P50&gt;0,"oc","va")</f>
        <v>oc</v>
      </c>
      <c r="I50" s="138" t="str">
        <f>IF(booking!Q50&gt;0,"oc","va")</f>
        <v>oc</v>
      </c>
      <c r="J50" s="137" t="str">
        <f>IF(booking!T50&gt;0,"oc","va")</f>
        <v>oc</v>
      </c>
      <c r="K50" s="138" t="str">
        <f>IF(booking!U50&gt;0,"oc","va")</f>
        <v>oc</v>
      </c>
      <c r="L50" s="137" t="str">
        <f>IF(booking!X50&gt;0,"oc","va")</f>
        <v>va</v>
      </c>
      <c r="M50" s="138" t="str">
        <f>IF(booking!Y50&gt;0,"oc","va")</f>
        <v>va</v>
      </c>
    </row>
    <row r="51" spans="1:13" x14ac:dyDescent="0.35">
      <c r="A51" s="5">
        <f>booking!C51</f>
        <v>46188</v>
      </c>
      <c r="B51" s="137" t="str">
        <f>IF(booking!D51&gt;0,"oc","va")</f>
        <v>oc</v>
      </c>
      <c r="C51" s="138" t="str">
        <f>IF(booking!E51&gt;0,"oc","va")</f>
        <v>va</v>
      </c>
      <c r="D51" s="137" t="str">
        <f>IF(booking!H51&gt;0,"oc","va")</f>
        <v>oc</v>
      </c>
      <c r="E51" s="138" t="str">
        <f>IF(booking!I51&gt;0,"oc","va")</f>
        <v>va</v>
      </c>
      <c r="F51" s="137" t="str">
        <f>IF(booking!L51&gt;0,"oc","va")</f>
        <v>va</v>
      </c>
      <c r="G51" s="138" t="str">
        <f>IF(booking!M51&gt;0,"oc","va")</f>
        <v>va</v>
      </c>
      <c r="H51" s="137" t="str">
        <f>IF(booking!P51&gt;0,"oc","va")</f>
        <v>oc</v>
      </c>
      <c r="I51" s="138" t="str">
        <f>IF(booking!Q51&gt;0,"oc","va")</f>
        <v>oc</v>
      </c>
      <c r="J51" s="137" t="str">
        <f>IF(booking!T51&gt;0,"oc","va")</f>
        <v>oc</v>
      </c>
      <c r="K51" s="138" t="str">
        <f>IF(booking!U51&gt;0,"oc","va")</f>
        <v>va</v>
      </c>
      <c r="L51" s="137" t="str">
        <f>IF(booking!X51&gt;0,"oc","va")</f>
        <v>va</v>
      </c>
      <c r="M51" s="138" t="str">
        <f>IF(booking!Y51&gt;0,"oc","va")</f>
        <v>va</v>
      </c>
    </row>
    <row r="52" spans="1:13" x14ac:dyDescent="0.35">
      <c r="A52" s="5">
        <f>booking!C52</f>
        <v>46189</v>
      </c>
      <c r="B52" s="137" t="str">
        <f>IF(booking!D52&gt;0,"oc","va")</f>
        <v>va</v>
      </c>
      <c r="C52" s="138" t="str">
        <f>IF(booking!E52&gt;0,"oc","va")</f>
        <v>va</v>
      </c>
      <c r="D52" s="137" t="str">
        <f>IF(booking!H52&gt;0,"oc","va")</f>
        <v>va</v>
      </c>
      <c r="E52" s="138" t="str">
        <f>IF(booking!I52&gt;0,"oc","va")</f>
        <v>va</v>
      </c>
      <c r="F52" s="137" t="str">
        <f>IF(booking!L52&gt;0,"oc","va")</f>
        <v>va</v>
      </c>
      <c r="G52" s="138" t="str">
        <f>IF(booking!M52&gt;0,"oc","va")</f>
        <v>va</v>
      </c>
      <c r="H52" s="137" t="str">
        <f>IF(booking!P52&gt;0,"oc","va")</f>
        <v>oc</v>
      </c>
      <c r="I52" s="138" t="str">
        <f>IF(booking!Q52&gt;0,"oc","va")</f>
        <v>oc</v>
      </c>
      <c r="J52" s="137" t="str">
        <f>IF(booking!T52&gt;0,"oc","va")</f>
        <v>va</v>
      </c>
      <c r="K52" s="138" t="str">
        <f>IF(booking!U52&gt;0,"oc","va")</f>
        <v>va</v>
      </c>
      <c r="L52" s="137" t="str">
        <f>IF(booking!X52&gt;0,"oc","va")</f>
        <v>va</v>
      </c>
      <c r="M52" s="138" t="str">
        <f>IF(booking!Y52&gt;0,"oc","va")</f>
        <v>va</v>
      </c>
    </row>
    <row r="53" spans="1:13" x14ac:dyDescent="0.35">
      <c r="A53" s="5">
        <f>booking!C53</f>
        <v>46190</v>
      </c>
      <c r="B53" s="137" t="str">
        <f>IF(booking!D53&gt;0,"oc","va")</f>
        <v>va</v>
      </c>
      <c r="C53" s="138" t="str">
        <f>IF(booking!E53&gt;0,"oc","va")</f>
        <v>va</v>
      </c>
      <c r="D53" s="137" t="str">
        <f>IF(booking!H53&gt;0,"oc","va")</f>
        <v>va</v>
      </c>
      <c r="E53" s="138" t="str">
        <f>IF(booking!I53&gt;0,"oc","va")</f>
        <v>va</v>
      </c>
      <c r="F53" s="137" t="str">
        <f>IF(booking!L53&gt;0,"oc","va")</f>
        <v>va</v>
      </c>
      <c r="G53" s="138" t="str">
        <f>IF(booking!M53&gt;0,"oc","va")</f>
        <v>va</v>
      </c>
      <c r="H53" s="137" t="str">
        <f>IF(booking!P53&gt;0,"oc","va")</f>
        <v>oc</v>
      </c>
      <c r="I53" s="138" t="str">
        <f>IF(booking!Q53&gt;0,"oc","va")</f>
        <v>oc</v>
      </c>
      <c r="J53" s="137" t="str">
        <f>IF(booking!T53&gt;0,"oc","va")</f>
        <v>va</v>
      </c>
      <c r="K53" s="138" t="str">
        <f>IF(booking!U53&gt;0,"oc","va")</f>
        <v>oc</v>
      </c>
      <c r="L53" s="137" t="str">
        <f>IF(booking!X53&gt;0,"oc","va")</f>
        <v>va</v>
      </c>
      <c r="M53" s="138" t="str">
        <f>IF(booking!Y53&gt;0,"oc","va")</f>
        <v>va</v>
      </c>
    </row>
    <row r="54" spans="1:13" x14ac:dyDescent="0.35">
      <c r="A54" s="5">
        <f>booking!C54</f>
        <v>46191</v>
      </c>
      <c r="B54" s="137" t="str">
        <f>IF(booking!D54&gt;0,"oc","va")</f>
        <v>va</v>
      </c>
      <c r="C54" s="138" t="str">
        <f>IF(booking!E54&gt;0,"oc","va")</f>
        <v>va</v>
      </c>
      <c r="D54" s="137" t="str">
        <f>IF(booking!H54&gt;0,"oc","va")</f>
        <v>va</v>
      </c>
      <c r="E54" s="138" t="str">
        <f>IF(booking!I54&gt;0,"oc","va")</f>
        <v>va</v>
      </c>
      <c r="F54" s="137" t="str">
        <f>IF(booking!L54&gt;0,"oc","va")</f>
        <v>va</v>
      </c>
      <c r="G54" s="138" t="str">
        <f>IF(booking!M54&gt;0,"oc","va")</f>
        <v>va</v>
      </c>
      <c r="H54" s="137" t="str">
        <f>IF(booking!P54&gt;0,"oc","va")</f>
        <v>oc</v>
      </c>
      <c r="I54" s="138" t="str">
        <f>IF(booking!Q54&gt;0,"oc","va")</f>
        <v>oc</v>
      </c>
      <c r="J54" s="137" t="str">
        <f>IF(booking!T54&gt;0,"oc","va")</f>
        <v>oc</v>
      </c>
      <c r="K54" s="138" t="str">
        <f>IF(booking!U54&gt;0,"oc","va")</f>
        <v>oc</v>
      </c>
      <c r="L54" s="137" t="str">
        <f>IF(booking!X54&gt;0,"oc","va")</f>
        <v>va</v>
      </c>
      <c r="M54" s="138" t="str">
        <f>IF(booking!Y54&gt;0,"oc","va")</f>
        <v>va</v>
      </c>
    </row>
    <row r="55" spans="1:13" x14ac:dyDescent="0.35">
      <c r="A55" s="5">
        <f>booking!C55</f>
        <v>46192</v>
      </c>
      <c r="B55" s="137" t="str">
        <f>IF(booking!D55&gt;0,"oc","va")</f>
        <v>va</v>
      </c>
      <c r="C55" s="138" t="str">
        <f>IF(booking!E55&gt;0,"oc","va")</f>
        <v>va</v>
      </c>
      <c r="D55" s="137" t="str">
        <f>IF(booking!H55&gt;0,"oc","va")</f>
        <v>va</v>
      </c>
      <c r="E55" s="138" t="str">
        <f>IF(booking!I55&gt;0,"oc","va")</f>
        <v>va</v>
      </c>
      <c r="F55" s="137" t="str">
        <f>IF(booking!L55&gt;0,"oc","va")</f>
        <v>va</v>
      </c>
      <c r="G55" s="138" t="str">
        <f>IF(booking!M55&gt;0,"oc","va")</f>
        <v>oc</v>
      </c>
      <c r="H55" s="137" t="str">
        <f>IF(booking!P55&gt;0,"oc","va")</f>
        <v>oc</v>
      </c>
      <c r="I55" s="138" t="str">
        <f>IF(booking!Q55&gt;0,"oc","va")</f>
        <v>oc</v>
      </c>
      <c r="J55" s="137" t="str">
        <f>IF(booking!T55&gt;0,"oc","va")</f>
        <v>oc</v>
      </c>
      <c r="K55" s="138" t="str">
        <f>IF(booking!U55&gt;0,"oc","va")</f>
        <v>oc</v>
      </c>
      <c r="L55" s="137" t="str">
        <f>IF(booking!X55&gt;0,"oc","va")</f>
        <v>va</v>
      </c>
      <c r="M55" s="138" t="str">
        <f>IF(booking!Y55&gt;0,"oc","va")</f>
        <v>va</v>
      </c>
    </row>
    <row r="56" spans="1:13" x14ac:dyDescent="0.35">
      <c r="A56" s="5">
        <f>booking!C56</f>
        <v>46193</v>
      </c>
      <c r="B56" s="137" t="str">
        <f>IF(booking!D56&gt;0,"oc","va")</f>
        <v>va</v>
      </c>
      <c r="C56" s="138" t="str">
        <f>IF(booking!E56&gt;0,"oc","va")</f>
        <v>va</v>
      </c>
      <c r="D56" s="137" t="str">
        <f>IF(booking!H56&gt;0,"oc","va")</f>
        <v>va</v>
      </c>
      <c r="E56" s="138" t="str">
        <f>IF(booking!I56&gt;0,"oc","va")</f>
        <v>va</v>
      </c>
      <c r="F56" s="137" t="str">
        <f>IF(booking!L56&gt;0,"oc","va")</f>
        <v>oc</v>
      </c>
      <c r="G56" s="138" t="str">
        <f>IF(booking!M56&gt;0,"oc","va")</f>
        <v>oc</v>
      </c>
      <c r="H56" s="137" t="str">
        <f>IF(booking!P56&gt;0,"oc","va")</f>
        <v>oc</v>
      </c>
      <c r="I56" s="138" t="str">
        <f>IF(booking!Q56&gt;0,"oc","va")</f>
        <v>va</v>
      </c>
      <c r="J56" s="137" t="str">
        <f>IF(booking!T56&gt;0,"oc","va")</f>
        <v>oc</v>
      </c>
      <c r="K56" s="138" t="str">
        <f>IF(booking!U56&gt;0,"oc","va")</f>
        <v>oc</v>
      </c>
      <c r="L56" s="137" t="str">
        <f>IF(booking!X56&gt;0,"oc","va")</f>
        <v>va</v>
      </c>
      <c r="M56" s="138" t="str">
        <f>IF(booking!Y56&gt;0,"oc","va")</f>
        <v>va</v>
      </c>
    </row>
    <row r="57" spans="1:13" x14ac:dyDescent="0.35">
      <c r="A57" s="5">
        <f>booking!C57</f>
        <v>46194</v>
      </c>
      <c r="B57" s="137" t="str">
        <f>IF(booking!D57&gt;0,"oc","va")</f>
        <v>va</v>
      </c>
      <c r="C57" s="138" t="str">
        <f>IF(booking!E57&gt;0,"oc","va")</f>
        <v>va</v>
      </c>
      <c r="D57" s="137" t="str">
        <f>IF(booking!H57&gt;0,"oc","va")</f>
        <v>va</v>
      </c>
      <c r="E57" s="138" t="str">
        <f>IF(booking!I57&gt;0,"oc","va")</f>
        <v>va</v>
      </c>
      <c r="F57" s="137" t="str">
        <f>IF(booking!L57&gt;0,"oc","va")</f>
        <v>oc</v>
      </c>
      <c r="G57" s="138" t="str">
        <f>IF(booking!M57&gt;0,"oc","va")</f>
        <v>va</v>
      </c>
      <c r="H57" s="137" t="str">
        <f>IF(booking!P57&gt;0,"oc","va")</f>
        <v>va</v>
      </c>
      <c r="I57" s="138" t="str">
        <f>IF(booking!Q57&gt;0,"oc","va")</f>
        <v>va</v>
      </c>
      <c r="J57" s="137" t="str">
        <f>IF(booking!T57&gt;0,"oc","va")</f>
        <v>oc</v>
      </c>
      <c r="K57" s="138" t="str">
        <f>IF(booking!U57&gt;0,"oc","va")</f>
        <v>oc</v>
      </c>
      <c r="L57" s="137" t="str">
        <f>IF(booking!X57&gt;0,"oc","va")</f>
        <v>va</v>
      </c>
      <c r="M57" s="138" t="str">
        <f>IF(booking!Y57&gt;0,"oc","va")</f>
        <v>va</v>
      </c>
    </row>
    <row r="58" spans="1:13" x14ac:dyDescent="0.35">
      <c r="A58" s="5">
        <f>booking!C58</f>
        <v>46195</v>
      </c>
      <c r="B58" s="137" t="str">
        <f>IF(booking!D58&gt;0,"oc","va")</f>
        <v>va</v>
      </c>
      <c r="C58" s="138" t="str">
        <f>IF(booking!E58&gt;0,"oc","va")</f>
        <v>va</v>
      </c>
      <c r="D58" s="137" t="str">
        <f>IF(booking!H58&gt;0,"oc","va")</f>
        <v>va</v>
      </c>
      <c r="E58" s="138" t="str">
        <f>IF(booking!I58&gt;0,"oc","va")</f>
        <v>va</v>
      </c>
      <c r="F58" s="137" t="str">
        <f>IF(booking!L58&gt;0,"oc","va")</f>
        <v>va</v>
      </c>
      <c r="G58" s="138" t="str">
        <f>IF(booking!M58&gt;0,"oc","va")</f>
        <v>va</v>
      </c>
      <c r="H58" s="137" t="str">
        <f>IF(booking!P58&gt;0,"oc","va")</f>
        <v>va</v>
      </c>
      <c r="I58" s="138" t="str">
        <f>IF(booking!Q58&gt;0,"oc","va")</f>
        <v>oc</v>
      </c>
      <c r="J58" s="137" t="str">
        <f>IF(booking!T58&gt;0,"oc","va")</f>
        <v>oc</v>
      </c>
      <c r="K58" s="138" t="str">
        <f>IF(booking!U58&gt;0,"oc","va")</f>
        <v>va</v>
      </c>
      <c r="L58" s="137" t="str">
        <f>IF(booking!X58&gt;0,"oc","va")</f>
        <v>va</v>
      </c>
      <c r="M58" s="138" t="str">
        <f>IF(booking!Y58&gt;0,"oc","va")</f>
        <v>va</v>
      </c>
    </row>
    <row r="59" spans="1:13" x14ac:dyDescent="0.35">
      <c r="A59" s="5">
        <f>booking!C59</f>
        <v>46196</v>
      </c>
      <c r="B59" s="137" t="str">
        <f>IF(booking!D59&gt;0,"oc","va")</f>
        <v>va</v>
      </c>
      <c r="C59" s="138" t="str">
        <f>IF(booking!E59&gt;0,"oc","va")</f>
        <v>va</v>
      </c>
      <c r="D59" s="137" t="str">
        <f>IF(booking!H59&gt;0,"oc","va")</f>
        <v>va</v>
      </c>
      <c r="E59" s="138" t="str">
        <f>IF(booking!I59&gt;0,"oc","va")</f>
        <v>va</v>
      </c>
      <c r="F59" s="137" t="str">
        <f>IF(booking!L59&gt;0,"oc","va")</f>
        <v>va</v>
      </c>
      <c r="G59" s="138" t="str">
        <f>IF(booking!M59&gt;0,"oc","va")</f>
        <v>va</v>
      </c>
      <c r="H59" s="137" t="str">
        <f>IF(booking!P59&gt;0,"oc","va")</f>
        <v>oc</v>
      </c>
      <c r="I59" s="138" t="str">
        <f>IF(booking!Q59&gt;0,"oc","va")</f>
        <v>oc</v>
      </c>
      <c r="J59" s="137" t="str">
        <f>IF(booking!T59&gt;0,"oc","va")</f>
        <v>va</v>
      </c>
      <c r="K59" s="138" t="str">
        <f>IF(booking!U59&gt;0,"oc","va")</f>
        <v>va</v>
      </c>
      <c r="L59" s="137" t="str">
        <f>IF(booking!X59&gt;0,"oc","va")</f>
        <v>va</v>
      </c>
      <c r="M59" s="138" t="str">
        <f>IF(booking!Y59&gt;0,"oc","va")</f>
        <v>va</v>
      </c>
    </row>
    <row r="60" spans="1:13" x14ac:dyDescent="0.35">
      <c r="A60" s="5">
        <f>booking!C60</f>
        <v>46197</v>
      </c>
      <c r="B60" s="137" t="str">
        <f>IF(booking!D60&gt;0,"oc","va")</f>
        <v>va</v>
      </c>
      <c r="C60" s="138" t="str">
        <f>IF(booking!E60&gt;0,"oc","va")</f>
        <v>va</v>
      </c>
      <c r="D60" s="137" t="str">
        <f>IF(booking!H60&gt;0,"oc","va")</f>
        <v>va</v>
      </c>
      <c r="E60" s="138" t="str">
        <f>IF(booking!I60&gt;0,"oc","va")</f>
        <v>va</v>
      </c>
      <c r="F60" s="137" t="str">
        <f>IF(booking!L60&gt;0,"oc","va")</f>
        <v>va</v>
      </c>
      <c r="G60" s="138" t="str">
        <f>IF(booking!M60&gt;0,"oc","va")</f>
        <v>va</v>
      </c>
      <c r="H60" s="137" t="str">
        <f>IF(booking!P60&gt;0,"oc","va")</f>
        <v>oc</v>
      </c>
      <c r="I60" s="138" t="str">
        <f>IF(booking!Q60&gt;0,"oc","va")</f>
        <v>oc</v>
      </c>
      <c r="J60" s="137" t="str">
        <f>IF(booking!T60&gt;0,"oc","va")</f>
        <v>va</v>
      </c>
      <c r="K60" s="138" t="str">
        <f>IF(booking!U60&gt;0,"oc","va")</f>
        <v>va</v>
      </c>
      <c r="L60" s="137" t="str">
        <f>IF(booking!X60&gt;0,"oc","va")</f>
        <v>va</v>
      </c>
      <c r="M60" s="138" t="str">
        <f>IF(booking!Y60&gt;0,"oc","va")</f>
        <v>va</v>
      </c>
    </row>
    <row r="61" spans="1:13" x14ac:dyDescent="0.35">
      <c r="A61" s="5">
        <f>booking!C61</f>
        <v>46198</v>
      </c>
      <c r="B61" s="137" t="str">
        <f>IF(booking!D61&gt;0,"oc","va")</f>
        <v>va</v>
      </c>
      <c r="C61" s="138" t="str">
        <f>IF(booking!E61&gt;0,"oc","va")</f>
        <v>va</v>
      </c>
      <c r="D61" s="137" t="str">
        <f>IF(booking!H61&gt;0,"oc","va")</f>
        <v>va</v>
      </c>
      <c r="E61" s="138" t="str">
        <f>IF(booking!I61&gt;0,"oc","va")</f>
        <v>va</v>
      </c>
      <c r="F61" s="137" t="str">
        <f>IF(booking!L61&gt;0,"oc","va")</f>
        <v>va</v>
      </c>
      <c r="G61" s="138" t="str">
        <f>IF(booking!M61&gt;0,"oc","va")</f>
        <v>oc</v>
      </c>
      <c r="H61" s="137" t="str">
        <f>IF(booking!P61&gt;0,"oc","va")</f>
        <v>oc</v>
      </c>
      <c r="I61" s="138" t="str">
        <f>IF(booking!Q61&gt;0,"oc","va")</f>
        <v>oc</v>
      </c>
      <c r="J61" s="137" t="str">
        <f>IF(booking!T61&gt;0,"oc","va")</f>
        <v>va</v>
      </c>
      <c r="K61" s="138" t="str">
        <f>IF(booking!U61&gt;0,"oc","va")</f>
        <v>va</v>
      </c>
      <c r="L61" s="137" t="str">
        <f>IF(booking!X61&gt;0,"oc","va")</f>
        <v>va</v>
      </c>
      <c r="M61" s="138" t="str">
        <f>IF(booking!Y61&gt;0,"oc","va")</f>
        <v>va</v>
      </c>
    </row>
    <row r="62" spans="1:13" x14ac:dyDescent="0.35">
      <c r="A62" s="5">
        <f>booking!C62</f>
        <v>46199</v>
      </c>
      <c r="B62" s="137" t="str">
        <f>IF(booking!D62&gt;0,"oc","va")</f>
        <v>va</v>
      </c>
      <c r="C62" s="138" t="str">
        <f>IF(booking!E62&gt;0,"oc","va")</f>
        <v>va</v>
      </c>
      <c r="D62" s="137" t="str">
        <f>IF(booking!H62&gt;0,"oc","va")</f>
        <v>va</v>
      </c>
      <c r="E62" s="138" t="str">
        <f>IF(booking!I62&gt;0,"oc","va")</f>
        <v>oc</v>
      </c>
      <c r="F62" s="137" t="str">
        <f>IF(booking!L62&gt;0,"oc","va")</f>
        <v>oc</v>
      </c>
      <c r="G62" s="138" t="str">
        <f>IF(booking!M62&gt;0,"oc","va")</f>
        <v>oc</v>
      </c>
      <c r="H62" s="137" t="str">
        <f>IF(booking!P62&gt;0,"oc","va")</f>
        <v>oc</v>
      </c>
      <c r="I62" s="138" t="str">
        <f>IF(booking!Q62&gt;0,"oc","va")</f>
        <v>oc</v>
      </c>
      <c r="J62" s="137" t="str">
        <f>IF(booking!T62&gt;0,"oc","va")</f>
        <v>va</v>
      </c>
      <c r="K62" s="138" t="str">
        <f>IF(booking!U62&gt;0,"oc","va")</f>
        <v>va</v>
      </c>
      <c r="L62" s="137" t="str">
        <f>IF(booking!X62&gt;0,"oc","va")</f>
        <v>va</v>
      </c>
      <c r="M62" s="138" t="str">
        <f>IF(booking!Y62&gt;0,"oc","va")</f>
        <v>va</v>
      </c>
    </row>
    <row r="63" spans="1:13" x14ac:dyDescent="0.35">
      <c r="A63" s="5">
        <f>booking!C63</f>
        <v>46200</v>
      </c>
      <c r="B63" s="137" t="str">
        <f>IF(booking!D63&gt;0,"oc","va")</f>
        <v>va</v>
      </c>
      <c r="C63" s="138" t="str">
        <f>IF(booking!E63&gt;0,"oc","va")</f>
        <v>va</v>
      </c>
      <c r="D63" s="137" t="str">
        <f>IF(booking!H63&gt;0,"oc","va")</f>
        <v>oc</v>
      </c>
      <c r="E63" s="138" t="str">
        <f>IF(booking!I63&gt;0,"oc","va")</f>
        <v>oc</v>
      </c>
      <c r="F63" s="137" t="str">
        <f>IF(booking!L63&gt;0,"oc","va")</f>
        <v>oc</v>
      </c>
      <c r="G63" s="138" t="str">
        <f>IF(booking!M63&gt;0,"oc","va")</f>
        <v>oc</v>
      </c>
      <c r="H63" s="137" t="str">
        <f>IF(booking!P63&gt;0,"oc","va")</f>
        <v>oc</v>
      </c>
      <c r="I63" s="138" t="str">
        <f>IF(booking!Q63&gt;0,"oc","va")</f>
        <v>oc</v>
      </c>
      <c r="J63" s="137" t="str">
        <f>IF(booking!T63&gt;0,"oc","va")</f>
        <v>va</v>
      </c>
      <c r="K63" s="138" t="str">
        <f>IF(booking!U63&gt;0,"oc","va")</f>
        <v>oc</v>
      </c>
      <c r="L63" s="137" t="str">
        <f>IF(booking!X63&gt;0,"oc","va")</f>
        <v>va</v>
      </c>
      <c r="M63" s="138" t="str">
        <f>IF(booking!Y63&gt;0,"oc","va")</f>
        <v>va</v>
      </c>
    </row>
    <row r="64" spans="1:13" x14ac:dyDescent="0.35">
      <c r="A64" s="5">
        <f>booking!C64</f>
        <v>46201</v>
      </c>
      <c r="B64" s="137" t="str">
        <f>IF(booking!D64&gt;0,"oc","va")</f>
        <v>va</v>
      </c>
      <c r="C64" s="138" t="str">
        <f>IF(booking!E64&gt;0,"oc","va")</f>
        <v>va</v>
      </c>
      <c r="D64" s="137" t="str">
        <f>IF(booking!H64&gt;0,"oc","va")</f>
        <v>oc</v>
      </c>
      <c r="E64" s="138" t="str">
        <f>IF(booking!I64&gt;0,"oc","va")</f>
        <v>oc</v>
      </c>
      <c r="F64" s="137" t="str">
        <f>IF(booking!L64&gt;0,"oc","va")</f>
        <v>oc</v>
      </c>
      <c r="G64" s="138" t="str">
        <f>IF(booking!M64&gt;0,"oc","va")</f>
        <v>oc</v>
      </c>
      <c r="H64" s="137" t="str">
        <f>IF(booking!P64&gt;0,"oc","va")</f>
        <v>oc</v>
      </c>
      <c r="I64" s="138" t="str">
        <f>IF(booking!Q64&gt;0,"oc","va")</f>
        <v>oc</v>
      </c>
      <c r="J64" s="137" t="str">
        <f>IF(booking!T64&gt;0,"oc","va")</f>
        <v>oc</v>
      </c>
      <c r="K64" s="138" t="str">
        <f>IF(booking!U64&gt;0,"oc","va")</f>
        <v>oc</v>
      </c>
      <c r="L64" s="137" t="str">
        <f>IF(booking!X64&gt;0,"oc","va")</f>
        <v>va</v>
      </c>
      <c r="M64" s="138" t="str">
        <f>IF(booking!Y64&gt;0,"oc","va")</f>
        <v>va</v>
      </c>
    </row>
    <row r="65" spans="1:13" x14ac:dyDescent="0.35">
      <c r="A65" s="5">
        <f>booking!C65</f>
        <v>46202</v>
      </c>
      <c r="B65" s="137" t="str">
        <f>IF(booking!D65&gt;0,"oc","va")</f>
        <v>va</v>
      </c>
      <c r="C65" s="138" t="str">
        <f>IF(booking!E65&gt;0,"oc","va")</f>
        <v>va</v>
      </c>
      <c r="D65" s="137" t="str">
        <f>IF(booking!H65&gt;0,"oc","va")</f>
        <v>oc</v>
      </c>
      <c r="E65" s="138" t="str">
        <f>IF(booking!I65&gt;0,"oc","va")</f>
        <v>va</v>
      </c>
      <c r="F65" s="137" t="str">
        <f>IF(booking!L65&gt;0,"oc","va")</f>
        <v>oc</v>
      </c>
      <c r="G65" s="138" t="str">
        <f>IF(booking!M65&gt;0,"oc","va")</f>
        <v>oc</v>
      </c>
      <c r="H65" s="137" t="str">
        <f>IF(booking!P65&gt;0,"oc","va")</f>
        <v>oc</v>
      </c>
      <c r="I65" s="138" t="str">
        <f>IF(booking!Q65&gt;0,"oc","va")</f>
        <v>oc</v>
      </c>
      <c r="J65" s="137" t="str">
        <f>IF(booking!T65&gt;0,"oc","va")</f>
        <v>oc</v>
      </c>
      <c r="K65" s="138" t="str">
        <f>IF(booking!U65&gt;0,"oc","va")</f>
        <v>oc</v>
      </c>
      <c r="L65" s="137" t="str">
        <f>IF(booking!X65&gt;0,"oc","va")</f>
        <v>va</v>
      </c>
      <c r="M65" s="138" t="str">
        <f>IF(booking!Y65&gt;0,"oc","va")</f>
        <v>va</v>
      </c>
    </row>
    <row r="66" spans="1:13" x14ac:dyDescent="0.35">
      <c r="A66" s="5">
        <f>booking!C66</f>
        <v>46203</v>
      </c>
      <c r="B66" s="137" t="str">
        <f>IF(booking!D66&gt;0,"oc","va")</f>
        <v>va</v>
      </c>
      <c r="C66" s="138" t="str">
        <f>IF(booking!E66&gt;0,"oc","va")</f>
        <v>va</v>
      </c>
      <c r="D66" s="137" t="str">
        <f>IF(booking!H66&gt;0,"oc","va")</f>
        <v>va</v>
      </c>
      <c r="E66" s="138" t="str">
        <f>IF(booking!I66&gt;0,"oc","va")</f>
        <v>va</v>
      </c>
      <c r="F66" s="137" t="str">
        <f>IF(booking!L66&gt;0,"oc","va")</f>
        <v>oc</v>
      </c>
      <c r="G66" s="138" t="str">
        <f>IF(booking!M66&gt;0,"oc","va")</f>
        <v>oc</v>
      </c>
      <c r="H66" s="137" t="str">
        <f>IF(booking!P66&gt;0,"oc","va")</f>
        <v>oc</v>
      </c>
      <c r="I66" s="138" t="str">
        <f>IF(booking!Q66&gt;0,"oc","va")</f>
        <v>oc</v>
      </c>
      <c r="J66" s="137" t="str">
        <f>IF(booking!T66&gt;0,"oc","va")</f>
        <v>oc</v>
      </c>
      <c r="K66" s="138" t="str">
        <f>IF(booking!U66&gt;0,"oc","va")</f>
        <v>oc</v>
      </c>
      <c r="L66" s="137" t="str">
        <f>IF(booking!X66&gt;0,"oc","va")</f>
        <v>va</v>
      </c>
      <c r="M66" s="138" t="str">
        <f>IF(booking!Y66&gt;0,"oc","va")</f>
        <v>va</v>
      </c>
    </row>
    <row r="67" spans="1:13" x14ac:dyDescent="0.35">
      <c r="A67" s="5">
        <f>booking!C67</f>
        <v>46204</v>
      </c>
      <c r="B67" s="137" t="str">
        <f>IF(booking!D67&gt;0,"oc","va")</f>
        <v>va</v>
      </c>
      <c r="C67" s="138" t="str">
        <f>IF(booking!E67&gt;0,"oc","va")</f>
        <v>va</v>
      </c>
      <c r="D67" s="137" t="str">
        <f>IF(booking!H67&gt;0,"oc","va")</f>
        <v>va</v>
      </c>
      <c r="E67" s="138" t="str">
        <f>IF(booking!I67&gt;0,"oc","va")</f>
        <v>va</v>
      </c>
      <c r="F67" s="137" t="str">
        <f>IF(booking!L67&gt;0,"oc","va")</f>
        <v>oc</v>
      </c>
      <c r="G67" s="138" t="str">
        <f>IF(booking!M67&gt;0,"oc","va")</f>
        <v>oc</v>
      </c>
      <c r="H67" s="137" t="str">
        <f>IF(booking!P67&gt;0,"oc","va")</f>
        <v>oc</v>
      </c>
      <c r="I67" s="138" t="str">
        <f>IF(booking!Q67&gt;0,"oc","va")</f>
        <v>oc</v>
      </c>
      <c r="J67" s="137" t="str">
        <f>IF(booking!T67&gt;0,"oc","va")</f>
        <v>oc</v>
      </c>
      <c r="K67" s="138" t="str">
        <f>IF(booking!U67&gt;0,"oc","va")</f>
        <v>oc</v>
      </c>
      <c r="L67" s="137" t="str">
        <f>IF(booking!X67&gt;0,"oc","va")</f>
        <v>va</v>
      </c>
      <c r="M67" s="138" t="str">
        <f>IF(booking!Y67&gt;0,"oc","va")</f>
        <v>va</v>
      </c>
    </row>
    <row r="68" spans="1:13" x14ac:dyDescent="0.35">
      <c r="A68" s="5">
        <f>booking!C68</f>
        <v>46205</v>
      </c>
      <c r="B68" s="137" t="str">
        <f>IF(booking!D68&gt;0,"oc","va")</f>
        <v>va</v>
      </c>
      <c r="C68" s="138" t="str">
        <f>IF(booking!E68&gt;0,"oc","va")</f>
        <v>oc</v>
      </c>
      <c r="D68" s="137" t="str">
        <f>IF(booking!H68&gt;0,"oc","va")</f>
        <v>va</v>
      </c>
      <c r="E68" s="138" t="str">
        <f>IF(booking!I68&gt;0,"oc","va")</f>
        <v>va</v>
      </c>
      <c r="F68" s="137" t="str">
        <f>IF(booking!L68&gt;0,"oc","va")</f>
        <v>oc</v>
      </c>
      <c r="G68" s="138" t="str">
        <f>IF(booking!M68&gt;0,"oc","va")</f>
        <v>oc</v>
      </c>
      <c r="H68" s="137" t="str">
        <f>IF(booking!P68&gt;0,"oc","va")</f>
        <v>oc</v>
      </c>
      <c r="I68" s="138" t="str">
        <f>IF(booking!Q68&gt;0,"oc","va")</f>
        <v>va</v>
      </c>
      <c r="J68" s="137" t="str">
        <f>IF(booking!T68&gt;0,"oc","va")</f>
        <v>oc</v>
      </c>
      <c r="K68" s="138" t="str">
        <f>IF(booking!U68&gt;0,"oc","va")</f>
        <v>oc</v>
      </c>
      <c r="L68" s="137" t="str">
        <f>IF(booking!X68&gt;0,"oc","va")</f>
        <v>va</v>
      </c>
      <c r="M68" s="138" t="str">
        <f>IF(booking!Y68&gt;0,"oc","va")</f>
        <v>va</v>
      </c>
    </row>
    <row r="69" spans="1:13" x14ac:dyDescent="0.35">
      <c r="A69" s="5">
        <f>booking!C69</f>
        <v>46206</v>
      </c>
      <c r="B69" s="137" t="str">
        <f>IF(booking!D69&gt;0,"oc","va")</f>
        <v>oc</v>
      </c>
      <c r="C69" s="138" t="str">
        <f>IF(booking!E69&gt;0,"oc","va")</f>
        <v>oc</v>
      </c>
      <c r="D69" s="137" t="str">
        <f>IF(booking!H69&gt;0,"oc","va")</f>
        <v>va</v>
      </c>
      <c r="E69" s="138" t="str">
        <f>IF(booking!I69&gt;0,"oc","va")</f>
        <v>va</v>
      </c>
      <c r="F69" s="137" t="str">
        <f>IF(booking!L69&gt;0,"oc","va")</f>
        <v>oc</v>
      </c>
      <c r="G69" s="138" t="str">
        <f>IF(booking!M69&gt;0,"oc","va")</f>
        <v>oc</v>
      </c>
      <c r="H69" s="137" t="str">
        <f>IF(booking!P69&gt;0,"oc","va")</f>
        <v>va</v>
      </c>
      <c r="I69" s="138" t="str">
        <f>IF(booking!Q69&gt;0,"oc","va")</f>
        <v>oc</v>
      </c>
      <c r="J69" s="137" t="str">
        <f>IF(booking!T69&gt;0,"oc","va")</f>
        <v>oc</v>
      </c>
      <c r="K69" s="138" t="str">
        <f>IF(booking!U69&gt;0,"oc","va")</f>
        <v>oc</v>
      </c>
      <c r="L69" s="137" t="str">
        <f>IF(booking!X69&gt;0,"oc","va")</f>
        <v>va</v>
      </c>
      <c r="M69" s="138" t="str">
        <f>IF(booking!Y69&gt;0,"oc","va")</f>
        <v>va</v>
      </c>
    </row>
    <row r="70" spans="1:13" x14ac:dyDescent="0.35">
      <c r="A70" s="5">
        <f>booking!C70</f>
        <v>46207</v>
      </c>
      <c r="B70" s="137" t="str">
        <f>IF(booking!D70&gt;0,"oc","va")</f>
        <v>oc</v>
      </c>
      <c r="C70" s="138" t="str">
        <f>IF(booking!E70&gt;0,"oc","va")</f>
        <v>oc</v>
      </c>
      <c r="D70" s="137" t="str">
        <f>IF(booking!H70&gt;0,"oc","va")</f>
        <v>va</v>
      </c>
      <c r="E70" s="138" t="str">
        <f>IF(booking!I70&gt;0,"oc","va")</f>
        <v>va</v>
      </c>
      <c r="F70" s="137" t="str">
        <f>IF(booking!L70&gt;0,"oc","va")</f>
        <v>oc</v>
      </c>
      <c r="G70" s="138" t="str">
        <f>IF(booking!M70&gt;0,"oc","va")</f>
        <v>oc</v>
      </c>
      <c r="H70" s="137" t="str">
        <f>IF(booking!P70&gt;0,"oc","va")</f>
        <v>oc</v>
      </c>
      <c r="I70" s="138" t="str">
        <f>IF(booking!Q70&gt;0,"oc","va")</f>
        <v>oc</v>
      </c>
      <c r="J70" s="137" t="str">
        <f>IF(booking!T70&gt;0,"oc","va")</f>
        <v>oc</v>
      </c>
      <c r="K70" s="138" t="str">
        <f>IF(booking!U70&gt;0,"oc","va")</f>
        <v>oc</v>
      </c>
      <c r="L70" s="137" t="str">
        <f>IF(booking!X70&gt;0,"oc","va")</f>
        <v>va</v>
      </c>
      <c r="M70" s="138" t="str">
        <f>IF(booking!Y70&gt;0,"oc","va")</f>
        <v>va</v>
      </c>
    </row>
    <row r="71" spans="1:13" x14ac:dyDescent="0.35">
      <c r="A71" s="5">
        <f>booking!C71</f>
        <v>46208</v>
      </c>
      <c r="B71" s="137" t="str">
        <f>IF(booking!D71&gt;0,"oc","va")</f>
        <v>oc</v>
      </c>
      <c r="C71" s="138" t="str">
        <f>IF(booking!E71&gt;0,"oc","va")</f>
        <v>va</v>
      </c>
      <c r="D71" s="137" t="str">
        <f>IF(booking!H71&gt;0,"oc","va")</f>
        <v>va</v>
      </c>
      <c r="E71" s="138" t="str">
        <f>IF(booking!I71&gt;0,"oc","va")</f>
        <v>va</v>
      </c>
      <c r="F71" s="137" t="str">
        <f>IF(booking!L71&gt;0,"oc","va")</f>
        <v>oc</v>
      </c>
      <c r="G71" s="138" t="str">
        <f>IF(booking!M71&gt;0,"oc","va")</f>
        <v>va</v>
      </c>
      <c r="H71" s="137" t="str">
        <f>IF(booking!P71&gt;0,"oc","va")</f>
        <v>oc</v>
      </c>
      <c r="I71" s="138" t="str">
        <f>IF(booking!Q71&gt;0,"oc","va")</f>
        <v>oc</v>
      </c>
      <c r="J71" s="137" t="str">
        <f>IF(booking!T71&gt;0,"oc","va")</f>
        <v>oc</v>
      </c>
      <c r="K71" s="138" t="str">
        <f>IF(booking!U71&gt;0,"oc","va")</f>
        <v>oc</v>
      </c>
      <c r="L71" s="137" t="str">
        <f>IF(booking!X71&gt;0,"oc","va")</f>
        <v>va</v>
      </c>
      <c r="M71" s="138" t="str">
        <f>IF(booking!Y71&gt;0,"oc","va")</f>
        <v>va</v>
      </c>
    </row>
    <row r="72" spans="1:13" x14ac:dyDescent="0.35">
      <c r="A72" s="5">
        <f>booking!C72</f>
        <v>46209</v>
      </c>
      <c r="B72" s="137" t="str">
        <f>IF(booking!D72&gt;0,"oc","va")</f>
        <v>va</v>
      </c>
      <c r="C72" s="138" t="str">
        <f>IF(booking!E72&gt;0,"oc","va")</f>
        <v>oc</v>
      </c>
      <c r="D72" s="137" t="str">
        <f>IF(booking!H72&gt;0,"oc","va")</f>
        <v>va</v>
      </c>
      <c r="E72" s="138" t="str">
        <f>IF(booking!I72&gt;0,"oc","va")</f>
        <v>va</v>
      </c>
      <c r="F72" s="137" t="str">
        <f>IF(booking!L72&gt;0,"oc","va")</f>
        <v>va</v>
      </c>
      <c r="G72" s="138" t="str">
        <f>IF(booking!M72&gt;0,"oc","va")</f>
        <v>oc</v>
      </c>
      <c r="H72" s="137" t="str">
        <f>IF(booking!P72&gt;0,"oc","va")</f>
        <v>oc</v>
      </c>
      <c r="I72" s="138" t="str">
        <f>IF(booking!Q72&gt;0,"oc","va")</f>
        <v>oc</v>
      </c>
      <c r="J72" s="137" t="str">
        <f>IF(booking!T72&gt;0,"oc","va")</f>
        <v>oc</v>
      </c>
      <c r="K72" s="138" t="str">
        <f>IF(booking!U72&gt;0,"oc","va")</f>
        <v>oc</v>
      </c>
      <c r="L72" s="137" t="str">
        <f>IF(booking!X72&gt;0,"oc","va")</f>
        <v>va</v>
      </c>
      <c r="M72" s="138" t="str">
        <f>IF(booking!Y72&gt;0,"oc","va")</f>
        <v>va</v>
      </c>
    </row>
    <row r="73" spans="1:13" x14ac:dyDescent="0.35">
      <c r="A73" s="5">
        <f>booking!C73</f>
        <v>46210</v>
      </c>
      <c r="B73" s="137" t="str">
        <f>IF(booking!D73&gt;0,"oc","va")</f>
        <v>oc</v>
      </c>
      <c r="C73" s="138" t="str">
        <f>IF(booking!E73&gt;0,"oc","va")</f>
        <v>oc</v>
      </c>
      <c r="D73" s="137" t="str">
        <f>IF(booking!H73&gt;0,"oc","va")</f>
        <v>va</v>
      </c>
      <c r="E73" s="138" t="str">
        <f>IF(booking!I73&gt;0,"oc","va")</f>
        <v>va</v>
      </c>
      <c r="F73" s="137" t="str">
        <f>IF(booking!L73&gt;0,"oc","va")</f>
        <v>oc</v>
      </c>
      <c r="G73" s="138" t="str">
        <f>IF(booking!M73&gt;0,"oc","va")</f>
        <v>oc</v>
      </c>
      <c r="H73" s="137" t="str">
        <f>IF(booking!P73&gt;0,"oc","va")</f>
        <v>oc</v>
      </c>
      <c r="I73" s="138" t="str">
        <f>IF(booking!Q73&gt;0,"oc","va")</f>
        <v>oc</v>
      </c>
      <c r="J73" s="137" t="str">
        <f>IF(booking!T73&gt;0,"oc","va")</f>
        <v>oc</v>
      </c>
      <c r="K73" s="138" t="str">
        <f>IF(booking!U73&gt;0,"oc","va")</f>
        <v>oc</v>
      </c>
      <c r="L73" s="137" t="str">
        <f>IF(booking!X73&gt;0,"oc","va")</f>
        <v>va</v>
      </c>
      <c r="M73" s="138" t="str">
        <f>IF(booking!Y73&gt;0,"oc","va")</f>
        <v>va</v>
      </c>
    </row>
    <row r="74" spans="1:13" x14ac:dyDescent="0.35">
      <c r="A74" s="5">
        <f>booking!C74</f>
        <v>46211</v>
      </c>
      <c r="B74" s="137" t="str">
        <f>IF(booking!D74&gt;0,"oc","va")</f>
        <v>oc</v>
      </c>
      <c r="C74" s="138" t="str">
        <f>IF(booking!E74&gt;0,"oc","va")</f>
        <v>oc</v>
      </c>
      <c r="D74" s="137" t="str">
        <f>IF(booking!H74&gt;0,"oc","va")</f>
        <v>va</v>
      </c>
      <c r="E74" s="138" t="str">
        <f>IF(booking!I74&gt;0,"oc","va")</f>
        <v>oc</v>
      </c>
      <c r="F74" s="137" t="str">
        <f>IF(booking!L74&gt;0,"oc","va")</f>
        <v>oc</v>
      </c>
      <c r="G74" s="138" t="str">
        <f>IF(booking!M74&gt;0,"oc","va")</f>
        <v>oc</v>
      </c>
      <c r="H74" s="137" t="str">
        <f>IF(booking!P74&gt;0,"oc","va")</f>
        <v>oc</v>
      </c>
      <c r="I74" s="138" t="str">
        <f>IF(booking!Q74&gt;0,"oc","va")</f>
        <v>oc</v>
      </c>
      <c r="J74" s="137" t="str">
        <f>IF(booking!T74&gt;0,"oc","va")</f>
        <v>oc</v>
      </c>
      <c r="K74" s="138" t="str">
        <f>IF(booking!U74&gt;0,"oc","va")</f>
        <v>oc</v>
      </c>
      <c r="L74" s="137" t="str">
        <f>IF(booking!X74&gt;0,"oc","va")</f>
        <v>va</v>
      </c>
      <c r="M74" s="138" t="str">
        <f>IF(booking!Y74&gt;0,"oc","va")</f>
        <v>va</v>
      </c>
    </row>
    <row r="75" spans="1:13" x14ac:dyDescent="0.35">
      <c r="A75" s="5">
        <f>booking!C75</f>
        <v>46212</v>
      </c>
      <c r="B75" s="137" t="str">
        <f>IF(booking!D75&gt;0,"oc","va")</f>
        <v>oc</v>
      </c>
      <c r="C75" s="138" t="str">
        <f>IF(booking!E75&gt;0,"oc","va")</f>
        <v>oc</v>
      </c>
      <c r="D75" s="137" t="str">
        <f>IF(booking!H75&gt;0,"oc","va")</f>
        <v>oc</v>
      </c>
      <c r="E75" s="138" t="str">
        <f>IF(booking!I75&gt;0,"oc","va")</f>
        <v>oc</v>
      </c>
      <c r="F75" s="137" t="str">
        <f>IF(booking!L75&gt;0,"oc","va")</f>
        <v>oc</v>
      </c>
      <c r="G75" s="138" t="str">
        <f>IF(booking!M75&gt;0,"oc","va")</f>
        <v>va</v>
      </c>
      <c r="H75" s="137" t="str">
        <f>IF(booking!P75&gt;0,"oc","va")</f>
        <v>oc</v>
      </c>
      <c r="I75" s="138" t="str">
        <f>IF(booking!Q75&gt;0,"oc","va")</f>
        <v>oc</v>
      </c>
      <c r="J75" s="137" t="str">
        <f>IF(booking!T75&gt;0,"oc","va")</f>
        <v>oc</v>
      </c>
      <c r="K75" s="138" t="str">
        <f>IF(booking!U75&gt;0,"oc","va")</f>
        <v>oc</v>
      </c>
      <c r="L75" s="137" t="str">
        <f>IF(booking!X75&gt;0,"oc","va")</f>
        <v>va</v>
      </c>
      <c r="M75" s="138" t="str">
        <f>IF(booking!Y75&gt;0,"oc","va")</f>
        <v>va</v>
      </c>
    </row>
    <row r="76" spans="1:13" x14ac:dyDescent="0.35">
      <c r="A76" s="5">
        <f>booking!C76</f>
        <v>46213</v>
      </c>
      <c r="B76" s="137" t="str">
        <f>IF(booking!D76&gt;0,"oc","va")</f>
        <v>oc</v>
      </c>
      <c r="C76" s="138" t="str">
        <f>IF(booking!E76&gt;0,"oc","va")</f>
        <v>oc</v>
      </c>
      <c r="D76" s="137" t="str">
        <f>IF(booking!H76&gt;0,"oc","va")</f>
        <v>oc</v>
      </c>
      <c r="E76" s="138" t="str">
        <f>IF(booking!I76&gt;0,"oc","va")</f>
        <v>oc</v>
      </c>
      <c r="F76" s="137" t="str">
        <f>IF(booking!L76&gt;0,"oc","va")</f>
        <v>va</v>
      </c>
      <c r="G76" s="138" t="str">
        <f>IF(booking!M76&gt;0,"oc","va")</f>
        <v>va</v>
      </c>
      <c r="H76" s="137" t="str">
        <f>IF(booking!P76&gt;0,"oc","va")</f>
        <v>oc</v>
      </c>
      <c r="I76" s="138" t="str">
        <f>IF(booking!Q76&gt;0,"oc","va")</f>
        <v>va</v>
      </c>
      <c r="J76" s="137" t="str">
        <f>IF(booking!T76&gt;0,"oc","va")</f>
        <v>oc</v>
      </c>
      <c r="K76" s="138" t="str">
        <f>IF(booking!U76&gt;0,"oc","va")</f>
        <v>oc</v>
      </c>
      <c r="L76" s="137" t="str">
        <f>IF(booking!X76&gt;0,"oc","va")</f>
        <v>va</v>
      </c>
      <c r="M76" s="138" t="str">
        <f>IF(booking!Y76&gt;0,"oc","va")</f>
        <v>va</v>
      </c>
    </row>
    <row r="77" spans="1:13" x14ac:dyDescent="0.35">
      <c r="A77" s="5">
        <f>booking!C77</f>
        <v>46214</v>
      </c>
      <c r="B77" s="137" t="str">
        <f>IF(booking!D77&gt;0,"oc","va")</f>
        <v>oc</v>
      </c>
      <c r="C77" s="138" t="str">
        <f>IF(booking!E77&gt;0,"oc","va")</f>
        <v>oc</v>
      </c>
      <c r="D77" s="137" t="str">
        <f>IF(booking!H77&gt;0,"oc","va")</f>
        <v>oc</v>
      </c>
      <c r="E77" s="138" t="str">
        <f>IF(booking!I77&gt;0,"oc","va")</f>
        <v>oc</v>
      </c>
      <c r="F77" s="137" t="str">
        <f>IF(booking!L77&gt;0,"oc","va")</f>
        <v>va</v>
      </c>
      <c r="G77" s="138" t="str">
        <f>IF(booking!M77&gt;0,"oc","va")</f>
        <v>va</v>
      </c>
      <c r="H77" s="137" t="str">
        <f>IF(booking!P77&gt;0,"oc","va")</f>
        <v>va</v>
      </c>
      <c r="I77" s="138" t="str">
        <f>IF(booking!Q77&gt;0,"oc","va")</f>
        <v>oc</v>
      </c>
      <c r="J77" s="137" t="str">
        <f>IF(booking!T77&gt;0,"oc","va")</f>
        <v>oc</v>
      </c>
      <c r="K77" s="138" t="str">
        <f>IF(booking!U77&gt;0,"oc","va")</f>
        <v>oc</v>
      </c>
      <c r="L77" s="137" t="str">
        <f>IF(booking!X77&gt;0,"oc","va")</f>
        <v>va</v>
      </c>
      <c r="M77" s="138" t="str">
        <f>IF(booking!Y77&gt;0,"oc","va")</f>
        <v>va</v>
      </c>
    </row>
    <row r="78" spans="1:13" x14ac:dyDescent="0.35">
      <c r="A78" s="5">
        <f>booking!C78</f>
        <v>46215</v>
      </c>
      <c r="B78" s="137" t="str">
        <f>IF(booking!D78&gt;0,"oc","va")</f>
        <v>oc</v>
      </c>
      <c r="C78" s="138" t="str">
        <f>IF(booking!E78&gt;0,"oc","va")</f>
        <v>oc</v>
      </c>
      <c r="D78" s="137" t="str">
        <f>IF(booking!H78&gt;0,"oc","va")</f>
        <v>oc</v>
      </c>
      <c r="E78" s="138" t="str">
        <f>IF(booking!I78&gt;0,"oc","va")</f>
        <v>oc</v>
      </c>
      <c r="F78" s="137" t="str">
        <f>IF(booking!L78&gt;0,"oc","va")</f>
        <v>va</v>
      </c>
      <c r="G78" s="138" t="str">
        <f>IF(booking!M78&gt;0,"oc","va")</f>
        <v>va</v>
      </c>
      <c r="H78" s="137" t="str">
        <f>IF(booking!P78&gt;0,"oc","va")</f>
        <v>oc</v>
      </c>
      <c r="I78" s="138" t="str">
        <f>IF(booking!Q78&gt;0,"oc","va")</f>
        <v>oc</v>
      </c>
      <c r="J78" s="137" t="str">
        <f>IF(booking!T78&gt;0,"oc","va")</f>
        <v>oc</v>
      </c>
      <c r="K78" s="138" t="str">
        <f>IF(booking!U78&gt;0,"oc","va")</f>
        <v>oc</v>
      </c>
      <c r="L78" s="137" t="str">
        <f>IF(booking!X78&gt;0,"oc","va")</f>
        <v>va</v>
      </c>
      <c r="M78" s="138" t="str">
        <f>IF(booking!Y78&gt;0,"oc","va")</f>
        <v>va</v>
      </c>
    </row>
    <row r="79" spans="1:13" x14ac:dyDescent="0.35">
      <c r="A79" s="5">
        <f>booking!C79</f>
        <v>46216</v>
      </c>
      <c r="B79" s="137" t="str">
        <f>IF(booking!D79&gt;0,"oc","va")</f>
        <v>oc</v>
      </c>
      <c r="C79" s="138" t="str">
        <f>IF(booking!E79&gt;0,"oc","va")</f>
        <v>oc</v>
      </c>
      <c r="D79" s="137" t="str">
        <f>IF(booking!H79&gt;0,"oc","va")</f>
        <v>oc</v>
      </c>
      <c r="E79" s="138" t="str">
        <f>IF(booking!I79&gt;0,"oc","va")</f>
        <v>oc</v>
      </c>
      <c r="F79" s="137" t="str">
        <f>IF(booking!L79&gt;0,"oc","va")</f>
        <v>va</v>
      </c>
      <c r="G79" s="138" t="str">
        <f>IF(booking!M79&gt;0,"oc","va")</f>
        <v>oc</v>
      </c>
      <c r="H79" s="137" t="str">
        <f>IF(booking!P79&gt;0,"oc","va")</f>
        <v>oc</v>
      </c>
      <c r="I79" s="138" t="str">
        <f>IF(booking!Q79&gt;0,"oc","va")</f>
        <v>oc</v>
      </c>
      <c r="J79" s="137" t="str">
        <f>IF(booking!T79&gt;0,"oc","va")</f>
        <v>oc</v>
      </c>
      <c r="K79" s="138" t="str">
        <f>IF(booking!U79&gt;0,"oc","va")</f>
        <v>oc</v>
      </c>
      <c r="L79" s="137" t="str">
        <f>IF(booking!X79&gt;0,"oc","va")</f>
        <v>va</v>
      </c>
      <c r="M79" s="138" t="str">
        <f>IF(booking!Y79&gt;0,"oc","va")</f>
        <v>va</v>
      </c>
    </row>
    <row r="80" spans="1:13" x14ac:dyDescent="0.35">
      <c r="A80" s="5">
        <f>booking!C80</f>
        <v>46217</v>
      </c>
      <c r="B80" s="137" t="str">
        <f>IF(booking!D80&gt;0,"oc","va")</f>
        <v>oc</v>
      </c>
      <c r="C80" s="138" t="str">
        <f>IF(booking!E80&gt;0,"oc","va")</f>
        <v>oc</v>
      </c>
      <c r="D80" s="137" t="str">
        <f>IF(booking!H80&gt;0,"oc","va")</f>
        <v>oc</v>
      </c>
      <c r="E80" s="138" t="str">
        <f>IF(booking!I80&gt;0,"oc","va")</f>
        <v>oc</v>
      </c>
      <c r="F80" s="137" t="str">
        <f>IF(booking!L80&gt;0,"oc","va")</f>
        <v>oc</v>
      </c>
      <c r="G80" s="138" t="str">
        <f>IF(booking!M80&gt;0,"oc","va")</f>
        <v>oc</v>
      </c>
      <c r="H80" s="137" t="str">
        <f>IF(booking!P80&gt;0,"oc","va")</f>
        <v>oc</v>
      </c>
      <c r="I80" s="138" t="str">
        <f>IF(booking!Q80&gt;0,"oc","va")</f>
        <v>oc</v>
      </c>
      <c r="J80" s="137" t="str">
        <f>IF(booking!T80&gt;0,"oc","va")</f>
        <v>oc</v>
      </c>
      <c r="K80" s="138" t="str">
        <f>IF(booking!U80&gt;0,"oc","va")</f>
        <v>oc</v>
      </c>
      <c r="L80" s="137" t="str">
        <f>IF(booking!X80&gt;0,"oc","va")</f>
        <v>va</v>
      </c>
      <c r="M80" s="138" t="str">
        <f>IF(booking!Y80&gt;0,"oc","va")</f>
        <v>va</v>
      </c>
    </row>
    <row r="81" spans="1:13" x14ac:dyDescent="0.35">
      <c r="A81" s="5">
        <f>booking!C81</f>
        <v>46218</v>
      </c>
      <c r="B81" s="137" t="str">
        <f>IF(booking!D81&gt;0,"oc","va")</f>
        <v>oc</v>
      </c>
      <c r="C81" s="138" t="str">
        <f>IF(booking!E81&gt;0,"oc","va")</f>
        <v>oc</v>
      </c>
      <c r="D81" s="137" t="str">
        <f>IF(booking!H81&gt;0,"oc","va")</f>
        <v>oc</v>
      </c>
      <c r="E81" s="138" t="str">
        <f>IF(booking!I81&gt;0,"oc","va")</f>
        <v>oc</v>
      </c>
      <c r="F81" s="137" t="str">
        <f>IF(booking!L81&gt;0,"oc","va")</f>
        <v>oc</v>
      </c>
      <c r="G81" s="138" t="str">
        <f>IF(booking!M81&gt;0,"oc","va")</f>
        <v>oc</v>
      </c>
      <c r="H81" s="137" t="str">
        <f>IF(booking!P81&gt;0,"oc","va")</f>
        <v>oc</v>
      </c>
      <c r="I81" s="138" t="str">
        <f>IF(booking!Q81&gt;0,"oc","va")</f>
        <v>oc</v>
      </c>
      <c r="J81" s="137" t="str">
        <f>IF(booking!T81&gt;0,"oc","va")</f>
        <v>oc</v>
      </c>
      <c r="K81" s="138" t="str">
        <f>IF(booking!U81&gt;0,"oc","va")</f>
        <v>oc</v>
      </c>
      <c r="L81" s="137" t="str">
        <f>IF(booking!X81&gt;0,"oc","va")</f>
        <v>va</v>
      </c>
      <c r="M81" s="138" t="str">
        <f>IF(booking!Y81&gt;0,"oc","va")</f>
        <v>va</v>
      </c>
    </row>
    <row r="82" spans="1:13" x14ac:dyDescent="0.35">
      <c r="A82" s="5">
        <f>booking!C82</f>
        <v>46219</v>
      </c>
      <c r="B82" s="137" t="str">
        <f>IF(booking!D82&gt;0,"oc","va")</f>
        <v>oc</v>
      </c>
      <c r="C82" s="138" t="str">
        <f>IF(booking!E82&gt;0,"oc","va")</f>
        <v>oc</v>
      </c>
      <c r="D82" s="137" t="str">
        <f>IF(booking!H82&gt;0,"oc","va")</f>
        <v>oc</v>
      </c>
      <c r="E82" s="138" t="str">
        <f>IF(booking!I82&gt;0,"oc","va")</f>
        <v>oc</v>
      </c>
      <c r="F82" s="137" t="str">
        <f>IF(booking!L82&gt;0,"oc","va")</f>
        <v>oc</v>
      </c>
      <c r="G82" s="138" t="str">
        <f>IF(booking!M82&gt;0,"oc","va")</f>
        <v>va</v>
      </c>
      <c r="H82" s="137" t="str">
        <f>IF(booking!P82&gt;0,"oc","va")</f>
        <v>oc</v>
      </c>
      <c r="I82" s="138" t="str">
        <f>IF(booking!Q82&gt;0,"oc","va")</f>
        <v>oc</v>
      </c>
      <c r="J82" s="137" t="str">
        <f>IF(booking!T82&gt;0,"oc","va")</f>
        <v>oc</v>
      </c>
      <c r="K82" s="138" t="str">
        <f>IF(booking!U82&gt;0,"oc","va")</f>
        <v>oc</v>
      </c>
      <c r="L82" s="137" t="str">
        <f>IF(booking!X82&gt;0,"oc","va")</f>
        <v>va</v>
      </c>
      <c r="M82" s="138" t="str">
        <f>IF(booking!Y82&gt;0,"oc","va")</f>
        <v>va</v>
      </c>
    </row>
    <row r="83" spans="1:13" x14ac:dyDescent="0.35">
      <c r="A83" s="5">
        <f>booking!C83</f>
        <v>46220</v>
      </c>
      <c r="B83" s="137" t="str">
        <f>IF(booking!D83&gt;0,"oc","va")</f>
        <v>oc</v>
      </c>
      <c r="C83" s="138" t="str">
        <f>IF(booking!E83&gt;0,"oc","va")</f>
        <v>oc</v>
      </c>
      <c r="D83" s="137" t="str">
        <f>IF(booking!H83&gt;0,"oc","va")</f>
        <v>oc</v>
      </c>
      <c r="E83" s="138" t="str">
        <f>IF(booking!I83&gt;0,"oc","va")</f>
        <v>oc</v>
      </c>
      <c r="F83" s="137" t="str">
        <f>IF(booking!L83&gt;0,"oc","va")</f>
        <v>va</v>
      </c>
      <c r="G83" s="138" t="str">
        <f>IF(booking!M83&gt;0,"oc","va")</f>
        <v>va</v>
      </c>
      <c r="H83" s="137" t="str">
        <f>IF(booking!P83&gt;0,"oc","va")</f>
        <v>oc</v>
      </c>
      <c r="I83" s="138" t="str">
        <f>IF(booking!Q83&gt;0,"oc","va")</f>
        <v>oc</v>
      </c>
      <c r="J83" s="137" t="str">
        <f>IF(booking!T83&gt;0,"oc","va")</f>
        <v>oc</v>
      </c>
      <c r="K83" s="138" t="str">
        <f>IF(booking!U83&gt;0,"oc","va")</f>
        <v>oc</v>
      </c>
      <c r="L83" s="137" t="str">
        <f>IF(booking!X83&gt;0,"oc","va")</f>
        <v>va</v>
      </c>
      <c r="M83" s="138" t="str">
        <f>IF(booking!Y83&gt;0,"oc","va")</f>
        <v>va</v>
      </c>
    </row>
    <row r="84" spans="1:13" x14ac:dyDescent="0.35">
      <c r="A84" s="5">
        <f>booking!C84</f>
        <v>46221</v>
      </c>
      <c r="B84" s="137" t="str">
        <f>IF(booking!D84&gt;0,"oc","va")</f>
        <v>oc</v>
      </c>
      <c r="C84" s="138" t="str">
        <f>IF(booking!E84&gt;0,"oc","va")</f>
        <v>oc</v>
      </c>
      <c r="D84" s="137" t="str">
        <f>IF(booking!H84&gt;0,"oc","va")</f>
        <v>oc</v>
      </c>
      <c r="E84" s="138" t="str">
        <f>IF(booking!I84&gt;0,"oc","va")</f>
        <v>va</v>
      </c>
      <c r="F84" s="137" t="str">
        <f>IF(booking!L84&gt;0,"oc","va")</f>
        <v>va</v>
      </c>
      <c r="G84" s="138" t="str">
        <f>IF(booking!M84&gt;0,"oc","va")</f>
        <v>oc</v>
      </c>
      <c r="H84" s="137" t="str">
        <f>IF(booking!P84&gt;0,"oc","va")</f>
        <v>oc</v>
      </c>
      <c r="I84" s="138" t="str">
        <f>IF(booking!Q84&gt;0,"oc","va")</f>
        <v>oc</v>
      </c>
      <c r="J84" s="137" t="str">
        <f>IF(booking!T84&gt;0,"oc","va")</f>
        <v>oc</v>
      </c>
      <c r="K84" s="138" t="str">
        <f>IF(booking!U84&gt;0,"oc","va")</f>
        <v>oc</v>
      </c>
      <c r="L84" s="137" t="str">
        <f>IF(booking!X84&gt;0,"oc","va")</f>
        <v>va</v>
      </c>
      <c r="M84" s="138" t="str">
        <f>IF(booking!Y84&gt;0,"oc","va")</f>
        <v>va</v>
      </c>
    </row>
    <row r="85" spans="1:13" x14ac:dyDescent="0.35">
      <c r="A85" s="5">
        <f>booking!C85</f>
        <v>46222</v>
      </c>
      <c r="B85" s="137" t="str">
        <f>IF(booking!D85&gt;0,"oc","va")</f>
        <v>oc</v>
      </c>
      <c r="C85" s="138" t="str">
        <f>IF(booking!E85&gt;0,"oc","va")</f>
        <v>oc</v>
      </c>
      <c r="D85" s="137" t="str">
        <f>IF(booking!H85&gt;0,"oc","va")</f>
        <v>va</v>
      </c>
      <c r="E85" s="138" t="str">
        <f>IF(booking!I85&gt;0,"oc","va")</f>
        <v>oc</v>
      </c>
      <c r="F85" s="137" t="str">
        <f>IF(booking!L85&gt;0,"oc","va")</f>
        <v>oc</v>
      </c>
      <c r="G85" s="138" t="str">
        <f>IF(booking!M85&gt;0,"oc","va")</f>
        <v>oc</v>
      </c>
      <c r="H85" s="137" t="str">
        <f>IF(booking!P85&gt;0,"oc","va")</f>
        <v>oc</v>
      </c>
      <c r="I85" s="138" t="str">
        <f>IF(booking!Q85&gt;0,"oc","va")</f>
        <v>oc</v>
      </c>
      <c r="J85" s="137" t="str">
        <f>IF(booking!T85&gt;0,"oc","va")</f>
        <v>oc</v>
      </c>
      <c r="K85" s="138" t="str">
        <f>IF(booking!U85&gt;0,"oc","va")</f>
        <v>oc</v>
      </c>
      <c r="L85" s="137" t="str">
        <f>IF(booking!X85&gt;0,"oc","va")</f>
        <v>va</v>
      </c>
      <c r="M85" s="138" t="str">
        <f>IF(booking!Y85&gt;0,"oc","va")</f>
        <v>va</v>
      </c>
    </row>
    <row r="86" spans="1:13" x14ac:dyDescent="0.35">
      <c r="A86" s="5">
        <f>booking!C86</f>
        <v>46223</v>
      </c>
      <c r="B86" s="137" t="str">
        <f>IF(booking!D86&gt;0,"oc","va")</f>
        <v>oc</v>
      </c>
      <c r="C86" s="138" t="str">
        <f>IF(booking!E86&gt;0,"oc","va")</f>
        <v>oc</v>
      </c>
      <c r="D86" s="137" t="str">
        <f>IF(booking!H86&gt;0,"oc","va")</f>
        <v>oc</v>
      </c>
      <c r="E86" s="138" t="str">
        <f>IF(booking!I86&gt;0,"oc","va")</f>
        <v>oc</v>
      </c>
      <c r="F86" s="137" t="str">
        <f>IF(booking!L86&gt;0,"oc","va")</f>
        <v>oc</v>
      </c>
      <c r="G86" s="138" t="str">
        <f>IF(booking!M86&gt;0,"oc","va")</f>
        <v>oc</v>
      </c>
      <c r="H86" s="137" t="str">
        <f>IF(booking!P86&gt;0,"oc","va")</f>
        <v>oc</v>
      </c>
      <c r="I86" s="138" t="str">
        <f>IF(booking!Q86&gt;0,"oc","va")</f>
        <v>oc</v>
      </c>
      <c r="J86" s="137" t="str">
        <f>IF(booking!T86&gt;0,"oc","va")</f>
        <v>oc</v>
      </c>
      <c r="K86" s="138" t="str">
        <f>IF(booking!U86&gt;0,"oc","va")</f>
        <v>oc</v>
      </c>
      <c r="L86" s="137" t="str">
        <f>IF(booking!X86&gt;0,"oc","va")</f>
        <v>va</v>
      </c>
      <c r="M86" s="138" t="str">
        <f>IF(booking!Y86&gt;0,"oc","va")</f>
        <v>va</v>
      </c>
    </row>
    <row r="87" spans="1:13" x14ac:dyDescent="0.35">
      <c r="A87" s="5">
        <f>booking!C87</f>
        <v>46224</v>
      </c>
      <c r="B87" s="137" t="str">
        <f>IF(booking!D87&gt;0,"oc","va")</f>
        <v>oc</v>
      </c>
      <c r="C87" s="138" t="str">
        <f>IF(booking!E87&gt;0,"oc","va")</f>
        <v>oc</v>
      </c>
      <c r="D87" s="137" t="str">
        <f>IF(booking!H87&gt;0,"oc","va")</f>
        <v>oc</v>
      </c>
      <c r="E87" s="138" t="str">
        <f>IF(booking!I87&gt;0,"oc","va")</f>
        <v>oc</v>
      </c>
      <c r="F87" s="137" t="str">
        <f>IF(booking!L87&gt;0,"oc","va")</f>
        <v>oc</v>
      </c>
      <c r="G87" s="138" t="str">
        <f>IF(booking!M87&gt;0,"oc","va")</f>
        <v>oc</v>
      </c>
      <c r="H87" s="137" t="str">
        <f>IF(booking!P87&gt;0,"oc","va")</f>
        <v>oc</v>
      </c>
      <c r="I87" s="138" t="str">
        <f>IF(booking!Q87&gt;0,"oc","va")</f>
        <v>oc</v>
      </c>
      <c r="J87" s="137" t="str">
        <f>IF(booking!T87&gt;0,"oc","va")</f>
        <v>oc</v>
      </c>
      <c r="K87" s="138" t="str">
        <f>IF(booking!U87&gt;0,"oc","va")</f>
        <v>oc</v>
      </c>
      <c r="L87" s="137" t="str">
        <f>IF(booking!X87&gt;0,"oc","va")</f>
        <v>va</v>
      </c>
      <c r="M87" s="138" t="str">
        <f>IF(booking!Y87&gt;0,"oc","va")</f>
        <v>va</v>
      </c>
    </row>
    <row r="88" spans="1:13" x14ac:dyDescent="0.35">
      <c r="A88" s="5">
        <f>booking!C88</f>
        <v>46225</v>
      </c>
      <c r="B88" s="137" t="str">
        <f>IF(booking!D88&gt;0,"oc","va")</f>
        <v>oc</v>
      </c>
      <c r="C88" s="138" t="str">
        <f>IF(booking!E88&gt;0,"oc","va")</f>
        <v>oc</v>
      </c>
      <c r="D88" s="137" t="str">
        <f>IF(booking!H88&gt;0,"oc","va")</f>
        <v>oc</v>
      </c>
      <c r="E88" s="138" t="str">
        <f>IF(booking!I88&gt;0,"oc","va")</f>
        <v>oc</v>
      </c>
      <c r="F88" s="137" t="str">
        <f>IF(booking!L88&gt;0,"oc","va")</f>
        <v>oc</v>
      </c>
      <c r="G88" s="138" t="str">
        <f>IF(booking!M88&gt;0,"oc","va")</f>
        <v>oc</v>
      </c>
      <c r="H88" s="137" t="str">
        <f>IF(booking!P88&gt;0,"oc","va")</f>
        <v>oc</v>
      </c>
      <c r="I88" s="138" t="str">
        <f>IF(booking!Q88&gt;0,"oc","va")</f>
        <v>oc</v>
      </c>
      <c r="J88" s="137" t="str">
        <f>IF(booking!T88&gt;0,"oc","va")</f>
        <v>oc</v>
      </c>
      <c r="K88" s="138" t="str">
        <f>IF(booking!U88&gt;0,"oc","va")</f>
        <v>oc</v>
      </c>
      <c r="L88" s="137" t="str">
        <f>IF(booking!X88&gt;0,"oc","va")</f>
        <v>va</v>
      </c>
      <c r="M88" s="138" t="str">
        <f>IF(booking!Y88&gt;0,"oc","va")</f>
        <v>va</v>
      </c>
    </row>
    <row r="89" spans="1:13" x14ac:dyDescent="0.35">
      <c r="A89" s="5">
        <f>booking!C89</f>
        <v>46226</v>
      </c>
      <c r="B89" s="137" t="str">
        <f>IF(booking!D89&gt;0,"oc","va")</f>
        <v>oc</v>
      </c>
      <c r="C89" s="138" t="str">
        <f>IF(booking!E89&gt;0,"oc","va")</f>
        <v>oc</v>
      </c>
      <c r="D89" s="137" t="str">
        <f>IF(booking!H89&gt;0,"oc","va")</f>
        <v>oc</v>
      </c>
      <c r="E89" s="138" t="str">
        <f>IF(booking!I89&gt;0,"oc","va")</f>
        <v>oc</v>
      </c>
      <c r="F89" s="137" t="str">
        <f>IF(booking!L89&gt;0,"oc","va")</f>
        <v>oc</v>
      </c>
      <c r="G89" s="138" t="str">
        <f>IF(booking!M89&gt;0,"oc","va")</f>
        <v>oc</v>
      </c>
      <c r="H89" s="137" t="str">
        <f>IF(booking!P89&gt;0,"oc","va")</f>
        <v>oc</v>
      </c>
      <c r="I89" s="138" t="str">
        <f>IF(booking!Q89&gt;0,"oc","va")</f>
        <v>oc</v>
      </c>
      <c r="J89" s="137" t="str">
        <f>IF(booking!T89&gt;0,"oc","va")</f>
        <v>oc</v>
      </c>
      <c r="K89" s="138" t="str">
        <f>IF(booking!U89&gt;0,"oc","va")</f>
        <v>oc</v>
      </c>
      <c r="L89" s="137" t="str">
        <f>IF(booking!X89&gt;0,"oc","va")</f>
        <v>va</v>
      </c>
      <c r="M89" s="138" t="str">
        <f>IF(booking!Y89&gt;0,"oc","va")</f>
        <v>va</v>
      </c>
    </row>
    <row r="90" spans="1:13" x14ac:dyDescent="0.35">
      <c r="A90" s="5">
        <f>booking!C90</f>
        <v>46227</v>
      </c>
      <c r="B90" s="137" t="str">
        <f>IF(booking!D90&gt;0,"oc","va")</f>
        <v>oc</v>
      </c>
      <c r="C90" s="138" t="str">
        <f>IF(booking!E90&gt;0,"oc","va")</f>
        <v>oc</v>
      </c>
      <c r="D90" s="137" t="str">
        <f>IF(booking!H90&gt;0,"oc","va")</f>
        <v>oc</v>
      </c>
      <c r="E90" s="138" t="str">
        <f>IF(booking!I90&gt;0,"oc","va")</f>
        <v>va</v>
      </c>
      <c r="F90" s="137" t="str">
        <f>IF(booking!L90&gt;0,"oc","va")</f>
        <v>oc</v>
      </c>
      <c r="G90" s="138" t="str">
        <f>IF(booking!M90&gt;0,"oc","va")</f>
        <v>oc</v>
      </c>
      <c r="H90" s="137" t="str">
        <f>IF(booking!P90&gt;0,"oc","va")</f>
        <v>oc</v>
      </c>
      <c r="I90" s="138" t="str">
        <f>IF(booking!Q90&gt;0,"oc","va")</f>
        <v>oc</v>
      </c>
      <c r="J90" s="137" t="str">
        <f>IF(booking!T90&gt;0,"oc","va")</f>
        <v>oc</v>
      </c>
      <c r="K90" s="138" t="str">
        <f>IF(booking!U90&gt;0,"oc","va")</f>
        <v>oc</v>
      </c>
      <c r="L90" s="137" t="str">
        <f>IF(booking!X90&gt;0,"oc","va")</f>
        <v>va</v>
      </c>
      <c r="M90" s="138" t="str">
        <f>IF(booking!Y90&gt;0,"oc","va")</f>
        <v>va</v>
      </c>
    </row>
    <row r="91" spans="1:13" x14ac:dyDescent="0.35">
      <c r="A91" s="5">
        <f>booking!C91</f>
        <v>46228</v>
      </c>
      <c r="B91" s="137" t="str">
        <f>IF(booking!D91&gt;0,"oc","va")</f>
        <v>oc</v>
      </c>
      <c r="C91" s="138" t="str">
        <f>IF(booking!E91&gt;0,"oc","va")</f>
        <v>oc</v>
      </c>
      <c r="D91" s="137" t="str">
        <f>IF(booking!H91&gt;0,"oc","va")</f>
        <v>va</v>
      </c>
      <c r="E91" s="138" t="str">
        <f>IF(booking!I91&gt;0,"oc","va")</f>
        <v>va</v>
      </c>
      <c r="F91" s="137" t="str">
        <f>IF(booking!L91&gt;0,"oc","va")</f>
        <v>oc</v>
      </c>
      <c r="G91" s="138" t="str">
        <f>IF(booking!M91&gt;0,"oc","va")</f>
        <v>va</v>
      </c>
      <c r="H91" s="137" t="str">
        <f>IF(booking!P91&gt;0,"oc","va")</f>
        <v>oc</v>
      </c>
      <c r="I91" s="138" t="str">
        <f>IF(booking!Q91&gt;0,"oc","va")</f>
        <v>va</v>
      </c>
      <c r="J91" s="137" t="str">
        <f>IF(booking!T91&gt;0,"oc","va")</f>
        <v>oc</v>
      </c>
      <c r="K91" s="138" t="str">
        <f>IF(booking!U91&gt;0,"oc","va")</f>
        <v>oc</v>
      </c>
      <c r="L91" s="137" t="str">
        <f>IF(booking!X91&gt;0,"oc","va")</f>
        <v>va</v>
      </c>
      <c r="M91" s="138" t="str">
        <f>IF(booking!Y91&gt;0,"oc","va")</f>
        <v>va</v>
      </c>
    </row>
    <row r="92" spans="1:13" x14ac:dyDescent="0.35">
      <c r="A92" s="5">
        <f>booking!C92</f>
        <v>46229</v>
      </c>
      <c r="B92" s="137" t="str">
        <f>IF(booking!D92&gt;0,"oc","va")</f>
        <v>oc</v>
      </c>
      <c r="C92" s="138" t="str">
        <f>IF(booking!E92&gt;0,"oc","va")</f>
        <v>va</v>
      </c>
      <c r="D92" s="137" t="str">
        <f>IF(booking!H92&gt;0,"oc","va")</f>
        <v>va</v>
      </c>
      <c r="E92" s="138" t="str">
        <f>IF(booking!I92&gt;0,"oc","va")</f>
        <v>oc</v>
      </c>
      <c r="F92" s="137" t="str">
        <f>IF(booking!L92&gt;0,"oc","va")</f>
        <v>va</v>
      </c>
      <c r="G92" s="138" t="str">
        <f>IF(booking!M92&gt;0,"oc","va")</f>
        <v>va</v>
      </c>
      <c r="H92" s="137" t="str">
        <f>IF(booking!P92&gt;0,"oc","va")</f>
        <v>va</v>
      </c>
      <c r="I92" s="138" t="str">
        <f>IF(booking!Q92&gt;0,"oc","va")</f>
        <v>oc</v>
      </c>
      <c r="J92" s="137" t="str">
        <f>IF(booking!T92&gt;0,"oc","va")</f>
        <v>oc</v>
      </c>
      <c r="K92" s="138" t="str">
        <f>IF(booking!U92&gt;0,"oc","va")</f>
        <v>oc</v>
      </c>
      <c r="L92" s="137" t="str">
        <f>IF(booking!X92&gt;0,"oc","va")</f>
        <v>va</v>
      </c>
      <c r="M92" s="138" t="str">
        <f>IF(booking!Y92&gt;0,"oc","va")</f>
        <v>va</v>
      </c>
    </row>
    <row r="93" spans="1:13" x14ac:dyDescent="0.35">
      <c r="A93" s="5">
        <f>booking!C93</f>
        <v>46230</v>
      </c>
      <c r="B93" s="137" t="str">
        <f>IF(booking!D93&gt;0,"oc","va")</f>
        <v>va</v>
      </c>
      <c r="C93" s="138" t="str">
        <f>IF(booking!E93&gt;0,"oc","va")</f>
        <v>oc</v>
      </c>
      <c r="D93" s="137" t="str">
        <f>IF(booking!H93&gt;0,"oc","va")</f>
        <v>oc</v>
      </c>
      <c r="E93" s="138" t="str">
        <f>IF(booking!I93&gt;0,"oc","va")</f>
        <v>oc</v>
      </c>
      <c r="F93" s="137" t="str">
        <f>IF(booking!L93&gt;0,"oc","va")</f>
        <v>va</v>
      </c>
      <c r="G93" s="138" t="str">
        <f>IF(booking!M93&gt;0,"oc","va")</f>
        <v>oc</v>
      </c>
      <c r="H93" s="137" t="str">
        <f>IF(booking!P93&gt;0,"oc","va")</f>
        <v>oc</v>
      </c>
      <c r="I93" s="138" t="str">
        <f>IF(booking!Q93&gt;0,"oc","va")</f>
        <v>oc</v>
      </c>
      <c r="J93" s="137" t="str">
        <f>IF(booking!T93&gt;0,"oc","va")</f>
        <v>oc</v>
      </c>
      <c r="K93" s="138" t="str">
        <f>IF(booking!U93&gt;0,"oc","va")</f>
        <v>oc</v>
      </c>
      <c r="L93" s="137" t="str">
        <f>IF(booking!X93&gt;0,"oc","va")</f>
        <v>va</v>
      </c>
      <c r="M93" s="138" t="str">
        <f>IF(booking!Y93&gt;0,"oc","va")</f>
        <v>va</v>
      </c>
    </row>
    <row r="94" spans="1:13" x14ac:dyDescent="0.35">
      <c r="A94" s="5">
        <f>booking!C94</f>
        <v>46231</v>
      </c>
      <c r="B94" s="137" t="str">
        <f>IF(booking!D94&gt;0,"oc","va")</f>
        <v>oc</v>
      </c>
      <c r="C94" s="138" t="str">
        <f>IF(booking!E94&gt;0,"oc","va")</f>
        <v>oc</v>
      </c>
      <c r="D94" s="137" t="str">
        <f>IF(booking!H94&gt;0,"oc","va")</f>
        <v>oc</v>
      </c>
      <c r="E94" s="138" t="str">
        <f>IF(booking!I94&gt;0,"oc","va")</f>
        <v>oc</v>
      </c>
      <c r="F94" s="137" t="str">
        <f>IF(booking!L94&gt;0,"oc","va")</f>
        <v>oc</v>
      </c>
      <c r="G94" s="138" t="str">
        <f>IF(booking!M94&gt;0,"oc","va")</f>
        <v>oc</v>
      </c>
      <c r="H94" s="137" t="str">
        <f>IF(booking!P94&gt;0,"oc","va")</f>
        <v>oc</v>
      </c>
      <c r="I94" s="138" t="str">
        <f>IF(booking!Q94&gt;0,"oc","va")</f>
        <v>oc</v>
      </c>
      <c r="J94" s="137" t="str">
        <f>IF(booking!T94&gt;0,"oc","va")</f>
        <v>oc</v>
      </c>
      <c r="K94" s="138" t="str">
        <f>IF(booking!U94&gt;0,"oc","va")</f>
        <v>oc</v>
      </c>
      <c r="L94" s="137" t="str">
        <f>IF(booking!X94&gt;0,"oc","va")</f>
        <v>va</v>
      </c>
      <c r="M94" s="138" t="str">
        <f>IF(booking!Y94&gt;0,"oc","va")</f>
        <v>va</v>
      </c>
    </row>
    <row r="95" spans="1:13" x14ac:dyDescent="0.35">
      <c r="A95" s="5">
        <f>booking!C95</f>
        <v>46232</v>
      </c>
      <c r="B95" s="137" t="str">
        <f>IF(booking!D95&gt;0,"oc","va")</f>
        <v>oc</v>
      </c>
      <c r="C95" s="138" t="str">
        <f>IF(booking!E95&gt;0,"oc","va")</f>
        <v>oc</v>
      </c>
      <c r="D95" s="137" t="str">
        <f>IF(booking!H95&gt;0,"oc","va")</f>
        <v>oc</v>
      </c>
      <c r="E95" s="138" t="str">
        <f>IF(booking!I95&gt;0,"oc","va")</f>
        <v>oc</v>
      </c>
      <c r="F95" s="137" t="str">
        <f>IF(booking!L95&gt;0,"oc","va")</f>
        <v>oc</v>
      </c>
      <c r="G95" s="138" t="str">
        <f>IF(booking!M95&gt;0,"oc","va")</f>
        <v>oc</v>
      </c>
      <c r="H95" s="137" t="str">
        <f>IF(booking!P95&gt;0,"oc","va")</f>
        <v>oc</v>
      </c>
      <c r="I95" s="138" t="str">
        <f>IF(booking!Q95&gt;0,"oc","va")</f>
        <v>oc</v>
      </c>
      <c r="J95" s="137" t="str">
        <f>IF(booking!T95&gt;0,"oc","va")</f>
        <v>oc</v>
      </c>
      <c r="K95" s="138" t="str">
        <f>IF(booking!U95&gt;0,"oc","va")</f>
        <v>oc</v>
      </c>
      <c r="L95" s="137" t="str">
        <f>IF(booking!X95&gt;0,"oc","va")</f>
        <v>va</v>
      </c>
      <c r="M95" s="138" t="str">
        <f>IF(booking!Y95&gt;0,"oc","va")</f>
        <v>oc</v>
      </c>
    </row>
    <row r="96" spans="1:13" x14ac:dyDescent="0.35">
      <c r="A96" s="5">
        <f>booking!C96</f>
        <v>46233</v>
      </c>
      <c r="B96" s="137" t="str">
        <f>IF(booking!D96&gt;0,"oc","va")</f>
        <v>oc</v>
      </c>
      <c r="C96" s="138" t="str">
        <f>IF(booking!E96&gt;0,"oc","va")</f>
        <v>oc</v>
      </c>
      <c r="D96" s="137" t="str">
        <f>IF(booking!H96&gt;0,"oc","va")</f>
        <v>oc</v>
      </c>
      <c r="E96" s="138" t="str">
        <f>IF(booking!I96&gt;0,"oc","va")</f>
        <v>va</v>
      </c>
      <c r="F96" s="137" t="str">
        <f>IF(booking!L96&gt;0,"oc","va")</f>
        <v>oc</v>
      </c>
      <c r="G96" s="138" t="str">
        <f>IF(booking!M96&gt;0,"oc","va")</f>
        <v>oc</v>
      </c>
      <c r="H96" s="137" t="str">
        <f>IF(booking!P96&gt;0,"oc","va")</f>
        <v>oc</v>
      </c>
      <c r="I96" s="138" t="str">
        <f>IF(booking!Q96&gt;0,"oc","va")</f>
        <v>oc</v>
      </c>
      <c r="J96" s="137" t="str">
        <f>IF(booking!T96&gt;0,"oc","va")</f>
        <v>oc</v>
      </c>
      <c r="K96" s="138" t="str">
        <f>IF(booking!U96&gt;0,"oc","va")</f>
        <v>oc</v>
      </c>
      <c r="L96" s="137" t="str">
        <f>IF(booking!X96&gt;0,"oc","va")</f>
        <v>oc</v>
      </c>
      <c r="M96" s="138" t="str">
        <f>IF(booking!Y96&gt;0,"oc","va")</f>
        <v>va</v>
      </c>
    </row>
    <row r="97" spans="1:13" x14ac:dyDescent="0.35">
      <c r="A97" s="5">
        <f>booking!C97</f>
        <v>46234</v>
      </c>
      <c r="B97" s="137" t="str">
        <f>IF(booking!D97&gt;0,"oc","va")</f>
        <v>oc</v>
      </c>
      <c r="C97" s="138" t="str">
        <f>IF(booking!E97&gt;0,"oc","va")</f>
        <v>va</v>
      </c>
      <c r="D97" s="137" t="str">
        <f>IF(booking!H97&gt;0,"oc","va")</f>
        <v>va</v>
      </c>
      <c r="E97" s="138" t="str">
        <f>IF(booking!I97&gt;0,"oc","va")</f>
        <v>va</v>
      </c>
      <c r="F97" s="137" t="str">
        <f>IF(booking!L97&gt;0,"oc","va")</f>
        <v>oc</v>
      </c>
      <c r="G97" s="138" t="str">
        <f>IF(booking!M97&gt;0,"oc","va")</f>
        <v>va</v>
      </c>
      <c r="H97" s="137" t="str">
        <f>IF(booking!P97&gt;0,"oc","va")</f>
        <v>oc</v>
      </c>
      <c r="I97" s="138" t="str">
        <f>IF(booking!Q97&gt;0,"oc","va")</f>
        <v>oc</v>
      </c>
      <c r="J97" s="137" t="str">
        <f>IF(booking!T97&gt;0,"oc","va")</f>
        <v>oc</v>
      </c>
      <c r="K97" s="138" t="str">
        <f>IF(booking!U97&gt;0,"oc","va")</f>
        <v>oc</v>
      </c>
      <c r="L97" s="137" t="str">
        <f>IF(booking!X97&gt;0,"oc","va")</f>
        <v>va</v>
      </c>
      <c r="M97" s="138" t="str">
        <f>IF(booking!Y97&gt;0,"oc","va")</f>
        <v>va</v>
      </c>
    </row>
    <row r="98" spans="1:13" x14ac:dyDescent="0.35">
      <c r="A98" s="5">
        <f>booking!C98</f>
        <v>46235</v>
      </c>
      <c r="B98" s="137" t="str">
        <f>IF(booking!D98&gt;0,"oc","va")</f>
        <v>va</v>
      </c>
      <c r="C98" s="138" t="str">
        <f>IF(booking!E98&gt;0,"oc","va")</f>
        <v>va</v>
      </c>
      <c r="D98" s="137" t="str">
        <f>IF(booking!H98&gt;0,"oc","va")</f>
        <v>va</v>
      </c>
      <c r="E98" s="138" t="str">
        <f>IF(booking!I98&gt;0,"oc","va")</f>
        <v>va</v>
      </c>
      <c r="F98" s="137" t="str">
        <f>IF(booking!L98&gt;0,"oc","va")</f>
        <v>va</v>
      </c>
      <c r="G98" s="138" t="str">
        <f>IF(booking!M98&gt;0,"oc","va")</f>
        <v>va</v>
      </c>
      <c r="H98" s="137" t="str">
        <f>IF(booking!P98&gt;0,"oc","va")</f>
        <v>oc</v>
      </c>
      <c r="I98" s="138" t="str">
        <f>IF(booking!Q98&gt;0,"oc","va")</f>
        <v>oc</v>
      </c>
      <c r="J98" s="137" t="str">
        <f>IF(booking!T98&gt;0,"oc","va")</f>
        <v>oc</v>
      </c>
      <c r="K98" s="138" t="str">
        <f>IF(booking!U98&gt;0,"oc","va")</f>
        <v>va</v>
      </c>
      <c r="L98" s="137" t="str">
        <f>IF(booking!X98&gt;0,"oc","va")</f>
        <v>va</v>
      </c>
      <c r="M98" s="138" t="str">
        <f>IF(booking!Y98&gt;0,"oc","va")</f>
        <v>va</v>
      </c>
    </row>
    <row r="99" spans="1:13" x14ac:dyDescent="0.35">
      <c r="A99" s="5">
        <f>booking!C99</f>
        <v>46236</v>
      </c>
      <c r="B99" s="137" t="str">
        <f>IF(booking!D99&gt;0,"oc","va")</f>
        <v>va</v>
      </c>
      <c r="C99" s="138" t="str">
        <f>IF(booking!E99&gt;0,"oc","va")</f>
        <v>va</v>
      </c>
      <c r="D99" s="137" t="str">
        <f>IF(booking!H99&gt;0,"oc","va")</f>
        <v>va</v>
      </c>
      <c r="E99" s="138" t="str">
        <f>IF(booking!I99&gt;0,"oc","va")</f>
        <v>oc</v>
      </c>
      <c r="F99" s="137" t="str">
        <f>IF(booking!L99&gt;0,"oc","va")</f>
        <v>va</v>
      </c>
      <c r="G99" s="138" t="str">
        <f>IF(booking!M99&gt;0,"oc","va")</f>
        <v>oc</v>
      </c>
      <c r="H99" s="137" t="str">
        <f>IF(booking!P99&gt;0,"oc","va")</f>
        <v>oc</v>
      </c>
      <c r="I99" s="138" t="str">
        <f>IF(booking!Q99&gt;0,"oc","va")</f>
        <v>oc</v>
      </c>
      <c r="J99" s="137" t="str">
        <f>IF(booking!T99&gt;0,"oc","va")</f>
        <v>va</v>
      </c>
      <c r="K99" s="138" t="str">
        <f>IF(booking!U99&gt;0,"oc","va")</f>
        <v>va</v>
      </c>
      <c r="L99" s="137" t="str">
        <f>IF(booking!X99&gt;0,"oc","va")</f>
        <v>va</v>
      </c>
      <c r="M99" s="138" t="str">
        <f>IF(booking!Y99&gt;0,"oc","va")</f>
        <v>va</v>
      </c>
    </row>
    <row r="100" spans="1:13" x14ac:dyDescent="0.35">
      <c r="A100" s="5">
        <f>booking!C100</f>
        <v>46237</v>
      </c>
      <c r="B100" s="137" t="str">
        <f>IF(booking!D100&gt;0,"oc","va")</f>
        <v>va</v>
      </c>
      <c r="C100" s="138" t="str">
        <f>IF(booking!E100&gt;0,"oc","va")</f>
        <v>oc</v>
      </c>
      <c r="D100" s="137" t="str">
        <f>IF(booking!H100&gt;0,"oc","va")</f>
        <v>oc</v>
      </c>
      <c r="E100" s="138" t="str">
        <f>IF(booking!I100&gt;0,"oc","va")</f>
        <v>oc</v>
      </c>
      <c r="F100" s="137" t="str">
        <f>IF(booking!L100&gt;0,"oc","va")</f>
        <v>oc</v>
      </c>
      <c r="G100" s="138" t="str">
        <f>IF(booking!M100&gt;0,"oc","va")</f>
        <v>oc</v>
      </c>
      <c r="H100" s="137" t="str">
        <f>IF(booking!P100&gt;0,"oc","va")</f>
        <v>oc</v>
      </c>
      <c r="I100" s="138" t="str">
        <f>IF(booking!Q100&gt;0,"oc","va")</f>
        <v>oc</v>
      </c>
      <c r="J100" s="137" t="str">
        <f>IF(booking!T100&gt;0,"oc","va")</f>
        <v>va</v>
      </c>
      <c r="K100" s="138" t="str">
        <f>IF(booking!U100&gt;0,"oc","va")</f>
        <v>oc</v>
      </c>
      <c r="L100" s="137" t="str">
        <f>IF(booking!X100&gt;0,"oc","va")</f>
        <v>va</v>
      </c>
      <c r="M100" s="138" t="str">
        <f>IF(booking!Y100&gt;0,"oc","va")</f>
        <v>va</v>
      </c>
    </row>
    <row r="101" spans="1:13" x14ac:dyDescent="0.35">
      <c r="A101" s="5">
        <f>booking!C101</f>
        <v>46238</v>
      </c>
      <c r="B101" s="137" t="str">
        <f>IF(booking!D101&gt;0,"oc","va")</f>
        <v>oc</v>
      </c>
      <c r="C101" s="138" t="str">
        <f>IF(booking!E101&gt;0,"oc","va")</f>
        <v>oc</v>
      </c>
      <c r="D101" s="137" t="str">
        <f>IF(booking!H101&gt;0,"oc","va")</f>
        <v>oc</v>
      </c>
      <c r="E101" s="138" t="str">
        <f>IF(booking!I101&gt;0,"oc","va")</f>
        <v>oc</v>
      </c>
      <c r="F101" s="137" t="str">
        <f>IF(booking!L101&gt;0,"oc","va")</f>
        <v>oc</v>
      </c>
      <c r="G101" s="138" t="str">
        <f>IF(booking!M101&gt;0,"oc","va")</f>
        <v>oc</v>
      </c>
      <c r="H101" s="137" t="str">
        <f>IF(booking!P101&gt;0,"oc","va")</f>
        <v>oc</v>
      </c>
      <c r="I101" s="138" t="str">
        <f>IF(booking!Q101&gt;0,"oc","va")</f>
        <v>va</v>
      </c>
      <c r="J101" s="137" t="str">
        <f>IF(booking!T101&gt;0,"oc","va")</f>
        <v>oc</v>
      </c>
      <c r="K101" s="138" t="str">
        <f>IF(booking!U101&gt;0,"oc","va")</f>
        <v>oc</v>
      </c>
      <c r="L101" s="137" t="str">
        <f>IF(booking!X101&gt;0,"oc","va")</f>
        <v>va</v>
      </c>
      <c r="M101" s="138" t="str">
        <f>IF(booking!Y101&gt;0,"oc","va")</f>
        <v>va</v>
      </c>
    </row>
    <row r="102" spans="1:13" x14ac:dyDescent="0.35">
      <c r="A102" s="5">
        <f>booking!C102</f>
        <v>46239</v>
      </c>
      <c r="B102" s="137" t="str">
        <f>IF(booking!D102&gt;0,"oc","va")</f>
        <v>oc</v>
      </c>
      <c r="C102" s="138" t="str">
        <f>IF(booking!E102&gt;0,"oc","va")</f>
        <v>oc</v>
      </c>
      <c r="D102" s="137" t="str">
        <f>IF(booking!H102&gt;0,"oc","va")</f>
        <v>oc</v>
      </c>
      <c r="E102" s="138" t="str">
        <f>IF(booking!I102&gt;0,"oc","va")</f>
        <v>oc</v>
      </c>
      <c r="F102" s="137" t="str">
        <f>IF(booking!L102&gt;0,"oc","va")</f>
        <v>oc</v>
      </c>
      <c r="G102" s="138" t="str">
        <f>IF(booking!M102&gt;0,"oc","va")</f>
        <v>oc</v>
      </c>
      <c r="H102" s="137" t="str">
        <f>IF(booking!P102&gt;0,"oc","va")</f>
        <v>va</v>
      </c>
      <c r="I102" s="138" t="str">
        <f>IF(booking!Q102&gt;0,"oc","va")</f>
        <v>va</v>
      </c>
      <c r="J102" s="137" t="str">
        <f>IF(booking!T102&gt;0,"oc","va")</f>
        <v>oc</v>
      </c>
      <c r="K102" s="138" t="str">
        <f>IF(booking!U102&gt;0,"oc","va")</f>
        <v>oc</v>
      </c>
      <c r="L102" s="137" t="str">
        <f>IF(booking!X102&gt;0,"oc","va")</f>
        <v>va</v>
      </c>
      <c r="M102" s="138" t="str">
        <f>IF(booking!Y102&gt;0,"oc","va")</f>
        <v>va</v>
      </c>
    </row>
    <row r="103" spans="1:13" x14ac:dyDescent="0.35">
      <c r="A103" s="5">
        <f>booking!C103</f>
        <v>46240</v>
      </c>
      <c r="B103" s="137" t="str">
        <f>IF(booking!D103&gt;0,"oc","va")</f>
        <v>oc</v>
      </c>
      <c r="C103" s="138" t="str">
        <f>IF(booking!E103&gt;0,"oc","va")</f>
        <v>oc</v>
      </c>
      <c r="D103" s="137" t="str">
        <f>IF(booking!H103&gt;0,"oc","va")</f>
        <v>oc</v>
      </c>
      <c r="E103" s="138" t="str">
        <f>IF(booking!I103&gt;0,"oc","va")</f>
        <v>oc</v>
      </c>
      <c r="F103" s="137" t="str">
        <f>IF(booking!L103&gt;0,"oc","va")</f>
        <v>oc</v>
      </c>
      <c r="G103" s="138" t="str">
        <f>IF(booking!M103&gt;0,"oc","va")</f>
        <v>oc</v>
      </c>
      <c r="H103" s="137" t="str">
        <f>IF(booking!P103&gt;0,"oc","va")</f>
        <v>va</v>
      </c>
      <c r="I103" s="138" t="str">
        <f>IF(booking!Q103&gt;0,"oc","va")</f>
        <v>oc</v>
      </c>
      <c r="J103" s="137" t="str">
        <f>IF(booking!T103&gt;0,"oc","va")</f>
        <v>oc</v>
      </c>
      <c r="K103" s="138" t="str">
        <f>IF(booking!U103&gt;0,"oc","va")</f>
        <v>oc</v>
      </c>
      <c r="L103" s="137" t="str">
        <f>IF(booking!X103&gt;0,"oc","va")</f>
        <v>va</v>
      </c>
      <c r="M103" s="138" t="str">
        <f>IF(booking!Y103&gt;0,"oc","va")</f>
        <v>va</v>
      </c>
    </row>
    <row r="104" spans="1:13" x14ac:dyDescent="0.35">
      <c r="A104" s="5">
        <f>booking!C104</f>
        <v>46241</v>
      </c>
      <c r="B104" s="137" t="str">
        <f>IF(booking!D104&gt;0,"oc","va")</f>
        <v>oc</v>
      </c>
      <c r="C104" s="138" t="str">
        <f>IF(booking!E104&gt;0,"oc","va")</f>
        <v>oc</v>
      </c>
      <c r="D104" s="137" t="str">
        <f>IF(booking!H104&gt;0,"oc","va")</f>
        <v>oc</v>
      </c>
      <c r="E104" s="138" t="str">
        <f>IF(booking!I104&gt;0,"oc","va")</f>
        <v>oc</v>
      </c>
      <c r="F104" s="137" t="str">
        <f>IF(booking!L104&gt;0,"oc","va")</f>
        <v>oc</v>
      </c>
      <c r="G104" s="138" t="str">
        <f>IF(booking!M104&gt;0,"oc","va")</f>
        <v>oc</v>
      </c>
      <c r="H104" s="137" t="str">
        <f>IF(booking!P104&gt;0,"oc","va")</f>
        <v>oc</v>
      </c>
      <c r="I104" s="138" t="str">
        <f>IF(booking!Q104&gt;0,"oc","va")</f>
        <v>oc</v>
      </c>
      <c r="J104" s="137" t="str">
        <f>IF(booking!T104&gt;0,"oc","va")</f>
        <v>oc</v>
      </c>
      <c r="K104" s="138" t="str">
        <f>IF(booking!U104&gt;0,"oc","va")</f>
        <v>va</v>
      </c>
      <c r="L104" s="137" t="str">
        <f>IF(booking!X104&gt;0,"oc","va")</f>
        <v>va</v>
      </c>
      <c r="M104" s="138" t="str">
        <f>IF(booking!Y104&gt;0,"oc","va")</f>
        <v>va</v>
      </c>
    </row>
    <row r="105" spans="1:13" x14ac:dyDescent="0.35">
      <c r="A105" s="5">
        <f>booking!C105</f>
        <v>46242</v>
      </c>
      <c r="B105" s="137" t="str">
        <f>IF(booking!D105&gt;0,"oc","va")</f>
        <v>oc</v>
      </c>
      <c r="C105" s="138" t="str">
        <f>IF(booking!E105&gt;0,"oc","va")</f>
        <v>va</v>
      </c>
      <c r="D105" s="137" t="str">
        <f>IF(booking!H105&gt;0,"oc","va")</f>
        <v>oc</v>
      </c>
      <c r="E105" s="138" t="str">
        <f>IF(booking!I105&gt;0,"oc","va")</f>
        <v>oc</v>
      </c>
      <c r="F105" s="137" t="str">
        <f>IF(booking!L105&gt;0,"oc","va")</f>
        <v>oc</v>
      </c>
      <c r="G105" s="138" t="str">
        <f>IF(booking!M105&gt;0,"oc","va")</f>
        <v>oc</v>
      </c>
      <c r="H105" s="137" t="str">
        <f>IF(booking!P105&gt;0,"oc","va")</f>
        <v>oc</v>
      </c>
      <c r="I105" s="138" t="str">
        <f>IF(booking!Q105&gt;0,"oc","va")</f>
        <v>oc</v>
      </c>
      <c r="J105" s="137" t="str">
        <f>IF(booking!T105&gt;0,"oc","va")</f>
        <v>va</v>
      </c>
      <c r="K105" s="138" t="str">
        <f>IF(booking!U105&gt;0,"oc","va")</f>
        <v>va</v>
      </c>
      <c r="L105" s="137" t="str">
        <f>IF(booking!X105&gt;0,"oc","va")</f>
        <v>va</v>
      </c>
      <c r="M105" s="138" t="str">
        <f>IF(booking!Y105&gt;0,"oc","va")</f>
        <v>va</v>
      </c>
    </row>
    <row r="106" spans="1:13" x14ac:dyDescent="0.35">
      <c r="A106" s="5">
        <f>booking!C106</f>
        <v>46243</v>
      </c>
      <c r="B106" s="137" t="str">
        <f>IF(booking!D106&gt;0,"oc","va")</f>
        <v>va</v>
      </c>
      <c r="C106" s="138" t="str">
        <f>IF(booking!E106&gt;0,"oc","va")</f>
        <v>va</v>
      </c>
      <c r="D106" s="137" t="str">
        <f>IF(booking!H106&gt;0,"oc","va")</f>
        <v>oc</v>
      </c>
      <c r="E106" s="138" t="str">
        <f>IF(booking!I106&gt;0,"oc","va")</f>
        <v>oc</v>
      </c>
      <c r="F106" s="137" t="str">
        <f>IF(booking!L106&gt;0,"oc","va")</f>
        <v>oc</v>
      </c>
      <c r="G106" s="138" t="str">
        <f>IF(booking!M106&gt;0,"oc","va")</f>
        <v>oc</v>
      </c>
      <c r="H106" s="137" t="str">
        <f>IF(booking!P106&gt;0,"oc","va")</f>
        <v>oc</v>
      </c>
      <c r="I106" s="138" t="str">
        <f>IF(booking!Q106&gt;0,"oc","va")</f>
        <v>va</v>
      </c>
      <c r="J106" s="137" t="str">
        <f>IF(booking!T106&gt;0,"oc","va")</f>
        <v>va</v>
      </c>
      <c r="K106" s="138" t="str">
        <f>IF(booking!U106&gt;0,"oc","va")</f>
        <v>va</v>
      </c>
      <c r="L106" s="137" t="str">
        <f>IF(booking!X106&gt;0,"oc","va")</f>
        <v>va</v>
      </c>
      <c r="M106" s="138" t="str">
        <f>IF(booking!Y106&gt;0,"oc","va")</f>
        <v>va</v>
      </c>
    </row>
    <row r="107" spans="1:13" x14ac:dyDescent="0.35">
      <c r="A107" s="5">
        <f>booking!C107</f>
        <v>46244</v>
      </c>
      <c r="B107" s="137" t="str">
        <f>IF(booking!D107&gt;0,"oc","va")</f>
        <v>va</v>
      </c>
      <c r="C107" s="138" t="str">
        <f>IF(booking!E107&gt;0,"oc","va")</f>
        <v>oc</v>
      </c>
      <c r="D107" s="137" t="str">
        <f>IF(booking!H107&gt;0,"oc","va")</f>
        <v>oc</v>
      </c>
      <c r="E107" s="138" t="str">
        <f>IF(booking!I107&gt;0,"oc","va")</f>
        <v>oc</v>
      </c>
      <c r="F107" s="137" t="str">
        <f>IF(booking!L107&gt;0,"oc","va")</f>
        <v>oc</v>
      </c>
      <c r="G107" s="138" t="str">
        <f>IF(booking!M107&gt;0,"oc","va")</f>
        <v>oc</v>
      </c>
      <c r="H107" s="137" t="str">
        <f>IF(booking!P107&gt;0,"oc","va")</f>
        <v>va</v>
      </c>
      <c r="I107" s="138" t="str">
        <f>IF(booking!Q107&gt;0,"oc","va")</f>
        <v>va</v>
      </c>
      <c r="J107" s="137" t="str">
        <f>IF(booking!T107&gt;0,"oc","va")</f>
        <v>va</v>
      </c>
      <c r="K107" s="138" t="str">
        <f>IF(booking!U107&gt;0,"oc","va")</f>
        <v>va</v>
      </c>
      <c r="L107" s="137" t="str">
        <f>IF(booking!X107&gt;0,"oc","va")</f>
        <v>va</v>
      </c>
      <c r="M107" s="138" t="str">
        <f>IF(booking!Y107&gt;0,"oc","va")</f>
        <v>va</v>
      </c>
    </row>
    <row r="108" spans="1:13" x14ac:dyDescent="0.35">
      <c r="A108" s="5">
        <f>booking!C108</f>
        <v>46245</v>
      </c>
      <c r="B108" s="137" t="str">
        <f>IF(booking!D108&gt;0,"oc","va")</f>
        <v>oc</v>
      </c>
      <c r="C108" s="138" t="str">
        <f>IF(booking!E108&gt;0,"oc","va")</f>
        <v>oc</v>
      </c>
      <c r="D108" s="137" t="str">
        <f>IF(booking!H108&gt;0,"oc","va")</f>
        <v>oc</v>
      </c>
      <c r="E108" s="138" t="str">
        <f>IF(booking!I108&gt;0,"oc","va")</f>
        <v>oc</v>
      </c>
      <c r="F108" s="137" t="str">
        <f>IF(booking!L108&gt;0,"oc","va")</f>
        <v>oc</v>
      </c>
      <c r="G108" s="138" t="str">
        <f>IF(booking!M108&gt;0,"oc","va")</f>
        <v>oc</v>
      </c>
      <c r="H108" s="137" t="str">
        <f>IF(booking!P108&gt;0,"oc","va")</f>
        <v>va</v>
      </c>
      <c r="I108" s="138" t="str">
        <f>IF(booking!Q108&gt;0,"oc","va")</f>
        <v>va</v>
      </c>
      <c r="J108" s="137" t="str">
        <f>IF(booking!T108&gt;0,"oc","va")</f>
        <v>va</v>
      </c>
      <c r="K108" s="138" t="str">
        <f>IF(booking!U108&gt;0,"oc","va")</f>
        <v>va</v>
      </c>
      <c r="L108" s="137" t="str">
        <f>IF(booking!X108&gt;0,"oc","va")</f>
        <v>va</v>
      </c>
      <c r="M108" s="138" t="str">
        <f>IF(booking!Y108&gt;0,"oc","va")</f>
        <v>va</v>
      </c>
    </row>
    <row r="109" spans="1:13" x14ac:dyDescent="0.35">
      <c r="A109" s="5">
        <f>booking!C109</f>
        <v>46246</v>
      </c>
      <c r="B109" s="137" t="str">
        <f>IF(booking!D109&gt;0,"oc","va")</f>
        <v>oc</v>
      </c>
      <c r="C109" s="138" t="str">
        <f>IF(booking!E109&gt;0,"oc","va")</f>
        <v>oc</v>
      </c>
      <c r="D109" s="137" t="str">
        <f>IF(booking!H109&gt;0,"oc","va")</f>
        <v>oc</v>
      </c>
      <c r="E109" s="138" t="str">
        <f>IF(booking!I109&gt;0,"oc","va")</f>
        <v>oc</v>
      </c>
      <c r="F109" s="137" t="str">
        <f>IF(booking!L109&gt;0,"oc","va")</f>
        <v>oc</v>
      </c>
      <c r="G109" s="138" t="str">
        <f>IF(booking!M109&gt;0,"oc","va")</f>
        <v>oc</v>
      </c>
      <c r="H109" s="137" t="str">
        <f>IF(booking!P109&gt;0,"oc","va")</f>
        <v>va</v>
      </c>
      <c r="I109" s="138" t="str">
        <f>IF(booking!Q109&gt;0,"oc","va")</f>
        <v>oc</v>
      </c>
      <c r="J109" s="137" t="str">
        <f>IF(booking!T109&gt;0,"oc","va")</f>
        <v>va</v>
      </c>
      <c r="K109" s="138" t="str">
        <f>IF(booking!U109&gt;0,"oc","va")</f>
        <v>oc</v>
      </c>
      <c r="L109" s="137" t="str">
        <f>IF(booking!X109&gt;0,"oc","va")</f>
        <v>va</v>
      </c>
      <c r="M109" s="138" t="str">
        <f>IF(booking!Y109&gt;0,"oc","va")</f>
        <v>va</v>
      </c>
    </row>
    <row r="110" spans="1:13" x14ac:dyDescent="0.35">
      <c r="A110" s="5">
        <f>booking!C110</f>
        <v>46247</v>
      </c>
      <c r="B110" s="137" t="str">
        <f>IF(booking!D110&gt;0,"oc","va")</f>
        <v>oc</v>
      </c>
      <c r="C110" s="138" t="str">
        <f>IF(booking!E110&gt;0,"oc","va")</f>
        <v>oc</v>
      </c>
      <c r="D110" s="137" t="str">
        <f>IF(booking!H110&gt;0,"oc","va")</f>
        <v>oc</v>
      </c>
      <c r="E110" s="138" t="str">
        <f>IF(booking!I110&gt;0,"oc","va")</f>
        <v>oc</v>
      </c>
      <c r="F110" s="137" t="str">
        <f>IF(booking!L110&gt;0,"oc","va")</f>
        <v>oc</v>
      </c>
      <c r="G110" s="138" t="str">
        <f>IF(booking!M110&gt;0,"oc","va")</f>
        <v>oc</v>
      </c>
      <c r="H110" s="137" t="str">
        <f>IF(booking!P110&gt;0,"oc","va")</f>
        <v>oc</v>
      </c>
      <c r="I110" s="138" t="str">
        <f>IF(booking!Q110&gt;0,"oc","va")</f>
        <v>oc</v>
      </c>
      <c r="J110" s="137" t="str">
        <f>IF(booking!T110&gt;0,"oc","va")</f>
        <v>oc</v>
      </c>
      <c r="K110" s="138" t="str">
        <f>IF(booking!U110&gt;0,"oc","va")</f>
        <v>oc</v>
      </c>
      <c r="L110" s="137" t="str">
        <f>IF(booking!X110&gt;0,"oc","va")</f>
        <v>va</v>
      </c>
      <c r="M110" s="138" t="str">
        <f>IF(booking!Y110&gt;0,"oc","va")</f>
        <v>va</v>
      </c>
    </row>
    <row r="111" spans="1:13" x14ac:dyDescent="0.35">
      <c r="A111" s="5">
        <f>booking!C111</f>
        <v>46248</v>
      </c>
      <c r="B111" s="137" t="str">
        <f>IF(booking!D111&gt;0,"oc","va")</f>
        <v>oc</v>
      </c>
      <c r="C111" s="138" t="str">
        <f>IF(booking!E111&gt;0,"oc","va")</f>
        <v>va</v>
      </c>
      <c r="D111" s="137" t="str">
        <f>IF(booking!H111&gt;0,"oc","va")</f>
        <v>oc</v>
      </c>
      <c r="E111" s="138" t="str">
        <f>IF(booking!I111&gt;0,"oc","va")</f>
        <v>oc</v>
      </c>
      <c r="F111" s="137" t="str">
        <f>IF(booking!L111&gt;0,"oc","va")</f>
        <v>oc</v>
      </c>
      <c r="G111" s="138" t="str">
        <f>IF(booking!M111&gt;0,"oc","va")</f>
        <v>oc</v>
      </c>
      <c r="H111" s="137" t="str">
        <f>IF(booking!P111&gt;0,"oc","va")</f>
        <v>oc</v>
      </c>
      <c r="I111" s="138" t="str">
        <f>IF(booking!Q111&gt;0,"oc","va")</f>
        <v>oc</v>
      </c>
      <c r="J111" s="137" t="str">
        <f>IF(booking!T111&gt;0,"oc","va")</f>
        <v>oc</v>
      </c>
      <c r="K111" s="138" t="str">
        <f>IF(booking!U111&gt;0,"oc","va")</f>
        <v>oc</v>
      </c>
      <c r="L111" s="137" t="str">
        <f>IF(booking!X111&gt;0,"oc","va")</f>
        <v>va</v>
      </c>
      <c r="M111" s="138" t="str">
        <f>IF(booking!Y111&gt;0,"oc","va")</f>
        <v>va</v>
      </c>
    </row>
    <row r="112" spans="1:13" x14ac:dyDescent="0.35">
      <c r="A112" s="5">
        <f>booking!C112</f>
        <v>46249</v>
      </c>
      <c r="B112" s="137" t="str">
        <f>IF(booking!D112&gt;0,"oc","va")</f>
        <v>va</v>
      </c>
      <c r="C112" s="138" t="str">
        <f>IF(booking!E112&gt;0,"oc","va")</f>
        <v>va</v>
      </c>
      <c r="D112" s="137" t="str">
        <f>IF(booking!H112&gt;0,"oc","va")</f>
        <v>oc</v>
      </c>
      <c r="E112" s="138" t="str">
        <f>IF(booking!I112&gt;0,"oc","va")</f>
        <v>oc</v>
      </c>
      <c r="F112" s="137" t="str">
        <f>IF(booking!L112&gt;0,"oc","va")</f>
        <v>oc</v>
      </c>
      <c r="G112" s="138" t="str">
        <f>IF(booking!M112&gt;0,"oc","va")</f>
        <v>oc</v>
      </c>
      <c r="H112" s="137" t="str">
        <f>IF(booking!P112&gt;0,"oc","va")</f>
        <v>oc</v>
      </c>
      <c r="I112" s="138" t="str">
        <f>IF(booking!Q112&gt;0,"oc","va")</f>
        <v>oc</v>
      </c>
      <c r="J112" s="137" t="str">
        <f>IF(booking!T112&gt;0,"oc","va")</f>
        <v>oc</v>
      </c>
      <c r="K112" s="138" t="str">
        <f>IF(booking!U112&gt;0,"oc","va")</f>
        <v>oc</v>
      </c>
      <c r="L112" s="137" t="str">
        <f>IF(booking!X112&gt;0,"oc","va")</f>
        <v>va</v>
      </c>
      <c r="M112" s="138" t="str">
        <f>IF(booking!Y112&gt;0,"oc","va")</f>
        <v>va</v>
      </c>
    </row>
    <row r="113" spans="1:13" x14ac:dyDescent="0.35">
      <c r="A113" s="5">
        <f>booking!C113</f>
        <v>46250</v>
      </c>
      <c r="B113" s="137" t="str">
        <f>IF(booking!D113&gt;0,"oc","va")</f>
        <v>va</v>
      </c>
      <c r="C113" s="138" t="str">
        <f>IF(booking!E113&gt;0,"oc","va")</f>
        <v>va</v>
      </c>
      <c r="D113" s="137" t="str">
        <f>IF(booking!H113&gt;0,"oc","va")</f>
        <v>oc</v>
      </c>
      <c r="E113" s="138" t="str">
        <f>IF(booking!I113&gt;0,"oc","va")</f>
        <v>oc</v>
      </c>
      <c r="F113" s="137" t="str">
        <f>IF(booking!L113&gt;0,"oc","va")</f>
        <v>oc</v>
      </c>
      <c r="G113" s="138" t="str">
        <f>IF(booking!M113&gt;0,"oc","va")</f>
        <v>va</v>
      </c>
      <c r="H113" s="137" t="str">
        <f>IF(booking!P113&gt;0,"oc","va")</f>
        <v>oc</v>
      </c>
      <c r="I113" s="138" t="str">
        <f>IF(booking!Q113&gt;0,"oc","va")</f>
        <v>oc</v>
      </c>
      <c r="J113" s="137" t="str">
        <f>IF(booking!T113&gt;0,"oc","va")</f>
        <v>oc</v>
      </c>
      <c r="K113" s="138" t="str">
        <f>IF(booking!U113&gt;0,"oc","va")</f>
        <v>va</v>
      </c>
      <c r="L113" s="137" t="str">
        <f>IF(booking!X113&gt;0,"oc","va")</f>
        <v>va</v>
      </c>
      <c r="M113" s="138" t="str">
        <f>IF(booking!Y113&gt;0,"oc","va")</f>
        <v>va</v>
      </c>
    </row>
    <row r="114" spans="1:13" x14ac:dyDescent="0.35">
      <c r="A114" s="5">
        <f>booking!C114</f>
        <v>46251</v>
      </c>
      <c r="B114" s="137" t="str">
        <f>IF(booking!D114&gt;0,"oc","va")</f>
        <v>va</v>
      </c>
      <c r="C114" s="138" t="str">
        <f>IF(booking!E114&gt;0,"oc","va")</f>
        <v>oc</v>
      </c>
      <c r="D114" s="137" t="str">
        <f>IF(booking!H114&gt;0,"oc","va")</f>
        <v>oc</v>
      </c>
      <c r="E114" s="138" t="str">
        <f>IF(booking!I114&gt;0,"oc","va")</f>
        <v>oc</v>
      </c>
      <c r="F114" s="137" t="str">
        <f>IF(booking!L114&gt;0,"oc","va")</f>
        <v>va</v>
      </c>
      <c r="G114" s="138" t="str">
        <f>IF(booking!M114&gt;0,"oc","va")</f>
        <v>oc</v>
      </c>
      <c r="H114" s="137" t="str">
        <f>IF(booking!P114&gt;0,"oc","va")</f>
        <v>oc</v>
      </c>
      <c r="I114" s="138" t="str">
        <f>IF(booking!Q114&gt;0,"oc","va")</f>
        <v>oc</v>
      </c>
      <c r="J114" s="137" t="str">
        <f>IF(booking!T114&gt;0,"oc","va")</f>
        <v>va</v>
      </c>
      <c r="K114" s="138" t="str">
        <f>IF(booking!U114&gt;0,"oc","va")</f>
        <v>oc</v>
      </c>
      <c r="L114" s="137" t="str">
        <f>IF(booking!X114&gt;0,"oc","va")</f>
        <v>va</v>
      </c>
      <c r="M114" s="138" t="str">
        <f>IF(booking!Y114&gt;0,"oc","va")</f>
        <v>va</v>
      </c>
    </row>
    <row r="115" spans="1:13" x14ac:dyDescent="0.35">
      <c r="A115" s="5">
        <f>booking!C115</f>
        <v>46252</v>
      </c>
      <c r="B115" s="137" t="str">
        <f>IF(booking!D115&gt;0,"oc","va")</f>
        <v>oc</v>
      </c>
      <c r="C115" s="138" t="str">
        <f>IF(booking!E115&gt;0,"oc","va")</f>
        <v>oc</v>
      </c>
      <c r="D115" s="137" t="str">
        <f>IF(booking!H115&gt;0,"oc","va")</f>
        <v>oc</v>
      </c>
      <c r="E115" s="138" t="str">
        <f>IF(booking!I115&gt;0,"oc","va")</f>
        <v>va</v>
      </c>
      <c r="F115" s="137" t="str">
        <f>IF(booking!L115&gt;0,"oc","va")</f>
        <v>oc</v>
      </c>
      <c r="G115" s="138" t="str">
        <f>IF(booking!M115&gt;0,"oc","va")</f>
        <v>oc</v>
      </c>
      <c r="H115" s="137" t="str">
        <f>IF(booking!P115&gt;0,"oc","va")</f>
        <v>oc</v>
      </c>
      <c r="I115" s="138" t="str">
        <f>IF(booking!Q115&gt;0,"oc","va")</f>
        <v>oc</v>
      </c>
      <c r="J115" s="137" t="str">
        <f>IF(booking!T115&gt;0,"oc","va")</f>
        <v>oc</v>
      </c>
      <c r="K115" s="138" t="str">
        <f>IF(booking!U115&gt;0,"oc","va")</f>
        <v>oc</v>
      </c>
      <c r="L115" s="137" t="str">
        <f>IF(booking!X115&gt;0,"oc","va")</f>
        <v>va</v>
      </c>
      <c r="M115" s="138" t="str">
        <f>IF(booking!Y115&gt;0,"oc","va")</f>
        <v>va</v>
      </c>
    </row>
    <row r="116" spans="1:13" x14ac:dyDescent="0.35">
      <c r="A116" s="5">
        <f>booking!C116</f>
        <v>46253</v>
      </c>
      <c r="B116" s="137" t="str">
        <f>IF(booking!D116&gt;0,"oc","va")</f>
        <v>oc</v>
      </c>
      <c r="C116" s="138" t="str">
        <f>IF(booking!E116&gt;0,"oc","va")</f>
        <v>oc</v>
      </c>
      <c r="D116" s="137" t="str">
        <f>IF(booking!H116&gt;0,"oc","va")</f>
        <v>va</v>
      </c>
      <c r="E116" s="138" t="str">
        <f>IF(booking!I116&gt;0,"oc","va")</f>
        <v>va</v>
      </c>
      <c r="F116" s="137" t="str">
        <f>IF(booking!L116&gt;0,"oc","va")</f>
        <v>oc</v>
      </c>
      <c r="G116" s="138" t="str">
        <f>IF(booking!M116&gt;0,"oc","va")</f>
        <v>oc</v>
      </c>
      <c r="H116" s="137" t="str">
        <f>IF(booking!P116&gt;0,"oc","va")</f>
        <v>oc</v>
      </c>
      <c r="I116" s="138" t="str">
        <f>IF(booking!Q116&gt;0,"oc","va")</f>
        <v>oc</v>
      </c>
      <c r="J116" s="137" t="str">
        <f>IF(booking!T116&gt;0,"oc","va")</f>
        <v>oc</v>
      </c>
      <c r="K116" s="138" t="str">
        <f>IF(booking!U116&gt;0,"oc","va")</f>
        <v>oc</v>
      </c>
      <c r="L116" s="137" t="str">
        <f>IF(booking!X116&gt;0,"oc","va")</f>
        <v>va</v>
      </c>
      <c r="M116" s="138" t="str">
        <f>IF(booking!Y116&gt;0,"oc","va")</f>
        <v>va</v>
      </c>
    </row>
    <row r="117" spans="1:13" x14ac:dyDescent="0.35">
      <c r="A117" s="5">
        <f>booking!C117</f>
        <v>46254</v>
      </c>
      <c r="B117" s="137" t="str">
        <f>IF(booking!D117&gt;0,"oc","va")</f>
        <v>oc</v>
      </c>
      <c r="C117" s="138" t="str">
        <f>IF(booking!E117&gt;0,"oc","va")</f>
        <v>oc</v>
      </c>
      <c r="D117" s="137" t="str">
        <f>IF(booking!H117&gt;0,"oc","va")</f>
        <v>va</v>
      </c>
      <c r="E117" s="138" t="str">
        <f>IF(booking!I117&gt;0,"oc","va")</f>
        <v>oc</v>
      </c>
      <c r="F117" s="137" t="str">
        <f>IF(booking!L117&gt;0,"oc","va")</f>
        <v>oc</v>
      </c>
      <c r="G117" s="138" t="str">
        <f>IF(booking!M117&gt;0,"oc","va")</f>
        <v>oc</v>
      </c>
      <c r="H117" s="137" t="str">
        <f>IF(booking!P117&gt;0,"oc","va")</f>
        <v>oc</v>
      </c>
      <c r="I117" s="138" t="str">
        <f>IF(booking!Q117&gt;0,"oc","va")</f>
        <v>oc</v>
      </c>
      <c r="J117" s="137" t="str">
        <f>IF(booking!T117&gt;0,"oc","va")</f>
        <v>oc</v>
      </c>
      <c r="K117" s="138" t="str">
        <f>IF(booking!U117&gt;0,"oc","va")</f>
        <v>oc</v>
      </c>
      <c r="L117" s="137" t="str">
        <f>IF(booking!X117&gt;0,"oc","va")</f>
        <v>va</v>
      </c>
      <c r="M117" s="138" t="str">
        <f>IF(booking!Y117&gt;0,"oc","va")</f>
        <v>oc</v>
      </c>
    </row>
    <row r="118" spans="1:13" x14ac:dyDescent="0.35">
      <c r="A118" s="5">
        <f>booking!C118</f>
        <v>46255</v>
      </c>
      <c r="B118" s="137" t="str">
        <f>IF(booking!D118&gt;0,"oc","va")</f>
        <v>oc</v>
      </c>
      <c r="C118" s="138" t="str">
        <f>IF(booking!E118&gt;0,"oc","va")</f>
        <v>va</v>
      </c>
      <c r="D118" s="137" t="str">
        <f>IF(booking!H118&gt;0,"oc","va")</f>
        <v>oc</v>
      </c>
      <c r="E118" s="138" t="str">
        <f>IF(booking!I118&gt;0,"oc","va")</f>
        <v>oc</v>
      </c>
      <c r="F118" s="137" t="str">
        <f>IF(booking!L118&gt;0,"oc","va")</f>
        <v>oc</v>
      </c>
      <c r="G118" s="138" t="str">
        <f>IF(booking!M118&gt;0,"oc","va")</f>
        <v>oc</v>
      </c>
      <c r="H118" s="137" t="str">
        <f>IF(booking!P118&gt;0,"oc","va")</f>
        <v>oc</v>
      </c>
      <c r="I118" s="138" t="str">
        <f>IF(booking!Q118&gt;0,"oc","va")</f>
        <v>va</v>
      </c>
      <c r="J118" s="137" t="str">
        <f>IF(booking!T118&gt;0,"oc","va")</f>
        <v>oc</v>
      </c>
      <c r="K118" s="138" t="str">
        <f>IF(booking!U118&gt;0,"oc","va")</f>
        <v>oc</v>
      </c>
      <c r="L118" s="137" t="str">
        <f>IF(booking!X118&gt;0,"oc","va")</f>
        <v>oc</v>
      </c>
      <c r="M118" s="138" t="str">
        <f>IF(booking!Y118&gt;0,"oc","va")</f>
        <v>va</v>
      </c>
    </row>
    <row r="119" spans="1:13" x14ac:dyDescent="0.35">
      <c r="A119" s="5">
        <f>booking!C119</f>
        <v>46256</v>
      </c>
      <c r="B119" s="137" t="str">
        <f>IF(booking!D119&gt;0,"oc","va")</f>
        <v>va</v>
      </c>
      <c r="C119" s="138" t="str">
        <f>IF(booking!E119&gt;0,"oc","va")</f>
        <v>oc</v>
      </c>
      <c r="D119" s="137" t="str">
        <f>IF(booking!H119&gt;0,"oc","va")</f>
        <v>oc</v>
      </c>
      <c r="E119" s="138" t="str">
        <f>IF(booking!I119&gt;0,"oc","va")</f>
        <v>oc</v>
      </c>
      <c r="F119" s="137" t="str">
        <f>IF(booking!L119&gt;0,"oc","va")</f>
        <v>oc</v>
      </c>
      <c r="G119" s="138" t="str">
        <f>IF(booking!M119&gt;0,"oc","va")</f>
        <v>oc</v>
      </c>
      <c r="H119" s="137" t="str">
        <f>IF(booking!P119&gt;0,"oc","va")</f>
        <v>va</v>
      </c>
      <c r="I119" s="138" t="str">
        <f>IF(booking!Q119&gt;0,"oc","va")</f>
        <v>va</v>
      </c>
      <c r="J119" s="137" t="str">
        <f>IF(booking!T119&gt;0,"oc","va")</f>
        <v>oc</v>
      </c>
      <c r="K119" s="138" t="str">
        <f>IF(booking!U119&gt;0,"oc","va")</f>
        <v>oc</v>
      </c>
      <c r="L119" s="137" t="str">
        <f>IF(booking!X119&gt;0,"oc","va")</f>
        <v>va</v>
      </c>
      <c r="M119" s="138" t="str">
        <f>IF(booking!Y119&gt;0,"oc","va")</f>
        <v>va</v>
      </c>
    </row>
    <row r="120" spans="1:13" x14ac:dyDescent="0.35">
      <c r="A120" s="5">
        <f>booking!C120</f>
        <v>46257</v>
      </c>
      <c r="B120" s="137" t="str">
        <f>IF(booking!D120&gt;0,"oc","va")</f>
        <v>oc</v>
      </c>
      <c r="C120" s="138" t="str">
        <f>IF(booking!E120&gt;0,"oc","va")</f>
        <v>oc</v>
      </c>
      <c r="D120" s="137" t="str">
        <f>IF(booking!H120&gt;0,"oc","va")</f>
        <v>oc</v>
      </c>
      <c r="E120" s="138" t="str">
        <f>IF(booking!I120&gt;0,"oc","va")</f>
        <v>va</v>
      </c>
      <c r="F120" s="137" t="str">
        <f>IF(booking!L120&gt;0,"oc","va")</f>
        <v>oc</v>
      </c>
      <c r="G120" s="138" t="str">
        <f>IF(booking!M120&gt;0,"oc","va")</f>
        <v>va</v>
      </c>
      <c r="H120" s="137" t="str">
        <f>IF(booking!P120&gt;0,"oc","va")</f>
        <v>va</v>
      </c>
      <c r="I120" s="138" t="str">
        <f>IF(booking!Q120&gt;0,"oc","va")</f>
        <v>va</v>
      </c>
      <c r="J120" s="137" t="str">
        <f>IF(booking!T120&gt;0,"oc","va")</f>
        <v>oc</v>
      </c>
      <c r="K120" s="138" t="str">
        <f>IF(booking!U120&gt;0,"oc","va")</f>
        <v>oc</v>
      </c>
      <c r="L120" s="137" t="str">
        <f>IF(booking!X120&gt;0,"oc","va")</f>
        <v>va</v>
      </c>
      <c r="M120" s="138" t="str">
        <f>IF(booking!Y120&gt;0,"oc","va")</f>
        <v>va</v>
      </c>
    </row>
    <row r="121" spans="1:13" x14ac:dyDescent="0.35">
      <c r="A121" s="5">
        <f>booking!C121</f>
        <v>46258</v>
      </c>
      <c r="B121" s="137" t="str">
        <f>IF(booking!D121&gt;0,"oc","va")</f>
        <v>oc</v>
      </c>
      <c r="C121" s="138" t="str">
        <f>IF(booking!E121&gt;0,"oc","va")</f>
        <v>oc</v>
      </c>
      <c r="D121" s="137" t="str">
        <f>IF(booking!H121&gt;0,"oc","va")</f>
        <v>va</v>
      </c>
      <c r="E121" s="138" t="str">
        <f>IF(booking!I121&gt;0,"oc","va")</f>
        <v>va</v>
      </c>
      <c r="F121" s="137" t="str">
        <f>IF(booking!L121&gt;0,"oc","va")</f>
        <v>va</v>
      </c>
      <c r="G121" s="138" t="str">
        <f>IF(booking!M121&gt;0,"oc","va")</f>
        <v>oc</v>
      </c>
      <c r="H121" s="137" t="str">
        <f>IF(booking!P121&gt;0,"oc","va")</f>
        <v>va</v>
      </c>
      <c r="I121" s="138" t="str">
        <f>IF(booking!Q121&gt;0,"oc","va")</f>
        <v>va</v>
      </c>
      <c r="J121" s="137" t="str">
        <f>IF(booking!T121&gt;0,"oc","va")</f>
        <v>oc</v>
      </c>
      <c r="K121" s="138" t="str">
        <f>IF(booking!U121&gt;0,"oc","va")</f>
        <v>oc</v>
      </c>
      <c r="L121" s="137" t="str">
        <f>IF(booking!X121&gt;0,"oc","va")</f>
        <v>va</v>
      </c>
      <c r="M121" s="138" t="str">
        <f>IF(booking!Y121&gt;0,"oc","va")</f>
        <v>va</v>
      </c>
    </row>
    <row r="122" spans="1:13" x14ac:dyDescent="0.35">
      <c r="A122" s="5">
        <f>booking!C122</f>
        <v>46259</v>
      </c>
      <c r="B122" s="137" t="str">
        <f>IF(booking!D122&gt;0,"oc","va")</f>
        <v>oc</v>
      </c>
      <c r="C122" s="138" t="str">
        <f>IF(booking!E122&gt;0,"oc","va")</f>
        <v>va</v>
      </c>
      <c r="D122" s="137" t="str">
        <f>IF(booking!H122&gt;0,"oc","va")</f>
        <v>va</v>
      </c>
      <c r="E122" s="138" t="str">
        <f>IF(booking!I122&gt;0,"oc","va")</f>
        <v>va</v>
      </c>
      <c r="F122" s="137" t="str">
        <f>IF(booking!L122&gt;0,"oc","va")</f>
        <v>oc</v>
      </c>
      <c r="G122" s="138" t="str">
        <f>IF(booking!M122&gt;0,"oc","va")</f>
        <v>oc</v>
      </c>
      <c r="H122" s="137" t="str">
        <f>IF(booking!P122&gt;0,"oc","va")</f>
        <v>va</v>
      </c>
      <c r="I122" s="138" t="str">
        <f>IF(booking!Q122&gt;0,"oc","va")</f>
        <v>va</v>
      </c>
      <c r="J122" s="137" t="str">
        <f>IF(booking!T122&gt;0,"oc","va")</f>
        <v>oc</v>
      </c>
      <c r="K122" s="138" t="str">
        <f>IF(booking!U122&gt;0,"oc","va")</f>
        <v>oc</v>
      </c>
      <c r="L122" s="137" t="str">
        <f>IF(booking!X122&gt;0,"oc","va")</f>
        <v>va</v>
      </c>
      <c r="M122" s="138" t="str">
        <f>IF(booking!Y122&gt;0,"oc","va")</f>
        <v>va</v>
      </c>
    </row>
    <row r="123" spans="1:13" x14ac:dyDescent="0.35">
      <c r="A123" s="5">
        <f>booking!C123</f>
        <v>46260</v>
      </c>
      <c r="B123" s="137" t="str">
        <f>IF(booking!D123&gt;0,"oc","va")</f>
        <v>va</v>
      </c>
      <c r="C123" s="138" t="str">
        <f>IF(booking!E123&gt;0,"oc","va")</f>
        <v>oc</v>
      </c>
      <c r="D123" s="137" t="str">
        <f>IF(booking!H123&gt;0,"oc","va")</f>
        <v>va</v>
      </c>
      <c r="E123" s="138" t="str">
        <f>IF(booking!I123&gt;0,"oc","va")</f>
        <v>oc</v>
      </c>
      <c r="F123" s="137" t="str">
        <f>IF(booking!L123&gt;0,"oc","va")</f>
        <v>oc</v>
      </c>
      <c r="G123" s="138" t="str">
        <f>IF(booking!M123&gt;0,"oc","va")</f>
        <v>oc</v>
      </c>
      <c r="H123" s="137" t="str">
        <f>IF(booking!P123&gt;0,"oc","va")</f>
        <v>va</v>
      </c>
      <c r="I123" s="138" t="str">
        <f>IF(booking!Q123&gt;0,"oc","va")</f>
        <v>oc</v>
      </c>
      <c r="J123" s="137" t="str">
        <f>IF(booking!T123&gt;0,"oc","va")</f>
        <v>oc</v>
      </c>
      <c r="K123" s="138" t="str">
        <f>IF(booking!U123&gt;0,"oc","va")</f>
        <v>oc</v>
      </c>
      <c r="L123" s="137" t="str">
        <f>IF(booking!X123&gt;0,"oc","va")</f>
        <v>va</v>
      </c>
      <c r="M123" s="138" t="str">
        <f>IF(booking!Y123&gt;0,"oc","va")</f>
        <v>va</v>
      </c>
    </row>
    <row r="124" spans="1:13" x14ac:dyDescent="0.35">
      <c r="A124" s="5">
        <f>booking!C124</f>
        <v>46261</v>
      </c>
      <c r="B124" s="137" t="str">
        <f>IF(booking!D124&gt;0,"oc","va")</f>
        <v>oc</v>
      </c>
      <c r="C124" s="138" t="str">
        <f>IF(booking!E124&gt;0,"oc","va")</f>
        <v>oc</v>
      </c>
      <c r="D124" s="137" t="str">
        <f>IF(booking!H124&gt;0,"oc","va")</f>
        <v>oc</v>
      </c>
      <c r="E124" s="138" t="str">
        <f>IF(booking!I124&gt;0,"oc","va")</f>
        <v>oc</v>
      </c>
      <c r="F124" s="137" t="str">
        <f>IF(booking!L124&gt;0,"oc","va")</f>
        <v>oc</v>
      </c>
      <c r="G124" s="138" t="str">
        <f>IF(booking!M124&gt;0,"oc","va")</f>
        <v>oc</v>
      </c>
      <c r="H124" s="137" t="str">
        <f>IF(booking!P124&gt;0,"oc","va")</f>
        <v>oc</v>
      </c>
      <c r="I124" s="138" t="str">
        <f>IF(booking!Q124&gt;0,"oc","va")</f>
        <v>oc</v>
      </c>
      <c r="J124" s="137" t="str">
        <f>IF(booking!T124&gt;0,"oc","va")</f>
        <v>oc</v>
      </c>
      <c r="K124" s="138" t="str">
        <f>IF(booking!U124&gt;0,"oc","va")</f>
        <v>va</v>
      </c>
      <c r="L124" s="137" t="str">
        <f>IF(booking!X124&gt;0,"oc","va")</f>
        <v>va</v>
      </c>
      <c r="M124" s="138" t="str">
        <f>IF(booking!Y124&gt;0,"oc","va")</f>
        <v>va</v>
      </c>
    </row>
    <row r="125" spans="1:13" x14ac:dyDescent="0.35">
      <c r="A125" s="5">
        <f>booking!C125</f>
        <v>46262</v>
      </c>
      <c r="B125" s="137" t="str">
        <f>IF(booking!D125&gt;0,"oc","va")</f>
        <v>oc</v>
      </c>
      <c r="C125" s="138" t="str">
        <f>IF(booking!E125&gt;0,"oc","va")</f>
        <v>oc</v>
      </c>
      <c r="D125" s="137" t="str">
        <f>IF(booking!H125&gt;0,"oc","va")</f>
        <v>oc</v>
      </c>
      <c r="E125" s="138" t="str">
        <f>IF(booking!I125&gt;0,"oc","va")</f>
        <v>oc</v>
      </c>
      <c r="F125" s="137" t="str">
        <f>IF(booking!L125&gt;0,"oc","va")</f>
        <v>oc</v>
      </c>
      <c r="G125" s="138" t="str">
        <f>IF(booking!M125&gt;0,"oc","va")</f>
        <v>va</v>
      </c>
      <c r="H125" s="137" t="str">
        <f>IF(booking!P125&gt;0,"oc","va")</f>
        <v>oc</v>
      </c>
      <c r="I125" s="138" t="str">
        <f>IF(booking!Q125&gt;0,"oc","va")</f>
        <v>oc</v>
      </c>
      <c r="J125" s="137" t="str">
        <f>IF(booking!T125&gt;0,"oc","va")</f>
        <v>oc</v>
      </c>
      <c r="K125" s="138" t="str">
        <f>IF(booking!U125&gt;0,"oc","va")</f>
        <v>oc</v>
      </c>
      <c r="L125" s="137" t="str">
        <f>IF(booking!X125&gt;0,"oc","va")</f>
        <v>va</v>
      </c>
      <c r="M125" s="138" t="str">
        <f>IF(booking!Y125&gt;0,"oc","va")</f>
        <v>va</v>
      </c>
    </row>
    <row r="126" spans="1:13" x14ac:dyDescent="0.35">
      <c r="A126" s="5">
        <f>booking!C126</f>
        <v>46263</v>
      </c>
      <c r="B126" s="137" t="str">
        <f>IF(booking!D126&gt;0,"oc","va")</f>
        <v>oc</v>
      </c>
      <c r="C126" s="138" t="str">
        <f>IF(booking!E126&gt;0,"oc","va")</f>
        <v>oc</v>
      </c>
      <c r="D126" s="137" t="str">
        <f>IF(booking!H126&gt;0,"oc","va")</f>
        <v>oc</v>
      </c>
      <c r="E126" s="138" t="str">
        <f>IF(booking!I126&gt;0,"oc","va")</f>
        <v>oc</v>
      </c>
      <c r="F126" s="137" t="str">
        <f>IF(booking!L126&gt;0,"oc","va")</f>
        <v>va</v>
      </c>
      <c r="G126" s="138" t="str">
        <f>IF(booking!M126&gt;0,"oc","va")</f>
        <v>va</v>
      </c>
      <c r="H126" s="137" t="str">
        <f>IF(booking!P126&gt;0,"oc","va")</f>
        <v>oc</v>
      </c>
      <c r="I126" s="138" t="str">
        <f>IF(booking!Q126&gt;0,"oc","va")</f>
        <v>oc</v>
      </c>
      <c r="J126" s="137" t="str">
        <f>IF(booking!T126&gt;0,"oc","va")</f>
        <v>oc</v>
      </c>
      <c r="K126" s="138" t="str">
        <f>IF(booking!U126&gt;0,"oc","va")</f>
        <v>oc</v>
      </c>
      <c r="L126" s="137" t="str">
        <f>IF(booking!X126&gt;0,"oc","va")</f>
        <v>va</v>
      </c>
      <c r="M126" s="138" t="str">
        <f>IF(booking!Y126&gt;0,"oc","va")</f>
        <v>va</v>
      </c>
    </row>
    <row r="127" spans="1:13" x14ac:dyDescent="0.35">
      <c r="A127" s="5">
        <f>booking!C127</f>
        <v>46264</v>
      </c>
      <c r="B127" s="137" t="str">
        <f>IF(booking!D127&gt;0,"oc","va")</f>
        <v>oc</v>
      </c>
      <c r="C127" s="138" t="str">
        <f>IF(booking!E127&gt;0,"oc","va")</f>
        <v>oc</v>
      </c>
      <c r="D127" s="137" t="str">
        <f>IF(booking!H127&gt;0,"oc","va")</f>
        <v>oc</v>
      </c>
      <c r="E127" s="138" t="str">
        <f>IF(booking!I127&gt;0,"oc","va")</f>
        <v>va</v>
      </c>
      <c r="F127" s="137" t="str">
        <f>IF(booking!L127&gt;0,"oc","va")</f>
        <v>va</v>
      </c>
      <c r="G127" s="138" t="str">
        <f>IF(booking!M127&gt;0,"oc","va")</f>
        <v>va</v>
      </c>
      <c r="H127" s="137" t="str">
        <f>IF(booking!P127&gt;0,"oc","va")</f>
        <v>oc</v>
      </c>
      <c r="I127" s="138" t="str">
        <f>IF(booking!Q127&gt;0,"oc","va")</f>
        <v>oc</v>
      </c>
      <c r="J127" s="137" t="str">
        <f>IF(booking!T127&gt;0,"oc","va")</f>
        <v>oc</v>
      </c>
      <c r="K127" s="138" t="str">
        <f>IF(booking!U127&gt;0,"oc","va")</f>
        <v>oc</v>
      </c>
      <c r="L127" s="137" t="str">
        <f>IF(booking!X127&gt;0,"oc","va")</f>
        <v>va</v>
      </c>
      <c r="M127" s="138" t="str">
        <f>IF(booking!Y127&gt;0,"oc","va")</f>
        <v>va</v>
      </c>
    </row>
    <row r="128" spans="1:13" x14ac:dyDescent="0.35">
      <c r="A128" s="5">
        <f>booking!C128</f>
        <v>46265</v>
      </c>
      <c r="B128" s="137" t="str">
        <f>IF(booking!D128&gt;0,"oc","va")</f>
        <v>oc</v>
      </c>
      <c r="C128" s="138" t="str">
        <f>IF(booking!E128&gt;0,"oc","va")</f>
        <v>va</v>
      </c>
      <c r="D128" s="137" t="str">
        <f>IF(booking!H128&gt;0,"oc","va")</f>
        <v>va</v>
      </c>
      <c r="E128" s="138" t="str">
        <f>IF(booking!I128&gt;0,"oc","va")</f>
        <v>va</v>
      </c>
      <c r="F128" s="137" t="str">
        <f>IF(booking!L128&gt;0,"oc","va")</f>
        <v>va</v>
      </c>
      <c r="G128" s="138" t="str">
        <f>IF(booking!M128&gt;0,"oc","va")</f>
        <v>va</v>
      </c>
      <c r="H128" s="137" t="str">
        <f>IF(booking!P128&gt;0,"oc","va")</f>
        <v>oc</v>
      </c>
      <c r="I128" s="138" t="str">
        <f>IF(booking!Q128&gt;0,"oc","va")</f>
        <v>oc</v>
      </c>
      <c r="J128" s="137" t="str">
        <f>IF(booking!T128&gt;0,"oc","va")</f>
        <v>oc</v>
      </c>
      <c r="K128" s="138" t="str">
        <f>IF(booking!U128&gt;0,"oc","va")</f>
        <v>va</v>
      </c>
      <c r="L128" s="137" t="str">
        <f>IF(booking!X128&gt;0,"oc","va")</f>
        <v>va</v>
      </c>
      <c r="M128" s="138" t="str">
        <f>IF(booking!Y128&gt;0,"oc","va")</f>
        <v>va</v>
      </c>
    </row>
    <row r="129" spans="1:13" x14ac:dyDescent="0.35">
      <c r="A129" s="5">
        <f>booking!C129</f>
        <v>46266</v>
      </c>
      <c r="B129" s="137" t="str">
        <f>IF(booking!D129&gt;0,"oc","va")</f>
        <v>va</v>
      </c>
      <c r="C129" s="138" t="str">
        <f>IF(booking!E129&gt;0,"oc","va")</f>
        <v>va</v>
      </c>
      <c r="D129" s="137" t="str">
        <f>IF(booking!H129&gt;0,"oc","va")</f>
        <v>va</v>
      </c>
      <c r="E129" s="138" t="str">
        <f>IF(booking!I129&gt;0,"oc","va")</f>
        <v>va</v>
      </c>
      <c r="F129" s="137" t="str">
        <f>IF(booking!L129&gt;0,"oc","va")</f>
        <v>va</v>
      </c>
      <c r="G129" s="138" t="str">
        <f>IF(booking!M129&gt;0,"oc","va")</f>
        <v>va</v>
      </c>
      <c r="H129" s="137" t="str">
        <f>IF(booking!P129&gt;0,"oc","va")</f>
        <v>oc</v>
      </c>
      <c r="I129" s="138" t="str">
        <f>IF(booking!Q129&gt;0,"oc","va")</f>
        <v>oc</v>
      </c>
      <c r="J129" s="137" t="str">
        <f>IF(booking!T129&gt;0,"oc","va")</f>
        <v>va</v>
      </c>
      <c r="K129" s="138" t="str">
        <f>IF(booking!U129&gt;0,"oc","va")</f>
        <v>va</v>
      </c>
      <c r="L129" s="137" t="str">
        <f>IF(booking!X129&gt;0,"oc","va")</f>
        <v>va</v>
      </c>
      <c r="M129" s="138" t="str">
        <f>IF(booking!Y129&gt;0,"oc","va")</f>
        <v>va</v>
      </c>
    </row>
    <row r="130" spans="1:13" x14ac:dyDescent="0.35">
      <c r="A130" s="5">
        <f>booking!C130</f>
        <v>46267</v>
      </c>
      <c r="B130" s="137" t="str">
        <f>IF(booking!D130&gt;0,"oc","va")</f>
        <v>va</v>
      </c>
      <c r="C130" s="138" t="str">
        <f>IF(booking!E130&gt;0,"oc","va")</f>
        <v>va</v>
      </c>
      <c r="D130" s="137" t="str">
        <f>IF(booking!H130&gt;0,"oc","va")</f>
        <v>va</v>
      </c>
      <c r="E130" s="138" t="str">
        <f>IF(booking!I130&gt;0,"oc","va")</f>
        <v>va</v>
      </c>
      <c r="F130" s="137" t="str">
        <f>IF(booking!L130&gt;0,"oc","va")</f>
        <v>va</v>
      </c>
      <c r="G130" s="138" t="str">
        <f>IF(booking!M130&gt;0,"oc","va")</f>
        <v>va</v>
      </c>
      <c r="H130" s="137" t="str">
        <f>IF(booking!P130&gt;0,"oc","va")</f>
        <v>oc</v>
      </c>
      <c r="I130" s="138" t="str">
        <f>IF(booking!Q130&gt;0,"oc","va")</f>
        <v>oc</v>
      </c>
      <c r="J130" s="137" t="str">
        <f>IF(booking!T130&gt;0,"oc","va")</f>
        <v>va</v>
      </c>
      <c r="K130" s="138" t="str">
        <f>IF(booking!U130&gt;0,"oc","va")</f>
        <v>va</v>
      </c>
      <c r="L130" s="137" t="str">
        <f>IF(booking!X130&gt;0,"oc","va")</f>
        <v>va</v>
      </c>
      <c r="M130" s="138" t="str">
        <f>IF(booking!Y130&gt;0,"oc","va")</f>
        <v>va</v>
      </c>
    </row>
    <row r="131" spans="1:13" x14ac:dyDescent="0.35">
      <c r="A131" s="5">
        <f>booking!C131</f>
        <v>46268</v>
      </c>
      <c r="B131" s="137" t="str">
        <f>IF(booking!D131&gt;0,"oc","va")</f>
        <v>va</v>
      </c>
      <c r="C131" s="138" t="str">
        <f>IF(booking!E131&gt;0,"oc","va")</f>
        <v>va</v>
      </c>
      <c r="D131" s="137" t="str">
        <f>IF(booking!H131&gt;0,"oc","va")</f>
        <v>va</v>
      </c>
      <c r="E131" s="138" t="str">
        <f>IF(booking!I131&gt;0,"oc","va")</f>
        <v>va</v>
      </c>
      <c r="F131" s="137" t="str">
        <f>IF(booking!L131&gt;0,"oc","va")</f>
        <v>va</v>
      </c>
      <c r="G131" s="138" t="str">
        <f>IF(booking!M131&gt;0,"oc","va")</f>
        <v>va</v>
      </c>
      <c r="H131" s="137" t="str">
        <f>IF(booking!P131&gt;0,"oc","va")</f>
        <v>oc</v>
      </c>
      <c r="I131" s="138" t="str">
        <f>IF(booking!Q131&gt;0,"oc","va")</f>
        <v>va</v>
      </c>
      <c r="J131" s="137" t="str">
        <f>IF(booking!T131&gt;0,"oc","va")</f>
        <v>va</v>
      </c>
      <c r="K131" s="138" t="str">
        <f>IF(booking!U131&gt;0,"oc","va")</f>
        <v>va</v>
      </c>
      <c r="L131" s="137" t="str">
        <f>IF(booking!X131&gt;0,"oc","va")</f>
        <v>va</v>
      </c>
      <c r="M131" s="138" t="str">
        <f>IF(booking!Y131&gt;0,"oc","va")</f>
        <v>va</v>
      </c>
    </row>
    <row r="132" spans="1:13" x14ac:dyDescent="0.35">
      <c r="A132" s="5">
        <f>booking!C132</f>
        <v>46269</v>
      </c>
      <c r="B132" s="137" t="str">
        <f>IF(booking!D132&gt;0,"oc","va")</f>
        <v>va</v>
      </c>
      <c r="C132" s="138" t="str">
        <f>IF(booking!E132&gt;0,"oc","va")</f>
        <v>va</v>
      </c>
      <c r="D132" s="137" t="str">
        <f>IF(booking!H132&gt;0,"oc","va")</f>
        <v>va</v>
      </c>
      <c r="E132" s="138" t="str">
        <f>IF(booking!I132&gt;0,"oc","va")</f>
        <v>va</v>
      </c>
      <c r="F132" s="137" t="str">
        <f>IF(booking!L132&gt;0,"oc","va")</f>
        <v>va</v>
      </c>
      <c r="G132" s="138" t="str">
        <f>IF(booking!M132&gt;0,"oc","va")</f>
        <v>va</v>
      </c>
      <c r="H132" s="137" t="str">
        <f>IF(booking!P132&gt;0,"oc","va")</f>
        <v>va</v>
      </c>
      <c r="I132" s="138" t="str">
        <f>IF(booking!Q132&gt;0,"oc","va")</f>
        <v>va</v>
      </c>
      <c r="J132" s="137" t="str">
        <f>IF(booking!T132&gt;0,"oc","va")</f>
        <v>va</v>
      </c>
      <c r="K132" s="138" t="str">
        <f>IF(booking!U132&gt;0,"oc","va")</f>
        <v>va</v>
      </c>
      <c r="L132" s="137" t="str">
        <f>IF(booking!X132&gt;0,"oc","va")</f>
        <v>va</v>
      </c>
      <c r="M132" s="138" t="str">
        <f>IF(booking!Y132&gt;0,"oc","va")</f>
        <v>va</v>
      </c>
    </row>
    <row r="133" spans="1:13" x14ac:dyDescent="0.35">
      <c r="A133" s="5">
        <f>booking!C133</f>
        <v>46270</v>
      </c>
      <c r="B133" s="137" t="str">
        <f>IF(booking!D133&gt;0,"oc","va")</f>
        <v>va</v>
      </c>
      <c r="C133" s="138" t="str">
        <f>IF(booking!E133&gt;0,"oc","va")</f>
        <v>va</v>
      </c>
      <c r="D133" s="137" t="str">
        <f>IF(booking!H133&gt;0,"oc","va")</f>
        <v>va</v>
      </c>
      <c r="E133" s="138" t="str">
        <f>IF(booking!I133&gt;0,"oc","va")</f>
        <v>va</v>
      </c>
      <c r="F133" s="137" t="str">
        <f>IF(booking!L133&gt;0,"oc","va")</f>
        <v>va</v>
      </c>
      <c r="G133" s="138" t="str">
        <f>IF(booking!M133&gt;0,"oc","va")</f>
        <v>va</v>
      </c>
      <c r="H133" s="137" t="str">
        <f>IF(booking!P133&gt;0,"oc","va")</f>
        <v>va</v>
      </c>
      <c r="I133" s="138" t="str">
        <f>IF(booking!Q133&gt;0,"oc","va")</f>
        <v>va</v>
      </c>
      <c r="J133" s="137" t="str">
        <f>IF(booking!T133&gt;0,"oc","va")</f>
        <v>va</v>
      </c>
      <c r="K133" s="138" t="str">
        <f>IF(booking!U133&gt;0,"oc","va")</f>
        <v>va</v>
      </c>
      <c r="L133" s="137" t="str">
        <f>IF(booking!X133&gt;0,"oc","va")</f>
        <v>va</v>
      </c>
      <c r="M133" s="138" t="str">
        <f>IF(booking!Y133&gt;0,"oc","va")</f>
        <v>va</v>
      </c>
    </row>
    <row r="134" spans="1:13" x14ac:dyDescent="0.35">
      <c r="A134" s="5">
        <f>booking!C134</f>
        <v>46271</v>
      </c>
      <c r="B134" s="137" t="str">
        <f>IF(booking!D134&gt;0,"oc","va")</f>
        <v>va</v>
      </c>
      <c r="C134" s="138" t="str">
        <f>IF(booking!E134&gt;0,"oc","va")</f>
        <v>va</v>
      </c>
      <c r="D134" s="137" t="str">
        <f>IF(booking!H134&gt;0,"oc","va")</f>
        <v>va</v>
      </c>
      <c r="E134" s="138" t="str">
        <f>IF(booking!I134&gt;0,"oc","va")</f>
        <v>va</v>
      </c>
      <c r="F134" s="137" t="str">
        <f>IF(booking!L134&gt;0,"oc","va")</f>
        <v>va</v>
      </c>
      <c r="G134" s="138" t="str">
        <f>IF(booking!M134&gt;0,"oc","va")</f>
        <v>va</v>
      </c>
      <c r="H134" s="137" t="str">
        <f>IF(booking!P134&gt;0,"oc","va")</f>
        <v>va</v>
      </c>
      <c r="I134" s="138" t="str">
        <f>IF(booking!Q134&gt;0,"oc","va")</f>
        <v>va</v>
      </c>
      <c r="J134" s="137" t="str">
        <f>IF(booking!T134&gt;0,"oc","va")</f>
        <v>va</v>
      </c>
      <c r="K134" s="138" t="str">
        <f>IF(booking!U134&gt;0,"oc","va")</f>
        <v>oc</v>
      </c>
      <c r="L134" s="137" t="str">
        <f>IF(booking!X134&gt;0,"oc","va")</f>
        <v>va</v>
      </c>
      <c r="M134" s="138" t="str">
        <f>IF(booking!Y134&gt;0,"oc","va")</f>
        <v>va</v>
      </c>
    </row>
    <row r="135" spans="1:13" x14ac:dyDescent="0.35">
      <c r="A135" s="5">
        <f>booking!C135</f>
        <v>46272</v>
      </c>
      <c r="B135" s="137" t="str">
        <f>IF(booking!D135&gt;0,"oc","va")</f>
        <v>va</v>
      </c>
      <c r="C135" s="138" t="str">
        <f>IF(booking!E135&gt;0,"oc","va")</f>
        <v>va</v>
      </c>
      <c r="D135" s="137" t="str">
        <f>IF(booking!H135&gt;0,"oc","va")</f>
        <v>va</v>
      </c>
      <c r="E135" s="138" t="str">
        <f>IF(booking!I135&gt;0,"oc","va")</f>
        <v>va</v>
      </c>
      <c r="F135" s="137" t="str">
        <f>IF(booking!L135&gt;0,"oc","va")</f>
        <v>va</v>
      </c>
      <c r="G135" s="138" t="str">
        <f>IF(booking!M135&gt;0,"oc","va")</f>
        <v>va</v>
      </c>
      <c r="H135" s="137" t="str">
        <f>IF(booking!P135&gt;0,"oc","va")</f>
        <v>va</v>
      </c>
      <c r="I135" s="138" t="str">
        <f>IF(booking!Q135&gt;0,"oc","va")</f>
        <v>va</v>
      </c>
      <c r="J135" s="137" t="str">
        <f>IF(booking!T135&gt;0,"oc","va")</f>
        <v>oc</v>
      </c>
      <c r="K135" s="138" t="str">
        <f>IF(booking!U135&gt;0,"oc","va")</f>
        <v>oc</v>
      </c>
      <c r="L135" s="137" t="str">
        <f>IF(booking!X135&gt;0,"oc","va")</f>
        <v>va</v>
      </c>
      <c r="M135" s="138" t="str">
        <f>IF(booking!Y135&gt;0,"oc","va")</f>
        <v>va</v>
      </c>
    </row>
    <row r="136" spans="1:13" x14ac:dyDescent="0.35">
      <c r="A136" s="5">
        <f>booking!C136</f>
        <v>46273</v>
      </c>
      <c r="B136" s="137" t="str">
        <f>IF(booking!D136&gt;0,"oc","va")</f>
        <v>va</v>
      </c>
      <c r="C136" s="138" t="str">
        <f>IF(booking!E136&gt;0,"oc","va")</f>
        <v>va</v>
      </c>
      <c r="D136" s="137" t="str">
        <f>IF(booking!H136&gt;0,"oc","va")</f>
        <v>va</v>
      </c>
      <c r="E136" s="138" t="str">
        <f>IF(booking!I136&gt;0,"oc","va")</f>
        <v>va</v>
      </c>
      <c r="F136" s="137" t="str">
        <f>IF(booking!L136&gt;0,"oc","va")</f>
        <v>va</v>
      </c>
      <c r="G136" s="138" t="str">
        <f>IF(booking!M136&gt;0,"oc","va")</f>
        <v>va</v>
      </c>
      <c r="H136" s="137" t="str">
        <f>IF(booking!P136&gt;0,"oc","va")</f>
        <v>va</v>
      </c>
      <c r="I136" s="138" t="str">
        <f>IF(booking!Q136&gt;0,"oc","va")</f>
        <v>va</v>
      </c>
      <c r="J136" s="137" t="str">
        <f>IF(booking!T136&gt;0,"oc","va")</f>
        <v>oc</v>
      </c>
      <c r="K136" s="138" t="str">
        <f>IF(booking!U136&gt;0,"oc","va")</f>
        <v>oc</v>
      </c>
      <c r="L136" s="137" t="str">
        <f>IF(booking!X136&gt;0,"oc","va")</f>
        <v>va</v>
      </c>
      <c r="M136" s="138" t="str">
        <f>IF(booking!Y136&gt;0,"oc","va")</f>
        <v>va</v>
      </c>
    </row>
    <row r="137" spans="1:13" x14ac:dyDescent="0.35">
      <c r="A137" s="5">
        <f>booking!C137</f>
        <v>46274</v>
      </c>
      <c r="B137" s="137" t="str">
        <f>IF(booking!D137&gt;0,"oc","va")</f>
        <v>va</v>
      </c>
      <c r="C137" s="138" t="str">
        <f>IF(booking!E137&gt;0,"oc","va")</f>
        <v>va</v>
      </c>
      <c r="D137" s="137" t="str">
        <f>IF(booking!H137&gt;0,"oc","va")</f>
        <v>va</v>
      </c>
      <c r="E137" s="138" t="str">
        <f>IF(booking!I137&gt;0,"oc","va")</f>
        <v>va</v>
      </c>
      <c r="F137" s="137" t="str">
        <f>IF(booking!L137&gt;0,"oc","va")</f>
        <v>va</v>
      </c>
      <c r="G137" s="138" t="str">
        <f>IF(booking!M137&gt;0,"oc","va")</f>
        <v>va</v>
      </c>
      <c r="H137" s="137" t="str">
        <f>IF(booking!P137&gt;0,"oc","va")</f>
        <v>va</v>
      </c>
      <c r="I137" s="138" t="str">
        <f>IF(booking!Q137&gt;0,"oc","va")</f>
        <v>va</v>
      </c>
      <c r="J137" s="137" t="str">
        <f>IF(booking!T137&gt;0,"oc","va")</f>
        <v>oc</v>
      </c>
      <c r="K137" s="138" t="str">
        <f>IF(booking!U137&gt;0,"oc","va")</f>
        <v>oc</v>
      </c>
      <c r="L137" s="137" t="str">
        <f>IF(booking!X137&gt;0,"oc","va")</f>
        <v>va</v>
      </c>
      <c r="M137" s="138" t="str">
        <f>IF(booking!Y137&gt;0,"oc","va")</f>
        <v>va</v>
      </c>
    </row>
    <row r="138" spans="1:13" x14ac:dyDescent="0.35">
      <c r="A138" s="5">
        <f>booking!C138</f>
        <v>46275</v>
      </c>
      <c r="B138" s="137" t="str">
        <f>IF(booking!D138&gt;0,"oc","va")</f>
        <v>va</v>
      </c>
      <c r="C138" s="138" t="str">
        <f>IF(booking!E138&gt;0,"oc","va")</f>
        <v>va</v>
      </c>
      <c r="D138" s="137" t="str">
        <f>IF(booking!H138&gt;0,"oc","va")</f>
        <v>va</v>
      </c>
      <c r="E138" s="138" t="str">
        <f>IF(booking!I138&gt;0,"oc","va")</f>
        <v>va</v>
      </c>
      <c r="F138" s="137" t="str">
        <f>IF(booking!L138&gt;0,"oc","va")</f>
        <v>va</v>
      </c>
      <c r="G138" s="138" t="str">
        <f>IF(booking!M138&gt;0,"oc","va")</f>
        <v>va</v>
      </c>
      <c r="H138" s="137" t="str">
        <f>IF(booking!P138&gt;0,"oc","va")</f>
        <v>va</v>
      </c>
      <c r="I138" s="138" t="str">
        <f>IF(booking!Q138&gt;0,"oc","va")</f>
        <v>va</v>
      </c>
      <c r="J138" s="137" t="str">
        <f>IF(booking!T138&gt;0,"oc","va")</f>
        <v>oc</v>
      </c>
      <c r="K138" s="138" t="str">
        <f>IF(booking!U138&gt;0,"oc","va")</f>
        <v>oc</v>
      </c>
      <c r="L138" s="137" t="str">
        <f>IF(booking!X138&gt;0,"oc","va")</f>
        <v>va</v>
      </c>
      <c r="M138" s="138" t="str">
        <f>IF(booking!Y138&gt;0,"oc","va")</f>
        <v>va</v>
      </c>
    </row>
    <row r="139" spans="1:13" x14ac:dyDescent="0.35">
      <c r="A139" s="5">
        <f>booking!C139</f>
        <v>46276</v>
      </c>
      <c r="B139" s="137" t="str">
        <f>IF(booking!D139&gt;0,"oc","va")</f>
        <v>va</v>
      </c>
      <c r="C139" s="138" t="str">
        <f>IF(booking!E139&gt;0,"oc","va")</f>
        <v>va</v>
      </c>
      <c r="D139" s="137" t="str">
        <f>IF(booking!H139&gt;0,"oc","va")</f>
        <v>va</v>
      </c>
      <c r="E139" s="138" t="str">
        <f>IF(booking!I139&gt;0,"oc","va")</f>
        <v>va</v>
      </c>
      <c r="F139" s="137" t="str">
        <f>IF(booking!L139&gt;0,"oc","va")</f>
        <v>va</v>
      </c>
      <c r="G139" s="138" t="str">
        <f>IF(booking!M139&gt;0,"oc","va")</f>
        <v>va</v>
      </c>
      <c r="H139" s="137" t="str">
        <f>IF(booking!P139&gt;0,"oc","va")</f>
        <v>va</v>
      </c>
      <c r="I139" s="138" t="str">
        <f>IF(booking!Q139&gt;0,"oc","va")</f>
        <v>va</v>
      </c>
      <c r="J139" s="137" t="str">
        <f>IF(booking!T139&gt;0,"oc","va")</f>
        <v>oc</v>
      </c>
      <c r="K139" s="138" t="str">
        <f>IF(booking!U139&gt;0,"oc","va")</f>
        <v>oc</v>
      </c>
      <c r="L139" s="137" t="str">
        <f>IF(booking!X139&gt;0,"oc","va")</f>
        <v>va</v>
      </c>
      <c r="M139" s="138" t="str">
        <f>IF(booking!Y139&gt;0,"oc","va")</f>
        <v>va</v>
      </c>
    </row>
    <row r="140" spans="1:13" x14ac:dyDescent="0.35">
      <c r="A140" s="5">
        <f>booking!C140</f>
        <v>46277</v>
      </c>
      <c r="B140" s="137" t="str">
        <f>IF(booking!D140&gt;0,"oc","va")</f>
        <v>va</v>
      </c>
      <c r="C140" s="138" t="str">
        <f>IF(booking!E140&gt;0,"oc","va")</f>
        <v>va</v>
      </c>
      <c r="D140" s="137" t="str">
        <f>IF(booking!H140&gt;0,"oc","va")</f>
        <v>va</v>
      </c>
      <c r="E140" s="138" t="str">
        <f>IF(booking!I140&gt;0,"oc","va")</f>
        <v>va</v>
      </c>
      <c r="F140" s="137" t="str">
        <f>IF(booking!L140&gt;0,"oc","va")</f>
        <v>va</v>
      </c>
      <c r="G140" s="138" t="str">
        <f>IF(booking!M140&gt;0,"oc","va")</f>
        <v>va</v>
      </c>
      <c r="H140" s="137" t="str">
        <f>IF(booking!P140&gt;0,"oc","va")</f>
        <v>va</v>
      </c>
      <c r="I140" s="138" t="str">
        <f>IF(booking!Q140&gt;0,"oc","va")</f>
        <v>va</v>
      </c>
      <c r="J140" s="137" t="str">
        <f>IF(booking!T140&gt;0,"oc","va")</f>
        <v>oc</v>
      </c>
      <c r="K140" s="138" t="str">
        <f>IF(booking!U140&gt;0,"oc","va")</f>
        <v>oc</v>
      </c>
      <c r="L140" s="137" t="str">
        <f>IF(booking!X140&gt;0,"oc","va")</f>
        <v>va</v>
      </c>
      <c r="M140" s="138" t="str">
        <f>IF(booking!Y140&gt;0,"oc","va")</f>
        <v>va</v>
      </c>
    </row>
    <row r="141" spans="1:13" x14ac:dyDescent="0.35">
      <c r="A141" s="5">
        <f>booking!C141</f>
        <v>46278</v>
      </c>
      <c r="B141" s="137" t="str">
        <f>IF(booking!D141&gt;0,"oc","va")</f>
        <v>va</v>
      </c>
      <c r="C141" s="138" t="str">
        <f>IF(booking!E141&gt;0,"oc","va")</f>
        <v>va</v>
      </c>
      <c r="D141" s="137" t="str">
        <f>IF(booking!H141&gt;0,"oc","va")</f>
        <v>va</v>
      </c>
      <c r="E141" s="138" t="str">
        <f>IF(booking!I141&gt;0,"oc","va")</f>
        <v>va</v>
      </c>
      <c r="F141" s="137" t="str">
        <f>IF(booking!L141&gt;0,"oc","va")</f>
        <v>va</v>
      </c>
      <c r="G141" s="138" t="str">
        <f>IF(booking!M141&gt;0,"oc","va")</f>
        <v>va</v>
      </c>
      <c r="H141" s="137" t="str">
        <f>IF(booking!P141&gt;0,"oc","va")</f>
        <v>va</v>
      </c>
      <c r="I141" s="138" t="str">
        <f>IF(booking!Q141&gt;0,"oc","va")</f>
        <v>va</v>
      </c>
      <c r="J141" s="137" t="str">
        <f>IF(booking!T141&gt;0,"oc","va")</f>
        <v>oc</v>
      </c>
      <c r="K141" s="138" t="str">
        <f>IF(booking!U141&gt;0,"oc","va")</f>
        <v>oc</v>
      </c>
      <c r="L141" s="137" t="str">
        <f>IF(booking!X141&gt;0,"oc","va")</f>
        <v>va</v>
      </c>
      <c r="M141" s="138" t="str">
        <f>IF(booking!Y141&gt;0,"oc","va")</f>
        <v>va</v>
      </c>
    </row>
    <row r="142" spans="1:13" x14ac:dyDescent="0.35">
      <c r="A142" s="5">
        <f>booking!C142</f>
        <v>46279</v>
      </c>
      <c r="B142" s="137" t="str">
        <f>IF(booking!D142&gt;0,"oc","va")</f>
        <v>va</v>
      </c>
      <c r="C142" s="138" t="str">
        <f>IF(booking!E142&gt;0,"oc","va")</f>
        <v>va</v>
      </c>
      <c r="D142" s="137" t="str">
        <f>IF(booking!H142&gt;0,"oc","va")</f>
        <v>va</v>
      </c>
      <c r="E142" s="138" t="str">
        <f>IF(booking!I142&gt;0,"oc","va")</f>
        <v>va</v>
      </c>
      <c r="F142" s="137" t="str">
        <f>IF(booking!L142&gt;0,"oc","va")</f>
        <v>va</v>
      </c>
      <c r="G142" s="138" t="str">
        <f>IF(booking!M142&gt;0,"oc","va")</f>
        <v>va</v>
      </c>
      <c r="H142" s="137" t="str">
        <f>IF(booking!P142&gt;0,"oc","va")</f>
        <v>va</v>
      </c>
      <c r="I142" s="138" t="str">
        <f>IF(booking!Q142&gt;0,"oc","va")</f>
        <v>va</v>
      </c>
      <c r="J142" s="137" t="str">
        <f>IF(booking!T142&gt;0,"oc","va")</f>
        <v>oc</v>
      </c>
      <c r="K142" s="138" t="str">
        <f>IF(booking!U142&gt;0,"oc","va")</f>
        <v>oc</v>
      </c>
      <c r="L142" s="137" t="str">
        <f>IF(booking!X142&gt;0,"oc","va")</f>
        <v>va</v>
      </c>
      <c r="M142" s="138" t="str">
        <f>IF(booking!Y142&gt;0,"oc","va")</f>
        <v>va</v>
      </c>
    </row>
    <row r="143" spans="1:13" x14ac:dyDescent="0.35">
      <c r="A143" s="5">
        <f>booking!C143</f>
        <v>46280</v>
      </c>
      <c r="B143" s="137" t="str">
        <f>IF(booking!D143&gt;0,"oc","va")</f>
        <v>va</v>
      </c>
      <c r="C143" s="138" t="str">
        <f>IF(booking!E143&gt;0,"oc","va")</f>
        <v>va</v>
      </c>
      <c r="D143" s="137" t="str">
        <f>IF(booking!H143&gt;0,"oc","va")</f>
        <v>va</v>
      </c>
      <c r="E143" s="138" t="str">
        <f>IF(booking!I143&gt;0,"oc","va")</f>
        <v>va</v>
      </c>
      <c r="F143" s="137" t="str">
        <f>IF(booking!L143&gt;0,"oc","va")</f>
        <v>va</v>
      </c>
      <c r="G143" s="138" t="str">
        <f>IF(booking!M143&gt;0,"oc","va")</f>
        <v>va</v>
      </c>
      <c r="H143" s="137" t="str">
        <f>IF(booking!P143&gt;0,"oc","va")</f>
        <v>va</v>
      </c>
      <c r="I143" s="138" t="str">
        <f>IF(booking!Q143&gt;0,"oc","va")</f>
        <v>va</v>
      </c>
      <c r="J143" s="137" t="str">
        <f>IF(booking!T143&gt;0,"oc","va")</f>
        <v>oc</v>
      </c>
      <c r="K143" s="138" t="str">
        <f>IF(booking!U143&gt;0,"oc","va")</f>
        <v>oc</v>
      </c>
      <c r="L143" s="137" t="str">
        <f>IF(booking!X143&gt;0,"oc","va")</f>
        <v>va</v>
      </c>
      <c r="M143" s="138" t="str">
        <f>IF(booking!Y143&gt;0,"oc","va")</f>
        <v>va</v>
      </c>
    </row>
    <row r="144" spans="1:13" x14ac:dyDescent="0.35">
      <c r="A144" s="5">
        <f>booking!C144</f>
        <v>46281</v>
      </c>
      <c r="B144" s="137" t="str">
        <f>IF(booking!D144&gt;0,"oc","va")</f>
        <v>va</v>
      </c>
      <c r="C144" s="138" t="str">
        <f>IF(booking!E144&gt;0,"oc","va")</f>
        <v>va</v>
      </c>
      <c r="D144" s="137" t="str">
        <f>IF(booking!H144&gt;0,"oc","va")</f>
        <v>va</v>
      </c>
      <c r="E144" s="138" t="str">
        <f>IF(booking!I144&gt;0,"oc","va")</f>
        <v>oc</v>
      </c>
      <c r="F144" s="137" t="str">
        <f>IF(booking!L144&gt;0,"oc","va")</f>
        <v>va</v>
      </c>
      <c r="G144" s="138" t="str">
        <f>IF(booking!M144&gt;0,"oc","va")</f>
        <v>va</v>
      </c>
      <c r="H144" s="137" t="str">
        <f>IF(booking!P144&gt;0,"oc","va")</f>
        <v>va</v>
      </c>
      <c r="I144" s="138" t="str">
        <f>IF(booking!Q144&gt;0,"oc","va")</f>
        <v>va</v>
      </c>
      <c r="J144" s="137" t="str">
        <f>IF(booking!T144&gt;0,"oc","va")</f>
        <v>oc</v>
      </c>
      <c r="K144" s="138" t="str">
        <f>IF(booking!U144&gt;0,"oc","va")</f>
        <v>oc</v>
      </c>
      <c r="L144" s="137" t="str">
        <f>IF(booking!X144&gt;0,"oc","va")</f>
        <v>va</v>
      </c>
      <c r="M144" s="138" t="str">
        <f>IF(booking!Y144&gt;0,"oc","va")</f>
        <v>va</v>
      </c>
    </row>
    <row r="145" spans="1:13" x14ac:dyDescent="0.35">
      <c r="A145" s="5">
        <f>booking!C145</f>
        <v>46282</v>
      </c>
      <c r="B145" s="137" t="str">
        <f>IF(booking!D145&gt;0,"oc","va")</f>
        <v>va</v>
      </c>
      <c r="C145" s="138" t="str">
        <f>IF(booking!E145&gt;0,"oc","va")</f>
        <v>oc</v>
      </c>
      <c r="D145" s="137" t="str">
        <f>IF(booking!H145&gt;0,"oc","va")</f>
        <v>oc</v>
      </c>
      <c r="E145" s="138" t="str">
        <f>IF(booking!I145&gt;0,"oc","va")</f>
        <v>oc</v>
      </c>
      <c r="F145" s="137" t="str">
        <f>IF(booking!L145&gt;0,"oc","va")</f>
        <v>va</v>
      </c>
      <c r="G145" s="138" t="str">
        <f>IF(booking!M145&gt;0,"oc","va")</f>
        <v>va</v>
      </c>
      <c r="H145" s="137" t="str">
        <f>IF(booking!P145&gt;0,"oc","va")</f>
        <v>va</v>
      </c>
      <c r="I145" s="138" t="str">
        <f>IF(booking!Q145&gt;0,"oc","va")</f>
        <v>oc</v>
      </c>
      <c r="J145" s="137" t="str">
        <f>IF(booking!T145&gt;0,"oc","va")</f>
        <v>oc</v>
      </c>
      <c r="K145" s="138" t="str">
        <f>IF(booking!U145&gt;0,"oc","va")</f>
        <v>va</v>
      </c>
      <c r="L145" s="137" t="str">
        <f>IF(booking!X145&gt;0,"oc","va")</f>
        <v>va</v>
      </c>
      <c r="M145" s="138" t="str">
        <f>IF(booking!Y145&gt;0,"oc","va")</f>
        <v>va</v>
      </c>
    </row>
    <row r="146" spans="1:13" x14ac:dyDescent="0.35">
      <c r="A146" s="5">
        <f>booking!C146</f>
        <v>46283</v>
      </c>
      <c r="B146" s="137" t="str">
        <f>IF(booking!D146&gt;0,"oc","va")</f>
        <v>oc</v>
      </c>
      <c r="C146" s="138" t="str">
        <f>IF(booking!E146&gt;0,"oc","va")</f>
        <v>oc</v>
      </c>
      <c r="D146" s="137" t="str">
        <f>IF(booking!H146&gt;0,"oc","va")</f>
        <v>oc</v>
      </c>
      <c r="E146" s="138" t="str">
        <f>IF(booking!I146&gt;0,"oc","va")</f>
        <v>oc</v>
      </c>
      <c r="F146" s="137" t="str">
        <f>IF(booking!L146&gt;0,"oc","va")</f>
        <v>va</v>
      </c>
      <c r="G146" s="138" t="str">
        <f>IF(booking!M146&gt;0,"oc","va")</f>
        <v>va</v>
      </c>
      <c r="H146" s="137" t="str">
        <f>IF(booking!P146&gt;0,"oc","va")</f>
        <v>oc</v>
      </c>
      <c r="I146" s="138" t="str">
        <f>IF(booking!Q146&gt;0,"oc","va")</f>
        <v>oc</v>
      </c>
      <c r="J146" s="137" t="str">
        <f>IF(booking!T146&gt;0,"oc","va")</f>
        <v>va</v>
      </c>
      <c r="K146" s="138" t="str">
        <f>IF(booking!U146&gt;0,"oc","va")</f>
        <v>oc</v>
      </c>
      <c r="L146" s="137" t="str">
        <f>IF(booking!X146&gt;0,"oc","va")</f>
        <v>va</v>
      </c>
      <c r="M146" s="138" t="str">
        <f>IF(booking!Y146&gt;0,"oc","va")</f>
        <v>va</v>
      </c>
    </row>
    <row r="147" spans="1:13" x14ac:dyDescent="0.35">
      <c r="A147" s="5">
        <f>booking!C147</f>
        <v>46284</v>
      </c>
      <c r="B147" s="137" t="str">
        <f>IF(booking!D147&gt;0,"oc","va")</f>
        <v>oc</v>
      </c>
      <c r="C147" s="138" t="str">
        <f>IF(booking!E147&gt;0,"oc","va")</f>
        <v>oc</v>
      </c>
      <c r="D147" s="137" t="str">
        <f>IF(booking!H147&gt;0,"oc","va")</f>
        <v>oc</v>
      </c>
      <c r="E147" s="138" t="str">
        <f>IF(booking!I147&gt;0,"oc","va")</f>
        <v>oc</v>
      </c>
      <c r="F147" s="137" t="str">
        <f>IF(booking!L147&gt;0,"oc","va")</f>
        <v>va</v>
      </c>
      <c r="G147" s="138" t="str">
        <f>IF(booking!M147&gt;0,"oc","va")</f>
        <v>va</v>
      </c>
      <c r="H147" s="137" t="str">
        <f>IF(booking!P147&gt;0,"oc","va")</f>
        <v>oc</v>
      </c>
      <c r="I147" s="138" t="str">
        <f>IF(booking!Q147&gt;0,"oc","va")</f>
        <v>oc</v>
      </c>
      <c r="J147" s="137" t="str">
        <f>IF(booking!T147&gt;0,"oc","va")</f>
        <v>oc</v>
      </c>
      <c r="K147" s="138" t="str">
        <f>IF(booking!U147&gt;0,"oc","va")</f>
        <v>oc</v>
      </c>
      <c r="L147" s="137" t="str">
        <f>IF(booking!X147&gt;0,"oc","va")</f>
        <v>va</v>
      </c>
      <c r="M147" s="138" t="str">
        <f>IF(booking!Y147&gt;0,"oc","va")</f>
        <v>va</v>
      </c>
    </row>
    <row r="148" spans="1:13" x14ac:dyDescent="0.35">
      <c r="A148" s="5">
        <f>booking!C148</f>
        <v>46285</v>
      </c>
      <c r="B148" s="137" t="str">
        <f>IF(booking!D148&gt;0,"oc","va")</f>
        <v>oc</v>
      </c>
      <c r="C148" s="138" t="str">
        <f>IF(booking!E148&gt;0,"oc","va")</f>
        <v>va</v>
      </c>
      <c r="D148" s="137" t="str">
        <f>IF(booking!H148&gt;0,"oc","va")</f>
        <v>oc</v>
      </c>
      <c r="E148" s="138" t="str">
        <f>IF(booking!I148&gt;0,"oc","va")</f>
        <v>oc</v>
      </c>
      <c r="F148" s="137" t="str">
        <f>IF(booking!L148&gt;0,"oc","va")</f>
        <v>va</v>
      </c>
      <c r="G148" s="138" t="str">
        <f>IF(booking!M148&gt;0,"oc","va")</f>
        <v>va</v>
      </c>
      <c r="H148" s="137" t="str">
        <f>IF(booking!P148&gt;0,"oc","va")</f>
        <v>oc</v>
      </c>
      <c r="I148" s="138" t="str">
        <f>IF(booking!Q148&gt;0,"oc","va")</f>
        <v>va</v>
      </c>
      <c r="J148" s="137" t="str">
        <f>IF(booking!T148&gt;0,"oc","va")</f>
        <v>oc</v>
      </c>
      <c r="K148" s="138" t="str">
        <f>IF(booking!U148&gt;0,"oc","va")</f>
        <v>va</v>
      </c>
      <c r="L148" s="137" t="str">
        <f>IF(booking!X148&gt;0,"oc","va")</f>
        <v>va</v>
      </c>
      <c r="M148" s="138" t="str">
        <f>IF(booking!Y148&gt;0,"oc","va")</f>
        <v>va</v>
      </c>
    </row>
    <row r="149" spans="1:13" x14ac:dyDescent="0.35">
      <c r="A149" s="5">
        <f>booking!C149</f>
        <v>46286</v>
      </c>
      <c r="B149" s="137" t="str">
        <f>IF(booking!D149&gt;0,"oc","va")</f>
        <v>va</v>
      </c>
      <c r="C149" s="138" t="str">
        <f>IF(booking!E149&gt;0,"oc","va")</f>
        <v>va</v>
      </c>
      <c r="D149" s="137" t="str">
        <f>IF(booking!H149&gt;0,"oc","va")</f>
        <v>oc</v>
      </c>
      <c r="E149" s="138" t="str">
        <f>IF(booking!I149&gt;0,"oc","va")</f>
        <v>va</v>
      </c>
      <c r="F149" s="137" t="str">
        <f>IF(booking!L149&gt;0,"oc","va")</f>
        <v>va</v>
      </c>
      <c r="G149" s="138" t="str">
        <f>IF(booking!M149&gt;0,"oc","va")</f>
        <v>va</v>
      </c>
      <c r="H149" s="137" t="str">
        <f>IF(booking!P149&gt;0,"oc","va")</f>
        <v>va</v>
      </c>
      <c r="I149" s="138" t="str">
        <f>IF(booking!Q149&gt;0,"oc","va")</f>
        <v>va</v>
      </c>
      <c r="J149" s="137" t="str">
        <f>IF(booking!T149&gt;0,"oc","va")</f>
        <v>va</v>
      </c>
      <c r="K149" s="138" t="str">
        <f>IF(booking!U149&gt;0,"oc","va")</f>
        <v>va</v>
      </c>
      <c r="L149" s="137" t="str">
        <f>IF(booking!X149&gt;0,"oc","va")</f>
        <v>va</v>
      </c>
      <c r="M149" s="138" t="str">
        <f>IF(booking!Y149&gt;0,"oc","va")</f>
        <v>va</v>
      </c>
    </row>
    <row r="150" spans="1:13" x14ac:dyDescent="0.35">
      <c r="A150" s="5">
        <f>booking!C150</f>
        <v>46287</v>
      </c>
      <c r="B150" s="137" t="str">
        <f>IF(booking!D150&gt;0,"oc","va")</f>
        <v>va</v>
      </c>
      <c r="C150" s="138" t="str">
        <f>IF(booking!E150&gt;0,"oc","va")</f>
        <v>va</v>
      </c>
      <c r="D150" s="137" t="str">
        <f>IF(booking!H150&gt;0,"oc","va")</f>
        <v>va</v>
      </c>
      <c r="E150" s="138" t="str">
        <f>IF(booking!I150&gt;0,"oc","va")</f>
        <v>va</v>
      </c>
      <c r="F150" s="137" t="str">
        <f>IF(booking!L150&gt;0,"oc","va")</f>
        <v>va</v>
      </c>
      <c r="G150" s="138" t="str">
        <f>IF(booking!M150&gt;0,"oc","va")</f>
        <v>va</v>
      </c>
      <c r="H150" s="137" t="str">
        <f>IF(booking!P150&gt;0,"oc","va")</f>
        <v>va</v>
      </c>
      <c r="I150" s="138" t="str">
        <f>IF(booking!Q150&gt;0,"oc","va")</f>
        <v>va</v>
      </c>
      <c r="J150" s="137" t="str">
        <f>IF(booking!T150&gt;0,"oc","va")</f>
        <v>va</v>
      </c>
      <c r="K150" s="138" t="str">
        <f>IF(booking!U150&gt;0,"oc","va")</f>
        <v>va</v>
      </c>
      <c r="L150" s="137" t="str">
        <f>IF(booking!X150&gt;0,"oc","va")</f>
        <v>va</v>
      </c>
      <c r="M150" s="138" t="str">
        <f>IF(booking!Y150&gt;0,"oc","va")</f>
        <v>va</v>
      </c>
    </row>
    <row r="151" spans="1:13" x14ac:dyDescent="0.35">
      <c r="A151" s="5">
        <f>booking!C151</f>
        <v>46288</v>
      </c>
      <c r="B151" s="137" t="str">
        <f>IF(booking!D151&gt;0,"oc","va")</f>
        <v>va</v>
      </c>
      <c r="C151" s="138" t="str">
        <f>IF(booking!E151&gt;0,"oc","va")</f>
        <v>va</v>
      </c>
      <c r="D151" s="137" t="str">
        <f>IF(booking!H151&gt;0,"oc","va")</f>
        <v>va</v>
      </c>
      <c r="E151" s="138" t="str">
        <f>IF(booking!I151&gt;0,"oc","va")</f>
        <v>va</v>
      </c>
      <c r="F151" s="137" t="str">
        <f>IF(booking!L151&gt;0,"oc","va")</f>
        <v>va</v>
      </c>
      <c r="G151" s="138" t="str">
        <f>IF(booking!M151&gt;0,"oc","va")</f>
        <v>va</v>
      </c>
      <c r="H151" s="137" t="str">
        <f>IF(booking!P151&gt;0,"oc","va")</f>
        <v>va</v>
      </c>
      <c r="I151" s="138" t="str">
        <f>IF(booking!Q151&gt;0,"oc","va")</f>
        <v>va</v>
      </c>
      <c r="J151" s="137" t="str">
        <f>IF(booking!T151&gt;0,"oc","va")</f>
        <v>va</v>
      </c>
      <c r="K151" s="138" t="str">
        <f>IF(booking!U151&gt;0,"oc","va")</f>
        <v>va</v>
      </c>
      <c r="L151" s="137" t="str">
        <f>IF(booking!X151&gt;0,"oc","va")</f>
        <v>va</v>
      </c>
      <c r="M151" s="138" t="str">
        <f>IF(booking!Y151&gt;0,"oc","va")</f>
        <v>va</v>
      </c>
    </row>
    <row r="152" spans="1:13" x14ac:dyDescent="0.35">
      <c r="A152" s="5">
        <f>booking!C152</f>
        <v>46289</v>
      </c>
      <c r="B152" s="137" t="str">
        <f>IF(booking!D152&gt;0,"oc","va")</f>
        <v>va</v>
      </c>
      <c r="C152" s="138" t="str">
        <f>IF(booking!E152&gt;0,"oc","va")</f>
        <v>va</v>
      </c>
      <c r="D152" s="137" t="str">
        <f>IF(booking!H152&gt;0,"oc","va")</f>
        <v>va</v>
      </c>
      <c r="E152" s="138" t="str">
        <f>IF(booking!I152&gt;0,"oc","va")</f>
        <v>va</v>
      </c>
      <c r="F152" s="137" t="str">
        <f>IF(booking!L152&gt;0,"oc","va")</f>
        <v>va</v>
      </c>
      <c r="G152" s="138" t="str">
        <f>IF(booking!M152&gt;0,"oc","va")</f>
        <v>va</v>
      </c>
      <c r="H152" s="137" t="str">
        <f>IF(booking!P152&gt;0,"oc","va")</f>
        <v>va</v>
      </c>
      <c r="I152" s="138" t="str">
        <f>IF(booking!Q152&gt;0,"oc","va")</f>
        <v>va</v>
      </c>
      <c r="J152" s="137" t="str">
        <f>IF(booking!T152&gt;0,"oc","va")</f>
        <v>va</v>
      </c>
      <c r="K152" s="138" t="str">
        <f>IF(booking!U152&gt;0,"oc","va")</f>
        <v>va</v>
      </c>
      <c r="L152" s="137" t="str">
        <f>IF(booking!X152&gt;0,"oc","va")</f>
        <v>va</v>
      </c>
      <c r="M152" s="138" t="str">
        <f>IF(booking!Y152&gt;0,"oc","va")</f>
        <v>va</v>
      </c>
    </row>
    <row r="153" spans="1:13" x14ac:dyDescent="0.35">
      <c r="A153" s="5">
        <f>booking!C153</f>
        <v>46290</v>
      </c>
      <c r="B153" s="137" t="str">
        <f>IF(booking!D153&gt;0,"oc","va")</f>
        <v>va</v>
      </c>
      <c r="C153" s="138" t="str">
        <f>IF(booking!E153&gt;0,"oc","va")</f>
        <v>va</v>
      </c>
      <c r="D153" s="137" t="str">
        <f>IF(booking!H153&gt;0,"oc","va")</f>
        <v>va</v>
      </c>
      <c r="E153" s="138" t="str">
        <f>IF(booking!I153&gt;0,"oc","va")</f>
        <v>va</v>
      </c>
      <c r="F153" s="137" t="str">
        <f>IF(booking!L153&gt;0,"oc","va")</f>
        <v>va</v>
      </c>
      <c r="G153" s="138" t="str">
        <f>IF(booking!M153&gt;0,"oc","va")</f>
        <v>va</v>
      </c>
      <c r="H153" s="137" t="str">
        <f>IF(booking!P153&gt;0,"oc","va")</f>
        <v>va</v>
      </c>
      <c r="I153" s="138" t="str">
        <f>IF(booking!Q153&gt;0,"oc","va")</f>
        <v>va</v>
      </c>
      <c r="J153" s="137" t="str">
        <f>IF(booking!T153&gt;0,"oc","va")</f>
        <v>va</v>
      </c>
      <c r="K153" s="138" t="str">
        <f>IF(booking!U153&gt;0,"oc","va")</f>
        <v>va</v>
      </c>
      <c r="L153" s="137" t="str">
        <f>IF(booking!X153&gt;0,"oc","va")</f>
        <v>va</v>
      </c>
      <c r="M153" s="138" t="str">
        <f>IF(booking!Y153&gt;0,"oc","va")</f>
        <v>va</v>
      </c>
    </row>
    <row r="154" spans="1:13" x14ac:dyDescent="0.35">
      <c r="A154" s="5">
        <f>booking!C154</f>
        <v>46291</v>
      </c>
      <c r="B154" s="137" t="str">
        <f>IF(booking!D154&gt;0,"oc","va")</f>
        <v>va</v>
      </c>
      <c r="C154" s="138" t="str">
        <f>IF(booking!E154&gt;0,"oc","va")</f>
        <v>va</v>
      </c>
      <c r="D154" s="137" t="str">
        <f>IF(booking!H154&gt;0,"oc","va")</f>
        <v>va</v>
      </c>
      <c r="E154" s="138" t="str">
        <f>IF(booking!I154&gt;0,"oc","va")</f>
        <v>va</v>
      </c>
      <c r="F154" s="137" t="str">
        <f>IF(booking!L154&gt;0,"oc","va")</f>
        <v>va</v>
      </c>
      <c r="G154" s="138" t="str">
        <f>IF(booking!M154&gt;0,"oc","va")</f>
        <v>va</v>
      </c>
      <c r="H154" s="137" t="str">
        <f>IF(booking!P154&gt;0,"oc","va")</f>
        <v>va</v>
      </c>
      <c r="I154" s="138" t="str">
        <f>IF(booking!Q154&gt;0,"oc","va")</f>
        <v>va</v>
      </c>
      <c r="J154" s="137" t="str">
        <f>IF(booking!T154&gt;0,"oc","va")</f>
        <v>va</v>
      </c>
      <c r="K154" s="138" t="str">
        <f>IF(booking!U154&gt;0,"oc","va")</f>
        <v>va</v>
      </c>
      <c r="L154" s="137" t="str">
        <f>IF(booking!X154&gt;0,"oc","va")</f>
        <v>va</v>
      </c>
      <c r="M154" s="138" t="str">
        <f>IF(booking!Y154&gt;0,"oc","va")</f>
        <v>va</v>
      </c>
    </row>
    <row r="155" spans="1:13" x14ac:dyDescent="0.35">
      <c r="A155" s="5">
        <f>booking!C155</f>
        <v>46292</v>
      </c>
      <c r="B155" s="137" t="str">
        <f>IF(booking!D155&gt;0,"oc","va")</f>
        <v>va</v>
      </c>
      <c r="C155" s="138" t="str">
        <f>IF(booking!E155&gt;0,"oc","va")</f>
        <v>va</v>
      </c>
      <c r="D155" s="137" t="str">
        <f>IF(booking!H155&gt;0,"oc","va")</f>
        <v>va</v>
      </c>
      <c r="E155" s="138" t="str">
        <f>IF(booking!I155&gt;0,"oc","va")</f>
        <v>va</v>
      </c>
      <c r="F155" s="137" t="str">
        <f>IF(booking!L155&gt;0,"oc","va")</f>
        <v>va</v>
      </c>
      <c r="G155" s="138" t="str">
        <f>IF(booking!M155&gt;0,"oc","va")</f>
        <v>va</v>
      </c>
      <c r="H155" s="137" t="str">
        <f>IF(booking!P155&gt;0,"oc","va")</f>
        <v>va</v>
      </c>
      <c r="I155" s="138" t="str">
        <f>IF(booking!Q155&gt;0,"oc","va")</f>
        <v>va</v>
      </c>
      <c r="J155" s="137" t="str">
        <f>IF(booking!T155&gt;0,"oc","va")</f>
        <v>va</v>
      </c>
      <c r="K155" s="138" t="str">
        <f>IF(booking!U155&gt;0,"oc","va")</f>
        <v>va</v>
      </c>
      <c r="L155" s="137" t="str">
        <f>IF(booking!X155&gt;0,"oc","va")</f>
        <v>va</v>
      </c>
      <c r="M155" s="138" t="str">
        <f>IF(booking!Y155&gt;0,"oc","va")</f>
        <v>va</v>
      </c>
    </row>
    <row r="156" spans="1:13" x14ac:dyDescent="0.35">
      <c r="A156" s="5">
        <f>booking!C156</f>
        <v>46293</v>
      </c>
      <c r="B156" s="137" t="str">
        <f>IF(booking!D156&gt;0,"oc","va")</f>
        <v>va</v>
      </c>
      <c r="C156" s="138" t="str">
        <f>IF(booking!E156&gt;0,"oc","va")</f>
        <v>va</v>
      </c>
      <c r="D156" s="137" t="str">
        <f>IF(booking!H156&gt;0,"oc","va")</f>
        <v>va</v>
      </c>
      <c r="E156" s="138" t="str">
        <f>IF(booking!I156&gt;0,"oc","va")</f>
        <v>va</v>
      </c>
      <c r="F156" s="137" t="str">
        <f>IF(booking!L156&gt;0,"oc","va")</f>
        <v>va</v>
      </c>
      <c r="G156" s="138" t="str">
        <f>IF(booking!M156&gt;0,"oc","va")</f>
        <v>va</v>
      </c>
      <c r="H156" s="137" t="str">
        <f>IF(booking!P156&gt;0,"oc","va")</f>
        <v>va</v>
      </c>
      <c r="I156" s="138" t="str">
        <f>IF(booking!Q156&gt;0,"oc","va")</f>
        <v>va</v>
      </c>
      <c r="J156" s="137" t="str">
        <f>IF(booking!T156&gt;0,"oc","va")</f>
        <v>va</v>
      </c>
      <c r="K156" s="138" t="str">
        <f>IF(booking!U156&gt;0,"oc","va")</f>
        <v>va</v>
      </c>
      <c r="L156" s="137" t="str">
        <f>IF(booking!X156&gt;0,"oc","va")</f>
        <v>va</v>
      </c>
      <c r="M156" s="138" t="str">
        <f>IF(booking!Y156&gt;0,"oc","va")</f>
        <v>va</v>
      </c>
    </row>
    <row r="157" spans="1:13" x14ac:dyDescent="0.35">
      <c r="A157" s="5">
        <f>booking!C157</f>
        <v>46294</v>
      </c>
      <c r="B157" s="137" t="str">
        <f>IF(booking!D157&gt;0,"oc","va")</f>
        <v>va</v>
      </c>
      <c r="C157" s="138" t="str">
        <f>IF(booking!E157&gt;0,"oc","va")</f>
        <v>va</v>
      </c>
      <c r="D157" s="137" t="str">
        <f>IF(booking!H157&gt;0,"oc","va")</f>
        <v>va</v>
      </c>
      <c r="E157" s="138" t="str">
        <f>IF(booking!I157&gt;0,"oc","va")</f>
        <v>va</v>
      </c>
      <c r="F157" s="137" t="str">
        <f>IF(booking!L157&gt;0,"oc","va")</f>
        <v>va</v>
      </c>
      <c r="G157" s="138" t="str">
        <f>IF(booking!M157&gt;0,"oc","va")</f>
        <v>va</v>
      </c>
      <c r="H157" s="137" t="str">
        <f>IF(booking!P157&gt;0,"oc","va")</f>
        <v>va</v>
      </c>
      <c r="I157" s="138" t="str">
        <f>IF(booking!Q157&gt;0,"oc","va")</f>
        <v>va</v>
      </c>
      <c r="J157" s="137" t="str">
        <f>IF(booking!T157&gt;0,"oc","va")</f>
        <v>va</v>
      </c>
      <c r="K157" s="138" t="str">
        <f>IF(booking!U157&gt;0,"oc","va")</f>
        <v>va</v>
      </c>
      <c r="L157" s="137" t="str">
        <f>IF(booking!X157&gt;0,"oc","va")</f>
        <v>va</v>
      </c>
      <c r="M157" s="138" t="str">
        <f>IF(booking!Y157&gt;0,"oc","va")</f>
        <v>va</v>
      </c>
    </row>
    <row r="158" spans="1:13" x14ac:dyDescent="0.35">
      <c r="A158" s="5">
        <f>booking!C158</f>
        <v>46295</v>
      </c>
      <c r="B158" s="137" t="str">
        <f>IF(booking!D158&gt;0,"oc","va")</f>
        <v>va</v>
      </c>
      <c r="C158" s="138" t="str">
        <f>IF(booking!E158&gt;0,"oc","va")</f>
        <v>va</v>
      </c>
      <c r="D158" s="137" t="str">
        <f>IF(booking!H158&gt;0,"oc","va")</f>
        <v>va</v>
      </c>
      <c r="E158" s="138" t="str">
        <f>IF(booking!I158&gt;0,"oc","va")</f>
        <v>va</v>
      </c>
      <c r="F158" s="137" t="str">
        <f>IF(booking!L158&gt;0,"oc","va")</f>
        <v>va</v>
      </c>
      <c r="G158" s="138" t="str">
        <f>IF(booking!M158&gt;0,"oc","va")</f>
        <v>va</v>
      </c>
      <c r="H158" s="137" t="str">
        <f>IF(booking!P158&gt;0,"oc","va")</f>
        <v>va</v>
      </c>
      <c r="I158" s="138" t="str">
        <f>IF(booking!Q158&gt;0,"oc","va")</f>
        <v>va</v>
      </c>
      <c r="J158" s="137" t="str">
        <f>IF(booking!T158&gt;0,"oc","va")</f>
        <v>va</v>
      </c>
      <c r="K158" s="138" t="str">
        <f>IF(booking!U158&gt;0,"oc","va")</f>
        <v>va</v>
      </c>
      <c r="L158" s="137" t="str">
        <f>IF(booking!X158&gt;0,"oc","va")</f>
        <v>va</v>
      </c>
      <c r="M158" s="138" t="str">
        <f>IF(booking!Y158&gt;0,"oc","va")</f>
        <v>va</v>
      </c>
    </row>
    <row r="159" spans="1:13" x14ac:dyDescent="0.35">
      <c r="A159" s="5">
        <f>booking!C159</f>
        <v>46296</v>
      </c>
      <c r="B159" s="137" t="str">
        <f>IF(booking!D159&gt;0,"oc","va")</f>
        <v>va</v>
      </c>
      <c r="C159" s="138" t="str">
        <f>IF(booking!E159&gt;0,"oc","va")</f>
        <v>va</v>
      </c>
      <c r="D159" s="137" t="str">
        <f>IF(booking!H159&gt;0,"oc","va")</f>
        <v>va</v>
      </c>
      <c r="E159" s="138" t="str">
        <f>IF(booking!I159&gt;0,"oc","va")</f>
        <v>va</v>
      </c>
      <c r="F159" s="137" t="str">
        <f>IF(booking!L159&gt;0,"oc","va")</f>
        <v>va</v>
      </c>
      <c r="G159" s="138" t="str">
        <f>IF(booking!M159&gt;0,"oc","va")</f>
        <v>va</v>
      </c>
      <c r="H159" s="137" t="str">
        <f>IF(booking!P159&gt;0,"oc","va")</f>
        <v>va</v>
      </c>
      <c r="I159" s="138" t="str">
        <f>IF(booking!Q159&gt;0,"oc","va")</f>
        <v>va</v>
      </c>
      <c r="J159" s="137" t="str">
        <f>IF(booking!T159&gt;0,"oc","va")</f>
        <v>va</v>
      </c>
      <c r="K159" s="138" t="str">
        <f>IF(booking!U159&gt;0,"oc","va")</f>
        <v>va</v>
      </c>
      <c r="L159" s="137" t="str">
        <f>IF(booking!X159&gt;0,"oc","va")</f>
        <v>va</v>
      </c>
      <c r="M159" s="138" t="str">
        <f>IF(booking!Y159&gt;0,"oc","va")</f>
        <v>va</v>
      </c>
    </row>
    <row r="160" spans="1:13" x14ac:dyDescent="0.35">
      <c r="A160" s="5">
        <f>booking!C160</f>
        <v>46297</v>
      </c>
      <c r="B160" s="137" t="str">
        <f>IF(booking!D160&gt;0,"oc","va")</f>
        <v>va</v>
      </c>
      <c r="C160" s="138" t="str">
        <f>IF(booking!E160&gt;0,"oc","va")</f>
        <v>va</v>
      </c>
      <c r="D160" s="137" t="str">
        <f>IF(booking!H160&gt;0,"oc","va")</f>
        <v>va</v>
      </c>
      <c r="E160" s="138" t="str">
        <f>IF(booking!I160&gt;0,"oc","va")</f>
        <v>va</v>
      </c>
      <c r="F160" s="137" t="str">
        <f>IF(booking!L160&gt;0,"oc","va")</f>
        <v>va</v>
      </c>
      <c r="G160" s="138" t="str">
        <f>IF(booking!M160&gt;0,"oc","va")</f>
        <v>va</v>
      </c>
      <c r="H160" s="137" t="str">
        <f>IF(booking!P160&gt;0,"oc","va")</f>
        <v>va</v>
      </c>
      <c r="I160" s="138" t="str">
        <f>IF(booking!Q160&gt;0,"oc","va")</f>
        <v>va</v>
      </c>
      <c r="J160" s="137" t="str">
        <f>IF(booking!T160&gt;0,"oc","va")</f>
        <v>va</v>
      </c>
      <c r="K160" s="138" t="str">
        <f>IF(booking!U160&gt;0,"oc","va")</f>
        <v>va</v>
      </c>
      <c r="L160" s="137" t="str">
        <f>IF(booking!X160&gt;0,"oc","va")</f>
        <v>va</v>
      </c>
      <c r="M160" s="138" t="str">
        <f>IF(booking!Y160&gt;0,"oc","va")</f>
        <v>va</v>
      </c>
    </row>
    <row r="161" spans="1:13" x14ac:dyDescent="0.35">
      <c r="A161" s="5">
        <f>booking!C161</f>
        <v>46298</v>
      </c>
      <c r="B161" s="137" t="str">
        <f>IF(booking!D161&gt;0,"oc","va")</f>
        <v>va</v>
      </c>
      <c r="C161" s="138" t="str">
        <f>IF(booking!E161&gt;0,"oc","va")</f>
        <v>va</v>
      </c>
      <c r="D161" s="137" t="str">
        <f>IF(booking!H161&gt;0,"oc","va")</f>
        <v>va</v>
      </c>
      <c r="E161" s="138" t="str">
        <f>IF(booking!I161&gt;0,"oc","va")</f>
        <v>va</v>
      </c>
      <c r="F161" s="137" t="str">
        <f>IF(booking!L161&gt;0,"oc","va")</f>
        <v>va</v>
      </c>
      <c r="G161" s="138" t="str">
        <f>IF(booking!M161&gt;0,"oc","va")</f>
        <v>va</v>
      </c>
      <c r="H161" s="137" t="str">
        <f>IF(booking!P161&gt;0,"oc","va")</f>
        <v>va</v>
      </c>
      <c r="I161" s="138" t="str">
        <f>IF(booking!Q161&gt;0,"oc","va")</f>
        <v>va</v>
      </c>
      <c r="J161" s="137" t="str">
        <f>IF(booking!T161&gt;0,"oc","va")</f>
        <v>va</v>
      </c>
      <c r="K161" s="138" t="str">
        <f>IF(booking!U161&gt;0,"oc","va")</f>
        <v>va</v>
      </c>
      <c r="L161" s="137" t="str">
        <f>IF(booking!X161&gt;0,"oc","va")</f>
        <v>va</v>
      </c>
      <c r="M161" s="138" t="str">
        <f>IF(booking!Y161&gt;0,"oc","va")</f>
        <v>va</v>
      </c>
    </row>
    <row r="162" spans="1:13" x14ac:dyDescent="0.35">
      <c r="A162" s="5">
        <f>booking!C162</f>
        <v>46299</v>
      </c>
      <c r="B162" s="137" t="str">
        <f>IF(booking!D162&gt;0,"oc","va")</f>
        <v>va</v>
      </c>
      <c r="C162" s="138" t="str">
        <f>IF(booking!E162&gt;0,"oc","va")</f>
        <v>va</v>
      </c>
      <c r="D162" s="137" t="str">
        <f>IF(booking!H162&gt;0,"oc","va")</f>
        <v>va</v>
      </c>
      <c r="E162" s="138" t="str">
        <f>IF(booking!I162&gt;0,"oc","va")</f>
        <v>va</v>
      </c>
      <c r="F162" s="137" t="str">
        <f>IF(booking!L162&gt;0,"oc","va")</f>
        <v>va</v>
      </c>
      <c r="G162" s="138" t="str">
        <f>IF(booking!M162&gt;0,"oc","va")</f>
        <v>va</v>
      </c>
      <c r="H162" s="137" t="str">
        <f>IF(booking!P162&gt;0,"oc","va")</f>
        <v>va</v>
      </c>
      <c r="I162" s="138" t="str">
        <f>IF(booking!Q162&gt;0,"oc","va")</f>
        <v>va</v>
      </c>
      <c r="J162" s="137" t="str">
        <f>IF(booking!T162&gt;0,"oc","va")</f>
        <v>va</v>
      </c>
      <c r="K162" s="138" t="str">
        <f>IF(booking!U162&gt;0,"oc","va")</f>
        <v>va</v>
      </c>
      <c r="L162" s="137" t="str">
        <f>IF(booking!X162&gt;0,"oc","va")</f>
        <v>va</v>
      </c>
      <c r="M162" s="138" t="str">
        <f>IF(booking!Y162&gt;0,"oc","va")</f>
        <v>va</v>
      </c>
    </row>
    <row r="163" spans="1:13" x14ac:dyDescent="0.35">
      <c r="A163" s="5">
        <f>booking!C163</f>
        <v>46300</v>
      </c>
      <c r="B163" s="137" t="str">
        <f>IF(booking!D163&gt;0,"oc","va")</f>
        <v>va</v>
      </c>
      <c r="C163" s="138" t="str">
        <f>IF(booking!E163&gt;0,"oc","va")</f>
        <v>va</v>
      </c>
      <c r="D163" s="137" t="str">
        <f>IF(booking!H163&gt;0,"oc","va")</f>
        <v>va</v>
      </c>
      <c r="E163" s="138" t="str">
        <f>IF(booking!I163&gt;0,"oc","va")</f>
        <v>va</v>
      </c>
      <c r="F163" s="137" t="str">
        <f>IF(booking!L163&gt;0,"oc","va")</f>
        <v>va</v>
      </c>
      <c r="G163" s="138" t="str">
        <f>IF(booking!M163&gt;0,"oc","va")</f>
        <v>va</v>
      </c>
      <c r="H163" s="137" t="str">
        <f>IF(booking!P163&gt;0,"oc","va")</f>
        <v>va</v>
      </c>
      <c r="I163" s="138" t="str">
        <f>IF(booking!Q163&gt;0,"oc","va")</f>
        <v>va</v>
      </c>
      <c r="J163" s="137" t="str">
        <f>IF(booking!T163&gt;0,"oc","va")</f>
        <v>va</v>
      </c>
      <c r="K163" s="138" t="str">
        <f>IF(booking!U163&gt;0,"oc","va")</f>
        <v>va</v>
      </c>
      <c r="L163" s="137" t="str">
        <f>IF(booking!X163&gt;0,"oc","va")</f>
        <v>va</v>
      </c>
      <c r="M163" s="138" t="str">
        <f>IF(booking!Y163&gt;0,"oc","va")</f>
        <v>va</v>
      </c>
    </row>
    <row r="164" spans="1:13" x14ac:dyDescent="0.35">
      <c r="A164" s="5">
        <f>booking!C164</f>
        <v>46301</v>
      </c>
      <c r="B164" s="137" t="str">
        <f>IF(booking!D164&gt;0,"oc","va")</f>
        <v>va</v>
      </c>
      <c r="C164" s="138" t="str">
        <f>IF(booking!E164&gt;0,"oc","va")</f>
        <v>va</v>
      </c>
      <c r="D164" s="137" t="str">
        <f>IF(booking!H164&gt;0,"oc","va")</f>
        <v>va</v>
      </c>
      <c r="E164" s="138" t="str">
        <f>IF(booking!I164&gt;0,"oc","va")</f>
        <v>va</v>
      </c>
      <c r="F164" s="137" t="str">
        <f>IF(booking!L164&gt;0,"oc","va")</f>
        <v>va</v>
      </c>
      <c r="G164" s="138" t="str">
        <f>IF(booking!M164&gt;0,"oc","va")</f>
        <v>va</v>
      </c>
      <c r="H164" s="137" t="str">
        <f>IF(booking!P164&gt;0,"oc","va")</f>
        <v>va</v>
      </c>
      <c r="I164" s="138" t="str">
        <f>IF(booking!Q164&gt;0,"oc","va")</f>
        <v>va</v>
      </c>
      <c r="J164" s="137" t="str">
        <f>IF(booking!T164&gt;0,"oc","va")</f>
        <v>va</v>
      </c>
      <c r="K164" s="138" t="str">
        <f>IF(booking!U164&gt;0,"oc","va")</f>
        <v>va</v>
      </c>
      <c r="L164" s="137" t="str">
        <f>IF(booking!X164&gt;0,"oc","va")</f>
        <v>va</v>
      </c>
      <c r="M164" s="138" t="str">
        <f>IF(booking!Y164&gt;0,"oc","va")</f>
        <v>va</v>
      </c>
    </row>
    <row r="165" spans="1:13" x14ac:dyDescent="0.35">
      <c r="A165" s="5">
        <f>booking!C165</f>
        <v>46302</v>
      </c>
      <c r="B165" s="137" t="str">
        <f>IF(booking!D165&gt;0,"oc","va")</f>
        <v>va</v>
      </c>
      <c r="C165" s="138" t="str">
        <f>IF(booking!E165&gt;0,"oc","va")</f>
        <v>va</v>
      </c>
      <c r="D165" s="137" t="str">
        <f>IF(booking!H165&gt;0,"oc","va")</f>
        <v>va</v>
      </c>
      <c r="E165" s="138" t="str">
        <f>IF(booking!I165&gt;0,"oc","va")</f>
        <v>va</v>
      </c>
      <c r="F165" s="137" t="str">
        <f>IF(booking!L165&gt;0,"oc","va")</f>
        <v>va</v>
      </c>
      <c r="G165" s="138" t="str">
        <f>IF(booking!M165&gt;0,"oc","va")</f>
        <v>va</v>
      </c>
      <c r="H165" s="137" t="str">
        <f>IF(booking!P165&gt;0,"oc","va")</f>
        <v>va</v>
      </c>
      <c r="I165" s="138" t="str">
        <f>IF(booking!Q165&gt;0,"oc","va")</f>
        <v>va</v>
      </c>
      <c r="J165" s="137" t="str">
        <f>IF(booking!T165&gt;0,"oc","va")</f>
        <v>va</v>
      </c>
      <c r="K165" s="138" t="str">
        <f>IF(booking!U165&gt;0,"oc","va")</f>
        <v>va</v>
      </c>
      <c r="L165" s="137" t="str">
        <f>IF(booking!X165&gt;0,"oc","va")</f>
        <v>va</v>
      </c>
      <c r="M165" s="138" t="str">
        <f>IF(booking!Y165&gt;0,"oc","va")</f>
        <v>va</v>
      </c>
    </row>
    <row r="166" spans="1:13" x14ac:dyDescent="0.35">
      <c r="A166" s="5">
        <f>booking!C166</f>
        <v>46303</v>
      </c>
      <c r="B166" s="137" t="str">
        <f>IF(booking!D166&gt;0,"oc","va")</f>
        <v>va</v>
      </c>
      <c r="C166" s="138" t="str">
        <f>IF(booking!E166&gt;0,"oc","va")</f>
        <v>va</v>
      </c>
      <c r="D166" s="137" t="str">
        <f>IF(booking!H166&gt;0,"oc","va")</f>
        <v>va</v>
      </c>
      <c r="E166" s="138" t="str">
        <f>IF(booking!I166&gt;0,"oc","va")</f>
        <v>va</v>
      </c>
      <c r="F166" s="137" t="str">
        <f>IF(booking!L166&gt;0,"oc","va")</f>
        <v>va</v>
      </c>
      <c r="G166" s="138" t="str">
        <f>IF(booking!M166&gt;0,"oc","va")</f>
        <v>va</v>
      </c>
      <c r="H166" s="137" t="str">
        <f>IF(booking!P166&gt;0,"oc","va")</f>
        <v>va</v>
      </c>
      <c r="I166" s="138" t="str">
        <f>IF(booking!Q166&gt;0,"oc","va")</f>
        <v>va</v>
      </c>
      <c r="J166" s="137" t="str">
        <f>IF(booking!T166&gt;0,"oc","va")</f>
        <v>va</v>
      </c>
      <c r="K166" s="138" t="str">
        <f>IF(booking!U166&gt;0,"oc","va")</f>
        <v>va</v>
      </c>
      <c r="L166" s="137" t="str">
        <f>IF(booking!X166&gt;0,"oc","va")</f>
        <v>va</v>
      </c>
      <c r="M166" s="138" t="str">
        <f>IF(booking!Y166&gt;0,"oc","va")</f>
        <v>va</v>
      </c>
    </row>
    <row r="167" spans="1:13" x14ac:dyDescent="0.35">
      <c r="A167" s="5">
        <f>booking!C167</f>
        <v>46304</v>
      </c>
      <c r="B167" s="137" t="str">
        <f>IF(booking!D167&gt;0,"oc","va")</f>
        <v>va</v>
      </c>
      <c r="C167" s="138" t="str">
        <f>IF(booking!E167&gt;0,"oc","va")</f>
        <v>va</v>
      </c>
      <c r="D167" s="137" t="str">
        <f>IF(booking!H167&gt;0,"oc","va")</f>
        <v>va</v>
      </c>
      <c r="E167" s="138" t="str">
        <f>IF(booking!I167&gt;0,"oc","va")</f>
        <v>va</v>
      </c>
      <c r="F167" s="137" t="str">
        <f>IF(booking!L167&gt;0,"oc","va")</f>
        <v>va</v>
      </c>
      <c r="G167" s="138" t="str">
        <f>IF(booking!M167&gt;0,"oc","va")</f>
        <v>va</v>
      </c>
      <c r="H167" s="137" t="str">
        <f>IF(booking!P167&gt;0,"oc","va")</f>
        <v>va</v>
      </c>
      <c r="I167" s="138" t="str">
        <f>IF(booking!Q167&gt;0,"oc","va")</f>
        <v>va</v>
      </c>
      <c r="J167" s="137" t="str">
        <f>IF(booking!T167&gt;0,"oc","va")</f>
        <v>va</v>
      </c>
      <c r="K167" s="138" t="str">
        <f>IF(booking!U167&gt;0,"oc","va")</f>
        <v>va</v>
      </c>
      <c r="L167" s="137" t="str">
        <f>IF(booking!X167&gt;0,"oc","va")</f>
        <v>va</v>
      </c>
      <c r="M167" s="138" t="str">
        <f>IF(booking!Y167&gt;0,"oc","va")</f>
        <v>va</v>
      </c>
    </row>
    <row r="168" spans="1:13" x14ac:dyDescent="0.35">
      <c r="A168" s="5">
        <f>booking!C168</f>
        <v>46305</v>
      </c>
      <c r="B168" s="137" t="str">
        <f>IF(booking!D168&gt;0,"oc","va")</f>
        <v>va</v>
      </c>
      <c r="C168" s="138" t="str">
        <f>IF(booking!E168&gt;0,"oc","va")</f>
        <v>va</v>
      </c>
      <c r="D168" s="137" t="str">
        <f>IF(booking!H168&gt;0,"oc","va")</f>
        <v>va</v>
      </c>
      <c r="E168" s="138" t="str">
        <f>IF(booking!I168&gt;0,"oc","va")</f>
        <v>va</v>
      </c>
      <c r="F168" s="137" t="str">
        <f>IF(booking!L168&gt;0,"oc","va")</f>
        <v>va</v>
      </c>
      <c r="G168" s="138" t="str">
        <f>IF(booking!M168&gt;0,"oc","va")</f>
        <v>va</v>
      </c>
      <c r="H168" s="137" t="str">
        <f>IF(booking!P168&gt;0,"oc","va")</f>
        <v>va</v>
      </c>
      <c r="I168" s="138" t="str">
        <f>IF(booking!Q168&gt;0,"oc","va")</f>
        <v>va</v>
      </c>
      <c r="J168" s="137" t="str">
        <f>IF(booking!T168&gt;0,"oc","va")</f>
        <v>va</v>
      </c>
      <c r="K168" s="138" t="str">
        <f>IF(booking!U168&gt;0,"oc","va")</f>
        <v>va</v>
      </c>
      <c r="L168" s="137" t="str">
        <f>IF(booking!X168&gt;0,"oc","va")</f>
        <v>va</v>
      </c>
      <c r="M168" s="138" t="str">
        <f>IF(booking!Y168&gt;0,"oc","va")</f>
        <v>va</v>
      </c>
    </row>
    <row r="169" spans="1:13" x14ac:dyDescent="0.35">
      <c r="A169" s="5">
        <f>booking!C169</f>
        <v>46306</v>
      </c>
      <c r="B169" s="137" t="str">
        <f>IF(booking!D169&gt;0,"oc","va")</f>
        <v>va</v>
      </c>
      <c r="C169" s="138" t="str">
        <f>IF(booking!E169&gt;0,"oc","va")</f>
        <v>va</v>
      </c>
      <c r="D169" s="137" t="str">
        <f>IF(booking!H169&gt;0,"oc","va")</f>
        <v>va</v>
      </c>
      <c r="E169" s="138" t="str">
        <f>IF(booking!I169&gt;0,"oc","va")</f>
        <v>va</v>
      </c>
      <c r="F169" s="137" t="str">
        <f>IF(booking!L169&gt;0,"oc","va")</f>
        <v>va</v>
      </c>
      <c r="G169" s="138" t="str">
        <f>IF(booking!M169&gt;0,"oc","va")</f>
        <v>va</v>
      </c>
      <c r="H169" s="137" t="str">
        <f>IF(booking!P169&gt;0,"oc","va")</f>
        <v>va</v>
      </c>
      <c r="I169" s="138" t="str">
        <f>IF(booking!Q169&gt;0,"oc","va")</f>
        <v>va</v>
      </c>
      <c r="J169" s="137" t="str">
        <f>IF(booking!T169&gt;0,"oc","va")</f>
        <v>va</v>
      </c>
      <c r="K169" s="138" t="str">
        <f>IF(booking!U169&gt;0,"oc","va")</f>
        <v>va</v>
      </c>
      <c r="L169" s="137" t="str">
        <f>IF(booking!X169&gt;0,"oc","va")</f>
        <v>va</v>
      </c>
      <c r="M169" s="138" t="str">
        <f>IF(booking!Y169&gt;0,"oc","va")</f>
        <v>va</v>
      </c>
    </row>
    <row r="170" spans="1:13" x14ac:dyDescent="0.35">
      <c r="A170" s="5">
        <f>booking!C170</f>
        <v>46307</v>
      </c>
      <c r="B170" s="137" t="str">
        <f>IF(booking!D170&gt;0,"oc","va")</f>
        <v>va</v>
      </c>
      <c r="C170" s="138" t="str">
        <f>IF(booking!E170&gt;0,"oc","va")</f>
        <v>va</v>
      </c>
      <c r="D170" s="137" t="str">
        <f>IF(booking!H170&gt;0,"oc","va")</f>
        <v>va</v>
      </c>
      <c r="E170" s="138" t="str">
        <f>IF(booking!I170&gt;0,"oc","va")</f>
        <v>va</v>
      </c>
      <c r="F170" s="137" t="str">
        <f>IF(booking!L170&gt;0,"oc","va")</f>
        <v>va</v>
      </c>
      <c r="G170" s="138" t="str">
        <f>IF(booking!M170&gt;0,"oc","va")</f>
        <v>va</v>
      </c>
      <c r="H170" s="137" t="str">
        <f>IF(booking!P170&gt;0,"oc","va")</f>
        <v>va</v>
      </c>
      <c r="I170" s="138" t="str">
        <f>IF(booking!Q170&gt;0,"oc","va")</f>
        <v>va</v>
      </c>
      <c r="J170" s="137" t="str">
        <f>IF(booking!T170&gt;0,"oc","va")</f>
        <v>va</v>
      </c>
      <c r="K170" s="138" t="str">
        <f>IF(booking!U170&gt;0,"oc","va")</f>
        <v>va</v>
      </c>
      <c r="L170" s="137" t="str">
        <f>IF(booking!X170&gt;0,"oc","va")</f>
        <v>va</v>
      </c>
      <c r="M170" s="138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7" t="str">
        <f>IF(booking!D171&gt;0,"oc","va")</f>
        <v>va</v>
      </c>
      <c r="C171" s="138" t="str">
        <f>IF(booking!E171&gt;0,"oc","va")</f>
        <v>va</v>
      </c>
      <c r="D171" s="137" t="str">
        <f>IF(booking!H171&gt;0,"oc","va")</f>
        <v>va</v>
      </c>
      <c r="E171" s="138" t="str">
        <f>IF(booking!I171&gt;0,"oc","va")</f>
        <v>va</v>
      </c>
      <c r="F171" s="137" t="str">
        <f>IF(booking!L171&gt;0,"oc","va")</f>
        <v>va</v>
      </c>
      <c r="G171" s="138" t="str">
        <f>IF(booking!M171&gt;0,"oc","va")</f>
        <v>va</v>
      </c>
      <c r="H171" s="137" t="str">
        <f>IF(booking!P171&gt;0,"oc","va")</f>
        <v>va</v>
      </c>
      <c r="I171" s="138" t="str">
        <f>IF(booking!Q171&gt;0,"oc","va")</f>
        <v>va</v>
      </c>
      <c r="J171" s="137" t="str">
        <f>IF(booking!T171&gt;0,"oc","va")</f>
        <v>va</v>
      </c>
      <c r="K171" s="138" t="str">
        <f>IF(booking!U171&gt;0,"oc","va")</f>
        <v>va</v>
      </c>
      <c r="L171" s="137" t="str">
        <f>IF(booking!X171&gt;0,"oc","va")</f>
        <v>va</v>
      </c>
      <c r="M171" s="138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2026-02-20T17:46:52Z</cp:lastPrinted>
  <dcterms:created xsi:type="dcterms:W3CDTF">2024-07-25T07:35:10Z</dcterms:created>
  <dcterms:modified xsi:type="dcterms:W3CDTF">2026-02-23T17:01:53Z</dcterms:modified>
  <cp:category/>
  <cp:contentStatus/>
</cp:coreProperties>
</file>