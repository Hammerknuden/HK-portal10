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307" documentId="8_{48B37ED3-8953-4CF0-98FF-01FF5DFD1860}" xr6:coauthVersionLast="47" xr6:coauthVersionMax="47" xr10:uidLastSave="{7FF8606E-7934-40A8-B479-0AEAB629BB2D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0" i="3" l="1"/>
  <c r="BN3" i="3"/>
  <c r="BL3" i="3" s="1"/>
  <c r="BO3" i="3"/>
  <c r="BP3" i="3"/>
  <c r="BQ3" i="3"/>
  <c r="BM3" i="3" s="1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8" i="3"/>
  <c r="BO8" i="3"/>
  <c r="BP8" i="3"/>
  <c r="BQ8" i="3"/>
  <c r="BR8" i="3"/>
  <c r="BS8" i="3"/>
  <c r="BT8" i="3"/>
  <c r="BL8" i="3" s="1"/>
  <c r="BU8" i="3"/>
  <c r="BM8" i="3" s="1"/>
  <c r="BV8" i="3"/>
  <c r="BW8" i="3"/>
  <c r="BX8" i="3"/>
  <c r="BY8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5" i="3"/>
  <c r="BL15" i="3" s="1"/>
  <c r="BO15" i="3"/>
  <c r="BP15" i="3"/>
  <c r="BQ15" i="3"/>
  <c r="BM15" i="3" s="1"/>
  <c r="BR15" i="3"/>
  <c r="BS15" i="3"/>
  <c r="BT15" i="3"/>
  <c r="BU15" i="3"/>
  <c r="BV15" i="3"/>
  <c r="BW15" i="3"/>
  <c r="BX15" i="3"/>
  <c r="BY15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7" i="3"/>
  <c r="BL27" i="3" s="1"/>
  <c r="BO27" i="3"/>
  <c r="BP27" i="3"/>
  <c r="BQ27" i="3"/>
  <c r="BM27" i="3" s="1"/>
  <c r="BR27" i="3"/>
  <c r="BS27" i="3"/>
  <c r="BT27" i="3"/>
  <c r="BU27" i="3"/>
  <c r="BV27" i="3"/>
  <c r="BW27" i="3"/>
  <c r="BX27" i="3"/>
  <c r="BY27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65" i="3"/>
  <c r="BL65" i="3" s="1"/>
  <c r="BO65" i="3"/>
  <c r="BM65" i="3" s="1"/>
  <c r="BP65" i="3"/>
  <c r="BQ65" i="3"/>
  <c r="BR65" i="3"/>
  <c r="BS65" i="3"/>
  <c r="BT65" i="3"/>
  <c r="BU65" i="3"/>
  <c r="BV65" i="3"/>
  <c r="BW65" i="3"/>
  <c r="BX65" i="3"/>
  <c r="BY65" i="3"/>
  <c r="BN66" i="3"/>
  <c r="BL66" i="3" s="1"/>
  <c r="BO66" i="3"/>
  <c r="BM66" i="3" s="1"/>
  <c r="BP66" i="3"/>
  <c r="BQ66" i="3"/>
  <c r="BR66" i="3"/>
  <c r="BS66" i="3"/>
  <c r="BT66" i="3"/>
  <c r="BU66" i="3"/>
  <c r="BV66" i="3"/>
  <c r="BW66" i="3"/>
  <c r="BX66" i="3"/>
  <c r="BY66" i="3"/>
  <c r="BN67" i="3"/>
  <c r="BO67" i="3"/>
  <c r="BP67" i="3"/>
  <c r="BQ67" i="3"/>
  <c r="BR67" i="3"/>
  <c r="BS67" i="3"/>
  <c r="BT67" i="3"/>
  <c r="BU67" i="3"/>
  <c r="BV67" i="3"/>
  <c r="BW67" i="3"/>
  <c r="BX67" i="3"/>
  <c r="BL67" i="3" s="1"/>
  <c r="BY67" i="3"/>
  <c r="BM67" i="3" s="1"/>
  <c r="BN68" i="3"/>
  <c r="BO68" i="3"/>
  <c r="BP68" i="3"/>
  <c r="BQ68" i="3"/>
  <c r="BR68" i="3"/>
  <c r="BL68" i="3" s="1"/>
  <c r="BS68" i="3"/>
  <c r="BT68" i="3"/>
  <c r="BU68" i="3"/>
  <c r="BM68" i="3" s="1"/>
  <c r="BV68" i="3"/>
  <c r="BW68" i="3"/>
  <c r="BX68" i="3"/>
  <c r="BY68" i="3"/>
  <c r="BN69" i="3"/>
  <c r="BL69" i="3" s="1"/>
  <c r="BO69" i="3"/>
  <c r="BP69" i="3"/>
  <c r="BQ69" i="3"/>
  <c r="BM69" i="3" s="1"/>
  <c r="BR69" i="3"/>
  <c r="BS69" i="3"/>
  <c r="BT69" i="3"/>
  <c r="BU69" i="3"/>
  <c r="BV69" i="3"/>
  <c r="BW69" i="3"/>
  <c r="BX69" i="3"/>
  <c r="BY69" i="3"/>
  <c r="BN70" i="3"/>
  <c r="BL70" i="3" s="1"/>
  <c r="BO70" i="3"/>
  <c r="BM70" i="3" s="1"/>
  <c r="BP70" i="3"/>
  <c r="BQ70" i="3"/>
  <c r="BR70" i="3"/>
  <c r="BS70" i="3"/>
  <c r="BT70" i="3"/>
  <c r="BU70" i="3"/>
  <c r="BV70" i="3"/>
  <c r="BW70" i="3"/>
  <c r="BX70" i="3"/>
  <c r="BY70" i="3"/>
  <c r="BN71" i="3"/>
  <c r="BL71" i="3" s="1"/>
  <c r="BO71" i="3"/>
  <c r="BM71" i="3" s="1"/>
  <c r="BP71" i="3"/>
  <c r="BQ71" i="3"/>
  <c r="BR71" i="3"/>
  <c r="BS71" i="3"/>
  <c r="BT71" i="3"/>
  <c r="BU71" i="3"/>
  <c r="BV71" i="3"/>
  <c r="BW71" i="3"/>
  <c r="BX71" i="3"/>
  <c r="BY71" i="3"/>
  <c r="BN72" i="3"/>
  <c r="BL72" i="3" s="1"/>
  <c r="BO72" i="3"/>
  <c r="BM72" i="3" s="1"/>
  <c r="BP72" i="3"/>
  <c r="BQ72" i="3"/>
  <c r="BR72" i="3"/>
  <c r="BS72" i="3"/>
  <c r="BT72" i="3"/>
  <c r="BU72" i="3"/>
  <c r="BV72" i="3"/>
  <c r="BW72" i="3"/>
  <c r="BX72" i="3"/>
  <c r="BY72" i="3"/>
  <c r="BN73" i="3"/>
  <c r="BO73" i="3"/>
  <c r="BP73" i="3"/>
  <c r="BQ73" i="3"/>
  <c r="BR73" i="3"/>
  <c r="BS73" i="3"/>
  <c r="BT73" i="3"/>
  <c r="BU73" i="3"/>
  <c r="BV73" i="3"/>
  <c r="BW73" i="3"/>
  <c r="BX73" i="3"/>
  <c r="BL73" i="3" s="1"/>
  <c r="BY73" i="3"/>
  <c r="BM73" i="3" s="1"/>
  <c r="BN74" i="3"/>
  <c r="BO74" i="3"/>
  <c r="BP74" i="3"/>
  <c r="BQ74" i="3"/>
  <c r="BR74" i="3"/>
  <c r="BL74" i="3" s="1"/>
  <c r="BS74" i="3"/>
  <c r="BT74" i="3"/>
  <c r="BU74" i="3"/>
  <c r="BM74" i="3" s="1"/>
  <c r="BV74" i="3"/>
  <c r="BW74" i="3"/>
  <c r="BX74" i="3"/>
  <c r="BY74" i="3"/>
  <c r="BN75" i="3"/>
  <c r="BL75" i="3" s="1"/>
  <c r="BO75" i="3"/>
  <c r="BP75" i="3"/>
  <c r="BQ75" i="3"/>
  <c r="BM75" i="3" s="1"/>
  <c r="BR75" i="3"/>
  <c r="BS75" i="3"/>
  <c r="BT75" i="3"/>
  <c r="BU75" i="3"/>
  <c r="BV75" i="3"/>
  <c r="BW75" i="3"/>
  <c r="BX75" i="3"/>
  <c r="BY75" i="3"/>
  <c r="BN76" i="3"/>
  <c r="BL76" i="3" s="1"/>
  <c r="BO76" i="3"/>
  <c r="BM76" i="3" s="1"/>
  <c r="BP76" i="3"/>
  <c r="BQ76" i="3"/>
  <c r="BR76" i="3"/>
  <c r="BS76" i="3"/>
  <c r="BT76" i="3"/>
  <c r="BU76" i="3"/>
  <c r="BV76" i="3"/>
  <c r="BW76" i="3"/>
  <c r="BX76" i="3"/>
  <c r="BY76" i="3"/>
  <c r="BN77" i="3"/>
  <c r="BL77" i="3" s="1"/>
  <c r="BO77" i="3"/>
  <c r="BM77" i="3" s="1"/>
  <c r="BP77" i="3"/>
  <c r="BQ77" i="3"/>
  <c r="BR77" i="3"/>
  <c r="BS77" i="3"/>
  <c r="BT77" i="3"/>
  <c r="BU77" i="3"/>
  <c r="BV77" i="3"/>
  <c r="BW77" i="3"/>
  <c r="BX77" i="3"/>
  <c r="BY77" i="3"/>
  <c r="BN78" i="3"/>
  <c r="BL78" i="3" s="1"/>
  <c r="BO78" i="3"/>
  <c r="BM78" i="3" s="1"/>
  <c r="BP78" i="3"/>
  <c r="BQ78" i="3"/>
  <c r="BR78" i="3"/>
  <c r="BS78" i="3"/>
  <c r="BT78" i="3"/>
  <c r="BU78" i="3"/>
  <c r="BV78" i="3"/>
  <c r="BW78" i="3"/>
  <c r="BX78" i="3"/>
  <c r="BY78" i="3"/>
  <c r="BL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M79" i="3" s="1"/>
  <c r="BN80" i="3"/>
  <c r="BO80" i="3"/>
  <c r="BP80" i="3"/>
  <c r="BQ80" i="3"/>
  <c r="BR80" i="3"/>
  <c r="BL80" i="3" s="1"/>
  <c r="BS80" i="3"/>
  <c r="BT80" i="3"/>
  <c r="BU80" i="3"/>
  <c r="BM80" i="3" s="1"/>
  <c r="BV80" i="3"/>
  <c r="BW80" i="3"/>
  <c r="BX80" i="3"/>
  <c r="BY80" i="3"/>
  <c r="BN81" i="3"/>
  <c r="BL81" i="3" s="1"/>
  <c r="BO81" i="3"/>
  <c r="BP81" i="3"/>
  <c r="BQ81" i="3"/>
  <c r="BM81" i="3" s="1"/>
  <c r="BR81" i="3"/>
  <c r="BS81" i="3"/>
  <c r="BT81" i="3"/>
  <c r="BU81" i="3"/>
  <c r="BV81" i="3"/>
  <c r="BW81" i="3"/>
  <c r="BX81" i="3"/>
  <c r="BY81" i="3"/>
  <c r="BN82" i="3"/>
  <c r="BL82" i="3" s="1"/>
  <c r="BO82" i="3"/>
  <c r="BM82" i="3" s="1"/>
  <c r="BP82" i="3"/>
  <c r="BQ82" i="3"/>
  <c r="BR82" i="3"/>
  <c r="BS82" i="3"/>
  <c r="BT82" i="3"/>
  <c r="BU82" i="3"/>
  <c r="BV82" i="3"/>
  <c r="BW82" i="3"/>
  <c r="BX82" i="3"/>
  <c r="BY82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B3" i="3"/>
  <c r="BC3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8" i="3"/>
  <c r="BC8" i="3"/>
  <c r="BD8" i="3"/>
  <c r="BE8" i="3"/>
  <c r="BF8" i="3"/>
  <c r="BG8" i="3"/>
  <c r="BH8" i="3"/>
  <c r="BI8" i="3"/>
  <c r="BJ8" i="3"/>
  <c r="BK8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5" i="3"/>
  <c r="BC15" i="3"/>
  <c r="BD15" i="3"/>
  <c r="BE15" i="3"/>
  <c r="BF15" i="3"/>
  <c r="BG15" i="3"/>
  <c r="BH15" i="3"/>
  <c r="BI15" i="3"/>
  <c r="BJ15" i="3"/>
  <c r="BK15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7" i="3"/>
  <c r="BC27" i="3"/>
  <c r="BD27" i="3"/>
  <c r="BE27" i="3"/>
  <c r="BF27" i="3"/>
  <c r="BG27" i="3"/>
  <c r="BH27" i="3"/>
  <c r="BI27" i="3"/>
  <c r="BJ27" i="3"/>
  <c r="BK27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65" i="3"/>
  <c r="BC65" i="3"/>
  <c r="BD65" i="3"/>
  <c r="BE65" i="3"/>
  <c r="BF65" i="3"/>
  <c r="BG65" i="3"/>
  <c r="BH65" i="3"/>
  <c r="BI65" i="3"/>
  <c r="BJ65" i="3"/>
  <c r="BK65" i="3"/>
  <c r="BB66" i="3"/>
  <c r="BC66" i="3"/>
  <c r="BD66" i="3"/>
  <c r="BE66" i="3"/>
  <c r="BF66" i="3"/>
  <c r="BG66" i="3"/>
  <c r="BH66" i="3"/>
  <c r="BI66" i="3"/>
  <c r="BJ66" i="3"/>
  <c r="BK66" i="3"/>
  <c r="BB67" i="3"/>
  <c r="BC67" i="3"/>
  <c r="BD67" i="3"/>
  <c r="BE67" i="3"/>
  <c r="BF67" i="3"/>
  <c r="BG67" i="3"/>
  <c r="BH67" i="3"/>
  <c r="BI67" i="3"/>
  <c r="BJ67" i="3"/>
  <c r="BK67" i="3"/>
  <c r="BB68" i="3"/>
  <c r="BC68" i="3"/>
  <c r="BD68" i="3"/>
  <c r="BE68" i="3"/>
  <c r="BF68" i="3"/>
  <c r="BG68" i="3"/>
  <c r="BH68" i="3"/>
  <c r="BI68" i="3"/>
  <c r="BJ68" i="3"/>
  <c r="BK68" i="3"/>
  <c r="BB69" i="3"/>
  <c r="BC69" i="3"/>
  <c r="BD69" i="3"/>
  <c r="BE69" i="3"/>
  <c r="BF69" i="3"/>
  <c r="BG69" i="3"/>
  <c r="BH69" i="3"/>
  <c r="BI69" i="3"/>
  <c r="BJ69" i="3"/>
  <c r="BK69" i="3"/>
  <c r="BB70" i="3"/>
  <c r="BC70" i="3"/>
  <c r="BD70" i="3"/>
  <c r="BE70" i="3"/>
  <c r="BF70" i="3"/>
  <c r="BG70" i="3"/>
  <c r="BH70" i="3"/>
  <c r="BI70" i="3"/>
  <c r="BJ70" i="3"/>
  <c r="BK70" i="3"/>
  <c r="BB71" i="3"/>
  <c r="BC71" i="3"/>
  <c r="BD71" i="3"/>
  <c r="BE71" i="3"/>
  <c r="BF71" i="3"/>
  <c r="BG71" i="3"/>
  <c r="BH71" i="3"/>
  <c r="BI71" i="3"/>
  <c r="BJ71" i="3"/>
  <c r="BK71" i="3"/>
  <c r="BB72" i="3"/>
  <c r="BC72" i="3"/>
  <c r="BD72" i="3"/>
  <c r="BE72" i="3"/>
  <c r="BF72" i="3"/>
  <c r="BG72" i="3"/>
  <c r="BH72" i="3"/>
  <c r="BI72" i="3"/>
  <c r="BJ72" i="3"/>
  <c r="BK72" i="3"/>
  <c r="BB73" i="3"/>
  <c r="BC73" i="3"/>
  <c r="BD73" i="3"/>
  <c r="BE73" i="3"/>
  <c r="BF73" i="3"/>
  <c r="BG73" i="3"/>
  <c r="BH73" i="3"/>
  <c r="BI73" i="3"/>
  <c r="BJ73" i="3"/>
  <c r="BK73" i="3"/>
  <c r="BB74" i="3"/>
  <c r="BC74" i="3"/>
  <c r="BD74" i="3"/>
  <c r="BE74" i="3"/>
  <c r="BF74" i="3"/>
  <c r="BG74" i="3"/>
  <c r="BH74" i="3"/>
  <c r="BI74" i="3"/>
  <c r="BJ74" i="3"/>
  <c r="BK74" i="3"/>
  <c r="BB75" i="3"/>
  <c r="BC75" i="3"/>
  <c r="BD75" i="3"/>
  <c r="BE75" i="3"/>
  <c r="BF75" i="3"/>
  <c r="BG75" i="3"/>
  <c r="BH75" i="3"/>
  <c r="BI75" i="3"/>
  <c r="BJ75" i="3"/>
  <c r="BK75" i="3"/>
  <c r="BB76" i="3"/>
  <c r="BC76" i="3"/>
  <c r="BD76" i="3"/>
  <c r="BE76" i="3"/>
  <c r="BF76" i="3"/>
  <c r="BG76" i="3"/>
  <c r="BH76" i="3"/>
  <c r="BI76" i="3"/>
  <c r="BJ76" i="3"/>
  <c r="BK76" i="3"/>
  <c r="BB77" i="3"/>
  <c r="BC77" i="3"/>
  <c r="BD77" i="3"/>
  <c r="BE77" i="3"/>
  <c r="BF77" i="3"/>
  <c r="BG77" i="3"/>
  <c r="BH77" i="3"/>
  <c r="BI77" i="3"/>
  <c r="BJ77" i="3"/>
  <c r="BK77" i="3"/>
  <c r="BB78" i="3"/>
  <c r="BC78" i="3"/>
  <c r="BD78" i="3"/>
  <c r="BE78" i="3"/>
  <c r="BF78" i="3"/>
  <c r="BG78" i="3"/>
  <c r="BH78" i="3"/>
  <c r="BI78" i="3"/>
  <c r="BJ78" i="3"/>
  <c r="BK78" i="3"/>
  <c r="BB79" i="3"/>
  <c r="BC79" i="3"/>
  <c r="BD79" i="3"/>
  <c r="BE79" i="3"/>
  <c r="BF79" i="3"/>
  <c r="BG79" i="3"/>
  <c r="BH79" i="3"/>
  <c r="BI79" i="3"/>
  <c r="BJ79" i="3"/>
  <c r="BK79" i="3"/>
  <c r="BB80" i="3"/>
  <c r="BC80" i="3"/>
  <c r="BD80" i="3"/>
  <c r="BE80" i="3"/>
  <c r="BF80" i="3"/>
  <c r="BG80" i="3"/>
  <c r="BH80" i="3"/>
  <c r="BI80" i="3"/>
  <c r="BJ80" i="3"/>
  <c r="BK80" i="3"/>
  <c r="BB81" i="3"/>
  <c r="BC81" i="3"/>
  <c r="BD81" i="3"/>
  <c r="BE81" i="3"/>
  <c r="BF81" i="3"/>
  <c r="BG81" i="3"/>
  <c r="BH81" i="3"/>
  <c r="BI81" i="3"/>
  <c r="BJ81" i="3"/>
  <c r="BK81" i="3"/>
  <c r="BB82" i="3"/>
  <c r="BC82" i="3"/>
  <c r="BD82" i="3"/>
  <c r="BE82" i="3"/>
  <c r="BF82" i="3"/>
  <c r="BG82" i="3"/>
  <c r="BH82" i="3"/>
  <c r="BI82" i="3"/>
  <c r="BJ82" i="3"/>
  <c r="BK82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N44" i="7"/>
  <c r="N45" i="7"/>
  <c r="M10" i="3"/>
  <c r="M11" i="3"/>
  <c r="M12" i="3"/>
  <c r="M13" i="3"/>
  <c r="M14" i="3"/>
  <c r="M15" i="3"/>
  <c r="M16" i="3"/>
  <c r="M18" i="3"/>
  <c r="M20" i="3"/>
  <c r="M21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1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64" i="3" l="1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Y61" i="3" l="1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61" i="3" l="1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BL196" i="3" s="1"/>
  <c r="L198" i="3"/>
  <c r="L200" i="3" s="1"/>
  <c r="M198" i="3"/>
  <c r="M200" i="3" s="1"/>
  <c r="Q44" i="7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F4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BM196" i="3" l="1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lav sæson 5175,-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<sst xmlns="http://schemas.openxmlformats.org/spreadsheetml/2006/main" count="885" uniqueCount="320">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</sst>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7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167</c:v>
                </c:pt>
                <c:pt idx="1">
                  <c:v>181</c:v>
                </c:pt>
                <c:pt idx="2">
                  <c:v>233</c:v>
                </c:pt>
                <c:pt idx="3">
                  <c:v>274</c:v>
                </c:pt>
                <c:pt idx="4">
                  <c:v>325</c:v>
                </c:pt>
                <c:pt idx="5">
                  <c:v>327</c:v>
                </c:pt>
                <c:pt idx="6">
                  <c:v>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99</c:v>
                </c:pt>
                <c:pt idx="1">
                  <c:v>13</c:v>
                </c:pt>
                <c:pt idx="2">
                  <c:v>0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444</c:v>
                </c:pt>
                <c:pt idx="1">
                  <c:v>49</c:v>
                </c:pt>
                <c:pt idx="2">
                  <c:v>0</c:v>
                </c:pt>
                <c:pt idx="3">
                  <c:v>89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99</c:v>
                </c:pt>
                <c:pt idx="1">
                  <c:v>13</c:v>
                </c:pt>
                <c:pt idx="2">
                  <c:v>0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444</c:v>
                </c:pt>
                <c:pt idx="1">
                  <c:v>49</c:v>
                </c:pt>
                <c:pt idx="2">
                  <c:v>0</c:v>
                </c:pt>
                <c:pt idx="3">
                  <c:v>89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167</c:v>
                </c:pt>
                <c:pt idx="1">
                  <c:v>181</c:v>
                </c:pt>
                <c:pt idx="2">
                  <c:v>233</c:v>
                </c:pt>
                <c:pt idx="3">
                  <c:v>274</c:v>
                </c:pt>
                <c:pt idx="4">
                  <c:v>325</c:v>
                </c:pt>
                <c:pt idx="5">
                  <c:v>327</c:v>
                </c:pt>
                <c:pt idx="6">
                  <c:v>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hyperlink" Target="mailto:musenborg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28" Type="http://schemas.openxmlformats.org/officeDocument/2006/relationships/comments" Target="../comments1.xm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topLeftCell="F1" workbookViewId="0">
      <pane ySplit="1" topLeftCell="A2" activePane="bottomLeft" state="frozen"/>
      <selection pane="bottomLeft" activeCell="P16" sqref="P16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61" bestFit="1" customWidth="1"/>
    <col min="15" max="15" width="16.08984375" style="2" customWidth="1"/>
    <col min="16" max="16" width="8.54296875" style="2"/>
    <col min="17" max="17" width="8.54296875" style="2" customWidth="1"/>
    <col min="18" max="18" width="12.54296875" style="132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90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5">
      <c r="A2" s="147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8" t="s">
        <v>170</v>
      </c>
      <c r="N2" s="191"/>
      <c r="O2" s="133" t="s">
        <v>171</v>
      </c>
      <c r="P2" s="133"/>
      <c r="Q2" s="133" t="s">
        <v>21</v>
      </c>
      <c r="R2" s="168">
        <v>7267.5</v>
      </c>
      <c r="S2" s="162" t="s">
        <v>20</v>
      </c>
      <c r="T2" t="s">
        <v>172</v>
      </c>
    </row>
    <row r="3" spans="1:20" x14ac:dyDescent="0.35">
      <c r="A3" s="148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6</v>
      </c>
      <c r="H3" s="113"/>
      <c r="I3" s="134"/>
      <c r="J3" s="113">
        <v>5</v>
      </c>
      <c r="K3" s="113">
        <v>1</v>
      </c>
      <c r="L3" s="113">
        <v>2</v>
      </c>
      <c r="M3" s="159" t="s">
        <v>174</v>
      </c>
      <c r="N3" s="192"/>
      <c r="O3" s="134" t="s">
        <v>175</v>
      </c>
      <c r="P3" s="134"/>
      <c r="Q3" s="134" t="s">
        <v>21</v>
      </c>
      <c r="R3" s="168">
        <v>8740</v>
      </c>
      <c r="S3" s="163" t="s">
        <v>20</v>
      </c>
    </row>
    <row r="4" spans="1:20" x14ac:dyDescent="0.35">
      <c r="A4" s="147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8" t="s">
        <v>174</v>
      </c>
      <c r="N4" s="191"/>
      <c r="O4" s="133" t="s">
        <v>175</v>
      </c>
      <c r="P4" s="133"/>
      <c r="Q4" s="133" t="s">
        <v>21</v>
      </c>
      <c r="R4" s="168">
        <v>2070</v>
      </c>
      <c r="S4" s="162" t="s">
        <v>20</v>
      </c>
      <c r="T4" s="131"/>
    </row>
    <row r="5" spans="1:20" x14ac:dyDescent="0.35">
      <c r="A5" s="148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9" t="s">
        <v>178</v>
      </c>
      <c r="N5" s="193">
        <v>4530267986</v>
      </c>
      <c r="O5" s="134" t="s">
        <v>179</v>
      </c>
      <c r="P5" s="134"/>
      <c r="Q5" s="134" t="s">
        <v>21</v>
      </c>
      <c r="R5" s="168">
        <v>9180</v>
      </c>
      <c r="S5" s="163" t="s">
        <v>21</v>
      </c>
      <c r="T5" t="s">
        <v>177</v>
      </c>
    </row>
    <row r="6" spans="1:20" x14ac:dyDescent="0.35">
      <c r="A6" s="147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8" t="s">
        <v>181</v>
      </c>
      <c r="N6" s="191"/>
      <c r="O6" s="133"/>
      <c r="P6" s="133"/>
      <c r="Q6" s="133" t="s">
        <v>21</v>
      </c>
      <c r="R6" s="168">
        <v>5175</v>
      </c>
      <c r="S6" s="162" t="s">
        <v>20</v>
      </c>
    </row>
    <row r="7" spans="1:20" x14ac:dyDescent="0.35">
      <c r="A7" s="147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5">
      <c r="A8" s="148">
        <v>7</v>
      </c>
      <c r="B8" s="126" t="s">
        <v>185</v>
      </c>
      <c r="C8" s="129">
        <v>46206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93">
        <v>4522701312</v>
      </c>
      <c r="O8" s="2" t="s">
        <v>187</v>
      </c>
      <c r="Q8" s="2" t="s">
        <v>20</v>
      </c>
      <c r="R8" s="168">
        <v>6772.5</v>
      </c>
      <c r="S8" s="2" t="s">
        <v>21</v>
      </c>
    </row>
    <row r="9" spans="1:20" x14ac:dyDescent="0.35">
      <c r="A9" s="147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93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5">
      <c r="A10" s="147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8">
        <v>7245</v>
      </c>
      <c r="S10" s="2" t="s">
        <v>21</v>
      </c>
    </row>
    <row r="11" spans="1:20" x14ac:dyDescent="0.35">
      <c r="A11" s="148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1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5">
      <c r="A12" s="147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5">
      <c r="A13" s="147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94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5">
      <c r="A14" s="148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94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5">
      <c r="A15" s="147">
        <v>14</v>
      </c>
      <c r="B15" s="126" t="s">
        <v>209</v>
      </c>
      <c r="C15" s="24">
        <v>46206</v>
      </c>
      <c r="D15" s="24">
        <v>46214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60" t="s">
        <v>212</v>
      </c>
      <c r="N15" s="194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5">
      <c r="A16" s="147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1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5">
      <c r="A17" s="148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94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5">
      <c r="A18" s="147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94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5">
      <c r="A19" s="147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60" t="s">
        <v>220</v>
      </c>
      <c r="N19" s="194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5">
      <c r="A20" s="148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94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5">
      <c r="A21" s="147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8">
        <v>12420</v>
      </c>
      <c r="S21" s="2" t="s">
        <v>38</v>
      </c>
      <c r="T21" t="s">
        <v>249</v>
      </c>
    </row>
    <row r="22" spans="1:20" x14ac:dyDescent="0.35">
      <c r="A22" s="147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94">
        <v>46705125490</v>
      </c>
      <c r="O22" s="2" t="s">
        <v>244</v>
      </c>
      <c r="Q22" s="2" t="s">
        <v>21</v>
      </c>
      <c r="R22" s="168">
        <v>5175</v>
      </c>
      <c r="S22" s="2" t="s">
        <v>38</v>
      </c>
      <c r="T22" t="s">
        <v>246</v>
      </c>
    </row>
    <row r="23" spans="1:20" x14ac:dyDescent="0.35">
      <c r="A23" s="148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5">
      <c r="A24" s="147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8">
        <v>3825</v>
      </c>
      <c r="S24" s="2" t="s">
        <v>20</v>
      </c>
    </row>
    <row r="25" spans="1:20" x14ac:dyDescent="0.35">
      <c r="A25" s="147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8">
        <v>3825</v>
      </c>
      <c r="S25" s="2" t="s">
        <v>20</v>
      </c>
    </row>
    <row r="26" spans="1:20" x14ac:dyDescent="0.35">
      <c r="A26" s="148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5">
      <c r="A27" s="147">
        <v>26</v>
      </c>
      <c r="B27" t="s">
        <v>238</v>
      </c>
      <c r="C27" s="24">
        <v>46251</v>
      </c>
      <c r="D27" s="24">
        <v>46254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95"/>
      <c r="Q27" s="2" t="s">
        <v>21</v>
      </c>
      <c r="R27" s="132">
        <v>3450</v>
      </c>
      <c r="S27" s="2" t="s">
        <v>20</v>
      </c>
    </row>
    <row r="28" spans="1:20" x14ac:dyDescent="0.35">
      <c r="A28" s="147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94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5">
      <c r="A29" s="148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5">
      <c r="A30" s="147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5">
      <c r="A31" s="147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94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5">
      <c r="A32" s="148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1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5">
      <c r="A33" s="147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7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8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7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9" t="s">
        <v>263</v>
      </c>
      <c r="N36" s="194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5">
      <c r="A37" s="147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8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7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5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161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5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5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94">
        <v>4531909358</v>
      </c>
      <c r="O48" s="196" t="s">
        <v>283</v>
      </c>
      <c r="Q48" s="2" t="s">
        <v>21</v>
      </c>
      <c r="S48" s="2" t="s">
        <v>21</v>
      </c>
      <c r="T48" t="s">
        <v>284</v>
      </c>
    </row>
    <row r="49" spans="1:20" x14ac:dyDescent="0.35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5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9" t="s">
        <v>278</v>
      </c>
      <c r="N52" s="194">
        <v>4540474386</v>
      </c>
      <c r="O52" s="196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8">
        <v>5700</v>
      </c>
    </row>
    <row r="56" spans="1:20" x14ac:dyDescent="0.35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319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5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94">
        <v>466700686</v>
      </c>
      <c r="O58" s="2" t="s">
        <v>304</v>
      </c>
      <c r="Q58" s="2" t="s">
        <v>20</v>
      </c>
      <c r="R58" s="168">
        <v>6450</v>
      </c>
      <c r="S58" s="2" t="s">
        <v>38</v>
      </c>
      <c r="T58" t="s">
        <v>305</v>
      </c>
    </row>
    <row r="59" spans="1:20" x14ac:dyDescent="0.35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8">
        <v>4590</v>
      </c>
      <c r="S59" s="2" t="s">
        <v>38</v>
      </c>
      <c r="T59" t="s">
        <v>302</v>
      </c>
    </row>
    <row r="60" spans="1:20" x14ac:dyDescent="0.35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161">
        <v>4542401010</v>
      </c>
      <c r="Q60" s="2" t="s">
        <v>21</v>
      </c>
      <c r="R60" s="168">
        <v>5100</v>
      </c>
      <c r="S60" s="2" t="s">
        <v>20</v>
      </c>
    </row>
    <row r="61" spans="1:20" x14ac:dyDescent="0.35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8">
        <v>3800</v>
      </c>
      <c r="S61" s="2" t="s">
        <v>20</v>
      </c>
    </row>
    <row r="62" spans="1:20" x14ac:dyDescent="0.35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68">
        <v>2975</v>
      </c>
      <c r="S62" s="2" t="s">
        <v>20</v>
      </c>
    </row>
    <row r="63" spans="1:20" x14ac:dyDescent="0.35">
      <c r="A63" s="2">
        <v>62</v>
      </c>
      <c r="B63" t="s">
        <v>315</v>
      </c>
      <c r="C63" s="24">
        <v>46214</v>
      </c>
      <c r="D63" s="24">
        <v>46220</v>
      </c>
      <c r="E63" s="24">
        <v>46047</v>
      </c>
      <c r="F63" t="s">
        <v>53</v>
      </c>
      <c r="G63" t="s">
        <v>35</v>
      </c>
      <c r="K63">
        <v>1</v>
      </c>
      <c r="L63">
        <v>2</v>
      </c>
      <c r="Q63" s="2" t="s">
        <v>21</v>
      </c>
      <c r="R63" s="168">
        <v>8925</v>
      </c>
      <c r="S63" s="2" t="s">
        <v>20</v>
      </c>
    </row>
    <row r="64" spans="1:20" x14ac:dyDescent="0.35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s="184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68">
        <v>1805</v>
      </c>
      <c r="S64" s="2" t="s">
        <v>20</v>
      </c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3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  <hyperlink ref="M64" r:id="rId26" xr:uid="{92305CCC-3FDE-40E7-94AA-AE247EA1B436}"/>
  </hyperlinks>
  <pageMargins left="0.7" right="0.7" top="0.75" bottom="0.75" header="0.3" footer="0.3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188" activePane="bottomLeft" state="frozen"/>
      <selection pane="bottomLeft" activeCell="H207" sqref="H207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4" t="s">
        <v>299</v>
      </c>
      <c r="BW1" s="184" t="s">
        <v>299</v>
      </c>
      <c r="BX1" s="141" t="s">
        <v>300</v>
      </c>
      <c r="BY1" s="141" t="s">
        <v>300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5">IF($B3&lt;N$1,$C3*$D3,0)</f>
        <v>8</v>
      </c>
      <c r="O3">
        <f t="shared" si="5"/>
        <v>8</v>
      </c>
      <c r="P3">
        <f t="shared" si="5"/>
        <v>8</v>
      </c>
      <c r="Q3">
        <f t="shared" si="5"/>
        <v>8</v>
      </c>
      <c r="R3">
        <f t="shared" si="5"/>
        <v>8</v>
      </c>
      <c r="S3">
        <f t="shared" si="5"/>
        <v>8</v>
      </c>
      <c r="T3">
        <f t="shared" si="5"/>
        <v>8</v>
      </c>
      <c r="U3">
        <f t="shared" si="5"/>
        <v>8</v>
      </c>
      <c r="V3">
        <f t="shared" si="5"/>
        <v>8</v>
      </c>
      <c r="W3">
        <f t="shared" si="5"/>
        <v>8</v>
      </c>
      <c r="X3">
        <f t="shared" ref="X3:AG12" si="6">IF($B3&lt;X$1,$C3*$D3,0)</f>
        <v>8</v>
      </c>
      <c r="Y3">
        <f t="shared" si="6"/>
        <v>8</v>
      </c>
      <c r="Z3">
        <f t="shared" si="6"/>
        <v>8</v>
      </c>
      <c r="AA3">
        <f t="shared" si="6"/>
        <v>8</v>
      </c>
      <c r="AB3">
        <f t="shared" si="6"/>
        <v>8</v>
      </c>
      <c r="AC3">
        <f t="shared" si="6"/>
        <v>8</v>
      </c>
      <c r="AD3">
        <f t="shared" si="6"/>
        <v>8</v>
      </c>
      <c r="AE3">
        <f t="shared" si="6"/>
        <v>8</v>
      </c>
      <c r="AF3">
        <f t="shared" si="6"/>
        <v>8</v>
      </c>
      <c r="AG3">
        <f t="shared" si="6"/>
        <v>8</v>
      </c>
      <c r="AH3">
        <f t="shared" ref="AH3:AQ12" si="7">IF($B3&lt;AH$1,$C3*$D3,0)</f>
        <v>8</v>
      </c>
      <c r="AI3">
        <f t="shared" si="7"/>
        <v>8</v>
      </c>
      <c r="AJ3">
        <f t="shared" si="7"/>
        <v>8</v>
      </c>
      <c r="AK3">
        <f t="shared" si="7"/>
        <v>8</v>
      </c>
      <c r="AL3">
        <f t="shared" si="7"/>
        <v>8</v>
      </c>
      <c r="AM3">
        <f t="shared" si="7"/>
        <v>8</v>
      </c>
      <c r="AN3">
        <f t="shared" si="7"/>
        <v>8</v>
      </c>
      <c r="AO3">
        <f t="shared" si="7"/>
        <v>8</v>
      </c>
      <c r="AP3">
        <f t="shared" si="7"/>
        <v>8</v>
      </c>
      <c r="AQ3">
        <f t="shared" si="7"/>
        <v>8</v>
      </c>
      <c r="AR3">
        <f t="shared" ref="AR3:AX12" si="8">IF($B3&lt;AR$1,$C3*$D3,0)</f>
        <v>8</v>
      </c>
      <c r="AS3">
        <f t="shared" si="8"/>
        <v>8</v>
      </c>
      <c r="AT3">
        <f t="shared" si="8"/>
        <v>8</v>
      </c>
      <c r="AU3">
        <f t="shared" si="8"/>
        <v>8</v>
      </c>
      <c r="AV3">
        <f t="shared" si="8"/>
        <v>8</v>
      </c>
      <c r="AW3">
        <f t="shared" si="8"/>
        <v>8</v>
      </c>
      <c r="AX3">
        <f t="shared" si="8"/>
        <v>8</v>
      </c>
      <c r="BB3" s="34">
        <f t="shared" ref="BB3:BB66" si="9">IF(AND($D3&gt;0,$G3=BB$1),$F3,0)</f>
        <v>2</v>
      </c>
      <c r="BC3" s="34">
        <f t="shared" ref="BC3:BC66" si="10">IF(AND($D3&gt;0,$G3=BC$1),$D3*F3,0)</f>
        <v>16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30"/>
        <v>8</v>
      </c>
      <c r="L8">
        <f t="shared" si="31"/>
        <v>8</v>
      </c>
      <c r="M8">
        <f t="shared" si="32"/>
        <v>8</v>
      </c>
      <c r="N8">
        <f t="shared" si="5"/>
        <v>8</v>
      </c>
      <c r="O8">
        <f t="shared" si="5"/>
        <v>8</v>
      </c>
      <c r="P8">
        <f t="shared" si="5"/>
        <v>8</v>
      </c>
      <c r="Q8">
        <f t="shared" si="5"/>
        <v>8</v>
      </c>
      <c r="R8">
        <f t="shared" si="5"/>
        <v>8</v>
      </c>
      <c r="S8">
        <f t="shared" si="5"/>
        <v>8</v>
      </c>
      <c r="T8">
        <f t="shared" si="5"/>
        <v>8</v>
      </c>
      <c r="U8">
        <f t="shared" si="5"/>
        <v>8</v>
      </c>
      <c r="V8">
        <f t="shared" si="5"/>
        <v>8</v>
      </c>
      <c r="W8">
        <f t="shared" si="5"/>
        <v>8</v>
      </c>
      <c r="X8">
        <f t="shared" si="6"/>
        <v>8</v>
      </c>
      <c r="Y8">
        <f t="shared" si="6"/>
        <v>8</v>
      </c>
      <c r="Z8">
        <f t="shared" si="6"/>
        <v>8</v>
      </c>
      <c r="AA8">
        <f t="shared" si="6"/>
        <v>8</v>
      </c>
      <c r="AB8">
        <f t="shared" si="6"/>
        <v>8</v>
      </c>
      <c r="AC8">
        <f t="shared" si="6"/>
        <v>8</v>
      </c>
      <c r="AD8">
        <f t="shared" si="6"/>
        <v>8</v>
      </c>
      <c r="AE8">
        <f t="shared" si="6"/>
        <v>8</v>
      </c>
      <c r="AF8">
        <f t="shared" si="6"/>
        <v>8</v>
      </c>
      <c r="AG8">
        <f t="shared" si="6"/>
        <v>8</v>
      </c>
      <c r="AH8">
        <f t="shared" si="7"/>
        <v>8</v>
      </c>
      <c r="AI8">
        <f t="shared" si="7"/>
        <v>8</v>
      </c>
      <c r="AJ8">
        <f t="shared" si="7"/>
        <v>8</v>
      </c>
      <c r="AK8">
        <f t="shared" si="7"/>
        <v>8</v>
      </c>
      <c r="AL8">
        <f t="shared" si="7"/>
        <v>8</v>
      </c>
      <c r="AM8">
        <f t="shared" si="7"/>
        <v>8</v>
      </c>
      <c r="AN8">
        <f t="shared" si="7"/>
        <v>8</v>
      </c>
      <c r="AO8">
        <f t="shared" si="7"/>
        <v>8</v>
      </c>
      <c r="AP8">
        <f t="shared" si="7"/>
        <v>8</v>
      </c>
      <c r="AQ8">
        <f t="shared" si="7"/>
        <v>8</v>
      </c>
      <c r="AR8">
        <f t="shared" si="8"/>
        <v>8</v>
      </c>
      <c r="AS8">
        <f t="shared" si="8"/>
        <v>8</v>
      </c>
      <c r="AT8">
        <f t="shared" si="8"/>
        <v>8</v>
      </c>
      <c r="AU8">
        <f t="shared" si="8"/>
        <v>8</v>
      </c>
      <c r="AV8">
        <f t="shared" si="8"/>
        <v>8</v>
      </c>
      <c r="AW8">
        <f t="shared" si="8"/>
        <v>8</v>
      </c>
      <c r="AX8">
        <f t="shared" si="8"/>
        <v>8</v>
      </c>
      <c r="BB8" s="34">
        <f t="shared" si="9"/>
        <v>2</v>
      </c>
      <c r="BC8" s="34">
        <f t="shared" si="10"/>
        <v>16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32"/>
        <v>8</v>
      </c>
      <c r="N15">
        <f t="shared" si="33"/>
        <v>8</v>
      </c>
      <c r="O15">
        <f t="shared" si="33"/>
        <v>8</v>
      </c>
      <c r="P15">
        <f t="shared" si="33"/>
        <v>8</v>
      </c>
      <c r="Q15">
        <f t="shared" si="33"/>
        <v>8</v>
      </c>
      <c r="R15">
        <f t="shared" si="33"/>
        <v>8</v>
      </c>
      <c r="S15">
        <f t="shared" si="33"/>
        <v>8</v>
      </c>
      <c r="T15">
        <f t="shared" si="33"/>
        <v>8</v>
      </c>
      <c r="U15">
        <f t="shared" si="33"/>
        <v>8</v>
      </c>
      <c r="V15">
        <f t="shared" si="33"/>
        <v>8</v>
      </c>
      <c r="W15">
        <f t="shared" si="33"/>
        <v>8</v>
      </c>
      <c r="X15">
        <f t="shared" si="34"/>
        <v>8</v>
      </c>
      <c r="Y15">
        <f t="shared" si="34"/>
        <v>8</v>
      </c>
      <c r="Z15">
        <f t="shared" si="34"/>
        <v>8</v>
      </c>
      <c r="AA15">
        <f t="shared" si="34"/>
        <v>8</v>
      </c>
      <c r="AB15">
        <f t="shared" si="34"/>
        <v>8</v>
      </c>
      <c r="AC15">
        <f t="shared" si="34"/>
        <v>8</v>
      </c>
      <c r="AD15">
        <f t="shared" si="34"/>
        <v>8</v>
      </c>
      <c r="AE15">
        <f t="shared" si="34"/>
        <v>8</v>
      </c>
      <c r="AF15">
        <f t="shared" si="34"/>
        <v>8</v>
      </c>
      <c r="AG15">
        <f t="shared" si="34"/>
        <v>8</v>
      </c>
      <c r="AH15">
        <f t="shared" si="35"/>
        <v>8</v>
      </c>
      <c r="AI15">
        <f t="shared" si="35"/>
        <v>8</v>
      </c>
      <c r="AJ15">
        <f t="shared" si="35"/>
        <v>8</v>
      </c>
      <c r="AK15">
        <f t="shared" si="35"/>
        <v>8</v>
      </c>
      <c r="AL15">
        <f t="shared" si="35"/>
        <v>8</v>
      </c>
      <c r="AM15">
        <f t="shared" si="35"/>
        <v>8</v>
      </c>
      <c r="AN15">
        <f t="shared" si="35"/>
        <v>8</v>
      </c>
      <c r="AO15">
        <f t="shared" si="35"/>
        <v>8</v>
      </c>
      <c r="AP15">
        <f t="shared" si="35"/>
        <v>8</v>
      </c>
      <c r="AQ15">
        <f t="shared" si="35"/>
        <v>8</v>
      </c>
      <c r="AR15">
        <f t="shared" si="36"/>
        <v>8</v>
      </c>
      <c r="AS15">
        <f t="shared" si="36"/>
        <v>8</v>
      </c>
      <c r="AT15">
        <f t="shared" si="36"/>
        <v>8</v>
      </c>
      <c r="AU15">
        <f t="shared" si="36"/>
        <v>8</v>
      </c>
      <c r="AV15">
        <f t="shared" si="36"/>
        <v>8</v>
      </c>
      <c r="AW15">
        <f t="shared" si="36"/>
        <v>8</v>
      </c>
      <c r="AX15">
        <f t="shared" si="36"/>
        <v>8</v>
      </c>
      <c r="BB15" s="34">
        <f t="shared" si="9"/>
        <v>2</v>
      </c>
      <c r="BC15" s="34">
        <f t="shared" si="10"/>
        <v>16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32"/>
        <v>3</v>
      </c>
      <c r="N27">
        <f t="shared" si="38"/>
        <v>3</v>
      </c>
      <c r="O27">
        <f t="shared" si="38"/>
        <v>3</v>
      </c>
      <c r="P27">
        <f t="shared" si="38"/>
        <v>3</v>
      </c>
      <c r="Q27">
        <f t="shared" si="38"/>
        <v>3</v>
      </c>
      <c r="R27">
        <f t="shared" si="38"/>
        <v>3</v>
      </c>
      <c r="S27">
        <f t="shared" si="38"/>
        <v>3</v>
      </c>
      <c r="T27">
        <f t="shared" si="38"/>
        <v>3</v>
      </c>
      <c r="U27">
        <f t="shared" si="38"/>
        <v>3</v>
      </c>
      <c r="V27">
        <f t="shared" si="38"/>
        <v>3</v>
      </c>
      <c r="W27">
        <f t="shared" si="38"/>
        <v>3</v>
      </c>
      <c r="X27">
        <f t="shared" si="39"/>
        <v>3</v>
      </c>
      <c r="Y27">
        <f t="shared" si="39"/>
        <v>3</v>
      </c>
      <c r="Z27">
        <f t="shared" si="39"/>
        <v>3</v>
      </c>
      <c r="AA27">
        <f t="shared" si="39"/>
        <v>3</v>
      </c>
      <c r="AB27">
        <f t="shared" si="39"/>
        <v>3</v>
      </c>
      <c r="AC27">
        <f t="shared" si="39"/>
        <v>3</v>
      </c>
      <c r="AD27">
        <f t="shared" si="39"/>
        <v>3</v>
      </c>
      <c r="AE27">
        <f t="shared" si="39"/>
        <v>3</v>
      </c>
      <c r="AF27">
        <f t="shared" si="39"/>
        <v>3</v>
      </c>
      <c r="AG27">
        <f t="shared" si="39"/>
        <v>3</v>
      </c>
      <c r="AH27">
        <f t="shared" si="40"/>
        <v>3</v>
      </c>
      <c r="AI27">
        <f t="shared" si="40"/>
        <v>3</v>
      </c>
      <c r="AJ27">
        <f t="shared" si="40"/>
        <v>3</v>
      </c>
      <c r="AK27">
        <f t="shared" si="40"/>
        <v>3</v>
      </c>
      <c r="AL27">
        <f t="shared" si="40"/>
        <v>3</v>
      </c>
      <c r="AM27">
        <f t="shared" si="40"/>
        <v>3</v>
      </c>
      <c r="AN27">
        <f t="shared" si="40"/>
        <v>3</v>
      </c>
      <c r="AO27">
        <f t="shared" si="40"/>
        <v>3</v>
      </c>
      <c r="AP27">
        <f t="shared" si="40"/>
        <v>3</v>
      </c>
      <c r="AQ27">
        <f t="shared" si="40"/>
        <v>3</v>
      </c>
      <c r="AR27">
        <f t="shared" si="41"/>
        <v>3</v>
      </c>
      <c r="AS27">
        <f t="shared" si="41"/>
        <v>3</v>
      </c>
      <c r="AT27">
        <f t="shared" si="41"/>
        <v>3</v>
      </c>
      <c r="AU27">
        <f t="shared" si="41"/>
        <v>3</v>
      </c>
      <c r="AV27">
        <f t="shared" si="41"/>
        <v>3</v>
      </c>
      <c r="AW27">
        <f t="shared" si="41"/>
        <v>3</v>
      </c>
      <c r="AX27">
        <f t="shared" si="41"/>
        <v>3</v>
      </c>
      <c r="BB27" s="34">
        <f t="shared" si="9"/>
        <v>2</v>
      </c>
      <c r="BC27" s="34">
        <f t="shared" si="10"/>
        <v>6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6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6</v>
      </c>
      <c r="P63">
        <f t="shared" si="56"/>
        <v>6</v>
      </c>
      <c r="Q63">
        <f t="shared" si="56"/>
        <v>6</v>
      </c>
      <c r="R63">
        <f t="shared" si="56"/>
        <v>6</v>
      </c>
      <c r="S63">
        <f t="shared" si="56"/>
        <v>6</v>
      </c>
      <c r="T63">
        <f t="shared" si="56"/>
        <v>6</v>
      </c>
      <c r="U63">
        <f t="shared" si="56"/>
        <v>6</v>
      </c>
      <c r="V63">
        <f t="shared" si="56"/>
        <v>6</v>
      </c>
      <c r="W63">
        <f t="shared" si="56"/>
        <v>6</v>
      </c>
      <c r="X63">
        <f t="shared" ref="X63:AG72" si="57">IF($B63&lt;X$1,$C63*$D63,0)</f>
        <v>6</v>
      </c>
      <c r="Y63">
        <f t="shared" si="57"/>
        <v>6</v>
      </c>
      <c r="Z63">
        <f t="shared" si="57"/>
        <v>6</v>
      </c>
      <c r="AA63">
        <f t="shared" si="57"/>
        <v>6</v>
      </c>
      <c r="AB63">
        <f t="shared" si="57"/>
        <v>6</v>
      </c>
      <c r="AC63">
        <f t="shared" si="57"/>
        <v>6</v>
      </c>
      <c r="AD63">
        <f t="shared" si="57"/>
        <v>6</v>
      </c>
      <c r="AE63">
        <f t="shared" si="57"/>
        <v>6</v>
      </c>
      <c r="AF63">
        <f t="shared" si="57"/>
        <v>6</v>
      </c>
      <c r="AG63">
        <f t="shared" si="57"/>
        <v>6</v>
      </c>
      <c r="AH63">
        <f t="shared" ref="AH63:AQ72" si="58">IF($B63&lt;AH$1,$C63*$D63,0)</f>
        <v>6</v>
      </c>
      <c r="AI63">
        <f t="shared" si="58"/>
        <v>6</v>
      </c>
      <c r="AJ63">
        <f t="shared" si="58"/>
        <v>6</v>
      </c>
      <c r="AK63">
        <f t="shared" si="58"/>
        <v>6</v>
      </c>
      <c r="AL63">
        <f t="shared" si="58"/>
        <v>6</v>
      </c>
      <c r="AM63">
        <f t="shared" si="58"/>
        <v>6</v>
      </c>
      <c r="AN63">
        <f t="shared" si="58"/>
        <v>6</v>
      </c>
      <c r="AO63">
        <f t="shared" si="58"/>
        <v>6</v>
      </c>
      <c r="AP63">
        <f t="shared" si="58"/>
        <v>6</v>
      </c>
      <c r="AQ63">
        <f t="shared" si="58"/>
        <v>6</v>
      </c>
      <c r="AR63">
        <f t="shared" ref="AR63:AX72" si="59">IF($B63&lt;AR$1,$C63*$D63,0)</f>
        <v>6</v>
      </c>
      <c r="AS63">
        <f t="shared" si="59"/>
        <v>6</v>
      </c>
      <c r="AT63">
        <f t="shared" si="59"/>
        <v>6</v>
      </c>
      <c r="AU63">
        <f t="shared" si="59"/>
        <v>6</v>
      </c>
      <c r="AV63">
        <f t="shared" si="59"/>
        <v>6</v>
      </c>
      <c r="AW63">
        <f t="shared" si="59"/>
        <v>6</v>
      </c>
      <c r="AX63">
        <f t="shared" si="59"/>
        <v>6</v>
      </c>
      <c r="BB63" s="34">
        <f t="shared" si="9"/>
        <v>2</v>
      </c>
      <c r="BC63" s="34">
        <f t="shared" si="10"/>
        <v>12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0</v>
      </c>
      <c r="Q65">
        <f t="shared" si="56"/>
        <v>0</v>
      </c>
      <c r="R65">
        <f t="shared" si="56"/>
        <v>0</v>
      </c>
      <c r="S65">
        <f t="shared" si="56"/>
        <v>0</v>
      </c>
      <c r="T65">
        <f t="shared" si="56"/>
        <v>0</v>
      </c>
      <c r="U65">
        <f t="shared" si="56"/>
        <v>0</v>
      </c>
      <c r="V65">
        <f t="shared" si="56"/>
        <v>0</v>
      </c>
      <c r="W65">
        <f t="shared" si="56"/>
        <v>0</v>
      </c>
      <c r="X65">
        <f t="shared" si="57"/>
        <v>0</v>
      </c>
      <c r="Y65">
        <f t="shared" si="57"/>
        <v>0</v>
      </c>
      <c r="Z65">
        <f t="shared" si="57"/>
        <v>0</v>
      </c>
      <c r="AA65">
        <f t="shared" si="57"/>
        <v>0</v>
      </c>
      <c r="AB65">
        <f t="shared" si="57"/>
        <v>0</v>
      </c>
      <c r="AC65">
        <f t="shared" si="57"/>
        <v>0</v>
      </c>
      <c r="AD65">
        <f t="shared" si="57"/>
        <v>0</v>
      </c>
      <c r="AE65">
        <f t="shared" si="57"/>
        <v>0</v>
      </c>
      <c r="AF65">
        <f t="shared" si="57"/>
        <v>0</v>
      </c>
      <c r="AG65">
        <f t="shared" si="57"/>
        <v>0</v>
      </c>
      <c r="AH65">
        <f t="shared" si="58"/>
        <v>0</v>
      </c>
      <c r="AI65">
        <f t="shared" si="58"/>
        <v>0</v>
      </c>
      <c r="AJ65">
        <f t="shared" si="58"/>
        <v>0</v>
      </c>
      <c r="AK65">
        <f t="shared" si="58"/>
        <v>0</v>
      </c>
      <c r="AL65">
        <f t="shared" si="58"/>
        <v>0</v>
      </c>
      <c r="AM65">
        <f t="shared" si="58"/>
        <v>0</v>
      </c>
      <c r="AN65">
        <f t="shared" si="58"/>
        <v>0</v>
      </c>
      <c r="AO65">
        <f t="shared" si="58"/>
        <v>0</v>
      </c>
      <c r="AP65">
        <f t="shared" si="58"/>
        <v>0</v>
      </c>
      <c r="AQ65">
        <f t="shared" si="58"/>
        <v>0</v>
      </c>
      <c r="AR65">
        <f t="shared" si="59"/>
        <v>0</v>
      </c>
      <c r="AS65">
        <f t="shared" si="59"/>
        <v>0</v>
      </c>
      <c r="AT65">
        <f t="shared" si="59"/>
        <v>0</v>
      </c>
      <c r="AU65">
        <f t="shared" si="59"/>
        <v>0</v>
      </c>
      <c r="AV65">
        <f t="shared" si="59"/>
        <v>0</v>
      </c>
      <c r="AW65">
        <f t="shared" si="59"/>
        <v>0</v>
      </c>
      <c r="AX65">
        <f t="shared" si="59"/>
        <v>0</v>
      </c>
      <c r="BB65" s="34">
        <f t="shared" si="9"/>
        <v>0</v>
      </c>
      <c r="BC65" s="34">
        <f t="shared" si="10"/>
        <v>0</v>
      </c>
      <c r="BD65" s="34">
        <f t="shared" si="11"/>
        <v>0</v>
      </c>
      <c r="BE65" s="34">
        <f t="shared" si="12"/>
        <v>0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0</v>
      </c>
      <c r="Q66">
        <f t="shared" si="56"/>
        <v>0</v>
      </c>
      <c r="R66">
        <f t="shared" si="56"/>
        <v>0</v>
      </c>
      <c r="S66">
        <f t="shared" si="56"/>
        <v>0</v>
      </c>
      <c r="T66">
        <f t="shared" si="56"/>
        <v>0</v>
      </c>
      <c r="U66">
        <f t="shared" si="56"/>
        <v>0</v>
      </c>
      <c r="V66">
        <f t="shared" si="56"/>
        <v>0</v>
      </c>
      <c r="W66">
        <f t="shared" si="56"/>
        <v>0</v>
      </c>
      <c r="X66">
        <f t="shared" si="57"/>
        <v>0</v>
      </c>
      <c r="Y66">
        <f t="shared" si="57"/>
        <v>0</v>
      </c>
      <c r="Z66">
        <f t="shared" si="57"/>
        <v>0</v>
      </c>
      <c r="AA66">
        <f t="shared" si="57"/>
        <v>0</v>
      </c>
      <c r="AB66">
        <f t="shared" si="57"/>
        <v>0</v>
      </c>
      <c r="AC66">
        <f t="shared" si="57"/>
        <v>0</v>
      </c>
      <c r="AD66">
        <f t="shared" si="57"/>
        <v>0</v>
      </c>
      <c r="AE66">
        <f t="shared" si="57"/>
        <v>0</v>
      </c>
      <c r="AF66">
        <f t="shared" si="57"/>
        <v>0</v>
      </c>
      <c r="AG66">
        <f t="shared" si="57"/>
        <v>0</v>
      </c>
      <c r="AH66">
        <f t="shared" si="58"/>
        <v>0</v>
      </c>
      <c r="AI66">
        <f t="shared" si="58"/>
        <v>0</v>
      </c>
      <c r="AJ66">
        <f t="shared" si="58"/>
        <v>0</v>
      </c>
      <c r="AK66">
        <f t="shared" si="58"/>
        <v>0</v>
      </c>
      <c r="AL66">
        <f t="shared" si="58"/>
        <v>0</v>
      </c>
      <c r="AM66">
        <f t="shared" si="58"/>
        <v>0</v>
      </c>
      <c r="AN66">
        <f t="shared" si="58"/>
        <v>0</v>
      </c>
      <c r="AO66">
        <f t="shared" si="58"/>
        <v>0</v>
      </c>
      <c r="AP66">
        <f t="shared" si="58"/>
        <v>0</v>
      </c>
      <c r="AQ66">
        <f t="shared" si="58"/>
        <v>0</v>
      </c>
      <c r="AR66">
        <f t="shared" si="59"/>
        <v>0</v>
      </c>
      <c r="AS66">
        <f t="shared" si="59"/>
        <v>0</v>
      </c>
      <c r="AT66">
        <f t="shared" si="59"/>
        <v>0</v>
      </c>
      <c r="AU66">
        <f t="shared" si="59"/>
        <v>0</v>
      </c>
      <c r="AV66">
        <f t="shared" si="59"/>
        <v>0</v>
      </c>
      <c r="AW66">
        <f t="shared" si="59"/>
        <v>0</v>
      </c>
      <c r="AX66">
        <f t="shared" si="59"/>
        <v>0</v>
      </c>
      <c r="BB66" s="34">
        <f t="shared" si="9"/>
        <v>0</v>
      </c>
      <c r="BC66" s="34">
        <f t="shared" si="10"/>
        <v>0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0</v>
      </c>
      <c r="Q67">
        <f t="shared" si="56"/>
        <v>0</v>
      </c>
      <c r="R67">
        <f t="shared" si="56"/>
        <v>0</v>
      </c>
      <c r="S67">
        <f t="shared" si="56"/>
        <v>0</v>
      </c>
      <c r="T67">
        <f t="shared" si="56"/>
        <v>0</v>
      </c>
      <c r="U67">
        <f t="shared" si="56"/>
        <v>0</v>
      </c>
      <c r="V67">
        <f t="shared" si="56"/>
        <v>0</v>
      </c>
      <c r="W67">
        <f t="shared" si="56"/>
        <v>0</v>
      </c>
      <c r="X67">
        <f t="shared" si="57"/>
        <v>0</v>
      </c>
      <c r="Y67">
        <f t="shared" si="57"/>
        <v>0</v>
      </c>
      <c r="Z67">
        <f t="shared" si="57"/>
        <v>0</v>
      </c>
      <c r="AA67">
        <f t="shared" si="57"/>
        <v>0</v>
      </c>
      <c r="AB67">
        <f t="shared" si="57"/>
        <v>0</v>
      </c>
      <c r="AC67">
        <f t="shared" si="57"/>
        <v>0</v>
      </c>
      <c r="AD67">
        <f t="shared" si="57"/>
        <v>0</v>
      </c>
      <c r="AE67">
        <f t="shared" si="57"/>
        <v>0</v>
      </c>
      <c r="AF67">
        <f t="shared" si="57"/>
        <v>0</v>
      </c>
      <c r="AG67">
        <f t="shared" si="57"/>
        <v>0</v>
      </c>
      <c r="AH67">
        <f t="shared" si="58"/>
        <v>0</v>
      </c>
      <c r="AI67">
        <f t="shared" si="58"/>
        <v>0</v>
      </c>
      <c r="AJ67">
        <f t="shared" si="58"/>
        <v>0</v>
      </c>
      <c r="AK67">
        <f t="shared" si="58"/>
        <v>0</v>
      </c>
      <c r="AL67">
        <f t="shared" si="58"/>
        <v>0</v>
      </c>
      <c r="AM67">
        <f t="shared" si="58"/>
        <v>0</v>
      </c>
      <c r="AN67">
        <f t="shared" si="58"/>
        <v>0</v>
      </c>
      <c r="AO67">
        <f t="shared" si="58"/>
        <v>0</v>
      </c>
      <c r="AP67">
        <f t="shared" si="58"/>
        <v>0</v>
      </c>
      <c r="AQ67">
        <f t="shared" si="58"/>
        <v>0</v>
      </c>
      <c r="AR67">
        <f t="shared" si="59"/>
        <v>0</v>
      </c>
      <c r="AS67">
        <f t="shared" si="59"/>
        <v>0</v>
      </c>
      <c r="AT67">
        <f t="shared" si="59"/>
        <v>0</v>
      </c>
      <c r="AU67">
        <f t="shared" si="59"/>
        <v>0</v>
      </c>
      <c r="AV67">
        <f t="shared" si="59"/>
        <v>0</v>
      </c>
      <c r="AW67">
        <f t="shared" si="59"/>
        <v>0</v>
      </c>
      <c r="AX67">
        <f t="shared" si="59"/>
        <v>0</v>
      </c>
      <c r="BB67" s="34">
        <f t="shared" ref="BB67:BB130" si="63">IF(AND($D67&gt;0,$G67=BB$1),$F67,0)</f>
        <v>0</v>
      </c>
      <c r="BC67" s="34">
        <f t="shared" ref="BC67:BC130" si="64">IF(AND($D67&gt;0,$G67=BC$1),$D67*F67,0)</f>
        <v>0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0</v>
      </c>
      <c r="R68">
        <f t="shared" si="56"/>
        <v>0</v>
      </c>
      <c r="S68">
        <f t="shared" si="56"/>
        <v>0</v>
      </c>
      <c r="T68">
        <f t="shared" si="56"/>
        <v>0</v>
      </c>
      <c r="U68">
        <f t="shared" si="56"/>
        <v>0</v>
      </c>
      <c r="V68">
        <f t="shared" si="56"/>
        <v>0</v>
      </c>
      <c r="W68">
        <f t="shared" si="56"/>
        <v>0</v>
      </c>
      <c r="X68">
        <f t="shared" si="57"/>
        <v>0</v>
      </c>
      <c r="Y68">
        <f t="shared" si="57"/>
        <v>0</v>
      </c>
      <c r="Z68">
        <f t="shared" si="57"/>
        <v>0</v>
      </c>
      <c r="AA68">
        <f t="shared" si="57"/>
        <v>0</v>
      </c>
      <c r="AB68">
        <f t="shared" si="57"/>
        <v>0</v>
      </c>
      <c r="AC68">
        <f t="shared" si="57"/>
        <v>0</v>
      </c>
      <c r="AD68">
        <f t="shared" si="57"/>
        <v>0</v>
      </c>
      <c r="AE68">
        <f t="shared" si="57"/>
        <v>0</v>
      </c>
      <c r="AF68">
        <f t="shared" si="57"/>
        <v>0</v>
      </c>
      <c r="AG68">
        <f t="shared" si="57"/>
        <v>0</v>
      </c>
      <c r="AH68">
        <f t="shared" si="58"/>
        <v>0</v>
      </c>
      <c r="AI68">
        <f t="shared" si="58"/>
        <v>0</v>
      </c>
      <c r="AJ68">
        <f t="shared" si="58"/>
        <v>0</v>
      </c>
      <c r="AK68">
        <f t="shared" si="58"/>
        <v>0</v>
      </c>
      <c r="AL68">
        <f t="shared" si="58"/>
        <v>0</v>
      </c>
      <c r="AM68">
        <f t="shared" si="58"/>
        <v>0</v>
      </c>
      <c r="AN68">
        <f t="shared" si="58"/>
        <v>0</v>
      </c>
      <c r="AO68">
        <f t="shared" si="58"/>
        <v>0</v>
      </c>
      <c r="AP68">
        <f t="shared" si="58"/>
        <v>0</v>
      </c>
      <c r="AQ68">
        <f t="shared" si="58"/>
        <v>0</v>
      </c>
      <c r="AR68">
        <f t="shared" si="59"/>
        <v>0</v>
      </c>
      <c r="AS68">
        <f t="shared" si="59"/>
        <v>0</v>
      </c>
      <c r="AT68">
        <f t="shared" si="59"/>
        <v>0</v>
      </c>
      <c r="AU68">
        <f t="shared" si="59"/>
        <v>0</v>
      </c>
      <c r="AV68">
        <f t="shared" si="59"/>
        <v>0</v>
      </c>
      <c r="AW68">
        <f t="shared" si="59"/>
        <v>0</v>
      </c>
      <c r="AX68">
        <f t="shared" si="59"/>
        <v>0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0</v>
      </c>
      <c r="BI68" s="34">
        <f t="shared" si="70"/>
        <v>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0</v>
      </c>
      <c r="R69">
        <f t="shared" si="56"/>
        <v>0</v>
      </c>
      <c r="S69">
        <f t="shared" si="56"/>
        <v>0</v>
      </c>
      <c r="T69">
        <f t="shared" si="56"/>
        <v>0</v>
      </c>
      <c r="U69">
        <f t="shared" si="56"/>
        <v>0</v>
      </c>
      <c r="V69">
        <f t="shared" si="56"/>
        <v>0</v>
      </c>
      <c r="W69">
        <f t="shared" si="56"/>
        <v>0</v>
      </c>
      <c r="X69">
        <f t="shared" si="57"/>
        <v>0</v>
      </c>
      <c r="Y69">
        <f t="shared" si="57"/>
        <v>0</v>
      </c>
      <c r="Z69">
        <f t="shared" si="57"/>
        <v>0</v>
      </c>
      <c r="AA69">
        <f t="shared" si="57"/>
        <v>0</v>
      </c>
      <c r="AB69">
        <f t="shared" si="57"/>
        <v>0</v>
      </c>
      <c r="AC69">
        <f t="shared" si="57"/>
        <v>0</v>
      </c>
      <c r="AD69">
        <f t="shared" si="57"/>
        <v>0</v>
      </c>
      <c r="AE69">
        <f t="shared" si="57"/>
        <v>0</v>
      </c>
      <c r="AF69">
        <f t="shared" si="57"/>
        <v>0</v>
      </c>
      <c r="AG69">
        <f t="shared" si="57"/>
        <v>0</v>
      </c>
      <c r="AH69">
        <f t="shared" si="58"/>
        <v>0</v>
      </c>
      <c r="AI69">
        <f t="shared" si="58"/>
        <v>0</v>
      </c>
      <c r="AJ69">
        <f t="shared" si="58"/>
        <v>0</v>
      </c>
      <c r="AK69">
        <f t="shared" si="58"/>
        <v>0</v>
      </c>
      <c r="AL69">
        <f t="shared" si="58"/>
        <v>0</v>
      </c>
      <c r="AM69">
        <f t="shared" si="58"/>
        <v>0</v>
      </c>
      <c r="AN69">
        <f t="shared" si="58"/>
        <v>0</v>
      </c>
      <c r="AO69">
        <f t="shared" si="58"/>
        <v>0</v>
      </c>
      <c r="AP69">
        <f t="shared" si="58"/>
        <v>0</v>
      </c>
      <c r="AQ69">
        <f t="shared" si="58"/>
        <v>0</v>
      </c>
      <c r="AR69">
        <f t="shared" si="59"/>
        <v>0</v>
      </c>
      <c r="AS69">
        <f t="shared" si="59"/>
        <v>0</v>
      </c>
      <c r="AT69">
        <f t="shared" si="59"/>
        <v>0</v>
      </c>
      <c r="AU69">
        <f t="shared" si="59"/>
        <v>0</v>
      </c>
      <c r="AV69">
        <f t="shared" si="59"/>
        <v>0</v>
      </c>
      <c r="AW69">
        <f t="shared" si="59"/>
        <v>0</v>
      </c>
      <c r="AX69">
        <f t="shared" si="59"/>
        <v>0</v>
      </c>
      <c r="BB69" s="34">
        <f t="shared" si="63"/>
        <v>0</v>
      </c>
      <c r="BC69" s="34">
        <f t="shared" si="64"/>
        <v>0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0</v>
      </c>
      <c r="R70">
        <f t="shared" si="56"/>
        <v>0</v>
      </c>
      <c r="S70">
        <f t="shared" si="56"/>
        <v>0</v>
      </c>
      <c r="T70">
        <f t="shared" si="56"/>
        <v>0</v>
      </c>
      <c r="U70">
        <f t="shared" si="56"/>
        <v>0</v>
      </c>
      <c r="V70">
        <f t="shared" si="56"/>
        <v>0</v>
      </c>
      <c r="W70">
        <f t="shared" si="56"/>
        <v>0</v>
      </c>
      <c r="X70">
        <f t="shared" si="57"/>
        <v>0</v>
      </c>
      <c r="Y70">
        <f t="shared" si="57"/>
        <v>0</v>
      </c>
      <c r="Z70">
        <f t="shared" si="57"/>
        <v>0</v>
      </c>
      <c r="AA70">
        <f t="shared" si="57"/>
        <v>0</v>
      </c>
      <c r="AB70">
        <f t="shared" si="57"/>
        <v>0</v>
      </c>
      <c r="AC70">
        <f t="shared" si="57"/>
        <v>0</v>
      </c>
      <c r="AD70">
        <f t="shared" si="57"/>
        <v>0</v>
      </c>
      <c r="AE70">
        <f t="shared" si="57"/>
        <v>0</v>
      </c>
      <c r="AF70">
        <f t="shared" si="57"/>
        <v>0</v>
      </c>
      <c r="AG70">
        <f t="shared" si="57"/>
        <v>0</v>
      </c>
      <c r="AH70">
        <f t="shared" si="58"/>
        <v>0</v>
      </c>
      <c r="AI70">
        <f t="shared" si="58"/>
        <v>0</v>
      </c>
      <c r="AJ70">
        <f t="shared" si="58"/>
        <v>0</v>
      </c>
      <c r="AK70">
        <f t="shared" si="58"/>
        <v>0</v>
      </c>
      <c r="AL70">
        <f t="shared" si="58"/>
        <v>0</v>
      </c>
      <c r="AM70">
        <f t="shared" si="58"/>
        <v>0</v>
      </c>
      <c r="AN70">
        <f t="shared" si="58"/>
        <v>0</v>
      </c>
      <c r="AO70">
        <f t="shared" si="58"/>
        <v>0</v>
      </c>
      <c r="AP70">
        <f t="shared" si="58"/>
        <v>0</v>
      </c>
      <c r="AQ70">
        <f t="shared" si="58"/>
        <v>0</v>
      </c>
      <c r="AR70">
        <f t="shared" si="59"/>
        <v>0</v>
      </c>
      <c r="AS70">
        <f t="shared" si="59"/>
        <v>0</v>
      </c>
      <c r="AT70">
        <f t="shared" si="59"/>
        <v>0</v>
      </c>
      <c r="AU70">
        <f t="shared" si="59"/>
        <v>0</v>
      </c>
      <c r="AV70">
        <f t="shared" si="59"/>
        <v>0</v>
      </c>
      <c r="AW70">
        <f t="shared" si="59"/>
        <v>0</v>
      </c>
      <c r="AX70">
        <f t="shared" si="59"/>
        <v>0</v>
      </c>
      <c r="BB70" s="34">
        <f t="shared" si="63"/>
        <v>0</v>
      </c>
      <c r="BC70" s="34">
        <f t="shared" si="64"/>
        <v>0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0</v>
      </c>
      <c r="R71">
        <f t="shared" si="56"/>
        <v>0</v>
      </c>
      <c r="S71">
        <f t="shared" si="56"/>
        <v>0</v>
      </c>
      <c r="T71">
        <f t="shared" si="56"/>
        <v>0</v>
      </c>
      <c r="U71">
        <f t="shared" si="56"/>
        <v>0</v>
      </c>
      <c r="V71">
        <f t="shared" si="56"/>
        <v>0</v>
      </c>
      <c r="W71">
        <f t="shared" si="56"/>
        <v>0</v>
      </c>
      <c r="X71">
        <f t="shared" si="57"/>
        <v>0</v>
      </c>
      <c r="Y71">
        <f t="shared" si="57"/>
        <v>0</v>
      </c>
      <c r="Z71">
        <f t="shared" si="57"/>
        <v>0</v>
      </c>
      <c r="AA71">
        <f t="shared" si="57"/>
        <v>0</v>
      </c>
      <c r="AB71">
        <f t="shared" si="57"/>
        <v>0</v>
      </c>
      <c r="AC71">
        <f t="shared" si="57"/>
        <v>0</v>
      </c>
      <c r="AD71">
        <f t="shared" si="57"/>
        <v>0</v>
      </c>
      <c r="AE71">
        <f t="shared" si="57"/>
        <v>0</v>
      </c>
      <c r="AF71">
        <f t="shared" si="57"/>
        <v>0</v>
      </c>
      <c r="AG71">
        <f t="shared" si="57"/>
        <v>0</v>
      </c>
      <c r="AH71">
        <f t="shared" si="58"/>
        <v>0</v>
      </c>
      <c r="AI71">
        <f t="shared" si="58"/>
        <v>0</v>
      </c>
      <c r="AJ71">
        <f t="shared" si="58"/>
        <v>0</v>
      </c>
      <c r="AK71">
        <f t="shared" si="58"/>
        <v>0</v>
      </c>
      <c r="AL71">
        <f t="shared" si="58"/>
        <v>0</v>
      </c>
      <c r="AM71">
        <f t="shared" si="58"/>
        <v>0</v>
      </c>
      <c r="AN71">
        <f t="shared" si="58"/>
        <v>0</v>
      </c>
      <c r="AO71">
        <f t="shared" si="58"/>
        <v>0</v>
      </c>
      <c r="AP71">
        <f t="shared" si="58"/>
        <v>0</v>
      </c>
      <c r="AQ71">
        <f t="shared" si="58"/>
        <v>0</v>
      </c>
      <c r="AR71">
        <f t="shared" si="59"/>
        <v>0</v>
      </c>
      <c r="AS71">
        <f t="shared" si="59"/>
        <v>0</v>
      </c>
      <c r="AT71">
        <f t="shared" si="59"/>
        <v>0</v>
      </c>
      <c r="AU71">
        <f t="shared" si="59"/>
        <v>0</v>
      </c>
      <c r="AV71">
        <f t="shared" si="59"/>
        <v>0</v>
      </c>
      <c r="AW71">
        <f t="shared" si="59"/>
        <v>0</v>
      </c>
      <c r="AX71">
        <f t="shared" si="59"/>
        <v>0</v>
      </c>
      <c r="BB71" s="34">
        <f t="shared" si="63"/>
        <v>0</v>
      </c>
      <c r="BC71" s="34">
        <f t="shared" si="64"/>
        <v>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0</v>
      </c>
      <c r="B72" s="24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0</v>
      </c>
      <c r="B73" s="24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0</v>
      </c>
      <c r="R73">
        <f t="shared" si="85"/>
        <v>0</v>
      </c>
      <c r="S73">
        <f t="shared" si="85"/>
        <v>0</v>
      </c>
      <c r="T73">
        <f t="shared" si="85"/>
        <v>0</v>
      </c>
      <c r="U73">
        <f t="shared" si="85"/>
        <v>0</v>
      </c>
      <c r="V73">
        <f t="shared" si="85"/>
        <v>0</v>
      </c>
      <c r="W73">
        <f t="shared" si="85"/>
        <v>0</v>
      </c>
      <c r="X73">
        <f t="shared" ref="X73:AG82" si="86">IF($B73&lt;X$1,$C73*$D73,0)</f>
        <v>0</v>
      </c>
      <c r="Y73">
        <f t="shared" si="86"/>
        <v>0</v>
      </c>
      <c r="Z73">
        <f t="shared" si="86"/>
        <v>0</v>
      </c>
      <c r="AA73">
        <f t="shared" si="86"/>
        <v>0</v>
      </c>
      <c r="AB73">
        <f t="shared" si="86"/>
        <v>0</v>
      </c>
      <c r="AC73">
        <f t="shared" si="86"/>
        <v>0</v>
      </c>
      <c r="AD73">
        <f t="shared" si="86"/>
        <v>0</v>
      </c>
      <c r="AE73">
        <f t="shared" si="86"/>
        <v>0</v>
      </c>
      <c r="AF73">
        <f t="shared" si="86"/>
        <v>0</v>
      </c>
      <c r="AG73">
        <f t="shared" si="86"/>
        <v>0</v>
      </c>
      <c r="AH73">
        <f t="shared" ref="AH73:AQ82" si="87">IF($B73&lt;AH$1,$C73*$D73,0)</f>
        <v>0</v>
      </c>
      <c r="AI73">
        <f t="shared" si="87"/>
        <v>0</v>
      </c>
      <c r="AJ73">
        <f t="shared" si="87"/>
        <v>0</v>
      </c>
      <c r="AK73">
        <f t="shared" si="87"/>
        <v>0</v>
      </c>
      <c r="AL73">
        <f t="shared" si="87"/>
        <v>0</v>
      </c>
      <c r="AM73">
        <f t="shared" si="87"/>
        <v>0</v>
      </c>
      <c r="AN73">
        <f t="shared" si="87"/>
        <v>0</v>
      </c>
      <c r="AO73">
        <f t="shared" si="87"/>
        <v>0</v>
      </c>
      <c r="AP73">
        <f t="shared" si="87"/>
        <v>0</v>
      </c>
      <c r="AQ73">
        <f t="shared" si="87"/>
        <v>0</v>
      </c>
      <c r="AR73">
        <f t="shared" ref="AR73:AX82" si="88">IF($B73&lt;AR$1,$C73*$D73,0)</f>
        <v>0</v>
      </c>
      <c r="AS73">
        <f t="shared" si="88"/>
        <v>0</v>
      </c>
      <c r="AT73">
        <f t="shared" si="88"/>
        <v>0</v>
      </c>
      <c r="AU73">
        <f t="shared" si="88"/>
        <v>0</v>
      </c>
      <c r="AV73">
        <f t="shared" si="88"/>
        <v>0</v>
      </c>
      <c r="AW73">
        <f t="shared" si="88"/>
        <v>0</v>
      </c>
      <c r="AX73">
        <f t="shared" si="88"/>
        <v>0</v>
      </c>
      <c r="BB73" s="34">
        <f t="shared" si="63"/>
        <v>0</v>
      </c>
      <c r="BC73" s="34">
        <f t="shared" si="64"/>
        <v>0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0</v>
      </c>
      <c r="B74" s="24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0</v>
      </c>
      <c r="B75" s="24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0</v>
      </c>
      <c r="S75">
        <f t="shared" si="85"/>
        <v>0</v>
      </c>
      <c r="T75">
        <f t="shared" si="85"/>
        <v>0</v>
      </c>
      <c r="U75">
        <f t="shared" si="85"/>
        <v>0</v>
      </c>
      <c r="V75">
        <f t="shared" si="85"/>
        <v>0</v>
      </c>
      <c r="W75">
        <f t="shared" si="85"/>
        <v>0</v>
      </c>
      <c r="X75">
        <f t="shared" si="86"/>
        <v>0</v>
      </c>
      <c r="Y75">
        <f t="shared" si="86"/>
        <v>0</v>
      </c>
      <c r="Z75">
        <f t="shared" si="86"/>
        <v>0</v>
      </c>
      <c r="AA75">
        <f t="shared" si="86"/>
        <v>0</v>
      </c>
      <c r="AB75">
        <f t="shared" si="86"/>
        <v>0</v>
      </c>
      <c r="AC75">
        <f t="shared" si="86"/>
        <v>0</v>
      </c>
      <c r="AD75">
        <f t="shared" si="86"/>
        <v>0</v>
      </c>
      <c r="AE75">
        <f t="shared" si="86"/>
        <v>0</v>
      </c>
      <c r="AF75">
        <f t="shared" si="86"/>
        <v>0</v>
      </c>
      <c r="AG75">
        <f t="shared" si="86"/>
        <v>0</v>
      </c>
      <c r="AH75">
        <f t="shared" si="87"/>
        <v>0</v>
      </c>
      <c r="AI75">
        <f t="shared" si="87"/>
        <v>0</v>
      </c>
      <c r="AJ75">
        <f t="shared" si="87"/>
        <v>0</v>
      </c>
      <c r="AK75">
        <f t="shared" si="87"/>
        <v>0</v>
      </c>
      <c r="AL75">
        <f t="shared" si="87"/>
        <v>0</v>
      </c>
      <c r="AM75">
        <f t="shared" si="87"/>
        <v>0</v>
      </c>
      <c r="AN75">
        <f t="shared" si="87"/>
        <v>0</v>
      </c>
      <c r="AO75">
        <f t="shared" si="87"/>
        <v>0</v>
      </c>
      <c r="AP75">
        <f t="shared" si="87"/>
        <v>0</v>
      </c>
      <c r="AQ75">
        <f t="shared" si="87"/>
        <v>0</v>
      </c>
      <c r="AR75">
        <f t="shared" si="88"/>
        <v>0</v>
      </c>
      <c r="AS75">
        <f t="shared" si="88"/>
        <v>0</v>
      </c>
      <c r="AT75">
        <f t="shared" si="88"/>
        <v>0</v>
      </c>
      <c r="AU75">
        <f t="shared" si="88"/>
        <v>0</v>
      </c>
      <c r="AV75">
        <f t="shared" si="88"/>
        <v>0</v>
      </c>
      <c r="AW75">
        <f t="shared" si="88"/>
        <v>0</v>
      </c>
      <c r="AX75">
        <f t="shared" si="88"/>
        <v>0</v>
      </c>
      <c r="BB75" s="34">
        <f t="shared" si="63"/>
        <v>0</v>
      </c>
      <c r="BC75" s="34">
        <f t="shared" si="64"/>
        <v>0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0</v>
      </c>
      <c r="B76" s="24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0</v>
      </c>
      <c r="B77" s="24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0</v>
      </c>
      <c r="S77">
        <f t="shared" si="85"/>
        <v>0</v>
      </c>
      <c r="T77">
        <f t="shared" si="85"/>
        <v>0</v>
      </c>
      <c r="U77">
        <f t="shared" si="85"/>
        <v>0</v>
      </c>
      <c r="V77">
        <f t="shared" si="85"/>
        <v>0</v>
      </c>
      <c r="W77">
        <f t="shared" si="85"/>
        <v>0</v>
      </c>
      <c r="X77">
        <f t="shared" si="86"/>
        <v>0</v>
      </c>
      <c r="Y77">
        <f t="shared" si="86"/>
        <v>0</v>
      </c>
      <c r="Z77">
        <f t="shared" si="86"/>
        <v>0</v>
      </c>
      <c r="AA77">
        <f t="shared" si="86"/>
        <v>0</v>
      </c>
      <c r="AB77">
        <f t="shared" si="86"/>
        <v>0</v>
      </c>
      <c r="AC77">
        <f t="shared" si="86"/>
        <v>0</v>
      </c>
      <c r="AD77">
        <f t="shared" si="86"/>
        <v>0</v>
      </c>
      <c r="AE77">
        <f t="shared" si="86"/>
        <v>0</v>
      </c>
      <c r="AF77">
        <f t="shared" si="86"/>
        <v>0</v>
      </c>
      <c r="AG77">
        <f t="shared" si="86"/>
        <v>0</v>
      </c>
      <c r="AH77">
        <f t="shared" si="87"/>
        <v>0</v>
      </c>
      <c r="AI77">
        <f t="shared" si="87"/>
        <v>0</v>
      </c>
      <c r="AJ77">
        <f t="shared" si="87"/>
        <v>0</v>
      </c>
      <c r="AK77">
        <f t="shared" si="87"/>
        <v>0</v>
      </c>
      <c r="AL77">
        <f t="shared" si="87"/>
        <v>0</v>
      </c>
      <c r="AM77">
        <f t="shared" si="87"/>
        <v>0</v>
      </c>
      <c r="AN77">
        <f t="shared" si="87"/>
        <v>0</v>
      </c>
      <c r="AO77">
        <f t="shared" si="87"/>
        <v>0</v>
      </c>
      <c r="AP77">
        <f t="shared" si="87"/>
        <v>0</v>
      </c>
      <c r="AQ77">
        <f t="shared" si="87"/>
        <v>0</v>
      </c>
      <c r="AR77">
        <f t="shared" si="88"/>
        <v>0</v>
      </c>
      <c r="AS77">
        <f t="shared" si="88"/>
        <v>0</v>
      </c>
      <c r="AT77">
        <f t="shared" si="88"/>
        <v>0</v>
      </c>
      <c r="AU77">
        <f t="shared" si="88"/>
        <v>0</v>
      </c>
      <c r="AV77">
        <f t="shared" si="88"/>
        <v>0</v>
      </c>
      <c r="AW77">
        <f t="shared" si="88"/>
        <v>0</v>
      </c>
      <c r="AX77">
        <f t="shared" si="88"/>
        <v>0</v>
      </c>
      <c r="BB77" s="34">
        <f t="shared" si="63"/>
        <v>0</v>
      </c>
      <c r="BC77" s="34">
        <f t="shared" si="64"/>
        <v>0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0</v>
      </c>
      <c r="B78" s="24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0</v>
      </c>
      <c r="T78">
        <f t="shared" si="85"/>
        <v>0</v>
      </c>
      <c r="U78">
        <f t="shared" si="85"/>
        <v>0</v>
      </c>
      <c r="V78">
        <f t="shared" si="85"/>
        <v>0</v>
      </c>
      <c r="W78">
        <f t="shared" si="85"/>
        <v>0</v>
      </c>
      <c r="X78">
        <f t="shared" si="86"/>
        <v>0</v>
      </c>
      <c r="Y78">
        <f t="shared" si="86"/>
        <v>0</v>
      </c>
      <c r="Z78">
        <f t="shared" si="86"/>
        <v>0</v>
      </c>
      <c r="AA78">
        <f t="shared" si="86"/>
        <v>0</v>
      </c>
      <c r="AB78">
        <f t="shared" si="86"/>
        <v>0</v>
      </c>
      <c r="AC78">
        <f t="shared" si="86"/>
        <v>0</v>
      </c>
      <c r="AD78">
        <f t="shared" si="86"/>
        <v>0</v>
      </c>
      <c r="AE78">
        <f t="shared" si="86"/>
        <v>0</v>
      </c>
      <c r="AF78">
        <f t="shared" si="86"/>
        <v>0</v>
      </c>
      <c r="AG78">
        <f t="shared" si="86"/>
        <v>0</v>
      </c>
      <c r="AH78">
        <f t="shared" si="87"/>
        <v>0</v>
      </c>
      <c r="AI78">
        <f t="shared" si="87"/>
        <v>0</v>
      </c>
      <c r="AJ78">
        <f t="shared" si="87"/>
        <v>0</v>
      </c>
      <c r="AK78">
        <f t="shared" si="87"/>
        <v>0</v>
      </c>
      <c r="AL78">
        <f t="shared" si="87"/>
        <v>0</v>
      </c>
      <c r="AM78">
        <f t="shared" si="87"/>
        <v>0</v>
      </c>
      <c r="AN78">
        <f t="shared" si="87"/>
        <v>0</v>
      </c>
      <c r="AO78">
        <f t="shared" si="87"/>
        <v>0</v>
      </c>
      <c r="AP78">
        <f t="shared" si="87"/>
        <v>0</v>
      </c>
      <c r="AQ78">
        <f t="shared" si="87"/>
        <v>0</v>
      </c>
      <c r="AR78">
        <f t="shared" si="88"/>
        <v>0</v>
      </c>
      <c r="AS78">
        <f t="shared" si="88"/>
        <v>0</v>
      </c>
      <c r="AT78">
        <f t="shared" si="88"/>
        <v>0</v>
      </c>
      <c r="AU78">
        <f t="shared" si="88"/>
        <v>0</v>
      </c>
      <c r="AV78">
        <f t="shared" si="88"/>
        <v>0</v>
      </c>
      <c r="AW78">
        <f t="shared" si="88"/>
        <v>0</v>
      </c>
      <c r="AX78">
        <f t="shared" si="88"/>
        <v>0</v>
      </c>
      <c r="BB78" s="34">
        <f t="shared" si="63"/>
        <v>0</v>
      </c>
      <c r="BC78" s="34">
        <f t="shared" si="64"/>
        <v>0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0</v>
      </c>
      <c r="B79" s="24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0</v>
      </c>
      <c r="BI79" s="34">
        <f t="shared" si="70"/>
        <v>0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0</v>
      </c>
      <c r="B80" s="24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0</v>
      </c>
      <c r="T80">
        <f t="shared" si="85"/>
        <v>0</v>
      </c>
      <c r="U80">
        <f t="shared" si="85"/>
        <v>0</v>
      </c>
      <c r="V80">
        <f t="shared" si="85"/>
        <v>0</v>
      </c>
      <c r="W80">
        <f t="shared" si="85"/>
        <v>0</v>
      </c>
      <c r="X80">
        <f t="shared" si="86"/>
        <v>0</v>
      </c>
      <c r="Y80">
        <f t="shared" si="86"/>
        <v>0</v>
      </c>
      <c r="Z80">
        <f t="shared" si="86"/>
        <v>0</v>
      </c>
      <c r="AA80">
        <f t="shared" si="86"/>
        <v>0</v>
      </c>
      <c r="AB80">
        <f t="shared" si="86"/>
        <v>0</v>
      </c>
      <c r="AC80">
        <f t="shared" si="86"/>
        <v>0</v>
      </c>
      <c r="AD80">
        <f t="shared" si="86"/>
        <v>0</v>
      </c>
      <c r="AE80">
        <f t="shared" si="86"/>
        <v>0</v>
      </c>
      <c r="AF80">
        <f t="shared" si="86"/>
        <v>0</v>
      </c>
      <c r="AG80">
        <f t="shared" si="86"/>
        <v>0</v>
      </c>
      <c r="AH80">
        <f t="shared" si="87"/>
        <v>0</v>
      </c>
      <c r="AI80">
        <f t="shared" si="87"/>
        <v>0</v>
      </c>
      <c r="AJ80">
        <f t="shared" si="87"/>
        <v>0</v>
      </c>
      <c r="AK80">
        <f t="shared" si="87"/>
        <v>0</v>
      </c>
      <c r="AL80">
        <f t="shared" si="87"/>
        <v>0</v>
      </c>
      <c r="AM80">
        <f t="shared" si="87"/>
        <v>0</v>
      </c>
      <c r="AN80">
        <f t="shared" si="87"/>
        <v>0</v>
      </c>
      <c r="AO80">
        <f t="shared" si="87"/>
        <v>0</v>
      </c>
      <c r="AP80">
        <f t="shared" si="87"/>
        <v>0</v>
      </c>
      <c r="AQ80">
        <f t="shared" si="87"/>
        <v>0</v>
      </c>
      <c r="AR80">
        <f t="shared" si="88"/>
        <v>0</v>
      </c>
      <c r="AS80">
        <f t="shared" si="88"/>
        <v>0</v>
      </c>
      <c r="AT80">
        <f t="shared" si="88"/>
        <v>0</v>
      </c>
      <c r="AU80">
        <f t="shared" si="88"/>
        <v>0</v>
      </c>
      <c r="AV80">
        <f t="shared" si="88"/>
        <v>0</v>
      </c>
      <c r="AW80">
        <f t="shared" si="88"/>
        <v>0</v>
      </c>
      <c r="AX80">
        <f t="shared" si="88"/>
        <v>0</v>
      </c>
      <c r="BB80" s="34">
        <f t="shared" si="63"/>
        <v>0</v>
      </c>
      <c r="BC80" s="34">
        <f t="shared" si="64"/>
        <v>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0</v>
      </c>
      <c r="B81" s="24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4">
        <f t="shared" si="63"/>
        <v>0</v>
      </c>
      <c r="BC81" s="34">
        <f t="shared" si="64"/>
        <v>0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0</v>
      </c>
      <c r="B82" s="24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0</v>
      </c>
      <c r="T82">
        <f t="shared" si="85"/>
        <v>0</v>
      </c>
      <c r="U82">
        <f t="shared" si="85"/>
        <v>0</v>
      </c>
      <c r="V82">
        <f t="shared" si="85"/>
        <v>0</v>
      </c>
      <c r="W82">
        <f t="shared" si="85"/>
        <v>0</v>
      </c>
      <c r="X82">
        <f t="shared" si="86"/>
        <v>0</v>
      </c>
      <c r="Y82">
        <f t="shared" si="86"/>
        <v>0</v>
      </c>
      <c r="Z82">
        <f t="shared" si="86"/>
        <v>0</v>
      </c>
      <c r="AA82">
        <f t="shared" si="86"/>
        <v>0</v>
      </c>
      <c r="AB82">
        <f t="shared" si="86"/>
        <v>0</v>
      </c>
      <c r="AC82">
        <f t="shared" si="86"/>
        <v>0</v>
      </c>
      <c r="AD82">
        <f t="shared" si="86"/>
        <v>0</v>
      </c>
      <c r="AE82">
        <f t="shared" si="86"/>
        <v>0</v>
      </c>
      <c r="AF82">
        <f t="shared" si="86"/>
        <v>0</v>
      </c>
      <c r="AG82">
        <f t="shared" si="86"/>
        <v>0</v>
      </c>
      <c r="AH82">
        <f t="shared" si="87"/>
        <v>0</v>
      </c>
      <c r="AI82">
        <f t="shared" si="87"/>
        <v>0</v>
      </c>
      <c r="AJ82">
        <f t="shared" si="87"/>
        <v>0</v>
      </c>
      <c r="AK82">
        <f t="shared" si="87"/>
        <v>0</v>
      </c>
      <c r="AL82">
        <f t="shared" si="87"/>
        <v>0</v>
      </c>
      <c r="AM82">
        <f t="shared" si="87"/>
        <v>0</v>
      </c>
      <c r="AN82">
        <f t="shared" si="87"/>
        <v>0</v>
      </c>
      <c r="AO82">
        <f t="shared" si="87"/>
        <v>0</v>
      </c>
      <c r="AP82">
        <f t="shared" si="87"/>
        <v>0</v>
      </c>
      <c r="AQ82">
        <f t="shared" si="87"/>
        <v>0</v>
      </c>
      <c r="AR82">
        <f t="shared" si="88"/>
        <v>0</v>
      </c>
      <c r="AS82">
        <f t="shared" si="88"/>
        <v>0</v>
      </c>
      <c r="AT82">
        <f t="shared" si="88"/>
        <v>0</v>
      </c>
      <c r="AU82">
        <f t="shared" si="88"/>
        <v>0</v>
      </c>
      <c r="AV82">
        <f t="shared" si="88"/>
        <v>0</v>
      </c>
      <c r="AW82">
        <f t="shared" si="88"/>
        <v>0</v>
      </c>
      <c r="AX82">
        <f t="shared" si="88"/>
        <v>0</v>
      </c>
      <c r="BB82" s="34">
        <f t="shared" si="63"/>
        <v>0</v>
      </c>
      <c r="BC82" s="34">
        <f t="shared" si="64"/>
        <v>0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0</v>
      </c>
      <c r="B83" s="24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99</v>
      </c>
      <c r="BC196" s="34">
        <f t="shared" si="167"/>
        <v>444</v>
      </c>
      <c r="BD196" s="34">
        <f t="shared" si="167"/>
        <v>13</v>
      </c>
      <c r="BE196" s="34">
        <f t="shared" si="167"/>
        <v>49</v>
      </c>
      <c r="BF196" s="34">
        <f t="shared" si="167"/>
        <v>0</v>
      </c>
      <c r="BG196" s="34">
        <f t="shared" si="167"/>
        <v>0</v>
      </c>
      <c r="BH196" s="34">
        <f t="shared" si="167"/>
        <v>13</v>
      </c>
      <c r="BI196" s="34">
        <f t="shared" si="167"/>
        <v>89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167</v>
      </c>
      <c r="L198">
        <f t="shared" si="168"/>
        <v>181</v>
      </c>
      <c r="M198">
        <f t="shared" si="168"/>
        <v>233</v>
      </c>
      <c r="N198">
        <f t="shared" si="168"/>
        <v>274</v>
      </c>
      <c r="O198">
        <f t="shared" si="168"/>
        <v>325</v>
      </c>
      <c r="P198">
        <f t="shared" si="168"/>
        <v>327</v>
      </c>
      <c r="Q198">
        <f t="shared" si="168"/>
        <v>327</v>
      </c>
      <c r="R198">
        <f t="shared" si="168"/>
        <v>327</v>
      </c>
      <c r="S198">
        <f t="shared" si="168"/>
        <v>327</v>
      </c>
      <c r="T198">
        <f t="shared" si="168"/>
        <v>327</v>
      </c>
      <c r="U198">
        <f t="shared" si="168"/>
        <v>327</v>
      </c>
      <c r="V198">
        <f t="shared" si="168"/>
        <v>327</v>
      </c>
      <c r="W198">
        <f t="shared" si="168"/>
        <v>327</v>
      </c>
      <c r="X198">
        <f t="shared" si="168"/>
        <v>327</v>
      </c>
      <c r="Y198">
        <f t="shared" si="168"/>
        <v>327</v>
      </c>
      <c r="Z198">
        <f t="shared" si="168"/>
        <v>327</v>
      </c>
      <c r="AA198">
        <f t="shared" si="168"/>
        <v>327</v>
      </c>
      <c r="AB198">
        <f t="shared" si="168"/>
        <v>327</v>
      </c>
      <c r="AC198">
        <f t="shared" si="168"/>
        <v>327</v>
      </c>
      <c r="AD198">
        <f t="shared" si="168"/>
        <v>327</v>
      </c>
      <c r="AE198">
        <f t="shared" si="168"/>
        <v>327</v>
      </c>
      <c r="AF198">
        <f t="shared" si="168"/>
        <v>327</v>
      </c>
      <c r="AG198">
        <f t="shared" si="168"/>
        <v>327</v>
      </c>
      <c r="AH198">
        <f t="shared" si="168"/>
        <v>327</v>
      </c>
      <c r="AI198">
        <f t="shared" si="168"/>
        <v>327</v>
      </c>
      <c r="AJ198">
        <f t="shared" si="168"/>
        <v>327</v>
      </c>
      <c r="AK198">
        <f t="shared" si="168"/>
        <v>327</v>
      </c>
      <c r="AL198">
        <f t="shared" si="168"/>
        <v>327</v>
      </c>
      <c r="AM198">
        <f t="shared" si="168"/>
        <v>327</v>
      </c>
      <c r="AN198">
        <f t="shared" si="168"/>
        <v>327</v>
      </c>
      <c r="AO198">
        <f t="shared" si="168"/>
        <v>327</v>
      </c>
      <c r="AP198">
        <f t="shared" si="168"/>
        <v>327</v>
      </c>
      <c r="AQ198">
        <f t="shared" si="168"/>
        <v>327</v>
      </c>
      <c r="AR198">
        <f t="shared" si="168"/>
        <v>327</v>
      </c>
      <c r="AS198">
        <f t="shared" si="168"/>
        <v>327</v>
      </c>
      <c r="AT198">
        <f t="shared" si="168"/>
        <v>327</v>
      </c>
      <c r="AU198">
        <f t="shared" si="168"/>
        <v>327</v>
      </c>
      <c r="AV198">
        <f t="shared" si="168"/>
        <v>327</v>
      </c>
      <c r="AW198">
        <f t="shared" si="168"/>
        <v>327</v>
      </c>
      <c r="AX198">
        <f t="shared" si="168"/>
        <v>327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Q200" si="169">K198</f>
        <v>167</v>
      </c>
      <c r="L200">
        <f t="shared" si="169"/>
        <v>181</v>
      </c>
      <c r="M200">
        <f t="shared" si="169"/>
        <v>233</v>
      </c>
      <c r="N200">
        <f t="shared" si="169"/>
        <v>274</v>
      </c>
      <c r="O200">
        <f t="shared" si="169"/>
        <v>325</v>
      </c>
      <c r="P200">
        <f t="shared" si="169"/>
        <v>327</v>
      </c>
      <c r="Q200">
        <f t="shared" si="169"/>
        <v>327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99</v>
      </c>
      <c r="BE202" s="34">
        <f>BD196</f>
        <v>13</v>
      </c>
      <c r="BF202" s="34">
        <f>BF196</f>
        <v>0</v>
      </c>
      <c r="BG202" s="34">
        <f>BH196</f>
        <v>13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444</v>
      </c>
      <c r="BE203" s="40">
        <f>BE196</f>
        <v>49</v>
      </c>
      <c r="BF203" s="40">
        <f>BG196</f>
        <v>0</v>
      </c>
      <c r="BG203" s="40">
        <f>BI196</f>
        <v>89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5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99</v>
      </c>
      <c r="C30" s="34">
        <f>'book stat'!BE202</f>
        <v>13</v>
      </c>
      <c r="D30" s="34">
        <f>'book stat'!BF202</f>
        <v>0</v>
      </c>
      <c r="E30" s="34">
        <f>'book stat'!BG202</f>
        <v>13</v>
      </c>
      <c r="F30" s="34">
        <f>'book stat'!BH202</f>
        <v>0</v>
      </c>
      <c r="G30" s="35">
        <f>'book stat'!BI202</f>
        <v>5</v>
      </c>
      <c r="H30" s="176">
        <f>'book stat'!BJ202</f>
        <v>0</v>
      </c>
      <c r="I30" s="177">
        <f>'book stat'!BK202</f>
        <v>0</v>
      </c>
      <c r="J30" s="177">
        <f>'book stat'!BL202</f>
        <v>3</v>
      </c>
      <c r="K30" s="178">
        <f>'book stat'!BM202</f>
        <v>2</v>
      </c>
      <c r="L30" s="179">
        <f>'book stat'!BN202</f>
        <v>0</v>
      </c>
      <c r="M30" s="18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444</v>
      </c>
      <c r="C31" s="34">
        <f>'book stat'!BE203</f>
        <v>49</v>
      </c>
      <c r="D31" s="34">
        <f>'book stat'!BF203</f>
        <v>0</v>
      </c>
      <c r="E31" s="34">
        <f>'book stat'!BG203</f>
        <v>89</v>
      </c>
      <c r="F31" s="34">
        <f>'book stat'!BH203</f>
        <v>0</v>
      </c>
      <c r="G31" s="35">
        <f>'book stat'!BI203</f>
        <v>29</v>
      </c>
      <c r="H31" s="181">
        <f>'book stat'!BJ203</f>
        <v>0</v>
      </c>
      <c r="I31" s="182">
        <f>'book stat'!BK203</f>
        <v>0</v>
      </c>
      <c r="J31" s="182">
        <f>'book stat'!BL203</f>
        <v>19</v>
      </c>
      <c r="K31" s="183">
        <f>'book stat'!BM203</f>
        <v>10</v>
      </c>
      <c r="L31" s="179">
        <f>'book stat'!BN203</f>
        <v>0</v>
      </c>
      <c r="M31" s="180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72" activePane="bottomLeft" state="frozen"/>
      <selection pane="bottomLeft" activeCell="P77" sqref="P77:Q82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185">
        <v>1</v>
      </c>
      <c r="E1" s="186"/>
      <c r="F1" s="66" t="s">
        <v>117</v>
      </c>
      <c r="G1" s="67" t="s">
        <v>8</v>
      </c>
      <c r="H1" s="187">
        <v>2</v>
      </c>
      <c r="I1" s="186"/>
      <c r="J1" s="66" t="s">
        <v>117</v>
      </c>
      <c r="K1" s="68" t="s">
        <v>8</v>
      </c>
      <c r="L1" s="187">
        <v>3</v>
      </c>
      <c r="M1" s="186"/>
      <c r="N1" s="66" t="s">
        <v>117</v>
      </c>
      <c r="O1" s="69" t="s">
        <v>8</v>
      </c>
      <c r="P1" s="185">
        <v>4</v>
      </c>
      <c r="Q1" s="186"/>
      <c r="R1" s="66" t="s">
        <v>117</v>
      </c>
      <c r="S1" s="68" t="s">
        <v>8</v>
      </c>
      <c r="T1" s="188">
        <v>5</v>
      </c>
      <c r="U1" s="189"/>
      <c r="V1" s="66" t="s">
        <v>117</v>
      </c>
      <c r="W1" s="68" t="s">
        <v>8</v>
      </c>
      <c r="X1" s="185">
        <v>6</v>
      </c>
      <c r="Y1" s="186"/>
      <c r="Z1" s="70" t="s">
        <v>118</v>
      </c>
      <c r="AA1" s="139">
        <f>SUM(AA2:AA171)</f>
        <v>327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6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6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6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6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/>
      <c r="J6" s="20"/>
      <c r="K6" s="19"/>
      <c r="L6" s="14"/>
      <c r="M6" s="8"/>
      <c r="N6" s="20"/>
      <c r="O6" s="20"/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6">
        <f t="shared" si="2"/>
        <v>0</v>
      </c>
      <c r="AA6" s="140">
        <f t="shared" si="3"/>
        <v>2</v>
      </c>
      <c r="AB6" s="8">
        <f t="shared" si="0"/>
        <v>2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/>
      <c r="E7" s="8"/>
      <c r="F7" s="20"/>
      <c r="G7" s="19"/>
      <c r="H7" s="14"/>
      <c r="I7" s="8"/>
      <c r="J7" s="20"/>
      <c r="K7" s="19"/>
      <c r="L7" s="14"/>
      <c r="M7" s="8"/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6">
        <f t="shared" si="2"/>
        <v>3</v>
      </c>
      <c r="AA7" s="140">
        <f t="shared" si="3"/>
        <v>2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/>
      <c r="E8" s="8"/>
      <c r="F8" s="20"/>
      <c r="G8" s="19"/>
      <c r="H8" s="14"/>
      <c r="I8" s="8"/>
      <c r="J8" s="20"/>
      <c r="K8" s="19"/>
      <c r="L8" s="14"/>
      <c r="M8" s="8"/>
      <c r="N8" s="20"/>
      <c r="O8" s="20"/>
      <c r="P8" s="8">
        <v>28</v>
      </c>
      <c r="Q8" s="8"/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6">
        <f t="shared" si="2"/>
        <v>3</v>
      </c>
      <c r="AA8" s="140">
        <f t="shared" si="3"/>
        <v>0</v>
      </c>
      <c r="AB8" s="8">
        <f t="shared" si="0"/>
        <v>0</v>
      </c>
      <c r="AC8" s="23">
        <f t="shared" si="1"/>
        <v>2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14"/>
      <c r="I9" s="8"/>
      <c r="J9" s="20"/>
      <c r="K9" s="19"/>
      <c r="L9" s="14"/>
      <c r="M9" s="8"/>
      <c r="N9" s="20"/>
      <c r="O9" s="20"/>
      <c r="P9" s="8"/>
      <c r="Q9" s="8"/>
      <c r="R9" s="20"/>
      <c r="S9" s="20"/>
      <c r="T9" s="8"/>
      <c r="U9" s="8"/>
      <c r="V9" s="20"/>
      <c r="W9" s="20"/>
      <c r="X9" s="22"/>
      <c r="Y9" s="22"/>
      <c r="Z9" s="146">
        <f t="shared" si="2"/>
        <v>0</v>
      </c>
      <c r="AA9" s="140">
        <f t="shared" si="3"/>
        <v>0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14"/>
      <c r="I10" s="8"/>
      <c r="J10" s="20"/>
      <c r="K10" s="19"/>
      <c r="L10" s="14"/>
      <c r="M10" s="8"/>
      <c r="N10" s="20"/>
      <c r="O10" s="20"/>
      <c r="P10" s="8"/>
      <c r="Q10" s="8"/>
      <c r="R10" s="20"/>
      <c r="S10" s="20"/>
      <c r="T10" s="8"/>
      <c r="U10" s="8"/>
      <c r="V10" s="20"/>
      <c r="W10" s="20"/>
      <c r="X10" s="22"/>
      <c r="Y10" s="22"/>
      <c r="Z10" s="146">
        <f t="shared" si="2"/>
        <v>0</v>
      </c>
      <c r="AA10" s="140">
        <f t="shared" si="3"/>
        <v>0</v>
      </c>
      <c r="AB10" s="8">
        <f t="shared" si="0"/>
        <v>0</v>
      </c>
      <c r="AC10" s="23">
        <f t="shared" si="1"/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H11" s="14"/>
      <c r="I11" s="8"/>
      <c r="J11" s="20"/>
      <c r="K11" s="19"/>
      <c r="L11" s="14"/>
      <c r="M11" s="8"/>
      <c r="N11" s="20"/>
      <c r="O11" s="20"/>
      <c r="P11" s="8"/>
      <c r="Q11" s="8"/>
      <c r="R11" s="20"/>
      <c r="S11" s="20"/>
      <c r="T11" s="8"/>
      <c r="U11" s="8"/>
      <c r="V11" s="20"/>
      <c r="W11" s="20"/>
      <c r="X11" s="22"/>
      <c r="Y11" s="22"/>
      <c r="Z11" s="146">
        <f t="shared" si="2"/>
        <v>0</v>
      </c>
      <c r="AA11" s="140">
        <f t="shared" si="3"/>
        <v>0</v>
      </c>
      <c r="AB11" s="8">
        <f t="shared" si="0"/>
        <v>0</v>
      </c>
      <c r="AC11" s="23">
        <f t="shared" si="1"/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14"/>
      <c r="I12" s="8"/>
      <c r="J12" s="20"/>
      <c r="K12" s="19"/>
      <c r="L12" s="14"/>
      <c r="M12" s="8"/>
      <c r="N12" s="20"/>
      <c r="O12" s="20"/>
      <c r="P12" s="8"/>
      <c r="Q12" s="8"/>
      <c r="R12" s="20"/>
      <c r="S12" s="20"/>
      <c r="T12" s="8"/>
      <c r="U12" s="8"/>
      <c r="V12" s="20"/>
      <c r="W12" s="20"/>
      <c r="X12" s="22"/>
      <c r="Y12" s="22"/>
      <c r="Z12" s="146">
        <f t="shared" si="2"/>
        <v>0</v>
      </c>
      <c r="AA12" s="140">
        <f t="shared" si="3"/>
        <v>0</v>
      </c>
      <c r="AB12" s="8">
        <f t="shared" si="0"/>
        <v>0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0"/>
      <c r="G13" s="19"/>
      <c r="H13" s="14"/>
      <c r="I13" s="8"/>
      <c r="J13" s="20"/>
      <c r="K13" s="19"/>
      <c r="L13" s="14"/>
      <c r="M13" s="8"/>
      <c r="N13" s="20"/>
      <c r="O13" s="20"/>
      <c r="P13" s="8"/>
      <c r="Q13" s="8"/>
      <c r="R13" s="20"/>
      <c r="S13" s="20"/>
      <c r="T13" s="8"/>
      <c r="U13" s="8"/>
      <c r="V13" s="20"/>
      <c r="W13" s="20"/>
      <c r="X13" s="22"/>
      <c r="Y13" s="22"/>
      <c r="Z13" s="146">
        <f t="shared" si="2"/>
        <v>0</v>
      </c>
      <c r="AA13" s="140">
        <f t="shared" si="3"/>
        <v>0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0"/>
      <c r="G14" s="19"/>
      <c r="H14" s="14"/>
      <c r="I14" s="8"/>
      <c r="J14" s="20"/>
      <c r="K14" s="19"/>
      <c r="L14" s="14"/>
      <c r="M14" s="8"/>
      <c r="N14" s="20"/>
      <c r="O14" s="20"/>
      <c r="P14" s="8"/>
      <c r="Q14" s="8"/>
      <c r="R14" s="20"/>
      <c r="S14" s="20"/>
      <c r="T14" s="8"/>
      <c r="U14" s="8"/>
      <c r="V14" s="20"/>
      <c r="W14" s="20"/>
      <c r="X14" s="22"/>
      <c r="Y14" s="22"/>
      <c r="Z14" s="146">
        <f t="shared" si="2"/>
        <v>0</v>
      </c>
      <c r="AA14" s="140">
        <f t="shared" si="3"/>
        <v>0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0"/>
      <c r="G15" s="19"/>
      <c r="H15" s="14"/>
      <c r="I15" s="8"/>
      <c r="J15" s="20"/>
      <c r="K15" s="19"/>
      <c r="L15" s="14"/>
      <c r="M15" s="8"/>
      <c r="N15" s="20"/>
      <c r="O15" s="20"/>
      <c r="P15" s="8"/>
      <c r="Q15" s="8"/>
      <c r="R15" s="20"/>
      <c r="S15" s="20"/>
      <c r="T15" s="8"/>
      <c r="U15" s="8"/>
      <c r="V15" s="20"/>
      <c r="W15" s="20"/>
      <c r="X15" s="22"/>
      <c r="Y15" s="22"/>
      <c r="Z15" s="146">
        <f t="shared" si="2"/>
        <v>0</v>
      </c>
      <c r="AA15" s="140">
        <f t="shared" si="3"/>
        <v>0</v>
      </c>
      <c r="AB15" s="8">
        <f t="shared" si="0"/>
        <v>0</v>
      </c>
      <c r="AC15" s="23">
        <f t="shared" si="1"/>
        <v>0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9">
        <v>63</v>
      </c>
      <c r="V16" s="20"/>
      <c r="W16" s="20"/>
      <c r="X16" s="22"/>
      <c r="Y16" s="22"/>
      <c r="Z16" s="146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9">
        <v>63</v>
      </c>
      <c r="U17" s="149">
        <v>63</v>
      </c>
      <c r="V17" s="20"/>
      <c r="W17" s="20" t="s">
        <v>297</v>
      </c>
      <c r="X17" s="22"/>
      <c r="Y17" s="22"/>
      <c r="Z17" s="146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9">
        <v>63</v>
      </c>
      <c r="U18" s="8"/>
      <c r="V18" s="20"/>
      <c r="W18" s="20"/>
      <c r="X18" s="22"/>
      <c r="Y18" s="22"/>
      <c r="Z18" s="146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6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6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/>
      <c r="E21" s="150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6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50">
        <v>8</v>
      </c>
      <c r="E22" s="150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50">
        <v>9</v>
      </c>
      <c r="V22" s="20"/>
      <c r="W22" s="20"/>
      <c r="X22" s="22"/>
      <c r="Y22" s="22"/>
      <c r="Z22" s="146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50">
        <v>8</v>
      </c>
      <c r="E23" s="150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50">
        <v>9</v>
      </c>
      <c r="U23" s="150">
        <v>9</v>
      </c>
      <c r="V23" s="20">
        <v>2</v>
      </c>
      <c r="W23" s="20" t="s">
        <v>137</v>
      </c>
      <c r="X23" s="22"/>
      <c r="Y23" s="22"/>
      <c r="Z23" s="146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50">
        <v>8</v>
      </c>
      <c r="E24" s="150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50">
        <v>9</v>
      </c>
      <c r="U24" s="150">
        <v>9</v>
      </c>
      <c r="V24" s="20">
        <v>2</v>
      </c>
      <c r="W24" s="20"/>
      <c r="X24" s="22"/>
      <c r="Y24" s="22"/>
      <c r="Z24" s="146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50">
        <v>8</v>
      </c>
      <c r="E25" s="150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50">
        <v>9</v>
      </c>
      <c r="U25" s="150">
        <v>9</v>
      </c>
      <c r="V25" s="20">
        <v>2</v>
      </c>
      <c r="W25" s="20"/>
      <c r="X25" s="22"/>
      <c r="Y25" s="22"/>
      <c r="Z25" s="146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50">
        <v>8</v>
      </c>
      <c r="E26" s="8"/>
      <c r="F26" s="20">
        <v>2</v>
      </c>
      <c r="G26" s="19"/>
      <c r="H26" s="14"/>
      <c r="I26" s="149">
        <v>20</v>
      </c>
      <c r="J26" s="20"/>
      <c r="K26" s="19"/>
      <c r="L26" s="14"/>
      <c r="M26" s="149">
        <v>20</v>
      </c>
      <c r="N26" s="20"/>
      <c r="O26" s="20"/>
      <c r="P26" s="8"/>
      <c r="Q26" s="149">
        <v>20</v>
      </c>
      <c r="R26" s="124"/>
      <c r="S26" s="124"/>
      <c r="T26" s="150">
        <v>9</v>
      </c>
      <c r="U26" s="150">
        <v>9</v>
      </c>
      <c r="V26" s="20">
        <v>2</v>
      </c>
      <c r="W26" s="20"/>
      <c r="X26" s="22"/>
      <c r="Y26" s="22"/>
      <c r="Z26" s="146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4">
        <v>20</v>
      </c>
      <c r="I27" s="149">
        <v>20</v>
      </c>
      <c r="J27" s="20">
        <v>2</v>
      </c>
      <c r="K27" s="19"/>
      <c r="L27" s="164">
        <v>20</v>
      </c>
      <c r="M27" s="149">
        <v>20</v>
      </c>
      <c r="N27" s="20">
        <v>2</v>
      </c>
      <c r="O27" s="20"/>
      <c r="P27" s="149">
        <v>20</v>
      </c>
      <c r="Q27" s="149">
        <v>20</v>
      </c>
      <c r="R27" s="124">
        <v>2</v>
      </c>
      <c r="S27" s="124"/>
      <c r="T27" s="150">
        <v>9</v>
      </c>
      <c r="U27" s="150">
        <v>9</v>
      </c>
      <c r="V27" s="20">
        <v>2</v>
      </c>
      <c r="W27" s="20"/>
      <c r="X27" s="22"/>
      <c r="Y27" s="22"/>
      <c r="Z27" s="146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4">
        <v>20</v>
      </c>
      <c r="I28" s="149">
        <v>20</v>
      </c>
      <c r="J28" s="20">
        <v>2</v>
      </c>
      <c r="K28" s="19"/>
      <c r="L28" s="164">
        <v>20</v>
      </c>
      <c r="M28" s="149">
        <v>20</v>
      </c>
      <c r="N28" s="20">
        <v>2</v>
      </c>
      <c r="O28" s="20"/>
      <c r="P28" s="149">
        <v>20</v>
      </c>
      <c r="Q28" s="149">
        <v>20</v>
      </c>
      <c r="R28" s="124">
        <v>2</v>
      </c>
      <c r="S28" s="124"/>
      <c r="T28" s="150">
        <v>9</v>
      </c>
      <c r="U28" s="150">
        <v>9</v>
      </c>
      <c r="V28" s="20">
        <v>2</v>
      </c>
      <c r="W28" s="20"/>
      <c r="X28" s="22"/>
      <c r="Y28" s="22"/>
      <c r="Z28" s="146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4">
        <v>20</v>
      </c>
      <c r="I29" s="149">
        <v>20</v>
      </c>
      <c r="J29" s="20">
        <v>2</v>
      </c>
      <c r="K29" s="19"/>
      <c r="L29" s="164">
        <v>20</v>
      </c>
      <c r="M29" s="149">
        <v>20</v>
      </c>
      <c r="N29" s="20">
        <v>2</v>
      </c>
      <c r="O29" s="20"/>
      <c r="P29" s="149">
        <v>20</v>
      </c>
      <c r="Q29" s="149">
        <v>20</v>
      </c>
      <c r="R29" s="124">
        <v>2</v>
      </c>
      <c r="S29" s="124"/>
      <c r="T29" s="150">
        <v>9</v>
      </c>
      <c r="U29" s="8"/>
      <c r="V29" s="20">
        <v>2</v>
      </c>
      <c r="W29" s="20"/>
      <c r="X29" s="22"/>
      <c r="Y29" s="22"/>
      <c r="Z29" s="146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4">
        <v>20</v>
      </c>
      <c r="I30" s="8"/>
      <c r="J30" s="20">
        <v>2</v>
      </c>
      <c r="K30" s="19"/>
      <c r="L30" s="164">
        <v>20</v>
      </c>
      <c r="M30" s="8"/>
      <c r="N30" s="20">
        <v>2</v>
      </c>
      <c r="O30" s="20"/>
      <c r="P30" s="149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6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6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50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6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50">
        <v>5</v>
      </c>
      <c r="M33" s="150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6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50">
        <v>5</v>
      </c>
      <c r="M34" s="150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6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50">
        <v>5</v>
      </c>
      <c r="M35" s="150">
        <v>5</v>
      </c>
      <c r="N35" s="124">
        <v>2</v>
      </c>
      <c r="O35" s="124"/>
      <c r="P35" s="8"/>
      <c r="Q35" s="149">
        <v>2</v>
      </c>
      <c r="R35" s="121"/>
      <c r="S35" s="121"/>
      <c r="T35" s="121"/>
      <c r="U35" s="121"/>
      <c r="V35" s="20"/>
      <c r="W35" s="20"/>
      <c r="X35" s="22"/>
      <c r="Y35" s="22"/>
      <c r="Z35" s="146">
        <f t="shared" si="2"/>
        <v>2</v>
      </c>
      <c r="AA35" s="140">
        <f t="shared" si="3"/>
        <v>2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4"/>
      <c r="I36" s="8"/>
      <c r="J36" s="20"/>
      <c r="K36" s="19"/>
      <c r="L36" s="150">
        <v>5</v>
      </c>
      <c r="M36" s="150">
        <v>5</v>
      </c>
      <c r="N36" s="124">
        <v>2</v>
      </c>
      <c r="O36" s="124"/>
      <c r="P36" s="149">
        <v>2</v>
      </c>
      <c r="Q36" s="149">
        <v>2</v>
      </c>
      <c r="R36" s="121">
        <v>2</v>
      </c>
      <c r="S36" s="121"/>
      <c r="T36" s="121"/>
      <c r="U36" s="121"/>
      <c r="V36" s="20"/>
      <c r="W36" s="20"/>
      <c r="X36" s="22"/>
      <c r="Y36" s="22"/>
      <c r="Z36" s="146">
        <f t="shared" si="2"/>
        <v>4</v>
      </c>
      <c r="AA36" s="140">
        <f t="shared" si="3"/>
        <v>2</v>
      </c>
      <c r="AB36" s="8">
        <f t="shared" si="0"/>
        <v>0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4"/>
      <c r="I37" s="8"/>
      <c r="J37" s="20"/>
      <c r="K37" s="19"/>
      <c r="L37" s="150">
        <v>5</v>
      </c>
      <c r="M37" s="8"/>
      <c r="N37" s="20"/>
      <c r="O37" s="20"/>
      <c r="P37" s="149">
        <v>2</v>
      </c>
      <c r="Q37" s="149">
        <v>2</v>
      </c>
      <c r="R37" s="124">
        <v>2</v>
      </c>
      <c r="S37" s="124"/>
      <c r="T37" s="121"/>
      <c r="U37" s="121"/>
      <c r="V37" s="20"/>
      <c r="W37" s="20"/>
      <c r="X37" s="22"/>
      <c r="Y37" s="22"/>
      <c r="Z37" s="146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4"/>
      <c r="I38" s="8"/>
      <c r="J38" s="20"/>
      <c r="K38" s="19"/>
      <c r="L38" s="8"/>
      <c r="M38" s="8"/>
      <c r="N38" s="20"/>
      <c r="O38" s="20"/>
      <c r="P38" s="149">
        <v>2</v>
      </c>
      <c r="Q38" s="149">
        <v>2</v>
      </c>
      <c r="R38" s="124">
        <v>2</v>
      </c>
      <c r="S38" s="124"/>
      <c r="T38" s="121"/>
      <c r="U38" s="150">
        <v>12</v>
      </c>
      <c r="V38" s="20"/>
      <c r="W38" s="20"/>
      <c r="X38" s="22"/>
      <c r="Y38" s="22"/>
      <c r="Z38" s="146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4"/>
      <c r="I39" s="8"/>
      <c r="J39" s="20"/>
      <c r="K39" s="19"/>
      <c r="L39" s="8"/>
      <c r="M39" s="166">
        <v>27</v>
      </c>
      <c r="N39" s="20"/>
      <c r="O39" s="20" t="s">
        <v>165</v>
      </c>
      <c r="P39" s="149">
        <v>2</v>
      </c>
      <c r="Q39" s="149">
        <v>2</v>
      </c>
      <c r="R39" s="124">
        <v>2</v>
      </c>
      <c r="S39" s="124"/>
      <c r="T39" s="150">
        <v>12</v>
      </c>
      <c r="U39" s="150">
        <v>12</v>
      </c>
      <c r="V39" s="20"/>
      <c r="W39" s="20" t="s">
        <v>137</v>
      </c>
      <c r="X39" s="22"/>
      <c r="Y39" s="22"/>
      <c r="Z39" s="146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4"/>
      <c r="I40" s="8"/>
      <c r="J40" s="20"/>
      <c r="K40" s="19"/>
      <c r="L40" s="165">
        <v>27</v>
      </c>
      <c r="M40" s="166">
        <v>27</v>
      </c>
      <c r="N40" s="20">
        <v>2</v>
      </c>
      <c r="O40" s="20"/>
      <c r="P40" s="149">
        <v>2</v>
      </c>
      <c r="Q40" s="149">
        <v>2</v>
      </c>
      <c r="R40" s="124">
        <v>2</v>
      </c>
      <c r="S40" s="124"/>
      <c r="T40" s="150">
        <v>12</v>
      </c>
      <c r="U40" s="150">
        <v>12</v>
      </c>
      <c r="V40" s="20"/>
      <c r="W40" s="20"/>
      <c r="X40" s="22"/>
      <c r="Y40" s="22"/>
      <c r="Z40" s="146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50">
        <v>6</v>
      </c>
      <c r="F41" s="124"/>
      <c r="G41" s="143"/>
      <c r="H41" s="14"/>
      <c r="I41" s="150">
        <v>6</v>
      </c>
      <c r="J41" s="20"/>
      <c r="K41" s="19"/>
      <c r="L41" s="166">
        <v>27</v>
      </c>
      <c r="M41" s="166">
        <v>27</v>
      </c>
      <c r="N41" s="20">
        <v>2</v>
      </c>
      <c r="O41" s="20"/>
      <c r="P41" s="149">
        <v>2</v>
      </c>
      <c r="Q41" s="149">
        <v>2</v>
      </c>
      <c r="R41" s="124">
        <v>2</v>
      </c>
      <c r="S41" s="124"/>
      <c r="T41" s="150">
        <v>12</v>
      </c>
      <c r="U41" s="150">
        <v>12</v>
      </c>
      <c r="V41" s="20"/>
      <c r="W41" s="20"/>
      <c r="X41" s="122"/>
      <c r="Y41" s="121"/>
      <c r="Z41" s="146">
        <f t="shared" si="2"/>
        <v>4</v>
      </c>
      <c r="AA41" s="140">
        <f t="shared" si="3"/>
        <v>5</v>
      </c>
      <c r="AB41" s="8">
        <f t="shared" si="0"/>
        <v>2</v>
      </c>
      <c r="AC41" s="23">
        <f t="shared" si="1"/>
        <v>0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1">
        <v>6</v>
      </c>
      <c r="E42" s="150">
        <v>6</v>
      </c>
      <c r="F42" s="124"/>
      <c r="G42" s="143"/>
      <c r="H42" s="152">
        <v>6</v>
      </c>
      <c r="I42" s="150">
        <v>6</v>
      </c>
      <c r="J42" s="20"/>
      <c r="K42" s="19"/>
      <c r="L42" s="166">
        <v>27</v>
      </c>
      <c r="M42" s="166">
        <v>27</v>
      </c>
      <c r="N42" s="20">
        <v>2</v>
      </c>
      <c r="O42" s="20" t="s">
        <v>162</v>
      </c>
      <c r="P42" s="149">
        <v>2</v>
      </c>
      <c r="Q42" s="149">
        <v>2</v>
      </c>
      <c r="R42" s="124">
        <v>2</v>
      </c>
      <c r="S42" s="124"/>
      <c r="T42" s="150">
        <v>12</v>
      </c>
      <c r="U42" s="121"/>
      <c r="V42" s="20"/>
      <c r="W42" s="20"/>
      <c r="X42" s="122"/>
      <c r="Y42" s="121"/>
      <c r="Z42" s="146">
        <f t="shared" si="2"/>
        <v>4</v>
      </c>
      <c r="AA42" s="140">
        <f t="shared" si="3"/>
        <v>4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1">
        <v>6</v>
      </c>
      <c r="E43" s="8"/>
      <c r="F43" s="124"/>
      <c r="G43" s="143"/>
      <c r="H43" s="152">
        <v>6</v>
      </c>
      <c r="I43" s="8"/>
      <c r="J43" s="20"/>
      <c r="K43" s="19"/>
      <c r="L43" s="166">
        <v>27</v>
      </c>
      <c r="M43" s="166">
        <v>27</v>
      </c>
      <c r="N43" s="20">
        <v>2</v>
      </c>
      <c r="O43" s="20"/>
      <c r="P43" s="149">
        <v>2</v>
      </c>
      <c r="Q43" s="8"/>
      <c r="R43" s="124">
        <v>2</v>
      </c>
      <c r="S43" s="124"/>
      <c r="T43" s="121"/>
      <c r="U43" s="121"/>
      <c r="V43" s="20"/>
      <c r="W43" s="20"/>
      <c r="X43" s="122"/>
      <c r="Y43" s="121"/>
      <c r="Z43" s="146">
        <f t="shared" si="2"/>
        <v>4</v>
      </c>
      <c r="AA43" s="140">
        <f t="shared" si="3"/>
        <v>1</v>
      </c>
      <c r="AB43" s="8">
        <f t="shared" si="0"/>
        <v>0</v>
      </c>
      <c r="AC43" s="23">
        <f t="shared" si="1"/>
        <v>3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6">
        <v>27</v>
      </c>
      <c r="M44" s="166">
        <v>27</v>
      </c>
      <c r="N44" s="20">
        <v>2</v>
      </c>
      <c r="O44" s="20"/>
      <c r="P44" s="8"/>
      <c r="Q44" s="154">
        <v>15</v>
      </c>
      <c r="R44" s="124"/>
      <c r="S44" s="124"/>
      <c r="T44" s="8"/>
      <c r="U44" s="150">
        <v>17</v>
      </c>
      <c r="V44" s="20"/>
      <c r="W44" s="20" t="s">
        <v>162</v>
      </c>
      <c r="X44" s="22"/>
      <c r="Y44" s="22"/>
      <c r="Z44" s="146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50">
        <v>16</v>
      </c>
      <c r="F45" s="124"/>
      <c r="G45" s="143"/>
      <c r="H45" s="8"/>
      <c r="I45" s="150">
        <v>16</v>
      </c>
      <c r="J45" s="20"/>
      <c r="K45" s="19"/>
      <c r="L45" s="166">
        <v>27</v>
      </c>
      <c r="M45" s="150">
        <v>18</v>
      </c>
      <c r="N45" s="20">
        <v>2</v>
      </c>
      <c r="O45" s="20" t="s">
        <v>165</v>
      </c>
      <c r="P45" s="154">
        <v>15</v>
      </c>
      <c r="Q45" s="154">
        <v>15</v>
      </c>
      <c r="R45" s="124">
        <v>2</v>
      </c>
      <c r="S45" s="124"/>
      <c r="T45" s="150">
        <v>17</v>
      </c>
      <c r="U45" s="150">
        <v>17</v>
      </c>
      <c r="V45" s="20">
        <v>2</v>
      </c>
      <c r="W45" s="20"/>
      <c r="X45" s="22"/>
      <c r="Y45" s="22"/>
      <c r="Z45" s="146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50">
        <v>16</v>
      </c>
      <c r="E46" s="150">
        <v>16</v>
      </c>
      <c r="F46" s="124">
        <v>2</v>
      </c>
      <c r="G46" s="143"/>
      <c r="H46" s="150">
        <v>16</v>
      </c>
      <c r="I46" s="153">
        <v>16</v>
      </c>
      <c r="J46" s="20">
        <v>2</v>
      </c>
      <c r="K46" s="19"/>
      <c r="L46" s="150">
        <v>18</v>
      </c>
      <c r="M46" s="155">
        <v>18</v>
      </c>
      <c r="N46" s="20">
        <v>2</v>
      </c>
      <c r="O46" s="20"/>
      <c r="P46" s="154">
        <v>15</v>
      </c>
      <c r="Q46" s="154">
        <v>15</v>
      </c>
      <c r="R46" s="124">
        <v>2</v>
      </c>
      <c r="S46" s="124"/>
      <c r="T46" s="150">
        <v>17</v>
      </c>
      <c r="U46" s="150">
        <v>17</v>
      </c>
      <c r="V46" s="20">
        <v>2</v>
      </c>
      <c r="W46" s="20"/>
      <c r="X46" s="22"/>
      <c r="Y46" s="22"/>
      <c r="Z46" s="146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50">
        <v>16</v>
      </c>
      <c r="E47" s="150">
        <v>16</v>
      </c>
      <c r="F47" s="124">
        <v>2</v>
      </c>
      <c r="G47" s="143"/>
      <c r="H47" s="153">
        <v>16</v>
      </c>
      <c r="I47" s="153">
        <v>16</v>
      </c>
      <c r="J47" s="20">
        <v>2</v>
      </c>
      <c r="K47" s="19"/>
      <c r="L47" s="155">
        <v>18</v>
      </c>
      <c r="M47" s="150">
        <v>18</v>
      </c>
      <c r="N47" s="20">
        <v>2</v>
      </c>
      <c r="O47" s="20"/>
      <c r="P47" s="154">
        <v>15</v>
      </c>
      <c r="Q47" s="154">
        <v>15</v>
      </c>
      <c r="R47" s="124">
        <v>2</v>
      </c>
      <c r="S47" s="124"/>
      <c r="T47" s="150">
        <v>17</v>
      </c>
      <c r="U47" s="150">
        <v>17</v>
      </c>
      <c r="V47" s="20">
        <v>2</v>
      </c>
      <c r="W47" s="20"/>
      <c r="X47" s="22"/>
      <c r="Y47" s="22"/>
      <c r="Z47" s="146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50">
        <v>16</v>
      </c>
      <c r="E48" s="150">
        <v>16</v>
      </c>
      <c r="F48" s="124">
        <v>2</v>
      </c>
      <c r="G48" s="143"/>
      <c r="H48" s="153">
        <v>16</v>
      </c>
      <c r="I48" s="153">
        <v>16</v>
      </c>
      <c r="J48" s="20">
        <v>2</v>
      </c>
      <c r="K48" s="19"/>
      <c r="L48" s="150">
        <v>18</v>
      </c>
      <c r="M48" s="150">
        <v>18</v>
      </c>
      <c r="N48" s="20">
        <v>2</v>
      </c>
      <c r="O48" s="20"/>
      <c r="P48" s="154">
        <v>15</v>
      </c>
      <c r="Q48" s="154">
        <v>15</v>
      </c>
      <c r="R48" s="124">
        <v>2</v>
      </c>
      <c r="S48" s="124"/>
      <c r="T48" s="150">
        <v>17</v>
      </c>
      <c r="U48" s="150">
        <v>17</v>
      </c>
      <c r="V48" s="20">
        <v>2</v>
      </c>
      <c r="W48" s="20"/>
      <c r="X48" s="22"/>
      <c r="Y48" s="22"/>
      <c r="Z48" s="146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50">
        <v>16</v>
      </c>
      <c r="E49" s="150">
        <v>16</v>
      </c>
      <c r="F49" s="124">
        <v>2</v>
      </c>
      <c r="G49" s="143"/>
      <c r="H49" s="153">
        <v>16</v>
      </c>
      <c r="I49" s="153">
        <v>16</v>
      </c>
      <c r="J49" s="20">
        <v>2</v>
      </c>
      <c r="K49" s="19"/>
      <c r="L49" s="150">
        <v>18</v>
      </c>
      <c r="M49" s="150">
        <v>18</v>
      </c>
      <c r="N49" s="20">
        <v>2</v>
      </c>
      <c r="O49" s="20"/>
      <c r="P49" s="154">
        <v>15</v>
      </c>
      <c r="Q49" s="154">
        <v>15</v>
      </c>
      <c r="R49" s="124">
        <v>2</v>
      </c>
      <c r="S49" s="124"/>
      <c r="T49" s="150">
        <v>17</v>
      </c>
      <c r="U49" s="150">
        <v>17</v>
      </c>
      <c r="V49" s="20">
        <v>2</v>
      </c>
      <c r="W49" s="20"/>
      <c r="X49" s="22"/>
      <c r="Y49" s="22"/>
      <c r="Z49" s="146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50">
        <v>16</v>
      </c>
      <c r="E50" s="150">
        <v>16</v>
      </c>
      <c r="F50" s="124">
        <v>2</v>
      </c>
      <c r="G50" s="143"/>
      <c r="H50" s="153">
        <v>16</v>
      </c>
      <c r="I50" s="153">
        <v>16</v>
      </c>
      <c r="J50" s="20">
        <v>2</v>
      </c>
      <c r="K50" s="19"/>
      <c r="L50" s="150">
        <v>18</v>
      </c>
      <c r="M50" s="121"/>
      <c r="N50" s="20">
        <v>2</v>
      </c>
      <c r="O50" s="20"/>
      <c r="P50" s="154">
        <v>15</v>
      </c>
      <c r="Q50" s="154">
        <v>15</v>
      </c>
      <c r="R50" s="124">
        <v>2</v>
      </c>
      <c r="S50" s="124"/>
      <c r="T50" s="150">
        <v>17</v>
      </c>
      <c r="U50" s="150">
        <v>17</v>
      </c>
      <c r="V50" s="20">
        <v>2</v>
      </c>
      <c r="W50" s="20"/>
      <c r="X50" s="22"/>
      <c r="Y50" s="22"/>
      <c r="Z50" s="146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50">
        <v>16</v>
      </c>
      <c r="E51" s="121"/>
      <c r="F51" s="124">
        <v>2</v>
      </c>
      <c r="G51" s="143"/>
      <c r="H51" s="153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4">
        <v>15</v>
      </c>
      <c r="Q51" s="144"/>
      <c r="R51" s="124"/>
      <c r="S51" s="124"/>
      <c r="T51" s="150">
        <v>17</v>
      </c>
      <c r="U51" s="121"/>
      <c r="V51" s="20">
        <v>2</v>
      </c>
      <c r="W51" s="20"/>
      <c r="X51" s="22"/>
      <c r="Y51" s="22"/>
      <c r="Z51" s="146">
        <f t="shared" si="2"/>
        <v>8</v>
      </c>
      <c r="AA51" s="140">
        <f t="shared" si="3"/>
        <v>0</v>
      </c>
      <c r="AB51" s="8">
        <f t="shared" si="4"/>
        <v>0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44"/>
      <c r="Q52" s="144"/>
      <c r="R52" s="124"/>
      <c r="S52" s="124"/>
      <c r="T52" s="121"/>
      <c r="U52" s="8"/>
      <c r="V52" s="20"/>
      <c r="W52" s="20"/>
      <c r="X52" s="22"/>
      <c r="Y52" s="22"/>
      <c r="Z52" s="146">
        <f t="shared" si="2"/>
        <v>0</v>
      </c>
      <c r="AA52" s="140">
        <f t="shared" si="3"/>
        <v>0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44"/>
      <c r="Q53" s="8"/>
      <c r="R53" s="124"/>
      <c r="S53" s="124"/>
      <c r="T53" s="8"/>
      <c r="U53" s="150">
        <v>31</v>
      </c>
      <c r="V53" s="20"/>
      <c r="W53" s="20" t="s">
        <v>32</v>
      </c>
      <c r="X53" s="22"/>
      <c r="Y53" s="22"/>
      <c r="Z53" s="146">
        <f t="shared" si="2"/>
        <v>0</v>
      </c>
      <c r="AA53" s="140">
        <f t="shared" si="3"/>
        <v>1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8"/>
      <c r="Q54" s="8"/>
      <c r="R54" s="124"/>
      <c r="S54" s="124"/>
      <c r="T54" s="150">
        <v>31</v>
      </c>
      <c r="U54" s="150">
        <v>31</v>
      </c>
      <c r="V54" s="20">
        <v>1</v>
      </c>
      <c r="W54" s="20"/>
      <c r="X54" s="22"/>
      <c r="Y54" s="22"/>
      <c r="Z54" s="146">
        <f t="shared" si="2"/>
        <v>1</v>
      </c>
      <c r="AA54" s="140">
        <f t="shared" si="3"/>
        <v>1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/>
      <c r="N55" s="20"/>
      <c r="O55" s="20"/>
      <c r="P55" s="8"/>
      <c r="Q55" s="8">
        <v>56</v>
      </c>
      <c r="R55" s="124"/>
      <c r="S55" s="124"/>
      <c r="T55" s="150">
        <v>31</v>
      </c>
      <c r="U55" s="150">
        <v>31</v>
      </c>
      <c r="V55" s="20">
        <v>1</v>
      </c>
      <c r="W55" s="20"/>
      <c r="X55" s="22"/>
      <c r="Y55" s="22"/>
      <c r="Z55" s="146">
        <f t="shared" si="2"/>
        <v>1</v>
      </c>
      <c r="AA55" s="140">
        <f t="shared" si="3"/>
        <v>2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/>
      <c r="M56" s="8"/>
      <c r="N56" s="20"/>
      <c r="O56" s="20"/>
      <c r="P56" s="8">
        <v>56</v>
      </c>
      <c r="Q56" s="8">
        <v>56</v>
      </c>
      <c r="R56" s="124">
        <v>2</v>
      </c>
      <c r="S56" s="124"/>
      <c r="T56" s="150">
        <v>31</v>
      </c>
      <c r="U56" s="150">
        <v>31</v>
      </c>
      <c r="V56" s="20">
        <v>1</v>
      </c>
      <c r="W56" s="20"/>
      <c r="X56" s="22"/>
      <c r="Y56" s="22"/>
      <c r="Z56" s="146">
        <f t="shared" si="2"/>
        <v>3</v>
      </c>
      <c r="AA56" s="140">
        <f t="shared" si="3"/>
        <v>2</v>
      </c>
      <c r="AB56" s="8">
        <f t="shared" si="4"/>
        <v>0</v>
      </c>
      <c r="AC56" s="23">
        <f t="shared" si="5"/>
        <v>0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/>
      <c r="M57" s="8"/>
      <c r="N57" s="20"/>
      <c r="O57" s="20"/>
      <c r="P57" s="8">
        <v>56</v>
      </c>
      <c r="Q57" s="8"/>
      <c r="R57" s="124">
        <v>2</v>
      </c>
      <c r="S57" s="124"/>
      <c r="T57" s="150">
        <v>31</v>
      </c>
      <c r="U57" s="150">
        <v>31</v>
      </c>
      <c r="V57" s="20">
        <v>1</v>
      </c>
      <c r="W57" s="20"/>
      <c r="X57" s="22"/>
      <c r="Y57" s="22"/>
      <c r="Z57" s="146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8"/>
      <c r="R58" s="124"/>
      <c r="S58" s="124"/>
      <c r="T58" s="150">
        <v>31</v>
      </c>
      <c r="U58" s="8"/>
      <c r="V58" s="20">
        <v>1</v>
      </c>
      <c r="W58" s="20"/>
      <c r="X58" s="22"/>
      <c r="Y58" s="22"/>
      <c r="Z58" s="146">
        <f t="shared" si="2"/>
        <v>1</v>
      </c>
      <c r="AA58" s="140">
        <f t="shared" si="3"/>
        <v>0</v>
      </c>
      <c r="AB58" s="8">
        <f t="shared" si="4"/>
        <v>0</v>
      </c>
      <c r="AC58" s="23">
        <f t="shared" si="5"/>
        <v>1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8"/>
      <c r="Q59" s="8"/>
      <c r="R59" s="124"/>
      <c r="S59" s="124"/>
      <c r="T59" s="8"/>
      <c r="U59" s="8"/>
      <c r="V59" s="20"/>
      <c r="W59" s="20"/>
      <c r="X59" s="22"/>
      <c r="Y59" s="22"/>
      <c r="Z59" s="146">
        <f t="shared" si="2"/>
        <v>0</v>
      </c>
      <c r="AA59" s="140">
        <f t="shared" si="3"/>
        <v>0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8"/>
      <c r="Q60" s="8"/>
      <c r="R60" s="124"/>
      <c r="S60" s="124"/>
      <c r="T60" s="8"/>
      <c r="U60" s="8"/>
      <c r="V60" s="20"/>
      <c r="W60" s="20"/>
      <c r="X60" s="22"/>
      <c r="Y60" s="22"/>
      <c r="Z60" s="146">
        <f t="shared" si="2"/>
        <v>0</v>
      </c>
      <c r="AA60" s="140">
        <f t="shared" si="3"/>
        <v>0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8"/>
      <c r="Q61" s="8"/>
      <c r="R61" s="124"/>
      <c r="S61" s="124"/>
      <c r="T61" s="8"/>
      <c r="U61" s="8"/>
      <c r="V61" s="20"/>
      <c r="W61" s="20"/>
      <c r="X61" s="22"/>
      <c r="Y61" s="22"/>
      <c r="Z61" s="146">
        <f t="shared" si="2"/>
        <v>0</v>
      </c>
      <c r="AA61" s="140">
        <f t="shared" si="3"/>
        <v>1</v>
      </c>
      <c r="AB61" s="8">
        <f t="shared" si="4"/>
        <v>1</v>
      </c>
      <c r="AC61" s="23">
        <f t="shared" si="5"/>
        <v>0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/>
      <c r="Q62" s="8"/>
      <c r="R62" s="124"/>
      <c r="S62" s="124"/>
      <c r="T62" s="8"/>
      <c r="U62" s="8"/>
      <c r="V62" s="20"/>
      <c r="W62" s="20"/>
      <c r="X62" s="22"/>
      <c r="Y62" s="22"/>
      <c r="Z62" s="146">
        <f t="shared" si="2"/>
        <v>2</v>
      </c>
      <c r="AA62" s="140">
        <f t="shared" si="3"/>
        <v>2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/>
      <c r="Q63" s="8"/>
      <c r="R63" s="124"/>
      <c r="S63" s="124"/>
      <c r="T63" s="8"/>
      <c r="U63" s="8"/>
      <c r="V63" s="20"/>
      <c r="W63" s="20"/>
      <c r="X63" s="22"/>
      <c r="Y63" s="22"/>
      <c r="Z63" s="146">
        <f t="shared" si="2"/>
        <v>4</v>
      </c>
      <c r="AA63" s="140">
        <f t="shared" si="3"/>
        <v>2</v>
      </c>
      <c r="AB63" s="8">
        <f t="shared" si="4"/>
        <v>0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/>
      <c r="Q64" s="8"/>
      <c r="R64" s="124"/>
      <c r="S64" s="124"/>
      <c r="T64" s="8"/>
      <c r="U64" s="8"/>
      <c r="V64" s="20"/>
      <c r="W64" s="20"/>
      <c r="X64" s="22"/>
      <c r="Y64" s="22"/>
      <c r="Z64" s="146">
        <f t="shared" si="2"/>
        <v>4</v>
      </c>
      <c r="AA64" s="140">
        <f t="shared" si="3"/>
        <v>2</v>
      </c>
      <c r="AB64" s="8">
        <f t="shared" si="4"/>
        <v>0</v>
      </c>
      <c r="AC64" s="23">
        <f t="shared" si="5"/>
        <v>0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8"/>
      <c r="Q65" s="8"/>
      <c r="R65" s="124"/>
      <c r="S65" s="124"/>
      <c r="T65" s="8"/>
      <c r="U65" s="8"/>
      <c r="V65" s="20"/>
      <c r="W65" s="20"/>
      <c r="X65" s="22"/>
      <c r="Y65" s="22"/>
      <c r="Z65" s="146">
        <f t="shared" si="2"/>
        <v>4</v>
      </c>
      <c r="AA65" s="140">
        <f t="shared" si="3"/>
        <v>1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8"/>
      <c r="Q66" s="8"/>
      <c r="R66" s="124"/>
      <c r="S66" s="124"/>
      <c r="T66" s="8"/>
      <c r="U66" s="8"/>
      <c r="V66" s="20"/>
      <c r="W66" s="20"/>
      <c r="X66" s="22"/>
      <c r="Y66" s="22"/>
      <c r="Z66" s="146">
        <f t="shared" si="2"/>
        <v>2</v>
      </c>
      <c r="AA66" s="140">
        <f t="shared" si="3"/>
        <v>1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8"/>
      <c r="Q67" s="8"/>
      <c r="R67" s="124"/>
      <c r="S67" s="124"/>
      <c r="T67" s="8"/>
      <c r="U67" s="8"/>
      <c r="V67" s="20"/>
      <c r="W67" s="20"/>
      <c r="X67" s="22"/>
      <c r="Y67" s="22"/>
      <c r="Z67" s="146">
        <f t="shared" ref="Z67:Z130" si="6">F67+J67+N67+R67+V67</f>
        <v>2</v>
      </c>
      <c r="AA67" s="140">
        <f t="shared" ref="AA67:AA130" si="7">COUNT(E67,I67,M67,Q67,U67)</f>
        <v>1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0"/>
      <c r="Q68" s="9"/>
      <c r="R68" s="124"/>
      <c r="S68" s="143"/>
      <c r="T68" s="8"/>
      <c r="U68" s="8"/>
      <c r="V68" s="20"/>
      <c r="W68" s="20"/>
      <c r="X68" s="135"/>
      <c r="Y68" s="136"/>
      <c r="Z68" s="146">
        <f t="shared" si="6"/>
        <v>2</v>
      </c>
      <c r="AA68" s="140">
        <f t="shared" si="7"/>
        <v>2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3">
        <v>14</v>
      </c>
      <c r="R69" s="124"/>
      <c r="S69" s="143"/>
      <c r="T69" s="8"/>
      <c r="U69" s="121"/>
      <c r="V69" s="20"/>
      <c r="W69" s="20"/>
      <c r="X69" s="136"/>
      <c r="Y69" s="136"/>
      <c r="Z69" s="146">
        <f t="shared" si="6"/>
        <v>4</v>
      </c>
      <c r="AA69" s="140">
        <f t="shared" si="7"/>
        <v>3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3">
        <v>14</v>
      </c>
      <c r="Q70" s="153">
        <v>14</v>
      </c>
      <c r="R70" s="124">
        <v>2</v>
      </c>
      <c r="S70" s="143"/>
      <c r="T70" s="121"/>
      <c r="U70" s="150">
        <v>7</v>
      </c>
      <c r="V70" s="20"/>
      <c r="W70" s="20"/>
      <c r="X70" s="136"/>
      <c r="Y70" s="136"/>
      <c r="Z70" s="146">
        <f t="shared" si="6"/>
        <v>6</v>
      </c>
      <c r="AA70" s="140">
        <f t="shared" si="7"/>
        <v>4</v>
      </c>
      <c r="AB70" s="8">
        <f t="shared" si="4"/>
        <v>1</v>
      </c>
      <c r="AC70" s="23">
        <f t="shared" si="5"/>
        <v>0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3">
        <v>14</v>
      </c>
      <c r="Q71" s="153">
        <v>14</v>
      </c>
      <c r="R71" s="124">
        <v>2</v>
      </c>
      <c r="S71" s="143"/>
      <c r="T71" s="150">
        <v>7</v>
      </c>
      <c r="U71" s="150">
        <v>7</v>
      </c>
      <c r="V71" s="20"/>
      <c r="W71" s="20"/>
      <c r="X71" s="136"/>
      <c r="Y71" s="136"/>
      <c r="Z71" s="146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3">
        <v>14</v>
      </c>
      <c r="Q72" s="153">
        <v>14</v>
      </c>
      <c r="R72" s="124">
        <v>2</v>
      </c>
      <c r="S72" s="143"/>
      <c r="T72" s="150">
        <v>7</v>
      </c>
      <c r="U72" s="150">
        <v>7</v>
      </c>
      <c r="V72" s="20"/>
      <c r="W72" s="20"/>
      <c r="X72" s="136"/>
      <c r="Y72" s="136"/>
      <c r="Z72" s="146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3">
        <v>14</v>
      </c>
      <c r="Q73" s="153">
        <v>14</v>
      </c>
      <c r="R73" s="124">
        <v>2</v>
      </c>
      <c r="S73" s="143"/>
      <c r="T73" s="150">
        <v>7</v>
      </c>
      <c r="U73" s="150">
        <v>7</v>
      </c>
      <c r="V73" s="20"/>
      <c r="W73" s="20"/>
      <c r="X73" s="136"/>
      <c r="Y73" s="136"/>
      <c r="Z73" s="146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50">
        <v>13</v>
      </c>
      <c r="J74" s="20"/>
      <c r="K74" s="19"/>
      <c r="L74" s="8">
        <v>36</v>
      </c>
      <c r="M74" s="8">
        <v>36</v>
      </c>
      <c r="N74" s="20"/>
      <c r="O74" s="20"/>
      <c r="P74" s="153">
        <v>14</v>
      </c>
      <c r="Q74" s="153">
        <v>14</v>
      </c>
      <c r="R74" s="124">
        <v>2</v>
      </c>
      <c r="S74" s="143"/>
      <c r="T74" s="150">
        <v>7</v>
      </c>
      <c r="U74" s="150">
        <v>7</v>
      </c>
      <c r="V74" s="20"/>
      <c r="W74" s="20"/>
      <c r="X74" s="136"/>
      <c r="Y74" s="136"/>
      <c r="Z74" s="146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8"/>
      <c r="F75" s="124"/>
      <c r="G75" s="143"/>
      <c r="H75" s="150">
        <v>13</v>
      </c>
      <c r="I75" s="150">
        <v>13</v>
      </c>
      <c r="J75" s="20">
        <v>2</v>
      </c>
      <c r="K75" s="19"/>
      <c r="L75" s="8">
        <v>36</v>
      </c>
      <c r="M75" s="8"/>
      <c r="N75" s="20"/>
      <c r="O75" s="20"/>
      <c r="P75" s="153">
        <v>14</v>
      </c>
      <c r="Q75" s="153">
        <v>14</v>
      </c>
      <c r="R75" s="124">
        <v>2</v>
      </c>
      <c r="S75" s="143"/>
      <c r="T75" s="150">
        <v>7</v>
      </c>
      <c r="U75" s="150">
        <v>7</v>
      </c>
      <c r="V75" s="20"/>
      <c r="W75" s="20"/>
      <c r="X75" s="136"/>
      <c r="Y75" s="136"/>
      <c r="Z75" s="146">
        <f t="shared" si="6"/>
        <v>4</v>
      </c>
      <c r="AA75" s="140">
        <f t="shared" si="7"/>
        <v>3</v>
      </c>
      <c r="AB75" s="8">
        <f t="shared" si="4"/>
        <v>0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8"/>
      <c r="E76" s="8"/>
      <c r="F76" s="124"/>
      <c r="G76" s="143"/>
      <c r="H76" s="150">
        <v>13</v>
      </c>
      <c r="I76" s="150">
        <v>13</v>
      </c>
      <c r="J76" s="20">
        <v>2</v>
      </c>
      <c r="K76" s="19"/>
      <c r="L76" s="8"/>
      <c r="M76" s="8"/>
      <c r="N76" s="20"/>
      <c r="O76" s="20"/>
      <c r="P76" s="153">
        <v>14</v>
      </c>
      <c r="Q76" s="121"/>
      <c r="R76" s="124">
        <v>2</v>
      </c>
      <c r="S76" s="124"/>
      <c r="T76" s="150">
        <v>7</v>
      </c>
      <c r="U76" s="150">
        <v>7</v>
      </c>
      <c r="V76" s="20"/>
      <c r="W76" s="20"/>
      <c r="X76" s="22"/>
      <c r="Y76" s="22"/>
      <c r="Z76" s="146">
        <f t="shared" si="6"/>
        <v>4</v>
      </c>
      <c r="AA76" s="140">
        <f t="shared" si="7"/>
        <v>2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8"/>
      <c r="E77" s="8"/>
      <c r="F77" s="20"/>
      <c r="G77" s="19"/>
      <c r="H77" s="150">
        <v>13</v>
      </c>
      <c r="I77" s="150">
        <v>13</v>
      </c>
      <c r="J77" s="20">
        <v>2</v>
      </c>
      <c r="K77" s="19"/>
      <c r="L77" s="8"/>
      <c r="M77" s="8"/>
      <c r="N77" s="20"/>
      <c r="O77" s="20"/>
      <c r="P77" s="121"/>
      <c r="Q77" s="8"/>
      <c r="R77" s="124"/>
      <c r="S77" s="124"/>
      <c r="T77" s="150">
        <v>7</v>
      </c>
      <c r="U77" s="8">
        <v>62</v>
      </c>
      <c r="V77" s="20"/>
      <c r="W77" s="20" t="s">
        <v>164</v>
      </c>
      <c r="X77" s="22"/>
      <c r="Y77" s="22"/>
      <c r="Z77" s="146">
        <f t="shared" si="6"/>
        <v>2</v>
      </c>
      <c r="AA77" s="140">
        <f t="shared" si="7"/>
        <v>2</v>
      </c>
      <c r="AB77" s="8">
        <f t="shared" si="4"/>
        <v>1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8"/>
      <c r="E78" s="150">
        <v>19</v>
      </c>
      <c r="F78" s="20"/>
      <c r="G78" s="19" t="s">
        <v>32</v>
      </c>
      <c r="H78" s="150">
        <v>13</v>
      </c>
      <c r="I78" s="150">
        <v>13</v>
      </c>
      <c r="J78" s="20">
        <v>2</v>
      </c>
      <c r="K78" s="19"/>
      <c r="L78" s="8"/>
      <c r="M78" s="8"/>
      <c r="N78" s="20"/>
      <c r="O78" s="20"/>
      <c r="P78" s="8"/>
      <c r="Q78" s="8"/>
      <c r="R78" s="124"/>
      <c r="S78" s="124"/>
      <c r="T78" s="8">
        <v>62</v>
      </c>
      <c r="U78" s="8">
        <v>62</v>
      </c>
      <c r="V78" s="20"/>
      <c r="W78" s="20"/>
      <c r="X78" s="22"/>
      <c r="Y78" s="22"/>
      <c r="Z78" s="146">
        <f t="shared" si="6"/>
        <v>2</v>
      </c>
      <c r="AA78" s="140">
        <f t="shared" si="7"/>
        <v>3</v>
      </c>
      <c r="AB78" s="8">
        <f t="shared" si="4"/>
        <v>1</v>
      </c>
      <c r="AC78" s="23">
        <f t="shared" si="5"/>
        <v>0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50">
        <v>19</v>
      </c>
      <c r="E79" s="150">
        <v>19</v>
      </c>
      <c r="F79" s="20">
        <v>1</v>
      </c>
      <c r="G79" s="19"/>
      <c r="H79" s="150">
        <v>13</v>
      </c>
      <c r="I79" s="150">
        <v>13</v>
      </c>
      <c r="J79" s="20">
        <v>2</v>
      </c>
      <c r="K79" s="19"/>
      <c r="L79" s="8"/>
      <c r="M79" s="149">
        <v>43</v>
      </c>
      <c r="N79" s="20"/>
      <c r="O79" s="20" t="s">
        <v>164</v>
      </c>
      <c r="P79" s="8"/>
      <c r="Q79" s="8"/>
      <c r="R79" s="124"/>
      <c r="S79" s="124"/>
      <c r="T79" s="8">
        <v>62</v>
      </c>
      <c r="U79" s="8">
        <v>62</v>
      </c>
      <c r="V79" s="20"/>
      <c r="W79" s="20"/>
      <c r="X79" s="22"/>
      <c r="Y79" s="22"/>
      <c r="Z79" s="146">
        <f t="shared" si="6"/>
        <v>3</v>
      </c>
      <c r="AA79" s="140">
        <f t="shared" si="7"/>
        <v>4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50">
        <v>19</v>
      </c>
      <c r="E80" s="150">
        <v>19</v>
      </c>
      <c r="F80" s="20">
        <v>1</v>
      </c>
      <c r="G80" s="19"/>
      <c r="H80" s="150">
        <v>13</v>
      </c>
      <c r="I80" s="150">
        <v>13</v>
      </c>
      <c r="J80" s="20">
        <v>2</v>
      </c>
      <c r="K80" s="19"/>
      <c r="L80" s="149">
        <v>43</v>
      </c>
      <c r="M80" s="149">
        <v>43</v>
      </c>
      <c r="N80" s="20">
        <v>3</v>
      </c>
      <c r="O80" s="20"/>
      <c r="P80" s="8"/>
      <c r="Q80" s="8"/>
      <c r="R80" s="124"/>
      <c r="S80" s="124"/>
      <c r="T80" s="8">
        <v>62</v>
      </c>
      <c r="U80" s="8">
        <v>62</v>
      </c>
      <c r="V80" s="20"/>
      <c r="W80" s="20"/>
      <c r="X80" s="22"/>
      <c r="Y80" s="22"/>
      <c r="Z80" s="146">
        <f t="shared" si="6"/>
        <v>6</v>
      </c>
      <c r="AA80" s="140">
        <f t="shared" si="7"/>
        <v>4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50">
        <v>19</v>
      </c>
      <c r="E81" s="150">
        <v>19</v>
      </c>
      <c r="F81" s="20">
        <v>1</v>
      </c>
      <c r="G81" s="19"/>
      <c r="H81" s="150">
        <v>13</v>
      </c>
      <c r="I81" s="8"/>
      <c r="J81" s="20">
        <v>2</v>
      </c>
      <c r="K81" s="19"/>
      <c r="L81" s="149">
        <v>43</v>
      </c>
      <c r="M81" s="149">
        <v>43</v>
      </c>
      <c r="N81" s="20">
        <v>3</v>
      </c>
      <c r="O81" s="20"/>
      <c r="P81" s="8"/>
      <c r="Q81" s="8"/>
      <c r="R81" s="124"/>
      <c r="S81" s="124"/>
      <c r="T81" s="8">
        <v>62</v>
      </c>
      <c r="U81" s="8">
        <v>62</v>
      </c>
      <c r="V81" s="20"/>
      <c r="W81" s="20"/>
      <c r="X81" s="22"/>
      <c r="Y81" s="22"/>
      <c r="Z81" s="146">
        <f t="shared" si="6"/>
        <v>6</v>
      </c>
      <c r="AA81" s="140">
        <f t="shared" si="7"/>
        <v>3</v>
      </c>
      <c r="AB81" s="8">
        <f t="shared" si="8"/>
        <v>0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50">
        <v>19</v>
      </c>
      <c r="E82" s="150">
        <v>19</v>
      </c>
      <c r="F82" s="20">
        <v>1</v>
      </c>
      <c r="G82" s="19"/>
      <c r="H82" s="8"/>
      <c r="I82" s="8"/>
      <c r="J82" s="20"/>
      <c r="K82" s="19"/>
      <c r="L82" s="149">
        <v>43</v>
      </c>
      <c r="M82" s="8"/>
      <c r="N82" s="20">
        <v>3</v>
      </c>
      <c r="O82" s="20"/>
      <c r="P82" s="8"/>
      <c r="Q82" s="8"/>
      <c r="R82" s="124"/>
      <c r="S82" s="124"/>
      <c r="T82" s="8">
        <v>62</v>
      </c>
      <c r="U82" s="8">
        <v>62</v>
      </c>
      <c r="V82" s="20"/>
      <c r="W82" s="20"/>
      <c r="X82" s="22"/>
      <c r="Y82" s="22"/>
      <c r="Z82" s="146">
        <f t="shared" si="6"/>
        <v>4</v>
      </c>
      <c r="AA82" s="140">
        <f t="shared" si="7"/>
        <v>2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50">
        <v>19</v>
      </c>
      <c r="E83" s="150">
        <v>19</v>
      </c>
      <c r="F83" s="20">
        <v>1</v>
      </c>
      <c r="G83" s="19"/>
      <c r="H83" s="8"/>
      <c r="I83" s="8"/>
      <c r="J83" s="20"/>
      <c r="K83" s="19"/>
      <c r="L83" s="8"/>
      <c r="M83" s="8"/>
      <c r="N83" s="20"/>
      <c r="O83" s="20"/>
      <c r="P83" s="8"/>
      <c r="Q83" s="8"/>
      <c r="R83" s="124"/>
      <c r="S83" s="124"/>
      <c r="T83" s="8">
        <v>62</v>
      </c>
      <c r="U83" s="8">
        <v>62</v>
      </c>
      <c r="V83" s="20"/>
      <c r="W83" s="20"/>
      <c r="X83" s="22"/>
      <c r="Y83" s="22"/>
      <c r="Z83" s="146">
        <f t="shared" si="6"/>
        <v>1</v>
      </c>
      <c r="AA83" s="140">
        <f t="shared" si="7"/>
        <v>2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50">
        <v>19</v>
      </c>
      <c r="E84" s="150">
        <v>19</v>
      </c>
      <c r="F84" s="20">
        <v>1</v>
      </c>
      <c r="G84" s="19"/>
      <c r="H84" s="8"/>
      <c r="I84" s="8"/>
      <c r="J84" s="20"/>
      <c r="K84" s="19"/>
      <c r="L84" s="8"/>
      <c r="M84" s="8">
        <v>38</v>
      </c>
      <c r="N84" s="20"/>
      <c r="O84" s="20"/>
      <c r="P84" s="8"/>
      <c r="Q84" s="8"/>
      <c r="R84" s="124"/>
      <c r="S84" s="124"/>
      <c r="T84" s="8">
        <v>62</v>
      </c>
      <c r="U84" s="8">
        <v>62</v>
      </c>
      <c r="V84" s="20"/>
      <c r="W84" s="20"/>
      <c r="X84" s="22"/>
      <c r="Y84" s="22"/>
      <c r="Z84" s="146">
        <f t="shared" si="6"/>
        <v>1</v>
      </c>
      <c r="AA84" s="140">
        <f t="shared" si="7"/>
        <v>3</v>
      </c>
      <c r="AB84" s="8">
        <f t="shared" si="8"/>
        <v>1</v>
      </c>
      <c r="AC84" s="23">
        <f t="shared" si="9"/>
        <v>0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50">
        <v>19</v>
      </c>
      <c r="E85" s="150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8"/>
      <c r="Q85" s="149">
        <v>1</v>
      </c>
      <c r="R85" s="20"/>
      <c r="S85" s="124"/>
      <c r="T85" s="121">
        <v>62</v>
      </c>
      <c r="U85" s="121">
        <v>62</v>
      </c>
      <c r="V85" s="121"/>
      <c r="W85" s="20"/>
      <c r="X85" s="22"/>
      <c r="Y85" s="22"/>
      <c r="Z85" s="146">
        <f t="shared" si="6"/>
        <v>1</v>
      </c>
      <c r="AA85" s="140">
        <f t="shared" si="7"/>
        <v>5</v>
      </c>
      <c r="AB85" s="8">
        <f t="shared" si="8"/>
        <v>2</v>
      </c>
      <c r="AC85" s="23">
        <f t="shared" si="9"/>
        <v>0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50">
        <v>19</v>
      </c>
      <c r="E86" s="150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9">
        <v>1</v>
      </c>
      <c r="Q86" s="149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6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50">
        <v>19</v>
      </c>
      <c r="E87" s="150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9">
        <v>1</v>
      </c>
      <c r="Q87" s="149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6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50">
        <v>19</v>
      </c>
      <c r="E88" s="150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9">
        <v>1</v>
      </c>
      <c r="Q88" s="149">
        <v>1</v>
      </c>
      <c r="R88" s="20">
        <v>2</v>
      </c>
      <c r="S88" s="124"/>
      <c r="T88" s="121">
        <v>62</v>
      </c>
      <c r="U88" s="150">
        <v>10</v>
      </c>
      <c r="V88" s="121"/>
      <c r="W88" s="20"/>
      <c r="X88" s="121"/>
      <c r="Y88" s="121"/>
      <c r="Z88" s="146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50">
        <v>19</v>
      </c>
      <c r="E89" s="150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9">
        <v>1</v>
      </c>
      <c r="Q89" s="149">
        <v>1</v>
      </c>
      <c r="R89" s="20">
        <v>2</v>
      </c>
      <c r="S89" s="124"/>
      <c r="T89" s="150">
        <v>10</v>
      </c>
      <c r="U89" s="150">
        <v>10</v>
      </c>
      <c r="V89" s="121">
        <v>2</v>
      </c>
      <c r="W89" s="20"/>
      <c r="X89" s="121"/>
      <c r="Y89" s="121"/>
      <c r="Z89" s="146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50">
        <v>19</v>
      </c>
      <c r="E90" s="150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9">
        <v>1</v>
      </c>
      <c r="Q90" s="149">
        <v>1</v>
      </c>
      <c r="R90" s="20">
        <v>2</v>
      </c>
      <c r="S90" s="124"/>
      <c r="T90" s="150">
        <v>10</v>
      </c>
      <c r="U90" s="150">
        <v>10</v>
      </c>
      <c r="V90" s="121">
        <v>2</v>
      </c>
      <c r="W90" s="20"/>
      <c r="X90" s="121"/>
      <c r="Y90" s="121"/>
      <c r="Z90" s="146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50">
        <v>19</v>
      </c>
      <c r="E91" s="150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9">
        <v>1</v>
      </c>
      <c r="Q91" s="121"/>
      <c r="R91" s="124">
        <v>2</v>
      </c>
      <c r="S91" s="124"/>
      <c r="T91" s="150">
        <v>10</v>
      </c>
      <c r="U91" s="8">
        <v>49</v>
      </c>
      <c r="V91" s="20">
        <v>2</v>
      </c>
      <c r="W91" s="20"/>
      <c r="X91" s="121"/>
      <c r="Y91" s="121"/>
      <c r="Z91" s="146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50">
        <v>19</v>
      </c>
      <c r="E92" s="8"/>
      <c r="F92" s="20">
        <v>1</v>
      </c>
      <c r="G92" s="19"/>
      <c r="H92" s="8"/>
      <c r="I92" s="150">
        <v>58</v>
      </c>
      <c r="J92" s="20"/>
      <c r="K92" s="19" t="s">
        <v>32</v>
      </c>
      <c r="L92" s="8"/>
      <c r="M92" s="8"/>
      <c r="N92" s="20"/>
      <c r="O92" s="20"/>
      <c r="P92" s="8"/>
      <c r="Q92" s="8"/>
      <c r="R92" s="124"/>
      <c r="S92" s="124"/>
      <c r="T92" s="8">
        <v>49</v>
      </c>
      <c r="U92" s="8">
        <v>49</v>
      </c>
      <c r="V92" s="20">
        <v>2</v>
      </c>
      <c r="W92" s="20"/>
      <c r="X92" s="22"/>
      <c r="Y92" s="22"/>
      <c r="Z92" s="146">
        <f t="shared" si="6"/>
        <v>3</v>
      </c>
      <c r="AA92" s="140">
        <f t="shared" si="7"/>
        <v>2</v>
      </c>
      <c r="AB92" s="8">
        <f t="shared" si="8"/>
        <v>1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50">
        <v>58</v>
      </c>
      <c r="I93" s="150">
        <v>58</v>
      </c>
      <c r="J93" s="20">
        <v>2</v>
      </c>
      <c r="K93" s="19" t="s">
        <v>298</v>
      </c>
      <c r="L93" s="8"/>
      <c r="M93" s="8">
        <v>30</v>
      </c>
      <c r="N93" s="20"/>
      <c r="O93" s="20" t="s">
        <v>165</v>
      </c>
      <c r="P93" s="8"/>
      <c r="Q93" s="8"/>
      <c r="R93" s="124"/>
      <c r="S93" s="124"/>
      <c r="T93" s="8">
        <v>49</v>
      </c>
      <c r="U93" s="8">
        <v>49</v>
      </c>
      <c r="V93" s="20">
        <v>2</v>
      </c>
      <c r="W93" s="20"/>
      <c r="X93" s="22"/>
      <c r="Y93" s="22"/>
      <c r="Z93" s="146">
        <f t="shared" si="6"/>
        <v>4</v>
      </c>
      <c r="AA93" s="140">
        <f t="shared" si="7"/>
        <v>4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50">
        <v>58</v>
      </c>
      <c r="I94" s="150">
        <v>58</v>
      </c>
      <c r="J94" s="20">
        <v>2</v>
      </c>
      <c r="K94" s="19"/>
      <c r="L94" s="8">
        <v>30</v>
      </c>
      <c r="M94" s="8">
        <v>30</v>
      </c>
      <c r="N94" s="20">
        <v>2</v>
      </c>
      <c r="O94" s="20"/>
      <c r="P94" s="8"/>
      <c r="Q94" s="8"/>
      <c r="R94" s="124"/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6">
        <f t="shared" si="6"/>
        <v>6</v>
      </c>
      <c r="AA94" s="140">
        <f t="shared" si="7"/>
        <v>4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50">
        <v>58</v>
      </c>
      <c r="I95" s="150">
        <v>58</v>
      </c>
      <c r="J95" s="20">
        <v>2</v>
      </c>
      <c r="K95" s="19"/>
      <c r="L95" s="8">
        <v>30</v>
      </c>
      <c r="M95" s="8">
        <v>30</v>
      </c>
      <c r="N95" s="20">
        <v>2</v>
      </c>
      <c r="O95" s="20"/>
      <c r="P95" s="8"/>
      <c r="Q95" s="174">
        <v>57</v>
      </c>
      <c r="R95" s="124"/>
      <c r="S95" s="124"/>
      <c r="T95" s="8">
        <v>49</v>
      </c>
      <c r="U95" s="8">
        <v>49</v>
      </c>
      <c r="V95" s="20">
        <v>2</v>
      </c>
      <c r="W95" s="20"/>
      <c r="X95" s="22"/>
      <c r="Y95" s="22"/>
      <c r="Z95" s="146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0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50">
        <v>58</v>
      </c>
      <c r="I96" s="8"/>
      <c r="J96" s="20">
        <v>2</v>
      </c>
      <c r="K96" s="19"/>
      <c r="L96" s="8">
        <v>30</v>
      </c>
      <c r="M96" s="8">
        <v>30</v>
      </c>
      <c r="N96" s="20">
        <v>2</v>
      </c>
      <c r="O96" s="20"/>
      <c r="P96" s="173">
        <v>57</v>
      </c>
      <c r="Q96" s="174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/>
      <c r="Y96" s="22"/>
      <c r="Z96" s="146">
        <f t="shared" si="6"/>
        <v>6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3">
        <v>57</v>
      </c>
      <c r="Q97" s="174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6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3">
        <v>57</v>
      </c>
      <c r="Q98" s="174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6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8"/>
      <c r="J99" s="20"/>
      <c r="K99" s="19"/>
      <c r="L99" s="8"/>
      <c r="M99" s="8"/>
      <c r="N99" s="20"/>
      <c r="O99" s="20"/>
      <c r="P99" s="173">
        <v>57</v>
      </c>
      <c r="Q99" s="174">
        <v>57</v>
      </c>
      <c r="R99" s="124"/>
      <c r="S99" s="124"/>
      <c r="T99" s="8"/>
      <c r="U99" s="8"/>
      <c r="V99" s="20"/>
      <c r="W99" s="20"/>
      <c r="X99" s="22"/>
      <c r="Y99" s="22"/>
      <c r="Z99" s="146">
        <f t="shared" si="6"/>
        <v>0</v>
      </c>
      <c r="AA99" s="140">
        <f t="shared" si="7"/>
        <v>1</v>
      </c>
      <c r="AB99" s="8">
        <f t="shared" si="8"/>
        <v>0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0"/>
      <c r="E100" s="149">
        <v>11</v>
      </c>
      <c r="F100" s="20"/>
      <c r="G100" s="19" t="s">
        <v>164</v>
      </c>
      <c r="H100" s="14"/>
      <c r="I100" s="8"/>
      <c r="J100" s="20"/>
      <c r="K100" s="19"/>
      <c r="L100" s="8"/>
      <c r="M100" s="8"/>
      <c r="N100" s="20"/>
      <c r="O100" s="20"/>
      <c r="P100" s="173">
        <v>57</v>
      </c>
      <c r="Q100" s="174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6">
        <f t="shared" si="6"/>
        <v>0</v>
      </c>
      <c r="AA100" s="140">
        <f t="shared" si="7"/>
        <v>3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9">
        <v>11</v>
      </c>
      <c r="E101" s="149">
        <v>11</v>
      </c>
      <c r="F101" s="20"/>
      <c r="G101" s="19" t="s">
        <v>163</v>
      </c>
      <c r="H101" s="14"/>
      <c r="I101" s="8"/>
      <c r="J101" s="20"/>
      <c r="K101" s="19"/>
      <c r="L101" s="8"/>
      <c r="M101" s="8"/>
      <c r="N101" s="20"/>
      <c r="O101" s="20"/>
      <c r="P101" s="173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6">
        <f t="shared" si="6"/>
        <v>2</v>
      </c>
      <c r="AA101" s="140">
        <f t="shared" si="7"/>
        <v>2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9">
        <v>11</v>
      </c>
      <c r="E102" s="149">
        <v>11</v>
      </c>
      <c r="F102" s="20"/>
      <c r="G102" s="19"/>
      <c r="H102" s="8"/>
      <c r="I102" s="8"/>
      <c r="J102" s="20"/>
      <c r="K102" s="19"/>
      <c r="L102" s="8"/>
      <c r="M102" s="8"/>
      <c r="N102" s="20"/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6">
        <f t="shared" si="6"/>
        <v>2</v>
      </c>
      <c r="AA102" s="140">
        <f t="shared" si="7"/>
        <v>2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9">
        <v>11</v>
      </c>
      <c r="E103" s="149">
        <v>11</v>
      </c>
      <c r="F103" s="20"/>
      <c r="G103" s="19"/>
      <c r="H103" s="8"/>
      <c r="I103" s="8">
        <v>32</v>
      </c>
      <c r="J103" s="20"/>
      <c r="K103" s="19" t="s">
        <v>162</v>
      </c>
      <c r="L103" s="8"/>
      <c r="M103" s="167">
        <v>33</v>
      </c>
      <c r="N103" s="20"/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6">
        <f t="shared" si="6"/>
        <v>2</v>
      </c>
      <c r="AA103" s="140">
        <f t="shared" si="7"/>
        <v>5</v>
      </c>
      <c r="AB103" s="8">
        <f t="shared" si="8"/>
        <v>3</v>
      </c>
      <c r="AC103" s="23">
        <f t="shared" si="9"/>
        <v>0</v>
      </c>
      <c r="AD103" s="18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49">
        <v>11</v>
      </c>
      <c r="E104" s="149">
        <v>11</v>
      </c>
      <c r="F104" s="20"/>
      <c r="G104" s="19"/>
      <c r="H104" s="156">
        <v>32</v>
      </c>
      <c r="I104" s="156">
        <v>32</v>
      </c>
      <c r="J104" s="156">
        <v>2</v>
      </c>
      <c r="K104" s="157" t="s">
        <v>163</v>
      </c>
      <c r="L104" s="167">
        <v>33</v>
      </c>
      <c r="M104" s="167">
        <v>33</v>
      </c>
      <c r="N104" s="156">
        <v>1</v>
      </c>
      <c r="O104" s="156" t="s">
        <v>163</v>
      </c>
      <c r="P104" s="8">
        <v>45</v>
      </c>
      <c r="Q104" s="156">
        <v>45</v>
      </c>
      <c r="R104" s="156">
        <v>2</v>
      </c>
      <c r="S104" s="156"/>
      <c r="T104" s="8">
        <v>50</v>
      </c>
      <c r="U104" s="156"/>
      <c r="V104" s="156">
        <v>2</v>
      </c>
      <c r="W104" s="156"/>
      <c r="X104" s="22"/>
      <c r="Y104" s="22"/>
      <c r="Z104" s="146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49">
        <v>11</v>
      </c>
      <c r="E105" s="8"/>
      <c r="F105" s="20"/>
      <c r="G105" s="19"/>
      <c r="H105" s="156">
        <v>32</v>
      </c>
      <c r="I105" s="156">
        <v>32</v>
      </c>
      <c r="J105" s="156">
        <v>2</v>
      </c>
      <c r="K105" s="157"/>
      <c r="L105" s="167">
        <v>33</v>
      </c>
      <c r="M105" s="167">
        <v>33</v>
      </c>
      <c r="N105" s="156">
        <v>1</v>
      </c>
      <c r="O105" s="156"/>
      <c r="P105" s="156">
        <v>45</v>
      </c>
      <c r="Q105" s="156">
        <v>45</v>
      </c>
      <c r="R105" s="156">
        <v>2</v>
      </c>
      <c r="S105" s="156"/>
      <c r="T105" s="156"/>
      <c r="U105" s="156"/>
      <c r="V105" s="156"/>
      <c r="W105" s="156"/>
      <c r="X105" s="22"/>
      <c r="Y105" s="22"/>
      <c r="Z105" s="146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7">
        <v>33</v>
      </c>
      <c r="M106" s="167">
        <v>33</v>
      </c>
      <c r="N106" s="20">
        <v>1</v>
      </c>
      <c r="O106" s="20"/>
      <c r="P106" s="156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6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67">
        <v>33</v>
      </c>
      <c r="M107" s="167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6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7">
        <v>33</v>
      </c>
      <c r="M108" s="167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6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7">
        <v>33</v>
      </c>
      <c r="M109" s="167">
        <v>33</v>
      </c>
      <c r="N109" s="20">
        <v>1</v>
      </c>
      <c r="O109" s="20"/>
      <c r="P109" s="8"/>
      <c r="Q109" s="150">
        <v>4</v>
      </c>
      <c r="R109" s="124"/>
      <c r="S109" s="124"/>
      <c r="T109" s="8"/>
      <c r="U109" s="150">
        <v>4</v>
      </c>
      <c r="V109" s="20"/>
      <c r="W109" s="20"/>
      <c r="X109" s="22"/>
      <c r="Y109" s="22"/>
      <c r="Z109" s="146" t="e">
        <f>F109+J109+#REF!+R109+V109</f>
        <v>#REF!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7">
        <v>33</v>
      </c>
      <c r="M110" s="8">
        <v>23</v>
      </c>
      <c r="N110" s="20">
        <v>1</v>
      </c>
      <c r="O110" s="20"/>
      <c r="P110" s="150">
        <v>4</v>
      </c>
      <c r="Q110" s="150">
        <v>4</v>
      </c>
      <c r="R110" s="124">
        <v>2</v>
      </c>
      <c r="S110" s="124"/>
      <c r="T110" s="150">
        <v>4</v>
      </c>
      <c r="U110" s="150">
        <v>4</v>
      </c>
      <c r="V110" s="20">
        <v>2</v>
      </c>
      <c r="W110" s="20"/>
      <c r="X110" s="22"/>
      <c r="Y110" s="22"/>
      <c r="Z110" s="146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50">
        <v>4</v>
      </c>
      <c r="Q111" s="150">
        <v>4</v>
      </c>
      <c r="R111" s="124">
        <v>2</v>
      </c>
      <c r="S111" s="124"/>
      <c r="T111" s="150">
        <v>4</v>
      </c>
      <c r="U111" s="150">
        <v>4</v>
      </c>
      <c r="V111" s="20">
        <v>2</v>
      </c>
      <c r="W111" s="20"/>
      <c r="X111" s="22"/>
      <c r="Y111" s="22"/>
      <c r="Z111" s="146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50">
        <v>4</v>
      </c>
      <c r="Q112" s="150">
        <v>4</v>
      </c>
      <c r="R112" s="124">
        <v>2</v>
      </c>
      <c r="S112" s="124"/>
      <c r="T112" s="150">
        <v>4</v>
      </c>
      <c r="U112" s="150">
        <v>4</v>
      </c>
      <c r="V112" s="20">
        <v>2</v>
      </c>
      <c r="W112" s="20"/>
      <c r="X112" s="22"/>
      <c r="Y112" s="22"/>
      <c r="Z112" s="146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7">
        <v>46</v>
      </c>
      <c r="J113" s="20"/>
      <c r="K113" s="19"/>
      <c r="L113" s="8">
        <v>23</v>
      </c>
      <c r="M113" s="8"/>
      <c r="N113" s="20">
        <v>2</v>
      </c>
      <c r="O113" s="20"/>
      <c r="P113" s="150">
        <v>4</v>
      </c>
      <c r="Q113" s="166">
        <v>51</v>
      </c>
      <c r="R113" s="124">
        <v>2</v>
      </c>
      <c r="S113" s="124"/>
      <c r="T113" s="150">
        <v>4</v>
      </c>
      <c r="U113" s="8"/>
      <c r="V113" s="20">
        <v>2</v>
      </c>
      <c r="W113" s="20"/>
      <c r="X113" s="22"/>
      <c r="Y113" s="22"/>
      <c r="Z113" s="146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7">
        <v>46</v>
      </c>
      <c r="I114" s="167">
        <v>46</v>
      </c>
      <c r="J114" s="20"/>
      <c r="K114" s="19"/>
      <c r="L114" s="14"/>
      <c r="M114" s="8">
        <v>52</v>
      </c>
      <c r="N114" s="20"/>
      <c r="O114" s="20"/>
      <c r="P114" s="170">
        <v>51</v>
      </c>
      <c r="Q114" s="166">
        <v>51</v>
      </c>
      <c r="R114" s="124">
        <v>2</v>
      </c>
      <c r="S114" s="124" t="s">
        <v>274</v>
      </c>
      <c r="T114" s="8"/>
      <c r="U114" s="150">
        <v>21</v>
      </c>
      <c r="V114" s="20"/>
      <c r="W114" s="20" t="s">
        <v>165</v>
      </c>
      <c r="X114" s="22"/>
      <c r="Y114" s="22"/>
      <c r="Z114" s="146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70">
        <v>51</v>
      </c>
      <c r="Q115" s="166">
        <v>51</v>
      </c>
      <c r="R115" s="124">
        <v>2</v>
      </c>
      <c r="S115" s="124"/>
      <c r="T115" s="150">
        <v>21</v>
      </c>
      <c r="U115" s="150">
        <v>21</v>
      </c>
      <c r="V115" s="20">
        <v>2</v>
      </c>
      <c r="W115" s="20" t="s">
        <v>275</v>
      </c>
      <c r="X115" s="22"/>
      <c r="Y115" s="22"/>
      <c r="Z115" s="146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70">
        <v>51</v>
      </c>
      <c r="Q116" s="166">
        <v>51</v>
      </c>
      <c r="R116" s="124">
        <v>2</v>
      </c>
      <c r="S116" s="124"/>
      <c r="T116" s="150">
        <v>21</v>
      </c>
      <c r="U116" s="150">
        <v>21</v>
      </c>
      <c r="V116" s="20">
        <v>2</v>
      </c>
      <c r="W116" s="20"/>
      <c r="X116" s="22"/>
      <c r="Y116" s="22"/>
      <c r="Z116" s="146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70">
        <v>51</v>
      </c>
      <c r="Q117" s="166">
        <v>51</v>
      </c>
      <c r="R117" s="124">
        <v>2</v>
      </c>
      <c r="S117" s="124"/>
      <c r="T117" s="150">
        <v>21</v>
      </c>
      <c r="U117" s="150">
        <v>21</v>
      </c>
      <c r="V117" s="20">
        <v>2</v>
      </c>
      <c r="W117" s="20"/>
      <c r="X117" s="22"/>
      <c r="Y117" s="171">
        <v>54</v>
      </c>
      <c r="Z117" s="146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2">
        <v>54</v>
      </c>
      <c r="I118" s="171">
        <v>54</v>
      </c>
      <c r="J118" s="20">
        <v>2</v>
      </c>
      <c r="K118" s="19"/>
      <c r="L118" s="14">
        <v>52</v>
      </c>
      <c r="M118" s="171">
        <v>54</v>
      </c>
      <c r="N118" s="20">
        <v>2</v>
      </c>
      <c r="O118" s="20"/>
      <c r="P118" s="170">
        <v>51</v>
      </c>
      <c r="Q118" s="8"/>
      <c r="R118" s="124">
        <v>2</v>
      </c>
      <c r="S118" s="124"/>
      <c r="T118" s="150">
        <v>21</v>
      </c>
      <c r="U118" s="150">
        <v>21</v>
      </c>
      <c r="V118" s="20">
        <v>2</v>
      </c>
      <c r="W118" s="20"/>
      <c r="X118" s="171">
        <v>54</v>
      </c>
      <c r="Y118" s="22"/>
      <c r="Z118" s="146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/>
      <c r="F119" s="20"/>
      <c r="G119" s="19"/>
      <c r="H119" s="172">
        <v>54</v>
      </c>
      <c r="I119" s="171">
        <v>54</v>
      </c>
      <c r="J119" s="20">
        <v>2</v>
      </c>
      <c r="K119" s="19"/>
      <c r="L119" s="171">
        <v>54</v>
      </c>
      <c r="M119" s="171">
        <v>54</v>
      </c>
      <c r="N119" s="20">
        <v>2</v>
      </c>
      <c r="O119" s="20"/>
      <c r="P119" s="8"/>
      <c r="Q119" s="8">
        <v>25</v>
      </c>
      <c r="R119" s="124"/>
      <c r="S119" s="124" t="s">
        <v>32</v>
      </c>
      <c r="T119" s="150">
        <v>21</v>
      </c>
      <c r="U119" s="8"/>
      <c r="V119" s="124">
        <v>2</v>
      </c>
      <c r="W119" s="124"/>
      <c r="X119" s="22"/>
      <c r="Y119" s="22"/>
      <c r="Z119" s="146">
        <f t="shared" si="6"/>
        <v>6</v>
      </c>
      <c r="AA119" s="140">
        <f t="shared" si="7"/>
        <v>3</v>
      </c>
      <c r="AB119" s="8">
        <f t="shared" si="10"/>
        <v>1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/>
      <c r="E120" s="8"/>
      <c r="F120" s="20"/>
      <c r="G120" s="19"/>
      <c r="H120" s="172">
        <v>54</v>
      </c>
      <c r="I120" s="8"/>
      <c r="J120" s="20">
        <v>2</v>
      </c>
      <c r="K120" s="19"/>
      <c r="L120" s="171">
        <v>54</v>
      </c>
      <c r="M120" s="8"/>
      <c r="N120" s="20">
        <v>2</v>
      </c>
      <c r="O120" s="20"/>
      <c r="P120" s="8">
        <v>25</v>
      </c>
      <c r="Q120" s="8">
        <v>25</v>
      </c>
      <c r="R120" s="124"/>
      <c r="S120" s="124" t="s">
        <v>57</v>
      </c>
      <c r="T120" s="8"/>
      <c r="U120" s="8"/>
      <c r="V120" s="124"/>
      <c r="W120" s="124"/>
      <c r="X120" s="22"/>
      <c r="Y120" s="22"/>
      <c r="Z120" s="146">
        <f t="shared" si="6"/>
        <v>4</v>
      </c>
      <c r="AA120" s="140">
        <f t="shared" si="7"/>
        <v>1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/>
      <c r="E121" s="8"/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25</v>
      </c>
      <c r="Q121" s="8">
        <v>25</v>
      </c>
      <c r="R121" s="124"/>
      <c r="S121" s="124"/>
      <c r="T121" s="8"/>
      <c r="U121" s="8"/>
      <c r="V121" s="124"/>
      <c r="W121" s="124"/>
      <c r="X121" s="22"/>
      <c r="Y121" s="22"/>
      <c r="Z121" s="146">
        <f t="shared" si="6"/>
        <v>0</v>
      </c>
      <c r="AA121" s="140">
        <f t="shared" si="7"/>
        <v>2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/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>
        <v>25</v>
      </c>
      <c r="Q122" s="8">
        <v>25</v>
      </c>
      <c r="R122" s="124"/>
      <c r="S122" s="124"/>
      <c r="T122" s="8"/>
      <c r="U122" s="8"/>
      <c r="V122" s="124"/>
      <c r="W122" s="124"/>
      <c r="X122" s="22"/>
      <c r="Y122" s="22"/>
      <c r="Z122" s="146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0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/>
      <c r="F123" s="20"/>
      <c r="G123" s="19"/>
      <c r="H123" s="8"/>
      <c r="I123" s="8"/>
      <c r="J123" s="20"/>
      <c r="K123" s="19"/>
      <c r="L123" s="8">
        <v>60</v>
      </c>
      <c r="M123" s="8">
        <v>60</v>
      </c>
      <c r="N123" s="20">
        <v>1</v>
      </c>
      <c r="O123" s="20"/>
      <c r="P123" s="8">
        <v>26</v>
      </c>
      <c r="Q123" s="8">
        <v>25</v>
      </c>
      <c r="R123" s="124"/>
      <c r="S123" s="124"/>
      <c r="T123" s="8"/>
      <c r="U123" s="8"/>
      <c r="V123" s="124"/>
      <c r="W123" s="124"/>
      <c r="X123" s="22"/>
      <c r="Y123" s="22"/>
      <c r="Z123" s="146">
        <f t="shared" si="6"/>
        <v>1</v>
      </c>
      <c r="AA123" s="140">
        <f t="shared" si="7"/>
        <v>2</v>
      </c>
      <c r="AB123" s="8">
        <f t="shared" si="10"/>
        <v>1</v>
      </c>
      <c r="AC123" s="23">
        <f t="shared" si="11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/>
      <c r="E124" s="8"/>
      <c r="F124" s="124"/>
      <c r="G124" s="143"/>
      <c r="H124" s="8"/>
      <c r="I124" s="8"/>
      <c r="J124" s="20"/>
      <c r="K124" s="19"/>
      <c r="L124" s="8">
        <v>60</v>
      </c>
      <c r="M124" s="8">
        <v>60</v>
      </c>
      <c r="N124" s="20">
        <v>1</v>
      </c>
      <c r="O124" s="20"/>
      <c r="P124" s="8">
        <v>25</v>
      </c>
      <c r="Q124" s="8"/>
      <c r="R124" s="124"/>
      <c r="S124" s="124"/>
      <c r="T124" s="8"/>
      <c r="U124" s="150">
        <v>35</v>
      </c>
      <c r="V124" s="124"/>
      <c r="W124" s="124"/>
      <c r="X124" s="22"/>
      <c r="Y124" s="22"/>
      <c r="Z124" s="146">
        <f t="shared" si="6"/>
        <v>1</v>
      </c>
      <c r="AA124" s="140">
        <f t="shared" si="7"/>
        <v>2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/>
      <c r="E125" s="8"/>
      <c r="F125" s="124"/>
      <c r="G125" s="143"/>
      <c r="H125" s="8"/>
      <c r="I125" s="8"/>
      <c r="J125" s="20"/>
      <c r="K125" s="19"/>
      <c r="L125" s="8">
        <v>60</v>
      </c>
      <c r="M125" s="8"/>
      <c r="N125" s="20">
        <v>1</v>
      </c>
      <c r="O125" s="20"/>
      <c r="P125" s="8"/>
      <c r="Q125" s="8"/>
      <c r="R125" s="124"/>
      <c r="S125" s="124"/>
      <c r="T125" s="150">
        <v>35</v>
      </c>
      <c r="U125" s="150">
        <v>35</v>
      </c>
      <c r="V125" s="124">
        <v>2</v>
      </c>
      <c r="W125" s="124" t="s">
        <v>234</v>
      </c>
      <c r="X125" s="22"/>
      <c r="Y125" s="22"/>
      <c r="Z125" s="146">
        <f t="shared" si="6"/>
        <v>3</v>
      </c>
      <c r="AA125" s="140">
        <f t="shared" si="7"/>
        <v>1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/>
      <c r="E126" s="8"/>
      <c r="F126" s="124"/>
      <c r="G126" s="143"/>
      <c r="H126" s="8"/>
      <c r="I126" s="8"/>
      <c r="J126" s="20"/>
      <c r="K126" s="19"/>
      <c r="L126" s="8"/>
      <c r="M126" s="8"/>
      <c r="N126" s="20"/>
      <c r="O126" s="20"/>
      <c r="P126" s="8"/>
      <c r="Q126" s="8"/>
      <c r="R126" s="124"/>
      <c r="S126" s="124"/>
      <c r="T126" s="150">
        <v>35</v>
      </c>
      <c r="U126" s="150">
        <v>35</v>
      </c>
      <c r="V126" s="124">
        <v>2</v>
      </c>
      <c r="W126" s="124"/>
      <c r="X126" s="22"/>
      <c r="Y126" s="22"/>
      <c r="Z126" s="146">
        <f t="shared" si="6"/>
        <v>2</v>
      </c>
      <c r="AA126" s="140">
        <f t="shared" si="7"/>
        <v>1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/>
      <c r="E127" s="8"/>
      <c r="F127" s="124"/>
      <c r="G127" s="143"/>
      <c r="H127" s="8"/>
      <c r="I127" s="8"/>
      <c r="J127" s="20"/>
      <c r="K127" s="19"/>
      <c r="L127" s="8"/>
      <c r="M127" s="8"/>
      <c r="N127" s="20"/>
      <c r="O127" s="20"/>
      <c r="P127" s="8"/>
      <c r="Q127" s="8"/>
      <c r="R127" s="124"/>
      <c r="S127" s="124"/>
      <c r="T127" s="150">
        <v>35</v>
      </c>
      <c r="U127" s="150">
        <v>35</v>
      </c>
      <c r="V127" s="124">
        <v>2</v>
      </c>
      <c r="W127" s="124"/>
      <c r="X127" s="22"/>
      <c r="Y127" s="22"/>
      <c r="Z127" s="146">
        <f t="shared" si="6"/>
        <v>2</v>
      </c>
      <c r="AA127" s="140">
        <f t="shared" si="7"/>
        <v>1</v>
      </c>
      <c r="AB127" s="8">
        <f t="shared" si="10"/>
        <v>0</v>
      </c>
      <c r="AC127" s="23">
        <f t="shared" si="11"/>
        <v>0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/>
      <c r="E128" s="8"/>
      <c r="F128" s="124"/>
      <c r="G128" s="143"/>
      <c r="H128" s="8"/>
      <c r="I128" s="8"/>
      <c r="J128" s="20"/>
      <c r="K128" s="19"/>
      <c r="L128" s="8"/>
      <c r="M128" s="8"/>
      <c r="N128" s="20"/>
      <c r="O128" s="20"/>
      <c r="P128" s="8"/>
      <c r="Q128" s="8"/>
      <c r="R128" s="124"/>
      <c r="S128" s="124"/>
      <c r="T128" s="150">
        <v>35</v>
      </c>
      <c r="U128" s="8"/>
      <c r="V128" s="124">
        <v>2</v>
      </c>
      <c r="W128" s="124"/>
      <c r="X128" s="22"/>
      <c r="Y128" s="22"/>
      <c r="Z128" s="146">
        <f t="shared" si="6"/>
        <v>2</v>
      </c>
      <c r="AA128" s="140">
        <f t="shared" si="7"/>
        <v>0</v>
      </c>
      <c r="AB128" s="8">
        <f t="shared" si="10"/>
        <v>0</v>
      </c>
      <c r="AC128" s="23">
        <f t="shared" si="11"/>
        <v>1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/>
      <c r="Q129" s="8"/>
      <c r="R129" s="124"/>
      <c r="S129" s="124"/>
      <c r="T129" s="8"/>
      <c r="U129" s="8"/>
      <c r="V129" s="145"/>
      <c r="W129" s="124"/>
      <c r="X129" s="22"/>
      <c r="Y129" s="22"/>
      <c r="Z129" s="146">
        <f t="shared" si="6"/>
        <v>0</v>
      </c>
      <c r="AA129" s="140">
        <f t="shared" si="7"/>
        <v>0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/>
      <c r="Q130" s="8"/>
      <c r="R130" s="124"/>
      <c r="S130" s="124"/>
      <c r="T130" s="8"/>
      <c r="U130" s="8"/>
      <c r="V130" s="124"/>
      <c r="W130" s="124"/>
      <c r="X130" s="22"/>
      <c r="Y130" s="22"/>
      <c r="Z130" s="146">
        <f t="shared" si="6"/>
        <v>0</v>
      </c>
      <c r="AA130" s="140">
        <f t="shared" si="7"/>
        <v>0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/>
      <c r="Q131" s="8"/>
      <c r="R131" s="124"/>
      <c r="S131" s="124"/>
      <c r="T131" s="8"/>
      <c r="U131" s="8"/>
      <c r="V131" s="124"/>
      <c r="W131" s="124"/>
      <c r="X131" s="22"/>
      <c r="Y131" s="22"/>
      <c r="Z131" s="146">
        <f t="shared" ref="Z131:Z171" si="12">F131+J131+N131+R131+V131</f>
        <v>0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0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6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6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6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6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6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6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6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6">
        <f t="shared" si="12"/>
        <v>2</v>
      </c>
      <c r="AA139" s="140">
        <f t="shared" si="13"/>
        <v>1</v>
      </c>
      <c r="AB139" s="8">
        <f t="shared" si="10"/>
        <v>0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6">
        <f t="shared" si="12"/>
        <v>2</v>
      </c>
      <c r="AA140" s="140">
        <f t="shared" si="13"/>
        <v>1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6">
        <f t="shared" si="12"/>
        <v>2</v>
      </c>
      <c r="AA141" s="140">
        <f t="shared" si="13"/>
        <v>1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6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6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6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6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9">
        <v>3</v>
      </c>
      <c r="V146" s="20"/>
      <c r="W146" s="20"/>
      <c r="X146" s="22"/>
      <c r="Y146" s="22"/>
      <c r="Z146" s="146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9">
        <v>3</v>
      </c>
      <c r="U147" s="149">
        <v>3</v>
      </c>
      <c r="V147" s="20">
        <v>2</v>
      </c>
      <c r="W147" s="20"/>
      <c r="X147" s="22"/>
      <c r="Y147" s="22"/>
      <c r="Z147" s="146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9">
        <v>3</v>
      </c>
      <c r="U148" s="8"/>
      <c r="V148" s="20">
        <v>2</v>
      </c>
      <c r="W148" s="20"/>
      <c r="X148" s="22"/>
      <c r="Y148" s="22"/>
      <c r="Z148" s="146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6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6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6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6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6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6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6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6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6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6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6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6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6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6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6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6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6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6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6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6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6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6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6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2:N107 N109:N115 D2:M115 D116:N171 O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46053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-</v>
      </c>
      <c r="J6" s="49" t="str">
        <f>IFERROR(IF(AND(booking!AB6&gt;0,booking!H6&lt;&gt;booking!I6),VLOOKUP(booking!I6,Database!$A$1:'Database'!$L$175,9,FALSE),"-"),"-")</f>
        <v>-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-</v>
      </c>
      <c r="M6" s="49" t="str">
        <f>IFERROR(IF(AND(booking!AB6&gt;0,booking!L6&lt;&gt;booking!M6),VLOOKUP(booking!M6,Database!A5:'Database'!L179,9,FALSE),"-"),"-")</f>
        <v>-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-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-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-</v>
      </c>
      <c r="P8" s="49" t="str">
        <f>IFERROR(IF(AND(booking!AB8&gt;0,booking!P8&lt;&gt;booking!Q8),VLOOKUP(booking!Q8,Database!$A$1:'Database'!$L$175,9,FALSE),"-"),"-")</f>
        <v>-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IF(AND(booking!H10&lt;&gt;booking!I10,booking!H10&gt;0),"udc","-")</f>
        <v>-</v>
      </c>
      <c r="I10" s="49" t="str">
        <f>IFERROR(IF(AND(booking!AB10&gt;0,booking!H10&lt;&gt;booking!I10),VLOOKUP(booking!I10,Database!$A$1:'Database'!$L$175,6,FALSE),"-"),"-")</f>
        <v>-</v>
      </c>
      <c r="J10" s="49" t="str">
        <f>IFERROR(IF(AND(booking!AB10&gt;0,booking!H10&lt;&gt;booking!I10),VLOOKUP(booking!I10,Database!$A$1:'Database'!$L$175,9,FALSE),"-"),"-")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str">
        <f>IF(AND(booking!H11&lt;&gt;booking!I11,booking!H11&gt;0),"udc","-")</f>
        <v>-</v>
      </c>
      <c r="I11" s="49" t="str">
        <f>IFERROR(IF(AND(booking!AB11&gt;0,booking!H11&lt;&gt;booking!I11),VLOOKUP(booking!I11,Database!$A$1:'Database'!$L$175,6,FALSE),"-"),"-")</f>
        <v>-</v>
      </c>
      <c r="J11" s="49" t="str">
        <f>IFERROR(IF(AND(booking!AB11&gt;0,booking!H11&lt;&gt;booking!I11),VLOOKUP(booking!I11,Database!$A$1:'Database'!$L$175,9,FALSE),"-"),"-")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-</v>
      </c>
      <c r="J12" s="49" t="str">
        <f>IFERROR(IF(AND(booking!AB12&gt;0,booking!H12&lt;&gt;booking!I12),VLOOKUP(booking!I12,Database!$A$1:'Database'!$L$175,9,FALSE),"-"),"-")</f>
        <v>-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-</v>
      </c>
      <c r="M12" s="49" t="str">
        <f>IFERROR(IF(AND(booking!AB12&gt;0,booking!L12&lt;&gt;booking!M12),VLOOKUP(booking!M12,Database!A11:'Database'!L185,9,FALSE),"-"),"-")</f>
        <v>-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-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-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-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-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-</v>
      </c>
      <c r="J36" s="49" t="str">
        <f>IFERROR(IF(AND(booking!AB36&gt;0,booking!H36&lt;&gt;booking!I36),VLOOKUP(booking!I36,Database!$A$1:'Database'!$L$175,9,FALSE),"-"),"-")</f>
        <v>-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-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-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-</v>
      </c>
      <c r="P51" s="49" t="str">
        <f>IFERROR(IF(AND(booking!AB51&gt;0,booking!P51&lt;&gt;booking!Q51),VLOOKUP(booking!Q51,Database!$A$1:'Database'!$L$175,9,FALSE),"-"),"-")</f>
        <v>-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-</v>
      </c>
      <c r="M55" s="49" t="str">
        <f>IFERROR(IF(AND(booking!AB55&gt;0,booking!L55&lt;&gt;booking!M55),VLOOKUP(booking!M55,Database!A54:'Database'!L228,9,FALSE),"-"),"-")</f>
        <v>-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DK</v>
      </c>
      <c r="P55" s="49" t="str">
        <f>IFERROR(IF(AND(booking!AB55&gt;0,booking!P55&lt;&gt;booking!Q55),VLOOKUP(booking!Q55,Database!$A$1:'Database'!$L$175,9,FALSE),"-"),"-")</f>
        <v>Dobb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-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-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-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udc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-</v>
      </c>
      <c r="P58" s="49" t="str">
        <f>IFERROR(IF(AND(booking!AB58&gt;0,booking!P58&lt;&gt;booking!Q58),VLOOKUP(booking!Q58,Database!$A$1:'Database'!$L$175,9,FALSE),"-"),"-")</f>
        <v>-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-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-</v>
      </c>
      <c r="O61" s="49" t="str">
        <f>IFERROR(IF(AND(booking!AB61&gt;0,booking!P61&lt;&gt;booking!Q61),VLOOKUP(booking!Q61,Database!$A$1:'Database'!$L$175,6,FALSE),"-"),"-")</f>
        <v>-</v>
      </c>
      <c r="P61" s="49" t="str">
        <f>IFERROR(IF(AND(booking!AB61&gt;0,booking!P61&lt;&gt;booking!Q61),VLOOKUP(booking!Q61,Database!$A$1:'Database'!$L$175,9,FALSE),"-"),"-")</f>
        <v>-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-</v>
      </c>
      <c r="S63" s="49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-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-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-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-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-</v>
      </c>
      <c r="G75" s="49" t="str">
        <f>IFERROR(IF(AND(booking!AB75&gt;0,booking!D75&lt;&gt;booking!E75),VLOOKUP(booking!E75,Database!$A$1:'Database'!$L$175,9,FALSE),"-"),"-")</f>
        <v>-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-</v>
      </c>
      <c r="P77" s="49" t="str">
        <f>IFERROR(IF(AND(booking!AB77&gt;0,booking!P77&lt;&gt;booking!Q77),VLOOKUP(booking!Q77,Database!$A$1:'Database'!$L$175,9,FALSE),"-"),"-")</f>
        <v>-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>
        <f>IFERROR(IF(AND(booking!AB77&gt;0,booking!T77&lt;&gt;booking!U77),VLOOKUP(booking!U77,Database!$A$1:'Database'!$L$175,9,FALSE),"-"),"-")</f>
        <v>0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-</v>
      </c>
      <c r="E78" s="53" t="str">
        <f>IF(AND(booking!D78&lt;&gt;booking!E78,booking!D78&gt;0),"udc","-")</f>
        <v>-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-</v>
      </c>
      <c r="J81" s="49" t="str">
        <f>IFERROR(IF(AND(booking!AB81&gt;0,booking!H81&lt;&gt;booking!I81),VLOOKUP(booking!I81,Database!$A$1:'Database'!$L$175,9,FALSE),"-"),"-")</f>
        <v>-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-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-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-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-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-</v>
      </c>
      <c r="P92" s="49" t="str">
        <f>IFERROR(IF(AND(booking!AB92&gt;0,booking!P92&lt;&gt;booking!Q92),VLOOKUP(booking!Q92,Database!$A$1:'Database'!$L$175,9,FALSE),"-"),"-")</f>
        <v>-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-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-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-</v>
      </c>
      <c r="J99" s="49" t="str">
        <f>IFERROR(IF(AND(booking!AB99&gt;0,booking!H99&lt;&gt;booking!I99),VLOOKUP(booking!I99,Database!$A$1:'Database'!$L$175,9,FALSE),"-"),"-")</f>
        <v>-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-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-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-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-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-</v>
      </c>
      <c r="G119" s="49" t="str">
        <f>IFERROR(IF(AND(booking!AB119&gt;0,booking!D119&lt;&gt;booking!E119),VLOOKUP(booking!E119,Database!$A$1:'Database'!$L$175,9,FALSE),"-"),"-")</f>
        <v>-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CH</v>
      </c>
      <c r="P119" s="49" t="str">
        <f>IFERROR(IF(AND(booking!AB119&gt;0,booking!P119&lt;&gt;booking!Q119),VLOOKUP(booking!Q119,Database!$A$1:'Database'!$L$175,9,FALSE),"-"),"-")</f>
        <v>sing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-</v>
      </c>
      <c r="S119" s="49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-</v>
      </c>
      <c r="E122" s="53" t="str">
        <f>IF(AND(booking!D122&lt;&gt;booking!E122,booking!D122&gt;0),"udc","-")</f>
        <v>-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Y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-</v>
      </c>
      <c r="G123" s="49" t="str">
        <f>IFERROR(IF(AND(booking!AB123&gt;0,booking!D123&lt;&gt;booking!E123),VLOOKUP(booking!E123,Database!$A$1:'Database'!$L$175,9,FALSE),"-"),"-")</f>
        <v>-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-</v>
      </c>
      <c r="J123" s="49" t="str">
        <f>IFERROR(IF(AND(booking!AB123&gt;0,booking!H123&lt;&gt;booking!I123),VLOOKUP(booking!I123,Database!$A$1:'Database'!$L$175,9,FALSE),"-"),"-")</f>
        <v>-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udc</v>
      </c>
      <c r="O123" s="49" t="str">
        <f>IFERROR(IF(AND(booking!AB123&gt;0,booking!P123&lt;&gt;booking!Q123),VLOOKUP(booking!Q123,Database!$A$1:'Database'!$L$175,6,FALSE),"-"),"-")</f>
        <v>CH</v>
      </c>
      <c r="P123" s="49" t="str">
        <f>IFERROR(IF(AND(booking!AB123&gt;0,booking!P123&lt;&gt;booking!Q123),VLOOKUP(booking!Q123,Database!$A$1:'Database'!$L$175,9,FALSE),"-"),"-")</f>
        <v>sing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udc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-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-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-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-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-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5" activePane="bottomLeft" state="frozen"/>
      <selection pane="bottomLeft" activeCell="M43" sqref="M43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46053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 t="str">
        <f>IF(AND(D6="Y",booking!H6&lt;&gt;booking!I6,booking!I6&gt;0),booking!I6,"-")</f>
        <v>-</v>
      </c>
      <c r="K6" s="84" t="str">
        <f>IFERROR(VLOOKUP(J6,Database!$A$2:$L$175,8,FALSE),"-")</f>
        <v>-</v>
      </c>
      <c r="L6" s="84" t="str">
        <f>IFERROR(VLOOKUP(J6,Database!$A$2:$L$175,6,FALSE),"-")</f>
        <v>-</v>
      </c>
      <c r="M6" s="100" t="str">
        <f>IFERROR(VLOOKUP(J6,Database!$A$2:$L$175,9,FALSE),"-")</f>
        <v>-</v>
      </c>
      <c r="N6" s="103" t="str">
        <f>IF(AND(D6="Y",booking!L6&lt;&gt;booking!M6,booking!M6&gt;0),booking!M6,"-")</f>
        <v>-</v>
      </c>
      <c r="O6" s="84" t="str">
        <f>IFERROR(VLOOKUP(N6,Database!$A$2:$L$175,8,FALSE),"-")</f>
        <v>-</v>
      </c>
      <c r="P6" s="84" t="str">
        <f>IFERROR(VLOOKUP(N6,Database!$A$2:$L$175,6,FALSE),"-")</f>
        <v>-</v>
      </c>
      <c r="Q6" s="88" t="str">
        <f>IFERROR(VLOOKUP(N6,Database!$A$2:$L$175,9,FALSE),"-")</f>
        <v>-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-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 t="str">
        <f>IF(AND(D8="Y",booking!P8&lt;&gt;booking!Q8,booking!Q8&gt;0),booking!Q8,"-")</f>
        <v>-</v>
      </c>
      <c r="S8" s="84" t="str">
        <f>IFERROR(VLOOKUP(R8,Database!$A$2:$L$175,8,FALSE),"-")</f>
        <v>-</v>
      </c>
      <c r="T8" s="84" t="str">
        <f>IFERROR(VLOOKUP(R8,Database!$A$2:$L$175,6,FALSE),"-")</f>
        <v>-</v>
      </c>
      <c r="U8" s="88" t="str">
        <f>IFERROR(VLOOKUP(R8,Database!$A$2:$L$175,9,FALSE),"-")</f>
        <v>-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IF(AND(D10="Y",booking!H10&lt;&gt;booking!I10,booking!I10&gt;0),booking!I10,"-")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-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 t="str">
        <f>IF(AND(D11="Y",booking!H11&lt;&gt;booking!I11,booking!I11&gt;0),booking!I11,"-")</f>
        <v>-</v>
      </c>
      <c r="K11" s="84" t="str">
        <f>IFERROR(VLOOKUP(J11,Database!$A$2:$L$175,8,FALSE),"-")</f>
        <v>-</v>
      </c>
      <c r="L11" s="84" t="str">
        <f>IFERROR(VLOOKUP(J11,Database!$A$2:$L$175,6,FALSE),"-")</f>
        <v>-</v>
      </c>
      <c r="M11" s="100" t="str">
        <f>IFERROR(VLOOKUP(J11,Database!$A$2:$L$175,9,FALSE),"-")</f>
        <v>-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-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 t="str">
        <f>IF(AND(D12="Y",booking!H12&lt;&gt;booking!I12,booking!I12&gt;0),booking!I12,"-")</f>
        <v>-</v>
      </c>
      <c r="K12" s="84" t="str">
        <f>IFERROR(VLOOKUP(J12,Database!$A$2:$L$175,8,FALSE),"-")</f>
        <v>-</v>
      </c>
      <c r="L12" s="84" t="str">
        <f>IFERROR(VLOOKUP(J12,Database!$A$2:$L$175,6,FALSE),"-")</f>
        <v>-</v>
      </c>
      <c r="M12" s="100" t="str">
        <f>IFERROR(VLOOKUP(J12,Database!$A$2:$L$175,9,FALSE),"-")</f>
        <v>-</v>
      </c>
      <c r="N12" s="103" t="str">
        <f>IF(AND(D12="Y",booking!L12&lt;&gt;booking!M12,booking!M12&gt;0),booking!M12,"-")</f>
        <v>-</v>
      </c>
      <c r="O12" s="84" t="str">
        <f>IFERROR(VLOOKUP(N12,Database!$A$2:$L$175,8,FALSE),"-")</f>
        <v>-</v>
      </c>
      <c r="P12" s="84" t="str">
        <f>IFERROR(VLOOKUP(N12,Database!$A$2:$L$175,6,FALSE),"-")</f>
        <v>-</v>
      </c>
      <c r="Q12" s="88" t="str">
        <f>IFERROR(VLOOKUP(N12,Database!$A$2:$L$175,9,FALSE),"-")</f>
        <v>-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-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 t="str">
        <f>IF(AND(D36="Y",booking!H36&lt;&gt;booking!I36,booking!I36&gt;0),booking!I36,"-")</f>
        <v>-</v>
      </c>
      <c r="K36" s="84" t="str">
        <f>IFERROR(VLOOKUP(J36,Database!$A$2:$L$175,8,FALSE),"-")</f>
        <v>-</v>
      </c>
      <c r="L36" s="84" t="str">
        <f>IFERROR(VLOOKUP(J36,Database!$A$2:$L$175,6,FALSE),"-")</f>
        <v>-</v>
      </c>
      <c r="M36" s="100" t="str">
        <f>IFERROR(VLOOKUP(J36,Database!$A$2:$L$175,9,FALSE),"-")</f>
        <v>-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-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 t="str">
        <f>IF(AND(D51="Y",booking!P51&lt;&gt;booking!Q51,booking!Q51&gt;0),booking!Q51,"-")</f>
        <v>-</v>
      </c>
      <c r="S51" s="84" t="str">
        <f>IFERROR(VLOOKUP(R51,Database!$A$2:$L$175,8,FALSE),"-")</f>
        <v>-</v>
      </c>
      <c r="T51" s="84" t="str">
        <f>IFERROR(VLOOKUP(R51,Database!$A$2:$L$175,6,FALSE),"-")</f>
        <v>-</v>
      </c>
      <c r="U51" s="88" t="str">
        <f>IFERROR(VLOOKUP(R51,Database!$A$2:$L$175,9,FALSE),"-")</f>
        <v>-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 t="str">
        <f>IF(AND(D55="Y",booking!L55&lt;&gt;booking!M55,booking!M55&gt;0),booking!M55,"-")</f>
        <v>-</v>
      </c>
      <c r="O55" s="84" t="str">
        <f>IFERROR(VLOOKUP(N55,Database!$A$2:$L$175,8,FALSE),"-")</f>
        <v>-</v>
      </c>
      <c r="P55" s="84" t="str">
        <f>IFERROR(VLOOKUP(N55,Database!$A$2:$L$175,6,FALSE),"-")</f>
        <v>-</v>
      </c>
      <c r="Q55" s="88" t="str">
        <f>IFERROR(VLOOKUP(N55,Database!$A$2:$L$175,9,FALSE),"-")</f>
        <v>-</v>
      </c>
      <c r="R55" s="104">
        <f>IF(AND(D55="Y",booking!P55&lt;&gt;booking!Q55,booking!Q55&gt;0),booking!Q55,"-")</f>
        <v>56</v>
      </c>
      <c r="S55" s="84" t="str">
        <f>IFERROR(VLOOKUP(R55,Database!$A$2:$L$175,8,FALSE),"-")</f>
        <v>2000</v>
      </c>
      <c r="T55" s="84" t="str">
        <f>IFERROR(VLOOKUP(R55,Database!$A$2:$L$175,6,FALSE),"-")</f>
        <v>DK</v>
      </c>
      <c r="U55" s="88" t="str">
        <f>IFERROR(VLOOKUP(R55,Database!$A$2:$L$175,9,FALSE),"-")</f>
        <v>Dobb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-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 t="str">
        <f>IF(AND(D58="Y",booking!P58&lt;&gt;booking!Q58,booking!Q58&gt;0),booking!Q58,"-")</f>
        <v>-</v>
      </c>
      <c r="S58" s="84" t="str">
        <f>IFERROR(VLOOKUP(R58,Database!$A$2:$L$175,8,FALSE),"-")</f>
        <v>-</v>
      </c>
      <c r="T58" s="84" t="str">
        <f>IFERROR(VLOOKUP(R58,Database!$A$2:$L$175,6,FALSE),"-")</f>
        <v>-</v>
      </c>
      <c r="U58" s="88" t="str">
        <f>IFERROR(VLOOKUP(R58,Database!$A$2:$L$175,9,FALSE),"-")</f>
        <v>-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 t="str">
        <f>IF(AND(D61="Y",booking!P61&lt;&gt;booking!Q61,booking!Q61&gt;0),booking!Q61,"-")</f>
        <v>-</v>
      </c>
      <c r="S61" s="84" t="str">
        <f>IFERROR(VLOOKUP(R61,Database!$A$2:$L$175,8,FALSE),"-")</f>
        <v>-</v>
      </c>
      <c r="T61" s="84" t="str">
        <f>IFERROR(VLOOKUP(R61,Database!$A$2:$L$175,6,FALSE),"-")</f>
        <v>-</v>
      </c>
      <c r="U61" s="88" t="str">
        <f>IFERROR(VLOOKUP(R61,Database!$A$2:$L$175,9,FALSE),"-")</f>
        <v>-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-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 t="str">
        <f>IF(AND(D63="Y",booking!T63&lt;&gt;booking!U63,booking!U63&gt;0),booking!U63,"-")</f>
        <v>-</v>
      </c>
      <c r="W63" s="85" t="str">
        <f>IFERROR(VLOOKUP(V63,Database!$A$2:$L$175,8,FALSE),"-")</f>
        <v>-</v>
      </c>
      <c r="X63" s="85" t="str">
        <f>IFERROR(VLOOKUP(V63,Database!$A$2:$L$175,6,FALSE),"-")</f>
        <v>-</v>
      </c>
      <c r="Y63" s="87" t="str">
        <f>IFERROR(VLOOKUP(V63,Database!$A$2:$L$175,9,FALSE),"-")</f>
        <v>-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-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-</v>
      </c>
      <c r="E75" s="102" t="str">
        <f>IF(AND(D75="Y",booking!D75&lt;&gt;booking!E75,booking!E75&gt;0),booking!E75,"-")</f>
        <v>-</v>
      </c>
      <c r="F75" s="84" t="str">
        <f>IFERROR(VLOOKUP(E75,Database!$A$2:$L$175,8,FALSE),"-")</f>
        <v>-</v>
      </c>
      <c r="G75" s="84" t="str">
        <f>IFERROR(VLOOKUP(E75,Database!$A$2:$L$175,6,FALSE),"-")</f>
        <v>-</v>
      </c>
      <c r="H75" s="100" t="str">
        <f>IFERROR(VLOOKUP(E75,Database!$A$2:$L$175,9,FALSE),"-")</f>
        <v>-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 t="str">
        <f>IF(AND(D77="Y",booking!P77&lt;&gt;booking!Q77,booking!Q77&gt;0),booking!Q77,"-")</f>
        <v>-</v>
      </c>
      <c r="S77" s="84" t="str">
        <f>IFERROR(VLOOKUP(R77,Database!$A$2:$L$175,8,FALSE),"-")</f>
        <v>-</v>
      </c>
      <c r="T77" s="84" t="str">
        <f>IFERROR(VLOOKUP(R77,Database!$A$2:$L$175,6,FALSE),"-")</f>
        <v>-</v>
      </c>
      <c r="U77" s="88" t="str">
        <f>IFERROR(VLOOKUP(R77,Database!$A$2:$L$175,9,FALSE),"-")</f>
        <v>-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>
        <f>IFERROR(VLOOKUP(V77,Database!$A$2:$L$175,9,FALSE),"-")</f>
        <v>0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-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 t="str">
        <f>IF(AND(D81="Y",booking!H81&lt;&gt;booking!I81,booking!I81&gt;0),booking!I81,"-")</f>
        <v>-</v>
      </c>
      <c r="K81" s="84" t="str">
        <f>IFERROR(VLOOKUP(J81,Database!$A$2:$L$175,8,FALSE),"-")</f>
        <v>-</v>
      </c>
      <c r="L81" s="84" t="str">
        <f>IFERROR(VLOOKUP(J81,Database!$A$2:$L$175,6,FALSE),"-")</f>
        <v>-</v>
      </c>
      <c r="M81" s="100" t="str">
        <f>IFERROR(VLOOKUP(J81,Database!$A$2:$L$175,9,FALSE),"-")</f>
        <v>-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 t="str">
        <f>IF(AND(D92="Y",booking!P92&lt;&gt;booking!Q92,booking!Q92&gt;0),booking!Q92,"-")</f>
        <v>-</v>
      </c>
      <c r="S92" s="84" t="str">
        <f>IFERROR(VLOOKUP(R92,Database!$A$2:$L$175,8,FALSE),"-")</f>
        <v>-</v>
      </c>
      <c r="T92" s="84" t="str">
        <f>IFERROR(VLOOKUP(R92,Database!$A$2:$L$175,6,FALSE),"-")</f>
        <v>-</v>
      </c>
      <c r="U92" s="88" t="str">
        <f>IFERROR(VLOOKUP(R92,Database!$A$2:$L$175,9,FALSE),"-")</f>
        <v>-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-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 t="str">
        <f>IF(AND(D99="Y",booking!H99&lt;&gt;booking!I99,booking!I99&gt;0),booking!I99,"-")</f>
        <v>-</v>
      </c>
      <c r="K99" s="84" t="str">
        <f>IFERROR(VLOOKUP(J99,Database!$A$2:$L$175,8,FALSE),"-")</f>
        <v>-</v>
      </c>
      <c r="L99" s="84" t="str">
        <f>IFERROR(VLOOKUP(J99,Database!$A$2:$L$175,6,FALSE),"-")</f>
        <v>-</v>
      </c>
      <c r="M99" s="100" t="str">
        <f>IFERROR(VLOOKUP(J99,Database!$A$2:$L$175,9,FALSE),"-")</f>
        <v>-</v>
      </c>
      <c r="N99" s="103" t="str">
        <f>IF(AND(D99="Y",booking!L99&lt;&gt;booking!M99,booking!M99&gt;0),booking!M99,"-")</f>
        <v>-</v>
      </c>
      <c r="O99" s="84" t="str">
        <f>IFERROR(VLOOKUP(N99,Database!$A$2:$L$175,8,FALSE),"-")</f>
        <v>-</v>
      </c>
      <c r="P99" s="84" t="str">
        <f>IFERROR(VLOOKUP(N99,Database!$A$2:$L$175,6,FALSE),"-")</f>
        <v>-</v>
      </c>
      <c r="Q99" s="88" t="str">
        <f>IFERROR(VLOOKUP(N99,Database!$A$2:$L$175,9,FALSE),"-")</f>
        <v>-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 t="str">
        <f>IF(AND(D119="Y",booking!D119&lt;&gt;booking!E119,booking!E119&gt;0),booking!E119,"-")</f>
        <v>-</v>
      </c>
      <c r="F119" s="84" t="str">
        <f>IFERROR(VLOOKUP(E119,Database!$A$2:$L$175,8,FALSE),"-")</f>
        <v>-</v>
      </c>
      <c r="G119" s="84" t="str">
        <f>IFERROR(VLOOKUP(E119,Database!$A$2:$L$175,6,FALSE),"-")</f>
        <v>-</v>
      </c>
      <c r="H119" s="100" t="str">
        <f>IFERROR(VLOOKUP(E119,Database!$A$2:$L$175,9,FALSE),"-")</f>
        <v>-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>
        <f>IF(AND(D119="Y",booking!P119&lt;&gt;booking!Q119,booking!Q119&gt;0),booking!Q119,"-")</f>
        <v>25</v>
      </c>
      <c r="S119" s="84">
        <f>IFERROR(VLOOKUP(R119,Database!$A$2:$L$175,8,FALSE),"-")</f>
        <v>0</v>
      </c>
      <c r="T119" s="84" t="str">
        <f>IFERROR(VLOOKUP(R119,Database!$A$2:$L$175,6,FALSE),"-")</f>
        <v>CH</v>
      </c>
      <c r="U119" s="88" t="str">
        <f>IFERROR(VLOOKUP(R119,Database!$A$2:$L$175,9,FALSE),"-")</f>
        <v>sing</v>
      </c>
      <c r="V119" s="103" t="str">
        <f>IF(AND(D119="Y",booking!T119&lt;&gt;booking!U119,booking!U119&gt;0),booking!U119,"-")</f>
        <v>-</v>
      </c>
      <c r="W119" s="85" t="str">
        <f>IFERROR(VLOOKUP(V119,Database!$A$2:$L$175,8,FALSE),"-")</f>
        <v>-</v>
      </c>
      <c r="X119" s="85" t="str">
        <f>IFERROR(VLOOKUP(V119,Database!$A$2:$L$175,6,FALSE),"-")</f>
        <v>-</v>
      </c>
      <c r="Y119" s="87" t="str">
        <f>IFERROR(VLOOKUP(V119,Database!$A$2:$L$175,9,FALSE),"-")</f>
        <v>-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 t="str">
        <f>IF(AND(D123="Y",booking!D123&lt;&gt;booking!E123,booking!E123&gt;0),booking!E123,"-")</f>
        <v>-</v>
      </c>
      <c r="F123" s="84" t="str">
        <f>IFERROR(VLOOKUP(E123,Database!$A$2:$L$175,8,FALSE),"-")</f>
        <v>-</v>
      </c>
      <c r="G123" s="84" t="str">
        <f>IFERROR(VLOOKUP(E123,Database!$A$2:$L$175,6,FALSE),"-")</f>
        <v>-</v>
      </c>
      <c r="H123" s="100" t="str">
        <f>IFERROR(VLOOKUP(E123,Database!$A$2:$L$175,9,FALSE),"-")</f>
        <v>-</v>
      </c>
      <c r="I123" s="119"/>
      <c r="J123" s="103" t="str">
        <f>IF(AND(D123="Y",booking!H123&lt;&gt;booking!I123,booking!I123&gt;0),booking!I123,"-")</f>
        <v>-</v>
      </c>
      <c r="K123" s="84" t="str">
        <f>IFERROR(VLOOKUP(J123,Database!$A$2:$L$175,8,FALSE),"-")</f>
        <v>-</v>
      </c>
      <c r="L123" s="84" t="str">
        <f>IFERROR(VLOOKUP(J123,Database!$A$2:$L$175,6,FALSE),"-")</f>
        <v>-</v>
      </c>
      <c r="M123" s="100" t="str">
        <f>IFERROR(VLOOKUP(J123,Database!$A$2:$L$175,9,FALSE),"-")</f>
        <v>-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25</v>
      </c>
      <c r="S123" s="84">
        <f>IFERROR(VLOOKUP(R123,Database!$A$2:$L$175,8,FALSE),"-")</f>
        <v>0</v>
      </c>
      <c r="T123" s="84" t="str">
        <f>IFERROR(VLOOKUP(R123,Database!$A$2:$L$175,6,FALSE),"-")</f>
        <v>CH</v>
      </c>
      <c r="U123" s="88" t="str">
        <f>IFERROR(VLOOKUP(R123,Database!$A$2:$L$175,9,FALSE),"-")</f>
        <v>sing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-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va</v>
      </c>
      <c r="F6" s="137" t="str">
        <f>IF(booking!L6&gt;0,"oc","va")</f>
        <v>va</v>
      </c>
      <c r="G6" s="138" t="str">
        <f>IF(booking!M6&gt;0,"oc","va")</f>
        <v>va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va</v>
      </c>
      <c r="E7" s="138" t="str">
        <f>IF(booking!I7&gt;0,"oc","va")</f>
        <v>va</v>
      </c>
      <c r="F7" s="137" t="str">
        <f>IF(booking!L7&gt;0,"oc","va")</f>
        <v>va</v>
      </c>
      <c r="G7" s="138" t="str">
        <f>IF(booking!M7&gt;0,"oc","va")</f>
        <v>va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va</v>
      </c>
      <c r="E8" s="138" t="str">
        <f>IF(booking!I8&gt;0,"oc","va")</f>
        <v>va</v>
      </c>
      <c r="F8" s="137" t="str">
        <f>IF(booking!L8&gt;0,"oc","va")</f>
        <v>va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va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va</v>
      </c>
      <c r="I9" s="138" t="str">
        <f>IF(booking!Q9&gt;0,"oc","va")</f>
        <v>va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IF(booking!I10&gt;0,"oc","va")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va</v>
      </c>
      <c r="I10" s="138" t="str">
        <f>IF(booking!Q10&gt;0,"oc","va")</f>
        <v>va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str">
        <f>IF(booking!I11&gt;0,"oc","va")</f>
        <v>va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va</v>
      </c>
      <c r="I11" s="138" t="str">
        <f>IF(booking!Q11&gt;0,"oc","va")</f>
        <v>va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va</v>
      </c>
      <c r="F12" s="137" t="str">
        <f>IF(booking!L12&gt;0,"oc","va")</f>
        <v>va</v>
      </c>
      <c r="G12" s="138" t="str">
        <f>IF(booking!M12&gt;0,"oc","va")</f>
        <v>va</v>
      </c>
      <c r="H12" s="137" t="str">
        <f>IF(booking!P12&gt;0,"oc","va")</f>
        <v>va</v>
      </c>
      <c r="I12" s="138" t="str">
        <f>IF(booking!Q12&gt;0,"oc","va")</f>
        <v>va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va</v>
      </c>
      <c r="E13" s="138" t="str">
        <f>IF(booking!I13&gt;0,"oc","va")</f>
        <v>va</v>
      </c>
      <c r="F13" s="137" t="str">
        <f>IF(booking!L13&gt;0,"oc","va")</f>
        <v>va</v>
      </c>
      <c r="G13" s="138" t="str">
        <f>IF(booking!M13&gt;0,"oc","va")</f>
        <v>va</v>
      </c>
      <c r="H13" s="137" t="str">
        <f>IF(booking!P13&gt;0,"oc","va")</f>
        <v>va</v>
      </c>
      <c r="I13" s="138" t="str">
        <f>IF(booking!Q13&gt;0,"oc","va")</f>
        <v>va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va</v>
      </c>
      <c r="E14" s="138" t="str">
        <f>IF(booking!I14&gt;0,"oc","va")</f>
        <v>va</v>
      </c>
      <c r="F14" s="137" t="str">
        <f>IF(booking!L14&gt;0,"oc","va")</f>
        <v>va</v>
      </c>
      <c r="G14" s="138" t="str">
        <f>IF(booking!M14&gt;0,"oc","va")</f>
        <v>va</v>
      </c>
      <c r="H14" s="137" t="str">
        <f>IF(booking!P14&gt;0,"oc","va")</f>
        <v>va</v>
      </c>
      <c r="I14" s="138" t="str">
        <f>IF(booking!Q14&gt;0,"oc","va")</f>
        <v>va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va</v>
      </c>
      <c r="E15" s="138" t="str">
        <f>IF(booking!I15&gt;0,"oc","va")</f>
        <v>va</v>
      </c>
      <c r="F15" s="137" t="str">
        <f>IF(booking!L15&gt;0,"oc","va")</f>
        <v>va</v>
      </c>
      <c r="G15" s="138" t="str">
        <f>IF(booking!M15&gt;0,"oc","va")</f>
        <v>va</v>
      </c>
      <c r="H15" s="137" t="str">
        <f>IF(booking!P15&gt;0,"oc","va")</f>
        <v>va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va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va</v>
      </c>
      <c r="E37" s="138" t="str">
        <f>IF(booking!I37&gt;0,"oc","va")</f>
        <v>va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oc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va</v>
      </c>
      <c r="E38" s="138" t="str">
        <f>IF(booking!I38&gt;0,"oc","va")</f>
        <v>va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oc</v>
      </c>
      <c r="I38" s="138" t="str">
        <f>IF(booking!Q38&gt;0,"oc","va")</f>
        <v>oc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va</v>
      </c>
      <c r="E39" s="138" t="str">
        <f>IF(booking!I39&gt;0,"oc","va")</f>
        <v>va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oc</v>
      </c>
      <c r="I39" s="138" t="str">
        <f>IF(booking!Q39&gt;0,"oc","va")</f>
        <v>oc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va</v>
      </c>
      <c r="E40" s="138" t="str">
        <f>IF(booking!I40&gt;0,"oc","va")</f>
        <v>va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oc</v>
      </c>
      <c r="I40" s="138" t="str">
        <f>IF(booking!Q40&gt;0,"oc","va")</f>
        <v>oc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va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oc</v>
      </c>
      <c r="I41" s="138" t="str">
        <f>IF(booking!Q41&gt;0,"oc","va")</f>
        <v>oc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oc</v>
      </c>
      <c r="I42" s="138" t="str">
        <f>IF(booking!Q42&gt;0,"oc","va")</f>
        <v>oc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oc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e">
        <f>IF(booking!#REF!&gt;0,"oc","va")</f>
        <v>#REF!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IF(booking!M45&gt;0,"oc","va")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va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va</v>
      </c>
      <c r="I52" s="138" t="str">
        <f>IF(booking!Q52&gt;0,"oc","va")</f>
        <v>va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va</v>
      </c>
      <c r="I53" s="138" t="str">
        <f>IF(booking!Q53&gt;0,"oc","va")</f>
        <v>va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va</v>
      </c>
      <c r="I54" s="138" t="str">
        <f>IF(booking!Q54&gt;0,"oc","va")</f>
        <v>va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va</v>
      </c>
      <c r="H55" s="137" t="str">
        <f>IF(booking!P55&gt;0,"oc","va")</f>
        <v>va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va</v>
      </c>
      <c r="G56" s="138" t="str">
        <f>IF(booking!M56&gt;0,"oc","va")</f>
        <v>va</v>
      </c>
      <c r="H56" s="137" t="str">
        <f>IF(booking!P56&gt;0,"oc","va")</f>
        <v>oc</v>
      </c>
      <c r="I56" s="138" t="str">
        <f>IF(booking!Q56&gt;0,"oc","va")</f>
        <v>oc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va</v>
      </c>
      <c r="G57" s="138" t="str">
        <f>IF(booking!M57&gt;0,"oc","va")</f>
        <v>va</v>
      </c>
      <c r="H57" s="137" t="str">
        <f>IF(booking!P57&gt;0,"oc","va")</f>
        <v>oc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va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va</v>
      </c>
      <c r="I59" s="138" t="str">
        <f>IF(booking!Q59&gt;0,"oc","va")</f>
        <v>va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va</v>
      </c>
      <c r="I60" s="138" t="str">
        <f>IF(booking!Q60&gt;0,"oc","va")</f>
        <v>va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va</v>
      </c>
      <c r="I61" s="138" t="str">
        <f>IF(booking!Q61&gt;0,"oc","va")</f>
        <v>va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va</v>
      </c>
      <c r="I62" s="138" t="str">
        <f>IF(booking!Q62&gt;0,"oc","va")</f>
        <v>va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va</v>
      </c>
      <c r="I63" s="138" t="str">
        <f>IF(booking!Q63&gt;0,"oc","va")</f>
        <v>va</v>
      </c>
      <c r="J63" s="137" t="str">
        <f>IF(booking!T63&gt;0,"oc","va")</f>
        <v>va</v>
      </c>
      <c r="K63" s="138" t="str">
        <f>IF(booking!U63&gt;0,"oc","va")</f>
        <v>va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va</v>
      </c>
      <c r="I64" s="138" t="str">
        <f>IF(booking!Q64&gt;0,"oc","va")</f>
        <v>va</v>
      </c>
      <c r="J64" s="137" t="str">
        <f>IF(booking!T64&gt;0,"oc","va")</f>
        <v>va</v>
      </c>
      <c r="K64" s="138" t="str">
        <f>IF(booking!U64&gt;0,"oc","va")</f>
        <v>va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va</v>
      </c>
      <c r="I65" s="138" t="str">
        <f>IF(booking!Q65&gt;0,"oc","va")</f>
        <v>va</v>
      </c>
      <c r="J65" s="137" t="str">
        <f>IF(booking!T65&gt;0,"oc","va")</f>
        <v>va</v>
      </c>
      <c r="K65" s="138" t="str">
        <f>IF(booking!U65&gt;0,"oc","va")</f>
        <v>va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va</v>
      </c>
      <c r="I66" s="138" t="str">
        <f>IF(booking!Q66&gt;0,"oc","va")</f>
        <v>va</v>
      </c>
      <c r="J66" s="137" t="str">
        <f>IF(booking!T66&gt;0,"oc","va")</f>
        <v>va</v>
      </c>
      <c r="K66" s="138" t="str">
        <f>IF(booking!U66&gt;0,"oc","va")</f>
        <v>va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va</v>
      </c>
      <c r="I67" s="138" t="str">
        <f>IF(booking!Q67&gt;0,"oc","va")</f>
        <v>va</v>
      </c>
      <c r="J67" s="137" t="str">
        <f>IF(booking!T67&gt;0,"oc","va")</f>
        <v>va</v>
      </c>
      <c r="K67" s="138" t="str">
        <f>IF(booking!U67&gt;0,"oc","va")</f>
        <v>va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va</v>
      </c>
      <c r="I68" s="138" t="str">
        <f>IF(booking!Q68&gt;0,"oc","va")</f>
        <v>va</v>
      </c>
      <c r="J68" s="137" t="str">
        <f>IF(booking!T68&gt;0,"oc","va")</f>
        <v>va</v>
      </c>
      <c r="K68" s="138" t="str">
        <f>IF(booking!U68&gt;0,"oc","va")</f>
        <v>va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va</v>
      </c>
      <c r="K69" s="138" t="str">
        <f>IF(booking!U69&gt;0,"oc","va")</f>
        <v>va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va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va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va</v>
      </c>
      <c r="C76" s="138" t="str">
        <f>IF(booking!E76&gt;0,"oc","va")</f>
        <v>va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va</v>
      </c>
      <c r="C77" s="138" t="str">
        <f>IF(booking!E77&gt;0,"oc","va")</f>
        <v>va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va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va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va</v>
      </c>
      <c r="I78" s="138" t="str">
        <f>IF(booking!Q78&gt;0,"oc","va")</f>
        <v>va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va</v>
      </c>
      <c r="I79" s="138" t="str">
        <f>IF(booking!Q79&gt;0,"oc","va")</f>
        <v>va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va</v>
      </c>
      <c r="I80" s="138" t="str">
        <f>IF(booking!Q80&gt;0,"oc","va")</f>
        <v>va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va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va</v>
      </c>
      <c r="I81" s="138" t="str">
        <f>IF(booking!Q81&gt;0,"oc","va")</f>
        <v>va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va</v>
      </c>
      <c r="E82" s="138" t="str">
        <f>IF(booking!I82&gt;0,"oc","va")</f>
        <v>va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va</v>
      </c>
      <c r="I82" s="138" t="str">
        <f>IF(booking!Q82&gt;0,"oc","va")</f>
        <v>va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va</v>
      </c>
      <c r="E83" s="138" t="str">
        <f>IF(booking!I83&gt;0,"oc","va")</f>
        <v>va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va</v>
      </c>
      <c r="I83" s="138" t="str">
        <f>IF(booking!Q83&gt;0,"oc","va")</f>
        <v>va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va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va</v>
      </c>
      <c r="I84" s="138" t="str">
        <f>IF(booking!Q84&gt;0,"oc","va")</f>
        <v>va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va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va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va</v>
      </c>
      <c r="I93" s="138" t="str">
        <f>IF(booking!Q93&gt;0,"oc","va")</f>
        <v>va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va</v>
      </c>
      <c r="I94" s="138" t="str">
        <f>IF(booking!Q94&gt;0,"oc","va")</f>
        <v>va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va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va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va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va</v>
      </c>
      <c r="F99" s="137" t="str">
        <f>IF(booking!L99&gt;0,"oc","va")</f>
        <v>va</v>
      </c>
      <c r="G99" s="138" t="str">
        <f>IF(booking!M99&gt;0,"oc","va")</f>
        <v>va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va</v>
      </c>
      <c r="E100" s="138" t="str">
        <f>IF(booking!I100&gt;0,"oc","va")</f>
        <v>va</v>
      </c>
      <c r="F100" s="137" t="str">
        <f>IF(booking!L100&gt;0,"oc","va")</f>
        <v>va</v>
      </c>
      <c r="G100" s="138" t="str">
        <f>IF(booking!M100&gt;0,"oc","va")</f>
        <v>va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va</v>
      </c>
      <c r="E101" s="138" t="str">
        <f>IF(booking!I101&gt;0,"oc","va")</f>
        <v>va</v>
      </c>
      <c r="F101" s="137" t="str">
        <f>IF(booking!L101&gt;0,"oc","va")</f>
        <v>va</v>
      </c>
      <c r="G101" s="138" t="str">
        <f>IF(booking!M101&gt;0,"oc","va")</f>
        <v>va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va</v>
      </c>
      <c r="E102" s="138" t="str">
        <f>IF(booking!I102&gt;0,"oc","va")</f>
        <v>va</v>
      </c>
      <c r="F102" s="137" t="str">
        <f>IF(booking!L102&gt;0,"oc","va")</f>
        <v>va</v>
      </c>
      <c r="G102" s="138" t="str">
        <f>IF(booking!M102&gt;0,"oc","va")</f>
        <v>va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va</v>
      </c>
      <c r="E103" s="138" t="str">
        <f>IF(booking!I103&gt;0,"oc","va")</f>
        <v>oc</v>
      </c>
      <c r="F103" s="137" t="str">
        <f>IF(booking!L103&gt;0,"oc","va")</f>
        <v>va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va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va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va</v>
      </c>
      <c r="C120" s="138" t="str">
        <f>IF(booking!E120&gt;0,"oc","va")</f>
        <v>va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va</v>
      </c>
      <c r="K120" s="138" t="str">
        <f>IF(booking!U120&gt;0,"oc","va")</f>
        <v>va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va</v>
      </c>
      <c r="C121" s="138" t="str">
        <f>IF(booking!E121&gt;0,"oc","va")</f>
        <v>va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oc</v>
      </c>
      <c r="I121" s="138" t="str">
        <f>IF(booking!Q121&gt;0,"oc","va")</f>
        <v>oc</v>
      </c>
      <c r="J121" s="137" t="str">
        <f>IF(booking!T121&gt;0,"oc","va")</f>
        <v>va</v>
      </c>
      <c r="K121" s="138" t="str">
        <f>IF(booking!U121&gt;0,"oc","va")</f>
        <v>va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va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oc</v>
      </c>
      <c r="I122" s="138" t="str">
        <f>IF(booking!Q122&gt;0,"oc","va")</f>
        <v>oc</v>
      </c>
      <c r="J122" s="137" t="str">
        <f>IF(booking!T122&gt;0,"oc","va")</f>
        <v>va</v>
      </c>
      <c r="K122" s="138" t="str">
        <f>IF(booking!U122&gt;0,"oc","va")</f>
        <v>va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va</v>
      </c>
      <c r="D123" s="137" t="str">
        <f>IF(booking!H123&gt;0,"oc","va")</f>
        <v>va</v>
      </c>
      <c r="E123" s="138" t="str">
        <f>IF(booking!I123&gt;0,"oc","va")</f>
        <v>va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oc</v>
      </c>
      <c r="I123" s="138" t="str">
        <f>IF(booking!Q123&gt;0,"oc","va")</f>
        <v>oc</v>
      </c>
      <c r="J123" s="137" t="str">
        <f>IF(booking!T123&gt;0,"oc","va")</f>
        <v>va</v>
      </c>
      <c r="K123" s="138" t="str">
        <f>IF(booking!U123&gt;0,"oc","va")</f>
        <v>va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va</v>
      </c>
      <c r="C124" s="138" t="str">
        <f>IF(booking!E124&gt;0,"oc","va")</f>
        <v>va</v>
      </c>
      <c r="D124" s="137" t="str">
        <f>IF(booking!H124&gt;0,"oc","va")</f>
        <v>va</v>
      </c>
      <c r="E124" s="138" t="str">
        <f>IF(booking!I124&gt;0,"oc","va")</f>
        <v>va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va</v>
      </c>
      <c r="J124" s="137" t="str">
        <f>IF(booking!T124&gt;0,"oc","va")</f>
        <v>va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va</v>
      </c>
      <c r="C125" s="138" t="str">
        <f>IF(booking!E125&gt;0,"oc","va")</f>
        <v>va</v>
      </c>
      <c r="D125" s="137" t="str">
        <f>IF(booking!H125&gt;0,"oc","va")</f>
        <v>va</v>
      </c>
      <c r="E125" s="138" t="str">
        <f>IF(booking!I125&gt;0,"oc","va")</f>
        <v>va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va</v>
      </c>
      <c r="I125" s="138" t="str">
        <f>IF(booking!Q125&gt;0,"oc","va")</f>
        <v>va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va</v>
      </c>
      <c r="C126" s="138" t="str">
        <f>IF(booking!E126&gt;0,"oc","va")</f>
        <v>va</v>
      </c>
      <c r="D126" s="137" t="str">
        <f>IF(booking!H126&gt;0,"oc","va")</f>
        <v>va</v>
      </c>
      <c r="E126" s="138" t="str">
        <f>IF(booking!I126&gt;0,"oc","va")</f>
        <v>va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va</v>
      </c>
      <c r="I126" s="138" t="str">
        <f>IF(booking!Q126&gt;0,"oc","va")</f>
        <v>va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va</v>
      </c>
      <c r="C127" s="138" t="str">
        <f>IF(booking!E127&gt;0,"oc","va")</f>
        <v>va</v>
      </c>
      <c r="D127" s="137" t="str">
        <f>IF(booking!H127&gt;0,"oc","va")</f>
        <v>va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va</v>
      </c>
      <c r="I127" s="138" t="str">
        <f>IF(booking!Q127&gt;0,"oc","va")</f>
        <v>va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va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va</v>
      </c>
      <c r="I128" s="138" t="str">
        <f>IF(booking!Q128&gt;0,"oc","va")</f>
        <v>va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va</v>
      </c>
      <c r="I129" s="138" t="str">
        <f>IF(booking!Q129&gt;0,"oc","va")</f>
        <v>va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va</v>
      </c>
      <c r="I130" s="138" t="str">
        <f>IF(booking!Q130&gt;0,"oc","va")</f>
        <v>va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va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2026-01-29T15:14:59Z</cp:lastPrinted>
  <dcterms:created xsi:type="dcterms:W3CDTF">2024-07-25T07:35:10Z</dcterms:created>
  <dcterms:modified xsi:type="dcterms:W3CDTF">2026-01-31T15:23:19Z</dcterms:modified>
  <cp:category/>
  <cp:contentStatus/>
</cp:coreProperties>
</file>