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DC2896FF-0159-4959-A20A-2E681CC52D8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Dtb!$A$1:$M$843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<sst xmlns="http://schemas.openxmlformats.org/spreadsheetml/2006/main" count="9768" uniqueCount="2420">
  <si>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</si>
  <si>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</si>
  <si>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</si>
  <si>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</si>
  <si>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</si>
  <si>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</si>
  <si>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</si>
  <si>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</si>
  <si>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</si>
  <si>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</si>
  <si>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</si>
  <si>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</si>
  <si>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</si>
  <si>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</si>
  <si>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</si>
  <si>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</si>
  <si>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</si>
  <si>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</si>
  <si>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</si>
  <si>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</si>
  <si>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</si>
  <si>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</si>
  <si>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</si>
  <si>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</si>
  <si>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</si>
  <si>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</si>
  <si>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</si>
  <si>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</si>
  <si>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</si>
  <si>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</si>
  <si>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</si>
  <si>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</si>
  <si>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</si>
  <si>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</si>
  <si>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</si>
  <si>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</si>
  <si>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</si>
  <si>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</si>
  <si>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</si>
  <si>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</si>
  <si>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</si>
  <si>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</si>
  <si>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</si>
  <si>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</si>
  <si>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</si>
  <si>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</si>
  <si>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</si>
  <si>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</si>
  <si>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</si>
  <si>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</si>
  <si>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</si>
  <si>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</si>
  <si>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</si>
  <si>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</si>
  <si>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</si>
  <si>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</si>
  <si>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</si>
  <si>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</si>
  <si>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</si>
  <si>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</si>
  <si>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</si>
  <si>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</si>
  <si>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</si>
  <si>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</si>
  <si>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</si>
  <si>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</si>
  <si>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</si>
  <si>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</si>
  <si>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</si>
  <si>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</si>
  <si>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</si>
  <si>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</si>
  <si>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</si>
  <si>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</si>
  <si>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</si>
  <si>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</si>
  <si>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</si>
  <si>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</si>
  <si>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</si>
  <si>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</si>
  <si>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</si>
  <si>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</si>
  <si>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</si>
  <si>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</si>
  <si>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</si>
  <si>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</si>
  <si>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</si>
  <si>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</si>
  <si>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</si>
  <si>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</si>
  <si>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</si>
  <si>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</si>
  <si>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</si>
  <si>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</si>
  <si>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</si>
  <si>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</si>
  <si>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</si>
  <si>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</si>
  <si>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</si>
  <si>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</si>
  <si>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</si>
  <si>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</si>
  <si>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</si>
  <si>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</si>
  <si>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</si>
  <si>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</si>
  <si>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</si>
  <si>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</si>
  <si>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</si>
  <si>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</si>
  <si>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</si>
  <si>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</si>
  <si>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</si>
  <si>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</si>
  <si>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</si>
  <si>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</si>
  <si>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</si>
  <si>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</si>
  <si>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</si>
  <si>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</si>
  <si>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</si>
  <si>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</si>
  <si>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</si>
  <si>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</si>
  <si>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</si>
  <si>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</si>
  <si>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</si>
  <si>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</si>
  <si>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</si>
  <si>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</si>
  <si>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</si>
  <si>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</si>
  <si>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</si>
  <si>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</si>
  <si>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</si>
  <si>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</si>
  <si>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</si>
  <si>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</si>
  <si>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</si>
  <si>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</si>
  <si>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</si>
  <si>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</si>
  <si>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</si>
  <si>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</si>
  <si>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</si>
  <si>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</si>
  <si>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</si>
  <si>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</si>
  <si>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</si>
  <si>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</si>
  <si>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</si>
  <si>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</si>
  <si>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</si>
  <si>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</si>
  <si>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</si>
  <si>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</si>
  <si>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</si>
  <si>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</si>
  <si>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</si>
  <si>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</si>
  <si>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</si>
  <si>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</si>
  <si>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</si>
  <si>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</si>
  <si>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</si>
  <si>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</si>
  <si>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</si>
  <si>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</si>
  <si>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</si>
  <si>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</si>
  <si>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</si>
  <si>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</si>
  <si>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</si>
  <si>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</si>
  <si>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</si>
  <si>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</si>
  <si>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</si>
  <si>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</si>
  <si>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</si>
  <si>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</si>
  <si>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</si>
  <si>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</si>
  <si>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</si>
  <si>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</si>
  <si>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</si>
  <si>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</si>
  <si>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</si>
  <si>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</si>
  <si>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</si>
  <si>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</si>
  <si>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</si>
  <si>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</si>
  <si>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</si>
  <si>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</si>
  <si>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</si>
  <si>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</si>
  <si>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</si>
  <si>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</si>
  <si>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</si>
  <si>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</si>
  <si>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</si>
  <si>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</si>
  <si>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</si>
  <si>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</si>
  <si>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</si>
  <si>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</si>
  <si>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</si>
  <si>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</si>
  <si>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</si>
  <si>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</si>
  <si>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</si>
  <si>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</si>
  <si>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</si>
  <si>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</si>
  <si>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</si>
  <si>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</si>
  <si>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</si>
  <si>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</si>
  <si>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</si>
  <si>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</si>
  <si>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</si>
  <si>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</si>
  <si>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</si>
  <si>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</si>
  <si>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</si>
  <si>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</si>
  <si>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</si>
  <si>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</si>
  <si>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</si>
  <si>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</si>
  <si>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</si>
  <si>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</si>
  <si>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</si>
  <si>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</si>
  <si>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</si>
  <si>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</si>
  <si>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</si>
  <si>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</si>
  <si>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</si>
  <si>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</si>
  <si>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</si>
  <si>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</si>
  <si>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</si>
  <si>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</si>
  <si>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</si>
  <si>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</si>
  <si>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</si>
  <si>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</si>
  <si>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</si>
  <si>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</si>
  <si>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</si>
  <si>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</si>
  <si>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</si>
  <si>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</si>
  <si>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</si>
  <si>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</si>
  <si>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</si>
  <si>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</si>
  <si>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</si>
  <si>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</si>
  <si>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</si>
  <si>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</si>
  <si>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</si>
  <si>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</si>
  <si>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</si>
  <si>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</si>
  <si>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</si>
  <si>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</si>
  <si>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</si>
  <si>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</si>
  <si>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</si>
  <si>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</si>
  <si>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</si>
  <si>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</si>
  <si>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</si>
  <si>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</si>
  <si>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</si>
  <si>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</si>
  <si>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</si>
  <si>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</si>
  <si>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</si>
  <si>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</si>
  <si>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</si>
  <si>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</si>
  <si>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</si>
  <si>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</si>
  <si>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</si>
  <si>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</si>
  <si>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</si>
  <si>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</si>
  <si>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</si>
  <si>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</si>
  <si>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</si>
  <si>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</si>
  <si>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</si>
  <si>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</si>
  <si>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</si>
  <si>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</si>
  <si>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</si>
  <si>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</si>
  <si>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</si>
  <si>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</si>
  <si>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</si>
  <si>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</si>
  <si>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</si>
  <si>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</si>
  <si>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</si>
  <si>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</si>
  <si>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</si>
  <si>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</si>
  <si>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</si>
  <si>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</si>
  <si>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</si>
  <si>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</si>
  <si>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</si>
  <si>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</si>
  <si>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</si>
  <si>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</si>
  <si>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</si>
  <si>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</si>
  <si>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</si>
  <si>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</si>
  <si>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</si>
  <si>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</si>
  <si>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</si>
  <si>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</si>
  <si>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</si>
  <si>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</si>
  <si>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</si>
  <si>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</si>
  <si>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</si>
  <si>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</si>
  <si>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</si>
  <si>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</si>
  <si>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</si>
  <si>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</si>
  <si>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</si>
  <si>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</si>
  <si>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</si>
  <si>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</si>
  <si>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</si>
  <si>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</si>
  <si>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</si>
  <si>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</si>
  <si>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</si>
  <si>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</si>
  <si>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</si>
  <si>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</si>
  <si>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</si>
  <si>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</si>
  <si>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</si>
  <si>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</si>
  <si>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</si>
  <si>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</si>
  <si>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</si>
  <si>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</si>
  <si>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</si>
  <si>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</si>
  <si>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</si>
  <si>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</si>
  <si>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</si>
  <si>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</si>
  <si>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</si>
  <si>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</si>
  <si>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</si>
  <si>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</si>
  <si>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</si>
  <si>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</si>
  <si>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</si>
  <si>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</si>
  <si>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</si>
  <si>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</si>
  <si>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</si>
  <si>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</si>
  <si>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</si>
  <si>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</si>
  <si>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</si>
  <si>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</si>
  <si>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</si>
  <si>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</si>
  <si>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</si>
  <si>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</si>
  <si>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</si>
  <si>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</si>
  <si>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</si>
  <si>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</si>
  <si>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</si>
  <si>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</si>
  <si>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</si>
  <si>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</si>
  <si>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</si>
  <si>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</si>
  <si>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</si>
  <si>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</si>
  <si>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</si>
  <si>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</si>
  <si>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</si>
  <si>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</si>
  <si>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</si>
  <si>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</si>
  <si>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</si>
  <si>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</si>
  <si>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</si>
  <si>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</si>
  <si>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</si>
  <si>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</si>
  <si>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</si>
  <si>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</si>
  <si>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</si>
  <si>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</si>
  <si>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</si>
  <si>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</si>
  <si>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</si>
  <si>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</si>
  <si>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</si>
  <si>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</si>
  <si>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</si>
  <si>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</si>
  <si>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</si>
  <si>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</si>
  <si>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</si>
  <si>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</si>
  <si>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</si>
  <si>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</si>
  <si>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</si>
  <si>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</si>
  <si>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</si>
  <si>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</si>
  <si>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</si>
  <si>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</si>
  <si>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</si>
  <si>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</si>
  <si>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</si>
  <si>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</si>
  <si>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</si>
  <si>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</si>
  <si>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</si>
  <si>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</si>
  <si>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</si>
  <si>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</si>
  <si>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</si>
  <si>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</si>
  <si>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</si>
  <si>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</si>
  <si>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</si>
  <si>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</si>
  <si>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</si>
  <si>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</si>
  <si>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</si>
  <si>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</si>
  <si>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</si>
  <si>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</si>
  <si>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</si>
  <si>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</si>
  <si>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</si>
  <si>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</si>
  <si>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</si>
  <si>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</si>
  <si>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</si>
  <si>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</si>
  <si>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</si>
  <si>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</si>
  <si>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</si>
  <si>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</si>
  <si>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</si>
  <si>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</si>
  <si>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</si>
  <si>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</si>
  <si>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</si>
  <si>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</si>
  <si>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</si>
  <si>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</si>
  <si>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</si>
  <si>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</si>
  <si>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</si>
  <si>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</si>
  <si>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</si>
  <si>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</si>
  <si>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</si>
  <si>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</si>
  <si>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</si>
  <si>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</si>
  <si>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</si>
  <si>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</si>
  <si>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</si>
  <si>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</si>
  <si>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</si>
  <si>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</si>
  <si>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</si>
  <si>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</si>
  <si>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</si>
  <si>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</si>
  <si>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</si>
  <si>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</si>
  <si>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</si>
  <si>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</si>
  <si>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</si>
  <si>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</si>
  <si>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</si>
  <si>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</si>
  <si>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</si>
  <si>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</si>
  <si>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</si>
  <si>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</si>
  <si>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</si>
  <si>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</si>
  <si>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</si>
  <si>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</si>
  <si>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</si>
  <si>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</si>
  <si>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</si>
  <si>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</si>
  <si>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</si>
  <si>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</si>
  <si>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</si>
  <si>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</si>
  <si>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</si>
  <si>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</si>
  <si>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</si>
  <si>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</si>
  <si>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</si>
  <si>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</si>
  <si>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</si>
  <si>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</si>
  <si>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</si>
  <si>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</si>
  <si>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</si>
  <si>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</si>
  <si>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</si>
  <si>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</si>
  <si>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</si>
  <si>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</si>
  <si>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</si>
  <si>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</si>
  <si>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</si>
  <si>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</si>
  <si>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</si>
  <si>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</si>
  <si>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</si>
  <si>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</si>
  <si>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</si>
  <si>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</si>
  <si>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</si>
  <si>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</si>
  <si>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</si>
  <si>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</si>
  <si>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</si>
  <si>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</si>
  <si>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</si>
  <si>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</si>
  <si>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</si>
  <si>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</si>
  <si>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</si>
  <si>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</si>
  <si>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</si>
  <si>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</si>
  <si>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</si>
  <si>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</si>
  <si>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</si>
  <si>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</si>
  <si>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</si>
  <si>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</si>
  <si>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</si>
  <si>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</si>
  <si>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</si>
  <si>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</si>
  <si>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</si>
  <si>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</si>
  <si>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</si>
  <si>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</si>
  <si>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</si>
  <si>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</si>
  <si>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</si>
  <si>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</si>
  <si>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</si>
  <si>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</si>
  <si>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</si>
  <si>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</si>
  <si>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</si>
  <si>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</si>
  <si>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</si>
  <si>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</si>
  <si>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</si>
  <si>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</si>
  <si>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</si>
  <si>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</si>
  <si>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</si>
  <si>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</si>
  <si>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</si>
  <si>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</si>
  <si>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</si>
  <si>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</si>
  <si>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</si>
  <si>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</si>
  <si>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</si>
  <si>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</si>
  <si>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</si>
  <si>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</si>
  <si>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</si>
  <si>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</si>
  <si>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</si>
  <si>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</si>
  <si>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</si>
  <si>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</si>
  <si>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</si>
  <si>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</si>
  <si>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</si>
  <si>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</si>
  <si>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</si>
  <si>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</si>
  <si>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</si>
  <si>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</si>
  <si>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</si>
  <si>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</si>
  <si>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</si>
  <si>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</si>
  <si>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</si>
  <si>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</si>
  <si>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</si>
  <si>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</si>
  <si>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</si>
  <si>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</si>
  <si>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</si>
  <si>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</si>
  <si>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</si>
  <si>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</si>
  <si>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</si>
  <si>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</si>
  <si>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</si>
  <si>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</si>
  <si>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</si>
  <si>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</si>
  <si>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</si>
  <si>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</si>
  <si>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</si>
  <si>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</si>
  <si>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</si>
  <si>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</si>
  <si>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</si>
  <si>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</si>
  <si>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</si>
  <si>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</si>
  <si>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</si>
  <si>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</si>
  <si>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</si>
  <si>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</si>
  <si>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</si>
  <si>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</si>
  <si>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</si>
  <si>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</si>
  <si>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</si>
  <si>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</si>
  <si>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</si>
  <si>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</si>
  <si>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</si>
  <si>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</si>
  <si>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</si>
  <si>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</si>
  <si>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</si>
  <si>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</si>
  <si>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</si>
  <si>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</si>
  <si>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</si>
  <si>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</si>
  <si>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</si>
  <si>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</si>
  <si>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</si>
  <si>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</si>
  <si>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</si>
  <si>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</si>
  <si>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</si>
  <si>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</si>
  <si>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</si>
  <si>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</si>
  <si>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</si>
  <si>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</si>
  <si>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</si>
  <si>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</si>
  <si>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</si>
  <si>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</si>
  <si>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</si>
  <si>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</si>
  <si>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</si>
  <si>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</si>
  <si>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</si>
  <si>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</si>
  <si>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</si>
  <si>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</si>
  <si>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</si>
  <si>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</si>
  <si>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</si>
  <si>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</si>
  <si>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</si>
  <si>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</si>
  <si>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</si>
  <si>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</si>
  <si>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</si>
  <si>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</si>
  <si>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</si>
  <si>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</si>
  <si>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</si>
  <si>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</si>
  <si>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</si>
  <si>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</si>
  <si>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</si>
  <si>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</si>
  <si>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</si>
  <si>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</si>
  <si>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</si>
  <si>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</si>
  <si>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</si>
  <si>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</si>
  <si>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</si>
  <si>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</si>
  <si>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</si>
  <si>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</si>
  <si>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</si>
  <si>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</si>
  <si>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</si>
  <si>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</si>
  <si>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</si>
  <si>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</si>
  <si>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</si>
  <si>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</si>
  <si>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</si>
  <si>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</si>
  <si>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</si>
  <si>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</si>
  <si>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</si>
  <si>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</si>
  <si>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</si>
  <si>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</si>
  <si>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</si>
  <si>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</si>
  <si>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</si>
  <si>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</si>
  <si>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</si>
  <si>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</si>
  <si>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</si>
  <si>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</si>
  <si>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</si>
  <si>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</si>
  <si>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</si>
  <si>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</si>
  <si>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</si>
  <si>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</si>
  <si>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</si>
  <si>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</si>
  <si>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</si>
  <si>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</si>
  <si>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</si>
  <si>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</si>
  <si>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</si>
  <si>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</si>
  <si>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</si>
  <si>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</si>
  <si>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</si>
  <si>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</si>
  <si>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</si>
  <si>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</si>
  <si>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</si>
  <si>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</si>
  <si>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</si>
  <si>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</si>
  <si>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</si>
  <si>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</si>
  <si>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</si>
  <si>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</si>
  <si>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</si>
  <si>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</si>
  <si>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</si>
  <si>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</si>
  <si>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</si>
  <si>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</si>
  <si>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</si>
  <si>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</si>
  <si>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</si>
  <si>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</si>
  <si>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</si>
  <si>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</si>
  <si>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</si>
  <si>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</si>
  <si>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</si>
  <si>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</si>
  <si>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</si>
  <si>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</si>
  <si>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</si>
  <si>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</si>
  <si>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</si>
  <si>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</si>
  <si>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</si>
  <si>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</si>
  <si>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</si>
  <si>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</si>
  <si>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</si>
  <si>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</si>
  <si>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</si>
  <si>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</si>
  <si>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</si>
  <si>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</si>
  <si>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</si>
  <si>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</si>
  <si>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</si>
  <si>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</si>
  <si>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</si>
  <si>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</si>
  <si>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</si>
  <si>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</si>
  <si>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</si>
  <si>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</si>
  <si>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</si>
  <si>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</si>
  <si>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</si>
  <si>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</si>
  <si>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</si>
  <si>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</si>
  <si>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</si>
  <si>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</si>
  <si>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</si>
  <si>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</si>
  <si>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</si>
  <si>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</si>
  <si>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</si>
  <si>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</si>
  <si>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</si>
  <si>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</si>
  <si>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</si>
  <si>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</si>
  <si>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</si>
  <si>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</si>
  <si>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</si>
  <si>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</si>
  <si>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</si>
  <si>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</si>
  <si>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</si>
  <si>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</si>
  <si>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</si>
  <si>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</si>
  <si>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</si>
  <si>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</si>
  <si>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</si>
  <si>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</si>
  <si>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</si>
  <si>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</si>
  <si>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</si>
  <si>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</si>
  <si>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</si>
  <si>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</si>
  <si>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</si>
  <si>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</si>
  <si>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</si>
  <si>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</si>
  <si>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</si>
  <si>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</si>
  <si>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</si>
  <si>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</si>
  <si>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</si>
  <si>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</si>
  <si>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</si>
  <si>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</si>
  <si>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</si>
  <si>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</si>
  <si>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</si>
  <si>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</si>
  <si>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</si>
  <si>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</si>
  <si>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</si>
  <si>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</si>
  <si>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</si>
  <si>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</si>
  <si>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</si>
  <si>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</si>
  <si>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</si>
  <si>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</si>
  <si>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</si>
  <si>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</si>
  <si>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</si>
  <si>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</si>
  <si>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</si>
  <si>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</si>
  <si>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</si>
  <si>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</si>
  <si>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</si>
  <si>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</si>
  <si>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</si>
  <si>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</si>
  <si>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</si>
  <si>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</si>
  <si>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</si>
  <si>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</si>
  <si>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</si>
  <si>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</si>
  <si>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</si>
  <si>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</si>
  <si>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</si>
  <si>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</si>
  <si>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</si>
  <si>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</si>
  <si>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</si>
  <si>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</si>
  <si>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</si>
  <si>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</si>
  <si>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</si>
  <si>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</si>
  <si>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</si>
  <si>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</si>
  <si>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</si>
  <si>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</si>
  <si>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</si>
  <si>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</si>
  <si>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</si>
  <si>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</si>
  <si>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</si>
  <si>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</si>
  <si>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</si>
  <si>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</si>
  <si>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</si>
  <si>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</si>
  <si>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</si>
  <si>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</si>
  <si>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</si>
  <si>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</si>
  <si>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</si>
  <si>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</si>
  <si>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</si>
  <si>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</si>
  <si>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</si>
  <si>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</si>
  <si>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</si>
  <si>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</si>
  <si>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</si>
  <si>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</si>
  <si>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</si>
  <si>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</si>
  <si>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</si>
  <si>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</si>
  <si>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</si>
  <si>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</si>
  <si>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</si>
  <si>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</si>
  <si>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</si>
  <si>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</si>
  <si>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</si>
  <si>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</si>
  <si>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</si>
  <si>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</si>
  <si>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</si>
  <si>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</si>
  <si>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</si>
  <si>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</si>
  <si>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</si>
  <si>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</si>
  <si>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</si>
  <si>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</si>
  <si>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</si>
  <si>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</si>
  <si>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</si>
  <si>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</si>
  <si>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</si>
  <si>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</si>
  <si>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</si>
  <si>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</si>
  <si>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</si>
  <si>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</si>
  <si>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</si>
  <si>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</si>
  <si>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</si>
  <si>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</si>
  <si>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</si>
  <si>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</si>
  <si>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</si>
  <si>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</si>
  <si>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</si>
  <si>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</si>
  <si>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</si>
  <si>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</si>
  <si>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</si>
  <si>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</si>
  <si>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</si>
  <si>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</si>
  <si>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</si>
  <si>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</si>
  <si>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</si>
  <si>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</si>
  <si>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</si>
  <si>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</si>
  <si>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</si>
  <si>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</si>
  <si>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</si>
  <si>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</si>
  <si>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</si>
  <si>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</si>
  <si>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</si>
  <si>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</si>
  <si>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</si>
  <si>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</si>
  <si>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</si>
  <si>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</si>
  <si>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</si>
  <si>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</si>
  <si>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</si>
  <si>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</si>
  <si>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</si>
  <si>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</si>
  <si>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</si>
  <si>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</si>
  <si>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</si>
  <si>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</si>
  <si>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</si>
  <si>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</si>
  <si>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</si>
  <si>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</si>
  <si>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</si>
  <si>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</si>
  <si>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</si>
  <si>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</si>
  <si>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</si>
  <si>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</si>
  <si>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</si>
  <si>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</si>
  <si>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</si>
  <si>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</si>
  <si>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</si>
  <si>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</si>
  <si>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</si>
  <si>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</si>
  <si>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</si>
  <si>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</si>
  <si>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</si>
  <si>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</si>
  <si>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</si>
  <si>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</si>
  <si>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</si>
  <si>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</si>
  <si>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</si>
  <si>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</si>
  <si>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</si>
  <si>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</si>
  <si>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</si>
  <si>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</si>
  <si>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</si>
  <si>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</si>
  <si>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</si>
  <si>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</si>
  <si>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</si>
  <si>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</si>
  <si>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</si>
  <si>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</si>
  <si>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</si>
  <si>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</si>
  <si>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</si>
  <si>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</si>
  <si>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</si>
  <si>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</si>
  <si>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</si>
  <si>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</si>
  <si>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</si>
  <si>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</si>
  <si>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</si>
  <si>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</si>
  <si>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</si>
  <si>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</si>
  <si>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</si>
  <si>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</si>
  <si>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</si>
  <si>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</si>
  <si>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</si>
  <si>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</si>
  <si>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</si>
  <si>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</si>
  <si>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</si>
  <si>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</si>
  <si>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</si>
  <si>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</si>
  <si>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</si>
  <si>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</si>
  <si>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</si>
  <si>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</si>
  <si>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</si>
  <si>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</si>
  <si>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</si>
  <si>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</si>
  <si>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</si>
  <si>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</si>
  <si>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</si>
  <si>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</si>
  <si>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</si>
  <si>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</si>
  <si>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</si>
  <si>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</si>
  <si>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</si>
  <si>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</si>
  <si>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</si>
  <si>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</si>
  <si>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</si>
  <si>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</si>
  <si>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</si>
  <si>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</si>
  <si>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</si>
  <si>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</si>
  <si>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</si>
  <si>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</si>
  <si>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</si>
  <si>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</si>
  <si>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</si>
  <si>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</si>
  <si>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</si>
  <si>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</si>
  <si>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</si>
  <si>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</si>
  <si>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</si>
  <si>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</si>
  <si>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</si>
  <si>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</si>
  <si>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</si>
  <si>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</si>
  <si>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</si>
  <si>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</si>
  <si>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</si>
  <si>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</si>
  <si>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</si>
  <si>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</si>
  <si>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</si>
  <si>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</si>
  <si>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</si>
  <si>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</si>
  <si>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</si>
  <si>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</si>
  <si>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</si>
  <si>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</si>
  <si>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</si>
  <si>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</si>
  <si>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</si>
  <si>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</si>
  <si>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</si>
  <si>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</si>
  <si>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</si>
  <si>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</si>
  <si>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</si>
  <si>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</si>
  <si>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</si>
  <si>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</si>
  <si>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</si>
  <si>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</si>
  <si>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</si>
  <si>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</si>
  <si>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</si>
  <si>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</si>
  <si>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</si>
  <si>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</si>
  <si>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</si>
  <si>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</si>
  <si>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</si>
  <si>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</si>
  <si>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</si>
  <si>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</si>
  <si>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</si>
  <si>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</si>
  <si>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</si>
  <si>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</si>
  <si>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</si>
  <si>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</si>
  <si>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</si>
  <si>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</si>
  <si>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</si>
  <si>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</si>
  <si>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</si>
  <si>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</si>
  <si>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</si>
  <si>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</si>
  <si>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</si>
  <si>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</si>
  <si>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</si>
  <si>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</si>
  <si>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</si>
  <si>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</si>
  <si>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</si>
  <si>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</si>
  <si>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</si>
  <si>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</si>
  <si>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</si>
  <si>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</si>
  <si>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</si>
  <si>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</si>
  <si>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</si>
  <si>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</si>
  <si>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</si>
  <si>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</si>
  <si>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</si>
  <si>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</si>
  <si>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</si>
  <si>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</si>
  <si>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</si>
  <si>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</si>
  <si>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</si>
  <si>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</si>
  <si>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</si>
  <si>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</si>
  <si>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</si>
  <si>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</si>
  <si>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</si>
  <si>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</si>
  <si>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</si>
  <si>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</si>
  <si>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</si>
  <si>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</si>
  <si>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</si>
  <si>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</si>
  <si>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</si>
  <si>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</si>
  <si>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</si>
  <si>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</si>
  <si>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</si>
  <si>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</si>
  <si>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</si>
  <si>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</si>
  <si>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</si>
  <si>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</si>
  <si>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</si>
  <si>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</si>
  <si>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</si>
  <si>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</si>
  <si>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</si>
  <si>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</si>
  <si>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</si>
  <si>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</si>
  <si>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</si>
  <si>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</si>
  <si>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</si>
  <si>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</si>
  <si>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</si>
  <si>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</si>
  <si>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</si>
  <si>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</si>
  <si>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</si>
  <si>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</si>
  <si>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</si>
  <si>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</si>
  <si>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</si>
  <si>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</si>
  <si>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</si>
  <si>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</si>
  <si>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</si>
  <si>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</si>
  <si>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</si>
  <si>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</si>
  <si>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</si>
  <si>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</si>
  <si>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</si>
  <si>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</si>
  <si>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</si>
  <si>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</si>
  <si>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</si>
  <si>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</si>
  <si>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</si>
  <si>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</si>
  <si>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</si>
  <si>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</si>
  <si>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</si>
  <si>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</si>
  <si>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</si>
  <si>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</si>
  <si>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</si>
  <si>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</si>
  <si>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</si>
  <si>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</si>
  <si>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</si>
  <si>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</si>
  <si>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</si>
  <si>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</si>
  <si>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</si>
  <si>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</si>
  <si>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</si>
  <si>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</si>
  <si>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</si>
  <si>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</si>
  <si>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</si>
  <si>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</si>
  <si>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</si>
  <si>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</si>
  <si>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</si>
  <si>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</si>
  <si>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</si>
  <si>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</si>
  <si>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</si>
  <si>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</si>
  <si>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</si>
  <si>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</si>
  <si>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</si>
  <si>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</si>
  <si>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</si>
  <si>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</si>
  <si>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</si>
  <si>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</si>
  <si>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</si>
  <si>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</si>
  <si>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</si>
  <si>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</si>
  <si>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</si>
  <si>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</si>
  <si>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</si>
  <si>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</si>
  <si>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</si>
  <si>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</si>
  <si>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</si>
  <si>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</si>
  <si>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</si>
  <si>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</si>
  <si>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</si>
  <si>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</si>
  <si>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</si>
  <si>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</si>
  <si>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</si>
  <si>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</si>
  <si>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</si>
  <si>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</si>
  <si>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</si>
  <si>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</si>
  <si>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</si>
  <si>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</si>
  <si>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</si>
  <si>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</si>
  <si>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</si>
  <si>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</si>
  <si>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</si>
  <si>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</si>
  <si>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</si>
  <si>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</si>
  <si>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</si>
  <si>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</si>
  <si>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</si>
  <si>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</si>
  <si>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</si>
  <si>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</si>
  <si>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</si>
  <si>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</si>
  <si>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</si>
  <si>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</si>
  <si>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</si>
  <si>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</si>
  <si>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</si>
  <si>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</si>
  <si>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</si>
  <si>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</si>
  <si>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</si>
  <si>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</si>
  <si>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</si>
  <si>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</si>
  <si>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</si>
  <si>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</si>
  <si>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</si>
  <si>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</si>
  <si>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</si>
  <si>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</si>
  <si>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</si>
  <si>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</si>
  <si>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</si>
  <si>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</si>
  <si>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</si>
  <si>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</si>
  <si>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</si>
  <si>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</si>
  <si>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</si>
  <si>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</si>
  <si>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</si>
  <si>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</si>
  <si>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</si>
  <si>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</si>
  <si>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</si>
  <si>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</si>
  <si>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</si>
  <si>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</si>
  <si>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</si>
  <si>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</si>
  <si>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</si>
  <si>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</si>
  <si>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</si>
  <si>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</si>
  <si>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</si>
  <si>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</si>
  <si>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</si>
  <si>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</si>
  <si>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</si>
  <si>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</si>
  <si>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</si>
  <si>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</si>
  <si>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</si>
  <si>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</si>
  <si>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</si>
  <si>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</si>
  <si>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</si>
  <si>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</si>
  <si>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</si>
  <si>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</si>
  <si>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</si>
  <si>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</si>
  <si>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</si>
  <si>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</si>
  <si>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</si>
  <si>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</si>
  <si>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</si>
  <si>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</si>
  <si>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</si>
  <si>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</si>
  <si>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</si>
  <si>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</si>
  <si>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</si>
  <si>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</si>
  <si>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</si>
  <si>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</si>
  <si>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</si>
  <si>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</si>
  <si>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</si>
  <si>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</si>
  <si>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</si>
  <si>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</si>
  <si>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</si>
  <si>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</si>
  <si>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</si>
  <si>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</si>
  <si>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</si>
  <si>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</si>
  <si>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</si>
  <si>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</si>
  <si>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</si>
  <si>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</si>
  <si>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</si>
  <si>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</si>
  <si>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</si>
  <si>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</si>
  <si>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</si>
  <si>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</si>
  <si>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</si>
  <si>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</si>
  <si>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</si>
  <si>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</si>
  <si>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</si>
  <si>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</si>
  <si>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</si>
  <si>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</si>
  <si>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</si>
  <si>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</si>
  <si>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</si>
  <si>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</si>
  <si>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</si>
  <si>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</si>
  <si>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</si>
  <si>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</si>
  <si>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</si>
  <si>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</si>
  <si>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</si>
  <si>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</si>
  <si>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</si>
  <si>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</si>
  <si>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</si>
  <si>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</si>
  <si>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</si>
  <si>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</si>
  <si>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</si>
  <si>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</si>
  <si>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</si>
  <si>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</si>
  <si>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</si>
  <si>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</si>
  <si>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</si>
  <si>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</si>
  <si>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</si>
  <si>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</si>
  <si>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</si>
  <si>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</si>
  <si>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</si>
  <si>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</si>
  <si>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</si>
  <si>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</si>
  <si>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</si>
  <si>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</si>
  <si>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</si>
  <si>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</si>
  <si>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</si>
  <si>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</si>
  <si>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</si>
  <si>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</si>
  <si>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</si>
  <si>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</si>
  <si>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</si>
  <si>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</si>
  <si>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</si>
  <si>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</si>
  <si>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</si>
  <si>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</si>
  <si>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</si>
  <si>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</si>
  <si>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</si>
  <si>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</si>
  <si>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</si>
  <si>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</si>
  <si>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</si>
  <si>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</si>
  <si>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</si>
  <si>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</si>
  <si>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</si>
  <si>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</si>
  <si>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</si>
  <si>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</si>
  <si>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</si>
  <si>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</si>
  <si>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</si>
  <si>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</si>
  <si>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</si>
  <si>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</si>
  <si>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</si>
  <si>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</si>
  <si>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</si>
  <si>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</si>
  <si>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</si>
  <si>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</si>
  <si>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</si>
  <si>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</si>
  <si>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</si>
  <si>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</si>
  <si>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</si>
  <si>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</si>
  <si>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</si>
  <si>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</si>
  <si>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</si>
  <si>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</si>
  <si>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</si>
  <si>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</si>
  <si>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</si>
  <si>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</si>
  <si>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</si>
  <si>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</si>
  <si>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</si>
  <si>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</si>
  <si>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</si>
  <si>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</si>
  <si>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</si>
  <si>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</si>
  <si>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</si>
  <si>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</si>
  <si>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</si>
  <si>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</si>
  <si>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</si>
  <si>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</si>
  <si>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</si>
  <si>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</si>
  <si>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</si>
  <si>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</si>
  <si>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</si>
  <si>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</si>
  <si>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</si>
  <si>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</si>
  <si>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</si>
  <si>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</si>
  <si>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</si>
  <si>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</si>
  <si>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</si>
  <si>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</si>
  <si>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</si>
  <si>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</si>
  <si>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</si>
  <si>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</si>
  <si>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</si>
  <si>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</si>
  <si>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</si>
  <si>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</si>
  <si>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</si>
  <si>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</si>
  <si>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</si>
  <si>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</si>
  <si>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</si>
  <si>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</si>
  <si>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</si>
  <si>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</si>
  <si>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</si>
  <si>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</si>
  <si>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</si>
  <si>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</si>
  <si>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</si>
  <si>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</si>
  <si>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</si>
  <si>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</si>
  <si>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</si>
  <si>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</si>
  <si>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</si>
  <si>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</si>
  <si>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</si>
  <si>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</si>
  <si>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</si>
  <si>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</si>
  <si>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</si>
  <si>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</si>
  <si>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</si>
  <si>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</si>
  <si>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</si>
  <si>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</si>
  <si>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</si>
  <si>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</si>
  <si>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</si>
  <si>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</si>
  <si>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</si>
  <si>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</si>
  <si>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</si>
  <si>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</si>
  <si>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</si>
  <si>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</si>
  <si>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</si>
  <si>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</si>
  <si>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</si>
  <si>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</si>
  <si>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</si>
  <si>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</si>
  <si>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</si>
  <si>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</si>
  <si>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</si>
  <si>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</si>
  <si>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</si>
  <si>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</si>
  <si>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</si>
  <si>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</si>
  <si>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</si>
  <si>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</si>
  <si>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</si>
  <si>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</si>
  <si>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</si>
  <si>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</si>
  <si>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</si>
  <si>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</si>
  <si>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</si>
  <si>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</si>
  <si>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</si>
  <si>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</si>
  <si>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</si>
  <si>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</si>
  <si>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</si>
  <si>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</si>
  <si>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</si>
  <si>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</si>
  <si>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</si>
  <si>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</si>
  <si>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</si>
  <si>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</si>
  <si>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</si>
  <si>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</si>
  <si>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</si>
  <si>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</si>
  <si>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</si>
  <si>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</si>
  <si>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</si>
  <si>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</si>
  <si>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</si>
  <si>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</si>
  <si>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</si>
  <si>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</si>
  <si>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</si>
  <si>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</si>
  <si>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</si>
  <si>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</si>
  <si>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</si>
  <si>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</si>
  <si>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</si>
  <si>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</si>
  <si>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</si>
  <si>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</si>
  <si>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</si>
  <si>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</si>
  <si>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</si>
  <si>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</si>
  <si>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</si>
  <si>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</si>
  <si>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</si>
  <si>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</si>
  <si>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</si>
  <si>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</si>
  <si>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</si>
  <si>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</si>
  <si>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</si>
  <si>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</si>
  <si>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</si>
  <si>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</si>
  <si>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</si>
  <si>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</si>
  <si>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</si>
  <si>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</si>
  <si>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</si>
  <si>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</si>
  <si>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</si>
  <si>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</si>
  <si>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</si>
  <si>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</si>
  <si>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</si>
  <si>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</si>
  <si>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</si>
  <si>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</si>
  <si>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</si>
  <si>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</si>
  <si>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</si>
  <si>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</si>
  <si>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</si>
  <si>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</si>
  <si>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</si>
  <si>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</si>
  <si>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</si>
  <si>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</si>
  <si>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</si>
  <si>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</si>
  <si>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</si>
  <si>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</si>
  <si>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</si>
  <si>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</si>
  <si>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</si>
  <si>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</si>
  <si>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</si>
  <si>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</si>
  <si>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</si>
  <si>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</si>
  <si>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</si>
  <si>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</si>
  <si>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</si>
  <si>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</si>
  <si>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</si>
  <si>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</si>
  <si>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</si>
  <si>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</si>
  <si>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</si>
  <si>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</si>
  <si>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</si>
  <si>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</si>
  <si>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</si>
  <si>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</si>
  <si>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</si>
  <si>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</si>
  <si>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</si>
  <si>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</si>
  <si>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</si>
  <si>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</si>
  <si>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</si>
  <si>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</si>
  <si>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</si>
  <si>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</si>
  <si>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</si>
  <si>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</si>
  <si>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</si>
  <si>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</si>
  <si>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</si>
  <si>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</si>
  <si>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</si>
  <si>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</si>
  <si>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</si>
  <si>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</si>
  <si>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</si>
  <si>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</si>
  <si>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</si>
  <si>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</si>
  <si>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</si>
  <si>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</si>
  <si>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</si>
  <si>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</si>
  <si>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</si>
  <si>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</si>
  <si>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</si>
  <si>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</si>
  <si>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</si>
  <si>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</si>
  <si>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</si>
  <si>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</si>
  <si>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</si>
  <si>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</si>
  <si>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</si>
  <si>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</si>
  <si>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</si>
  <si>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</si>
  <si>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</si>
  <si>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</si>
  <si>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</si>
  <si>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</si>
  <si>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</si>
  <si>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</si>
  <si>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</si>
  <si>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</si>
  <si>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</si>
  <si>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</si>
  <si>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</si>
  <si>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</si>
  <si>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</si>
  <si>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</si>
  <si>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</si>
  <si>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</si>
  <si>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</si>
  <si>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</si>
  <si>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</si>
  <si>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</si>
  <si>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</si>
  <si>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</si>
  <si>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</si>
  <si>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</si>
  <si>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</si>
  <si>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</si>
  <si>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</si>
  <si>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</si>
  <si>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</si>
  <si>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</si>
  <si>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</si>
  <si>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</si>
  <si>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</si>
  <si>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</si>
  <si>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</si>
  <si>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</si>
  <si>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</si>
  <si>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</si>
  <si>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</si>
  <si>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</si>
  <si>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</si>
  <si>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</si>
  <si>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</si>
  <si>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</si>
  <si>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</si>
  <si>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</si>
  <si>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</si>
  <si>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</si>
  <si>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</si>
  <si>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</si>
  <si>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</si>
  <si>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</si>
  <si>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</si>
  <si>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</si>
  <si>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</si>
  <si>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</si>
  <si>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</si>
  <si>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</si>
  <si>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</si>
  <si>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</si>
  <si>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</si>
  <si>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</si>
  <si>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</si>
  <si>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</si>
  <si>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</si>
  <si>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</si>
  <si>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</si>
  <si>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</si>
  <si>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</si>
  <si>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</si>
  <si>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</si>
  <si>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</si>
  <si>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</si>
  <si>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</si>
  <si>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</si>
  <si>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</si>
  <si>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</si>
  <si>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</si>
  <si>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</si>
  <si>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</si>
  <si>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</si>
  <si>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</si>
  <si>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</si>
  <si>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</si>
  <si>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</si>
  <si>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</si>
  <si>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</si>
  <si>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</si>
  <si>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</si>
  <si>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</si>
  <si>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</si>
  <si>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</si>
  <si>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</si>
  <si>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</si>
  <si>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</si>
  <si>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</si>
  <si>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</si>
  <si>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</si>
  <si>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</si>
  <si>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</si>
  <si>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</si>
  <si>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</si>
  <si>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</si>
  <si>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</si>
  <si>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</si>
  <si>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</si>
  <si>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</si>
  <si>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</si>
  <si>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</si>
  <si>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</si>
  <si>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</si>
  <si>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</si>
  <si>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</si>
  <si>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</si>
  <si>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</si>
  <si>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</si>
  <si>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</si>
  <si>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</si>
  <si>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</si>
  <si>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</si>
  <si>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</si>
  <si>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</si>
  <si>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</si>
  <si>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</si>
  <si>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</si>
  <si>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</si>
  <si>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</si>
  <si>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</si>
  <si>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</si>
  <si>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</si>
  <si>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</si>
  <si>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</si>
  <si>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</si>
  <si>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</si>
  <si>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</si>
  <si>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</si>
  <si>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</si>
  <si>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</si>
  <si>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</si>
  <si>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</si>
  <si>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</si>
  <si>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</si>
  <si>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</si>
  <si>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</si>
  <si>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</si>
  <si>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</si>
  <si>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</si>
  <si>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</si>
  <si>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</si>
  <si>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</si>
  <si>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</si>
  <si>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</si>
  <si>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</si>
  <si>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</si>
  <si>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</si>
  <si>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</si>
  <si>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</si>
  <si>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</si>
  <si>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</si>
  <si>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</si>
  <si>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</si>
  <si>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</si>
  <si>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</si>
  <si>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</si>
  <si>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</si>
  <si>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</si>
  <si>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</si>
  <si>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</si>
  <si>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</si>
  <si>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</si>
  <si>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</si>
  <si>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</si>
  <si>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</si>
  <si>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</si>
  <si>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</si>
  <si>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</si>
  <si>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</si>
  <si>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</si>
  <si>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</si>
  <si>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</si>
  <si>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</si>
  <si>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</si>
  <si>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</si>
  <si>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</si>
  <si>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</si>
  <si>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</si>
  <si>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</si>
  <si>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</si>
  <si>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</si>
  <si>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</si>
  <si>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</si>
  <si>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</si>
  <si>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</si>
  <si>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</si>
  <si>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</si>
  <si>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</si>
  <si>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</si>
  <si>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</si>
  <si>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</si>
  <si>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</si>
  <si>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</si>
  <si>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</si>
  <si>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</si>
  <si>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</si>
  <si>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</si>
  <si>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</si>
  <si>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</si>
  <si>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4525245007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</si>
  <si>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</si>
  <si>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</si>
  <si>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</si>
  <si>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</si>
  <si>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</si>
  <si>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</si>
  <si>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</si>
  <si>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</si>
  <si>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</si>
  <si>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</si>
  <si>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</si>
  <si>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</si>
  <si>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</si>
  <si>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</si>
  <si>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</si>
  <si>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</si>
  <si>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</si>
  <si>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</si>
  <si>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</si>
  <si>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</si>
  <si>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</si>
  <si>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</si>
  <si>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</si>
  <si>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</si>
  <si>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</si>
  <si>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</si>
  <si>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</si>
  <si>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</si>
  <si>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</si>
  <si>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</si>
  <si>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</si>
  <si>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</si>
  <si>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</si>
  <si>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</si>
  <si>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</si>
  <si>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</si>
  <si>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</si>
  <si>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</si>
  <si>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</si>
  <si>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</si>
  <si>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</si>
  <si>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</si>
  <si>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</si>
  <si>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</si>
  <si>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</si>
  <si>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</si>
  <si>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</si>
  <si>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</si>
  <si>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</si>
  <si>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</si>
  <si>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</si>
  <si>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</si>
  <si>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</si>
  <si>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</si>
  <si>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</si>
  <si>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</si>
  <si>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</si>
  <si>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</si>
  <si>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</si>
  <si>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</si>
  <si>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</si>
  <si>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</si>
  <si>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</si>
  <si>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</si>
  <si>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</si>
  <si>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</si>
  <si>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</si>
  <si>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</si>
  <si>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</si>
  <si>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</si>
  <si>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</si>
  <si>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</si>
  <si>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</si>
  <si>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</si>
  <si>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</si>
  <si>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</si>
  <si>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</si>
  <si>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</si>
  <si>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</si>
  <si>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</si>
  <si>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</si>
  <si>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</si>
  <si>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</si>
  <si>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</si>
  <si>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</si>
  <si>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</si>
  <si>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</si>
  <si>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</si>
  <si>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</si>
  <si>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</si>
  <si>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</si>
  <si>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</si>
  <si>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</si>
  <si>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</si>
  <si>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</si>
  <si>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</si>
  <si>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</si>
  <si>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</si>
  <si>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</si>
  <si>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</si>
  <si>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</si>
  <si>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</si>
  <si>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</si>
  <si>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</si>
  <si>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</si>
  <si>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</si>
  <si>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</si>
  <si>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</si>
  <si>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</si>
  <si>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</si>
  <si>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</si>
  <si>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</si>
  <si>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</si>
  <si>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</si>
  <si>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</si>
  <si>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</si>
  <si>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</si>
  <si>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</si>
  <si>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</si>
  <si>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</si>
  <si>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</si>
  <si>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</si>
  <si>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</si>
  <si>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</si>
  <si>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</si>
  <si>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</si>
  <si>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</si>
  <si>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</si>
  <si>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</si>
  <si>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</si>
  <si>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</si>
  <si>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</si>
  <si>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</si>
  <si>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</si>
  <si>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</si>
  <si>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</si>
  <si>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</si>
  <si>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</si>
  <si>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</si>
  <si>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</si>
  <si>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</si>
  <si>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</si>
  <si>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</si>
  <si>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</si>
  <si>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</si>
  <si>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</si>
  <si>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</si>
  <si>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</si>
  <si>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</si>
  <si>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</si>
  <si>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</si>
  <si>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</si>
  <si>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</si>
  <si>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</si>
  <si>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</si>
  <si>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</si>
  <si>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</si>
  <si>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</si>
  <si>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</si>
  <si>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</si>
  <si>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</si>
  <si>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</si>
  <si>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</si>
  <si>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</si>
  <si>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</si>
  <si>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</si>
  <si>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</si>
  <si>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</si>
  <si>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</si>
  <si>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</si>
  <si>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</si>
  <si>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</si>
  <si>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</si>
  <si>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</si>
  <si>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</si>
  <si>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</si>
  <si>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</si>
  <si>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</si>
  <si>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</si>
  <si>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</si>
  <si>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</si>
  <si>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</si>
  <si>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</si>
  <si>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</si>
  <si>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</si>
  <si>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</si>
  <si>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</si>
  <si>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</si>
  <si>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</si>
  <si>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</si>
  <si>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</si>
  <si>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</si>
  <si>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</si>
  <si>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</si>
  <si>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</si>
  <si>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</si>
  <si>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</si>
  <si>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</si>
  <si>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</si>
  <si>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</si>
  <si>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</si>
  <si>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</si>
  <si>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</si>
  <si>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</si>
  <si>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</si>
  <si>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</si>
  <si>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</si>
  <si>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</si>
  <si>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</si>
  <si>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</si>
  <si>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kim.teglberg1@gmail.om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</si>
  <si>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</si>
  <si>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</si>
  <si>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</si>
  <si>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</si>
  <si>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</si>
  <si>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</si>
  <si>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</si>
  <si>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Esben, Jonatan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</si>
  <si>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</si>
  <si>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</si>
  <si>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</si>
  <si>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</si>
  <si>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</si>
  <si>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</si>
  <si>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</si>
  <si>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</si>
  <si>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</si>
  <si>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</si>
  <si>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</si>
  <si>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</si>
  <si>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</si>
  <si>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</si>
  <si>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</si>
  <si>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</si>
  <si>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</si>
  <si>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</si>
  <si>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</si>
  <si>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</si>
  <si>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</si>
  <si>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</si>
  <si>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</si>
  <si>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</si>
  <si>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</si>
  <si>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</si>
  <si>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</si>
  <si>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</si>
  <si>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</si>
  <si>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</si>
  <si>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</si>
  <si>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</si>
  <si>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</si>
  <si>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</si>
  <si>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</si>
  <si>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</si>
  <si>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</si>
  <si>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</si>
  <si>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</si>
  <si>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</si>
  <si>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</si>
  <si>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</si>
  <si>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</si>
  <si>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</si>
  <si>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</si>
  <si>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</si>
  <si>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</si>
  <si>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</si>
  <si>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</si>
  <si>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</si>
  <si>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</si>
  <si>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</si>
  <si>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</si>
  <si>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</si>
  <si>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</si>
  <si>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</si>
  <si>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</si>
  <si>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</si>
  <si>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</si>
  <si>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</si>
  <si>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</si>
  <si>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</si>
  <si>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</si>
  <si>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</si>
  <si>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</si>
  <si>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</si>
  <si>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</si>
  <si>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</si>
  <si>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</si>
  <si>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</si>
  <si>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</si>
  <si>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</si>
  <si>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</si>
  <si>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</si>
  <si>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</si>
  <si>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</si>
  <si>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</si>
  <si>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</si>
  <si>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</si>
  <si>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</si>
  <si>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</si>
  <si>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</si>
  <si>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</si>
  <si>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</si>
  <si>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</si>
  <si>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</si>
  <si>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</si>
  <si>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</si>
  <si>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</si>
  <si>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</si>
  <si>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</si>
  <si>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</si>
  <si>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</si>
  <si>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</si>
  <si>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</si>
  <si>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</si>
  <si>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</si>
  <si>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</si>
  <si>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</si>
  <si>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</si>
  <si>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</si>
  <si>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</si>
  <si>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</si>
  <si>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</si>
  <si>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</si>
  <si>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</si>
  <si>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</si>
  <si>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</si>
  <si>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</si>
  <si>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</si>
  <si>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</si>
  <si>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</si>
  <si>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</si>
  <si>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</si>
  <si>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</si>
  <si>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</si>
  <si>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</si>
  <si>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</si>
  <si>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</si>
  <si>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</si>
  <si>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</si>
  <si>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</si>
  <si>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</si>
  <si>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</si>
  <si>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</si>
  <si>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</si>
  <si>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</si>
  <si>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</si>
  <si>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</si>
  <si>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</si>
  <si>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</si>
  <si>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</si>
  <si>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</si>
  <si>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</si>
  <si>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</si>
  <si>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</si>
  <si>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</si>
  <si>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</si>
  <si>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</si>
  <si>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</si>
  <si>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</si>
  <si>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</si>
  <si>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</si>
  <si>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</si>
  <si>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</si>
  <si>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</si>
  <si>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</si>
  <si>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</si>
  <si>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</si>
  <si>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</si>
  <si>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</si>
  <si>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</si>
  <si>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</si>
  <si>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</si>
  <si>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</si>
  <si>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</si>
  <si>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</si>
  <si>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</si>
  <si>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</si>
  <si>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</si>
  <si>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</si>
  <si>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</si>
  <si>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</si>
  <si>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</si>
  <si>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</si>
  <si>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</si>
  <si>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</si>
  <si>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</si>
  <si>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</si>
  <si>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</si>
  <si>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</si>
  <si>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</si>
  <si>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</si>
  <si>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</si>
  <si>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</si>
  <si>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</si>
  <si>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</si>
  <si>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</si>
  <si>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</si>
  <si>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</si>
  <si>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</si>
  <si>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</si>
  <si>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</si>
  <si>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</si>
  <si>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</si>
  <si>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</si>
  <si>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</si>
  <si>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</si>
  <si>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</si>
  <si>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</si>
  <si>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</si>
  <si>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</si>
  <si>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</si>
  <si>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</si>
  <si>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</si>
  <si>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</si>
  <si>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</si>
  <si>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</si>
  <si>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</si>
  <si>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</si>
  <si>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</si>
  <si>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</si>
  <si>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</si>
  <si>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</si>
  <si>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</si>
  <si>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</si>
  <si>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</si>
  <si>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</si>
  <si>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Q(adrejse@gmail.com)</t>
  </si>
  <si>
    <t>Q(adsrejse@gmail.com)</t>
  </si>
  <si>
    <t>Q(aliceogjoel@mail.dk)</t>
  </si>
  <si>
    <t>Q(anette.holmslykke.andersen@gmail.com)</t>
  </si>
  <si>
    <t>Q(arne.sahlstedt@gmail.com)</t>
  </si>
  <si>
    <t>Q(brwa60@yahoo.se)</t>
  </si>
  <si>
    <t>Q(clauskaae@mail.dk)</t>
  </si>
  <si>
    <t>Q(cmejer55@gmail.com)</t>
  </si>
  <si>
    <t>Q(erpt67@gmail.com)</t>
  </si>
  <si>
    <t>Q(camillalr7@gmail.com)</t>
  </si>
  <si>
    <t>Q(grete_bossenmeyer@yahoo.fr)</t>
  </si>
  <si>
    <t>Q(gubbertsen@gmail.com)</t>
  </si>
  <si>
    <t>Q(hencom@webspeed.dk)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</si>
</sst>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5" fillId="0" borderId="4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/>
    <xf numFmtId="0" fontId="5" fillId="0" borderId="5" xfId="0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6" xfId="0" applyFont="1" applyFill="1" applyBorder="1"/>
    <xf numFmtId="164" fontId="3" fillId="2" borderId="5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0" xfId="0" applyFont="1" applyFill="1" applyBorder="1"/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5" fillId="2" borderId="6" xfId="0" applyFont="1" applyFill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49" fontId="0" fillId="0" borderId="10" xfId="0" applyNumberForma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10" fillId="0" borderId="10" xfId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0" fillId="0" borderId="2" xfId="1" applyBorder="1" applyAlignment="1">
      <alignment horizontal="center"/>
    </xf>
    <xf numFmtId="0" fontId="2" fillId="0" borderId="0" xfId="0" applyFont="1" applyBorder="1"/>
    <xf numFmtId="49" fontId="0" fillId="0" borderId="0" xfId="0" applyNumberFormat="1" applyBorder="1" applyAlignment="1">
      <alignment horizontal="left"/>
    </xf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rene1085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hencom@webspeed.dk" TargetMode="External"/><Relationship Id="rId159" Type="http://schemas.openxmlformats.org/officeDocument/2006/relationships/vmlDrawing" Target="../drawings/vmlDrawing1.vml"/><Relationship Id="rId107" Type="http://schemas.openxmlformats.org/officeDocument/2006/relationships/hyperlink" Target="about:blank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katjaczajkowski@hotmail.com" TargetMode="External"/><Relationship Id="rId149" Type="http://schemas.openxmlformats.org/officeDocument/2006/relationships/hyperlink" Target="mailto:powiborg@jubii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comments" Target="../comments1.xm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grete_bossenmeyer@yahoo.fr" TargetMode="External"/><Relationship Id="rId139" Type="http://schemas.openxmlformats.org/officeDocument/2006/relationships/hyperlink" Target="mailto:hencom@webspeed.dk" TargetMode="External"/><Relationship Id="rId80" Type="http://schemas.openxmlformats.org/officeDocument/2006/relationships/hyperlink" Target="mailto:musikerbjarne@gmail.com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anette@arleth.dk" TargetMode="External"/><Relationship Id="rId155" Type="http://schemas.openxmlformats.org/officeDocument/2006/relationships/hyperlink" Target="mailto:kajhenriksen@gmail.com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arneas3250@gmail.com" TargetMode="External"/><Relationship Id="rId108" Type="http://schemas.openxmlformats.org/officeDocument/2006/relationships/hyperlink" Target="mailto:erpt67@gmail.com" TargetMode="External"/><Relationship Id="rId124" Type="http://schemas.openxmlformats.org/officeDocument/2006/relationships/hyperlink" Target="mailto: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hencom@webspeed.dk" TargetMode="External"/><Relationship Id="rId114" Type="http://schemas.openxmlformats.org/officeDocument/2006/relationships/hyperlink" Target="mailto:gubbertsen@gmail.com" TargetMode="External"/><Relationship Id="rId119" Type="http://schemas.openxmlformats.org/officeDocument/2006/relationships/hyperlink" Target="mailto:isprehn@dbmail.dk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camillalr7@gmail.com" TargetMode="External"/><Relationship Id="rId156" Type="http://schemas.openxmlformats.org/officeDocument/2006/relationships/hyperlink" Target="mailto:mmpc66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dk" TargetMode="External"/><Relationship Id="rId109" Type="http://schemas.openxmlformats.org/officeDocument/2006/relationships/hyperlink" Target="mailto:camillalr7@g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k.holmer@city.dk" TargetMode="External"/><Relationship Id="rId120" Type="http://schemas.openxmlformats.org/officeDocument/2006/relationships/hyperlink" Target="mailto:brwa60@yahoo.se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gubbertsen@gmail.com" TargetMode="External"/><Relationship Id="rId92" Type="http://schemas.openxmlformats.org/officeDocument/2006/relationships/hyperlink" Target="mailto:kim.teglberg1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stinechri@hotmail.com" TargetMode="External"/><Relationship Id="rId115" Type="http://schemas.openxmlformats.org/officeDocument/2006/relationships/hyperlink" Target="mailto:mjh@BBFadvokater.dk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missmahia@hotmail.com" TargetMode="External"/><Relationship Id="rId157" Type="http://schemas.openxmlformats.org/officeDocument/2006/relationships/hyperlink" Target="mailto:margit.motzfeldt@privat.dk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clauskaae@mail.dk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peter.juliusssen@gmail.com" TargetMode="External"/><Relationship Id="rId126" Type="http://schemas.openxmlformats.org/officeDocument/2006/relationships/hyperlink" Target="mailto: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adrejse@gmail.com" TargetMode="External"/><Relationship Id="rId142" Type="http://schemas.openxmlformats.org/officeDocument/2006/relationships/hyperlink" Target="mailto:cmejer55@gmail.com" TargetMode="External"/><Relationship Id="rId3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adsrejse@gmail.com" TargetMode="External"/><Relationship Id="rId67" Type="http://schemas.openxmlformats.org/officeDocument/2006/relationships/hyperlink" Target="mailto:erpe67@gmail.com" TargetMode="External"/><Relationship Id="rId116" Type="http://schemas.openxmlformats.org/officeDocument/2006/relationships/hyperlink" Target="mailto:m_aastradsen@hot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holmstedgaard@pc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ole@christoph.dk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erikfrigalt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hencon@webspeed.dk" TargetMode="External"/><Relationship Id="rId57" Type="http://schemas.openxmlformats.org/officeDocument/2006/relationships/hyperlink" Target="mailto:gubbertsen@gmail.com" TargetMode="External"/><Relationship Id="rId106" Type="http://schemas.openxmlformats.org/officeDocument/2006/relationships/hyperlink" Target="mailto:knaackhe@gmx.de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72433@sunclass.dk" TargetMode="External"/><Relationship Id="rId143" Type="http://schemas.openxmlformats.org/officeDocument/2006/relationships/hyperlink" Target="mailto:anette.holmslykke.andersen@gmail.com" TargetMode="External"/><Relationship Id="rId148" Type="http://schemas.openxmlformats.org/officeDocument/2006/relationships/hyperlink" Target="mailto:kim.teglberg1@gmail.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hencom@webspeed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kornvej4@gmail.com" TargetMode="External"/><Relationship Id="rId16" Type="http://schemas.openxmlformats.org/officeDocument/2006/relationships/hyperlink" Target="mailto:hencom@webspeed.dk" TargetMode="External"/><Relationship Id="rId37" Type="http://schemas.openxmlformats.org/officeDocument/2006/relationships/hyperlink" Target="mailto: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jkritv@online.no" TargetMode="External"/><Relationship Id="rId123" Type="http://schemas.openxmlformats.org/officeDocument/2006/relationships/hyperlink" Target="mailto:pija@mail.tele.dk" TargetMode="External"/><Relationship Id="rId144" Type="http://schemas.openxmlformats.org/officeDocument/2006/relationships/hyperlink" Target="mailto:aliceogjoel@mail.dk" TargetMode="External"/><Relationship Id="rId90" Type="http://schemas.openxmlformats.org/officeDocument/2006/relationships/hyperlink" Target="mailto:limajeto@gmail.com" TargetMode="Externa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gitte.horup@skanderborg.dk" TargetMode="External"/><Relationship Id="rId134" Type="http://schemas.openxmlformats.org/officeDocument/2006/relationships/hyperlink" Target="mailto:thaarboel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comments" Target="../comments5.x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vmlDrawing" Target="../drawings/vmlDrawing5.vm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zoomScale="101" workbookViewId="0">
      <pane ySplit="1" topLeftCell="A2" activePane="bottomLeft" state="frozen"/>
      <selection activeCell="D1" sqref="D1"/>
      <selection pane="bottomLeft"/>
    </sheetView>
  </sheetViews>
  <sheetFormatPr defaultColWidth="12.54296875" defaultRowHeight="15" customHeight="1" x14ac:dyDescent="0.35"/>
  <cols>
    <col min="1" max="1" width="24.81640625" style="71" customWidth="1"/>
    <col min="2" max="2" width="11.81640625" style="94" customWidth="1"/>
    <col min="3" max="3" width="10.81640625" customWidth="1"/>
    <col min="4" max="4" width="25.26953125" customWidth="1"/>
    <col min="5" max="5" width="9.1796875" customWidth="1"/>
    <col min="6" max="6" width="8.54296875" style="71" customWidth="1"/>
    <col min="7" max="7" width="24.26953125" customWidth="1"/>
    <col min="8" max="12" width="8.54296875" style="71" customWidth="1"/>
    <col min="13" max="13" width="10.90625" customWidth="1"/>
    <col min="14" max="26" width="8.54296875" customWidth="1"/>
  </cols>
  <sheetData>
    <row r="1" spans="1:13" ht="14.25" customHeight="1" x14ac:dyDescent="0.35">
      <c r="A1" s="70" t="s">
        <v>0</v>
      </c>
      <c r="B1" s="4" t="s">
        <v>1</v>
      </c>
      <c r="C1" s="1" t="s">
        <v>2162</v>
      </c>
      <c r="D1" s="1" t="s">
        <v>2</v>
      </c>
      <c r="E1" s="1" t="s">
        <v>3</v>
      </c>
      <c r="F1" s="3" t="s">
        <v>4</v>
      </c>
      <c r="G1" s="3" t="s">
        <v>5</v>
      </c>
      <c r="H1" s="70">
        <v>21</v>
      </c>
      <c r="I1" s="70">
        <v>22</v>
      </c>
      <c r="J1" s="70">
        <v>23</v>
      </c>
      <c r="K1" s="70">
        <v>24</v>
      </c>
      <c r="L1" s="70">
        <v>25</v>
      </c>
      <c r="M1" t="s">
        <v>2158</v>
      </c>
    </row>
    <row r="2" spans="1:13" ht="14.25" customHeight="1" x14ac:dyDescent="0.35">
      <c r="A2" s="78" t="s">
        <v>6</v>
      </c>
      <c r="B2" s="9" t="s">
        <v>2128</v>
      </c>
      <c r="C2" s="10" t="s">
        <v>7</v>
      </c>
      <c r="D2" s="11" t="s">
        <v>8</v>
      </c>
      <c r="E2" s="12">
        <v>21001</v>
      </c>
      <c r="F2" s="12"/>
      <c r="G2" s="12"/>
      <c r="H2" s="72" t="s">
        <v>1292</v>
      </c>
      <c r="I2" s="75" t="s">
        <v>9</v>
      </c>
      <c r="J2" s="75" t="s">
        <v>1292</v>
      </c>
      <c r="K2" s="104" t="s">
        <v>53</v>
      </c>
      <c r="L2" s="75" t="s">
        <v>1292</v>
      </c>
      <c r="M2" s="105"/>
    </row>
    <row r="3" spans="1:13" ht="14.25" customHeight="1" x14ac:dyDescent="0.35">
      <c r="A3" s="78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2" t="s">
        <v>13</v>
      </c>
      <c r="I3" s="75"/>
      <c r="J3" s="75"/>
      <c r="K3" s="104"/>
      <c r="L3" s="75"/>
      <c r="M3" s="105"/>
    </row>
    <row r="4" spans="1:13" ht="14.25" customHeight="1" x14ac:dyDescent="0.35">
      <c r="A4" s="78" t="s">
        <v>2419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2" t="s">
        <v>13</v>
      </c>
      <c r="I4" s="75"/>
      <c r="J4" s="75"/>
      <c r="K4" s="104"/>
      <c r="L4" s="75"/>
      <c r="M4" s="105"/>
    </row>
    <row r="5" spans="1:13" ht="14.25" customHeight="1" x14ac:dyDescent="0.35">
      <c r="A5" s="78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24" t="s">
        <v>1293</v>
      </c>
      <c r="H5" s="72" t="s">
        <v>13</v>
      </c>
      <c r="I5" s="75"/>
      <c r="J5" s="75" t="s">
        <v>17</v>
      </c>
      <c r="K5" s="104"/>
      <c r="L5" s="75" t="s">
        <v>9</v>
      </c>
      <c r="M5" s="105"/>
    </row>
    <row r="6" spans="1:13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2" t="s">
        <v>20</v>
      </c>
      <c r="I6" s="75"/>
      <c r="J6" s="75"/>
      <c r="K6" s="104"/>
      <c r="L6" s="75"/>
      <c r="M6" s="105"/>
    </row>
    <row r="7" spans="1:13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2" t="s">
        <v>13</v>
      </c>
      <c r="I7" s="75"/>
      <c r="J7" s="75"/>
      <c r="K7" s="104"/>
      <c r="L7" s="75"/>
      <c r="M7" s="105"/>
    </row>
    <row r="8" spans="1:13" ht="14.25" customHeight="1" x14ac:dyDescent="0.35">
      <c r="A8" s="78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2" t="s">
        <v>13</v>
      </c>
      <c r="I8" s="75"/>
      <c r="J8" s="75"/>
      <c r="K8" s="104"/>
      <c r="L8" s="75"/>
      <c r="M8" s="105"/>
    </row>
    <row r="9" spans="1:13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2" t="s">
        <v>13</v>
      </c>
      <c r="I9" s="75"/>
      <c r="J9" s="75"/>
      <c r="K9" s="104"/>
      <c r="L9" s="75"/>
      <c r="M9" s="105"/>
    </row>
    <row r="10" spans="1:13" ht="14.25" customHeight="1" x14ac:dyDescent="0.35">
      <c r="A10" s="78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2" t="s">
        <v>13</v>
      </c>
      <c r="I10" s="75"/>
      <c r="J10" s="75"/>
      <c r="K10" s="104"/>
      <c r="L10" s="75"/>
      <c r="M10" s="105"/>
    </row>
    <row r="11" spans="1:13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2" t="s">
        <v>20</v>
      </c>
      <c r="I11" s="75"/>
      <c r="J11" s="75"/>
      <c r="K11" s="104"/>
      <c r="L11" s="75"/>
      <c r="M11" s="105"/>
    </row>
    <row r="12" spans="1:13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2" t="s">
        <v>13</v>
      </c>
      <c r="I12" s="75"/>
      <c r="J12" s="75"/>
      <c r="K12" s="104"/>
      <c r="L12" s="75"/>
      <c r="M12" s="105"/>
    </row>
    <row r="13" spans="1:13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2" t="s">
        <v>20</v>
      </c>
      <c r="I13" s="75"/>
      <c r="J13" s="75"/>
      <c r="K13" s="104"/>
      <c r="L13" s="75"/>
      <c r="M13" s="105"/>
    </row>
    <row r="14" spans="1:13" ht="14.25" customHeight="1" x14ac:dyDescent="0.35">
      <c r="A14" s="78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2" t="s">
        <v>9</v>
      </c>
      <c r="I14" s="75"/>
      <c r="J14" s="75"/>
      <c r="K14" s="104"/>
      <c r="L14" s="75"/>
      <c r="M14" s="105"/>
    </row>
    <row r="15" spans="1:13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2" t="s">
        <v>20</v>
      </c>
      <c r="I15" s="75"/>
      <c r="J15" s="75"/>
      <c r="K15" s="104"/>
      <c r="L15" s="75"/>
      <c r="M15" s="105"/>
    </row>
    <row r="16" spans="1:13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2" t="s">
        <v>48</v>
      </c>
      <c r="I16" s="75"/>
      <c r="J16" s="75"/>
      <c r="K16" s="104"/>
      <c r="L16" s="75"/>
      <c r="M16" s="105"/>
    </row>
    <row r="17" spans="1:13" ht="14.25" customHeight="1" x14ac:dyDescent="0.35">
      <c r="A17" s="78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2" t="s">
        <v>9</v>
      </c>
      <c r="I17" s="76" t="s">
        <v>9</v>
      </c>
      <c r="J17" s="76" t="s">
        <v>53</v>
      </c>
      <c r="K17" s="106" t="s">
        <v>9</v>
      </c>
      <c r="L17" s="75" t="s">
        <v>9</v>
      </c>
      <c r="M17" s="105"/>
    </row>
    <row r="18" spans="1:13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2" t="s">
        <v>20</v>
      </c>
      <c r="I18" s="75"/>
      <c r="J18" s="75"/>
      <c r="K18" s="104"/>
      <c r="L18" s="75"/>
      <c r="M18" s="105"/>
    </row>
    <row r="19" spans="1:13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2" t="s">
        <v>20</v>
      </c>
      <c r="I19" s="75"/>
      <c r="J19" s="75"/>
      <c r="K19" s="104"/>
      <c r="L19" s="75"/>
      <c r="M19" s="105"/>
    </row>
    <row r="20" spans="1:13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2" t="s">
        <v>20</v>
      </c>
      <c r="I20" s="75"/>
      <c r="J20" s="75"/>
      <c r="K20" s="104"/>
      <c r="L20" s="75"/>
      <c r="M20" s="105"/>
    </row>
    <row r="21" spans="1:13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2" t="s">
        <v>48</v>
      </c>
      <c r="I21" s="75"/>
      <c r="J21" s="75"/>
      <c r="K21" s="104"/>
      <c r="L21" s="75"/>
      <c r="M21" s="105"/>
    </row>
    <row r="22" spans="1:13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2" t="s">
        <v>9</v>
      </c>
      <c r="I22" s="75"/>
      <c r="J22" s="75"/>
      <c r="K22" s="107" t="s">
        <v>9</v>
      </c>
      <c r="L22" s="75"/>
      <c r="M22" s="105"/>
    </row>
    <row r="23" spans="1:13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2" t="s">
        <v>48</v>
      </c>
      <c r="I23" s="75"/>
      <c r="J23" s="75"/>
      <c r="K23" s="104"/>
      <c r="L23" s="75"/>
      <c r="M23" s="105"/>
    </row>
    <row r="24" spans="1:13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2" t="s">
        <v>20</v>
      </c>
      <c r="I24" s="75"/>
      <c r="J24" s="75"/>
      <c r="K24" s="104"/>
      <c r="L24" s="75"/>
      <c r="M24" s="105"/>
    </row>
    <row r="25" spans="1:13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2" t="s">
        <v>48</v>
      </c>
      <c r="I25" s="75"/>
      <c r="J25" s="75"/>
      <c r="K25" s="104"/>
      <c r="L25" s="75"/>
      <c r="M25" s="105"/>
    </row>
    <row r="26" spans="1:13" ht="14.25" customHeight="1" x14ac:dyDescent="0.35">
      <c r="A26" s="78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2" t="s">
        <v>9</v>
      </c>
      <c r="I26" s="75"/>
      <c r="J26" s="75"/>
      <c r="K26" s="104"/>
      <c r="L26" s="75"/>
      <c r="M26" s="105"/>
    </row>
    <row r="27" spans="1:13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2" t="s">
        <v>48</v>
      </c>
      <c r="I27" s="75"/>
      <c r="J27" s="75"/>
      <c r="K27" s="104"/>
      <c r="L27" s="75"/>
      <c r="M27" s="105"/>
    </row>
    <row r="28" spans="1:13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2" t="s">
        <v>20</v>
      </c>
      <c r="I28" s="75"/>
      <c r="J28" s="75"/>
      <c r="K28" s="104"/>
      <c r="L28" s="75"/>
      <c r="M28" s="105"/>
    </row>
    <row r="29" spans="1:13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2" t="s">
        <v>48</v>
      </c>
      <c r="I29" s="75"/>
      <c r="J29" s="75"/>
      <c r="K29" s="104"/>
      <c r="L29" s="75"/>
      <c r="M29" s="105"/>
    </row>
    <row r="30" spans="1:13" ht="14.25" customHeight="1" x14ac:dyDescent="0.35">
      <c r="A30" s="78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2" t="s">
        <v>9</v>
      </c>
      <c r="I30" s="75"/>
      <c r="J30" s="75"/>
      <c r="K30" s="104"/>
      <c r="L30" s="75"/>
      <c r="M30" s="105"/>
    </row>
    <row r="31" spans="1:13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2" t="s">
        <v>20</v>
      </c>
      <c r="I31" s="75"/>
      <c r="J31" s="75"/>
      <c r="K31" s="104"/>
      <c r="L31" s="75"/>
      <c r="M31" s="105"/>
    </row>
    <row r="32" spans="1:13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2" t="s">
        <v>20</v>
      </c>
      <c r="I32" s="75"/>
      <c r="J32" s="75"/>
      <c r="K32" s="104"/>
      <c r="L32" s="75"/>
      <c r="M32" s="105"/>
    </row>
    <row r="33" spans="1:13" ht="14.25" customHeight="1" x14ac:dyDescent="0.35">
      <c r="A33" s="78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2" t="s">
        <v>9</v>
      </c>
      <c r="I33" s="75"/>
      <c r="J33" s="75"/>
      <c r="K33" s="104"/>
      <c r="L33" s="75"/>
      <c r="M33" s="105"/>
    </row>
    <row r="34" spans="1:13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2" t="s">
        <v>20</v>
      </c>
      <c r="I34" s="75"/>
      <c r="J34" s="75"/>
      <c r="K34" s="104"/>
      <c r="L34" s="75"/>
      <c r="M34" s="105"/>
    </row>
    <row r="35" spans="1:13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2" t="s">
        <v>20</v>
      </c>
      <c r="I35" s="75"/>
      <c r="J35" s="75"/>
      <c r="K35" s="104"/>
      <c r="L35" s="75"/>
      <c r="M35" s="105"/>
    </row>
    <row r="36" spans="1:13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2" t="s">
        <v>48</v>
      </c>
      <c r="I36" s="75"/>
      <c r="J36" s="75"/>
      <c r="K36" s="104"/>
      <c r="L36" s="75"/>
      <c r="M36" s="105"/>
    </row>
    <row r="37" spans="1:13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/>
      <c r="H37" s="72" t="s">
        <v>48</v>
      </c>
      <c r="I37" s="75"/>
      <c r="J37" s="101" t="s">
        <v>9</v>
      </c>
      <c r="K37" s="104"/>
      <c r="L37" s="75"/>
      <c r="M37" s="105"/>
    </row>
    <row r="38" spans="1:13" ht="14.25" customHeight="1" x14ac:dyDescent="0.35">
      <c r="A38" s="78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2" t="s">
        <v>53</v>
      </c>
      <c r="I38" s="75"/>
      <c r="J38" s="75"/>
      <c r="K38" s="104"/>
      <c r="L38" s="75"/>
      <c r="M38" s="105"/>
    </row>
    <row r="39" spans="1:13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2" t="s">
        <v>48</v>
      </c>
      <c r="I39" s="75"/>
      <c r="J39" s="75"/>
      <c r="K39" s="104"/>
      <c r="L39" s="75"/>
      <c r="M39" s="105"/>
    </row>
    <row r="40" spans="1:13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2" t="s">
        <v>48</v>
      </c>
      <c r="I40" s="75"/>
      <c r="J40" s="75"/>
      <c r="K40" s="104"/>
      <c r="L40" s="75"/>
      <c r="M40" s="105"/>
    </row>
    <row r="41" spans="1:13" ht="14.25" customHeight="1" x14ac:dyDescent="0.35">
      <c r="A41" s="12"/>
      <c r="B41" s="9" t="s">
        <v>1979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2" t="s">
        <v>9</v>
      </c>
      <c r="I41" s="75"/>
      <c r="J41" s="75"/>
      <c r="K41" s="104"/>
      <c r="L41" s="75"/>
      <c r="M41" s="105"/>
    </row>
    <row r="42" spans="1:13" ht="14.25" customHeight="1" x14ac:dyDescent="0.35">
      <c r="A42" s="12"/>
      <c r="B42" s="9" t="s">
        <v>1980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2" t="s">
        <v>48</v>
      </c>
      <c r="I42" s="75"/>
      <c r="J42" s="75"/>
      <c r="K42" s="104"/>
      <c r="L42" s="75"/>
      <c r="M42" s="105"/>
    </row>
    <row r="43" spans="1:13" ht="14.25" customHeight="1" x14ac:dyDescent="0.35">
      <c r="A43" s="78" t="s">
        <v>113</v>
      </c>
      <c r="B43" s="9" t="s">
        <v>1981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2" t="s">
        <v>9</v>
      </c>
      <c r="I43" s="75"/>
      <c r="J43" s="75"/>
      <c r="K43" s="104"/>
      <c r="L43" s="75"/>
      <c r="M43" s="105"/>
    </row>
    <row r="44" spans="1:13" ht="14.25" customHeight="1" x14ac:dyDescent="0.35">
      <c r="A44" s="12"/>
      <c r="B44" s="9" t="s">
        <v>1982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2" t="s">
        <v>9</v>
      </c>
      <c r="I44" s="75"/>
      <c r="J44" s="75"/>
      <c r="K44" s="104"/>
      <c r="L44" s="75"/>
      <c r="M44" s="105"/>
    </row>
    <row r="45" spans="1:13" ht="14.25" customHeight="1" x14ac:dyDescent="0.35">
      <c r="A45" s="12"/>
      <c r="B45" s="9" t="s">
        <v>1983</v>
      </c>
      <c r="C45" s="10" t="s">
        <v>119</v>
      </c>
      <c r="D45" s="11" t="s">
        <v>120</v>
      </c>
      <c r="E45" s="12">
        <v>21044</v>
      </c>
      <c r="F45" s="12"/>
      <c r="G45" s="12"/>
      <c r="H45" s="72" t="s">
        <v>48</v>
      </c>
      <c r="I45" s="75"/>
      <c r="J45" s="75"/>
      <c r="K45" s="104"/>
      <c r="L45" s="75"/>
      <c r="M45" s="105"/>
    </row>
    <row r="46" spans="1:13" ht="14.25" customHeight="1" x14ac:dyDescent="0.35">
      <c r="A46" s="78" t="s">
        <v>121</v>
      </c>
      <c r="B46" s="9" t="s">
        <v>1984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2" t="s">
        <v>9</v>
      </c>
      <c r="I46" s="75"/>
      <c r="J46" s="75"/>
      <c r="K46" s="104"/>
      <c r="L46" s="75"/>
      <c r="M46" s="105"/>
    </row>
    <row r="47" spans="1:13" ht="14.25" customHeight="1" x14ac:dyDescent="0.35">
      <c r="A47" s="12"/>
      <c r="B47" s="9" t="s">
        <v>1985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2" t="s">
        <v>48</v>
      </c>
      <c r="I47" s="75"/>
      <c r="J47" s="75"/>
      <c r="K47" s="107" t="s">
        <v>9</v>
      </c>
      <c r="L47" s="75"/>
      <c r="M47" s="105"/>
    </row>
    <row r="48" spans="1:13" ht="14.25" customHeight="1" x14ac:dyDescent="0.35">
      <c r="A48" s="12"/>
      <c r="B48" s="9" t="s">
        <v>1986</v>
      </c>
      <c r="C48" s="10" t="s">
        <v>128</v>
      </c>
      <c r="D48" s="11" t="s">
        <v>129</v>
      </c>
      <c r="E48" s="12">
        <v>21047</v>
      </c>
      <c r="F48" s="12"/>
      <c r="G48" s="12"/>
      <c r="H48" s="72" t="s">
        <v>48</v>
      </c>
      <c r="I48" s="75"/>
      <c r="J48" s="75"/>
      <c r="K48" s="104"/>
      <c r="L48" s="75"/>
      <c r="M48" s="105"/>
    </row>
    <row r="49" spans="1:13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2" t="s">
        <v>20</v>
      </c>
      <c r="I49" s="75"/>
      <c r="J49" s="75"/>
      <c r="K49" s="104"/>
      <c r="L49" s="75"/>
      <c r="M49" s="105"/>
    </row>
    <row r="50" spans="1:13" ht="14.25" customHeight="1" x14ac:dyDescent="0.35">
      <c r="A50" s="12"/>
      <c r="B50" s="9" t="s">
        <v>1987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2" t="s">
        <v>48</v>
      </c>
      <c r="I50" s="75"/>
      <c r="J50" s="75"/>
      <c r="K50" s="104"/>
      <c r="L50" s="75"/>
      <c r="M50" s="105"/>
    </row>
    <row r="51" spans="1:13" ht="14.25" customHeight="1" x14ac:dyDescent="0.35">
      <c r="A51" s="12"/>
      <c r="B51" s="9" t="s">
        <v>1988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2" t="s">
        <v>9</v>
      </c>
      <c r="I51" s="75"/>
      <c r="J51" s="75"/>
      <c r="K51" s="104"/>
      <c r="L51" s="75"/>
      <c r="M51" s="105"/>
    </row>
    <row r="52" spans="1:13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2" t="s">
        <v>20</v>
      </c>
      <c r="I52" s="75"/>
      <c r="J52" s="75"/>
      <c r="K52" s="104"/>
      <c r="L52" s="75"/>
      <c r="M52" s="105"/>
    </row>
    <row r="53" spans="1:13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2" t="s">
        <v>20</v>
      </c>
      <c r="I53" s="75"/>
      <c r="J53" s="75"/>
      <c r="K53" s="104"/>
      <c r="L53" s="75"/>
      <c r="M53" s="105"/>
    </row>
    <row r="54" spans="1:13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2" t="s">
        <v>48</v>
      </c>
      <c r="I54" s="75"/>
      <c r="J54" s="75"/>
      <c r="K54" s="104"/>
      <c r="L54" s="75"/>
      <c r="M54" s="105"/>
    </row>
    <row r="55" spans="1:13" ht="14.25" customHeight="1" x14ac:dyDescent="0.35">
      <c r="A55" s="12"/>
      <c r="B55" s="9" t="s">
        <v>1989</v>
      </c>
      <c r="C55" s="10" t="s">
        <v>11</v>
      </c>
      <c r="D55" s="11" t="s">
        <v>142</v>
      </c>
      <c r="E55" s="12">
        <v>21054</v>
      </c>
      <c r="F55" s="12"/>
      <c r="G55" s="12"/>
      <c r="H55" s="72" t="s">
        <v>48</v>
      </c>
      <c r="I55" s="75"/>
      <c r="J55" s="75"/>
      <c r="K55" s="104"/>
      <c r="L55" s="75"/>
      <c r="M55" s="105"/>
    </row>
    <row r="56" spans="1:13" ht="14.25" customHeight="1" x14ac:dyDescent="0.35">
      <c r="A56" s="12"/>
      <c r="B56" s="9"/>
      <c r="C56" s="10" t="s">
        <v>143</v>
      </c>
      <c r="D56" s="79" t="s">
        <v>144</v>
      </c>
      <c r="E56" s="12">
        <v>21055</v>
      </c>
      <c r="F56" s="12"/>
      <c r="G56" s="12"/>
      <c r="H56" s="72" t="s">
        <v>20</v>
      </c>
      <c r="I56" s="75"/>
      <c r="J56" s="75"/>
      <c r="K56" s="104"/>
      <c r="L56" s="75"/>
      <c r="M56" s="105"/>
    </row>
    <row r="57" spans="1:13" ht="14.25" customHeight="1" x14ac:dyDescent="0.35">
      <c r="A57" s="12"/>
      <c r="B57" s="9" t="s">
        <v>1990</v>
      </c>
      <c r="C57" s="10" t="s">
        <v>11</v>
      </c>
      <c r="D57" s="11" t="s">
        <v>145</v>
      </c>
      <c r="E57" s="12">
        <v>21056</v>
      </c>
      <c r="F57" s="12"/>
      <c r="G57" s="12"/>
      <c r="H57" s="72" t="s">
        <v>48</v>
      </c>
      <c r="I57" s="75"/>
      <c r="J57" s="75"/>
      <c r="K57" s="104"/>
      <c r="L57" s="75"/>
      <c r="M57" s="105"/>
    </row>
    <row r="58" spans="1:13" ht="14.25" customHeight="1" x14ac:dyDescent="0.35">
      <c r="A58" s="12"/>
      <c r="B58" s="9" t="s">
        <v>1991</v>
      </c>
      <c r="C58" s="10" t="s">
        <v>146</v>
      </c>
      <c r="D58" s="11" t="s">
        <v>147</v>
      </c>
      <c r="E58" s="12">
        <v>21057</v>
      </c>
      <c r="F58" s="12"/>
      <c r="G58" s="12"/>
      <c r="H58" s="72" t="s">
        <v>48</v>
      </c>
      <c r="I58" s="75"/>
      <c r="J58" s="75"/>
      <c r="K58" s="104"/>
      <c r="L58" s="75"/>
      <c r="M58" s="105"/>
    </row>
    <row r="59" spans="1:13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2" t="s">
        <v>20</v>
      </c>
      <c r="I59" s="75"/>
      <c r="J59" s="75"/>
      <c r="K59" s="104"/>
      <c r="L59" s="75"/>
      <c r="M59" s="105"/>
    </row>
    <row r="60" spans="1:13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2" t="s">
        <v>20</v>
      </c>
      <c r="I60" s="75"/>
      <c r="J60" s="75"/>
      <c r="K60" s="104"/>
      <c r="L60" s="75"/>
      <c r="M60" s="105"/>
    </row>
    <row r="61" spans="1:13" ht="14.25" customHeight="1" x14ac:dyDescent="0.35">
      <c r="A61" s="78" t="s">
        <v>152</v>
      </c>
      <c r="B61" s="9" t="s">
        <v>1992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2" t="s">
        <v>13</v>
      </c>
      <c r="I61" s="75"/>
      <c r="J61" s="75"/>
      <c r="K61" s="104"/>
      <c r="L61" s="75"/>
      <c r="M61" s="105"/>
    </row>
    <row r="62" spans="1:13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2" t="s">
        <v>48</v>
      </c>
      <c r="I62" s="75"/>
      <c r="J62" s="75"/>
      <c r="K62" s="104"/>
      <c r="L62" s="75"/>
      <c r="M62" s="105"/>
    </row>
    <row r="63" spans="1:13" ht="14.25" customHeight="1" x14ac:dyDescent="0.35">
      <c r="A63" s="78" t="s">
        <v>2419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2" t="s">
        <v>9</v>
      </c>
      <c r="I63" s="75"/>
      <c r="J63" s="75"/>
      <c r="K63" s="104"/>
      <c r="L63" s="75"/>
      <c r="M63" s="105"/>
    </row>
    <row r="64" spans="1:13" ht="14.25" customHeight="1" x14ac:dyDescent="0.35">
      <c r="A64" s="78" t="s">
        <v>2419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2" t="s">
        <v>9</v>
      </c>
      <c r="I64" s="75"/>
      <c r="J64" s="75"/>
      <c r="K64" s="104"/>
      <c r="L64" s="75"/>
      <c r="M64" s="105"/>
    </row>
    <row r="65" spans="1:13" ht="14.25" customHeight="1" x14ac:dyDescent="0.35">
      <c r="A65" s="78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2" t="s">
        <v>20</v>
      </c>
      <c r="I65" s="75"/>
      <c r="J65" s="75"/>
      <c r="K65" s="104"/>
      <c r="L65" s="75"/>
      <c r="M65" s="105"/>
    </row>
    <row r="66" spans="1:13" ht="14.25" customHeight="1" x14ac:dyDescent="0.35">
      <c r="A66" s="78"/>
      <c r="B66" s="9" t="s">
        <v>1993</v>
      </c>
      <c r="C66" s="10" t="s">
        <v>160</v>
      </c>
      <c r="D66" s="11" t="s">
        <v>161</v>
      </c>
      <c r="E66" s="12">
        <v>21065</v>
      </c>
      <c r="F66" s="12"/>
      <c r="G66" s="12"/>
      <c r="H66" s="72" t="s">
        <v>48</v>
      </c>
      <c r="I66" s="75"/>
      <c r="J66" s="75"/>
      <c r="K66" s="104"/>
      <c r="L66" s="75"/>
      <c r="M66" s="105"/>
    </row>
    <row r="67" spans="1:13" ht="14.25" customHeight="1" x14ac:dyDescent="0.35">
      <c r="A67" s="78" t="s">
        <v>162</v>
      </c>
      <c r="B67" s="9" t="s">
        <v>1994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2" t="s">
        <v>9</v>
      </c>
      <c r="I67" s="75"/>
      <c r="J67" s="75"/>
      <c r="K67" s="104"/>
      <c r="L67" s="75"/>
      <c r="M67" s="105"/>
    </row>
    <row r="68" spans="1:13" ht="14.25" customHeight="1" x14ac:dyDescent="0.35">
      <c r="A68" s="78"/>
      <c r="B68" s="9" t="s">
        <v>1995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2" t="s">
        <v>48</v>
      </c>
      <c r="I68" s="75"/>
      <c r="J68" s="75"/>
      <c r="K68" s="104"/>
      <c r="L68" s="75"/>
      <c r="M68" s="105"/>
    </row>
    <row r="69" spans="1:13" ht="14.25" customHeight="1" x14ac:dyDescent="0.35">
      <c r="A69" s="78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2" t="s">
        <v>20</v>
      </c>
      <c r="I69" s="75"/>
      <c r="J69" s="75"/>
      <c r="K69" s="104"/>
      <c r="L69" s="75"/>
      <c r="M69" s="105"/>
    </row>
    <row r="70" spans="1:13" ht="14.25" customHeight="1" x14ac:dyDescent="0.35">
      <c r="A70" s="78"/>
      <c r="B70" s="9" t="s">
        <v>1996</v>
      </c>
      <c r="C70" s="10" t="s">
        <v>171</v>
      </c>
      <c r="D70" s="11" t="s">
        <v>172</v>
      </c>
      <c r="E70" s="12">
        <v>21069</v>
      </c>
      <c r="F70" s="12"/>
      <c r="G70" s="12"/>
      <c r="H70" s="72" t="s">
        <v>48</v>
      </c>
      <c r="I70" s="75"/>
      <c r="J70" s="75"/>
      <c r="K70" s="104"/>
      <c r="L70" s="75"/>
      <c r="M70" s="105"/>
    </row>
    <row r="71" spans="1:13" ht="14.25" customHeight="1" x14ac:dyDescent="0.35">
      <c r="A71" s="78"/>
      <c r="B71" s="9" t="s">
        <v>1997</v>
      </c>
      <c r="C71" s="10" t="s">
        <v>173</v>
      </c>
      <c r="D71" s="11" t="s">
        <v>174</v>
      </c>
      <c r="E71" s="12">
        <v>21070</v>
      </c>
      <c r="F71" s="12"/>
      <c r="G71" s="12"/>
      <c r="H71" s="72" t="s">
        <v>48</v>
      </c>
      <c r="I71" s="75"/>
      <c r="J71" s="75"/>
      <c r="K71" s="104"/>
      <c r="L71" s="75"/>
      <c r="M71" s="105"/>
    </row>
    <row r="72" spans="1:13" ht="14.25" customHeight="1" x14ac:dyDescent="0.35">
      <c r="A72" s="78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2" t="s">
        <v>20</v>
      </c>
      <c r="I72" s="75"/>
      <c r="J72" s="75"/>
      <c r="K72" s="104"/>
      <c r="L72" s="75"/>
      <c r="M72" s="105"/>
    </row>
    <row r="73" spans="1:13" ht="14.25" customHeight="1" x14ac:dyDescent="0.35">
      <c r="A73" s="78"/>
      <c r="B73" s="9" t="s">
        <v>1998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2" t="s">
        <v>48</v>
      </c>
      <c r="I73" s="75"/>
      <c r="J73" s="75"/>
      <c r="K73" s="104"/>
      <c r="L73" s="75"/>
      <c r="M73" s="105"/>
    </row>
    <row r="74" spans="1:13" ht="14.25" customHeight="1" x14ac:dyDescent="0.35">
      <c r="A74" s="78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2" t="s">
        <v>20</v>
      </c>
      <c r="I74" s="75"/>
      <c r="J74" s="75"/>
      <c r="K74" s="104"/>
      <c r="L74" s="75"/>
      <c r="M74" s="105"/>
    </row>
    <row r="75" spans="1:13" ht="14.25" customHeight="1" x14ac:dyDescent="0.35">
      <c r="A75" s="78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2" t="s">
        <v>20</v>
      </c>
      <c r="I75" s="75"/>
      <c r="J75" s="75"/>
      <c r="K75" s="104"/>
      <c r="L75" s="75"/>
      <c r="M75" s="105"/>
    </row>
    <row r="76" spans="1:13" ht="14.25" customHeight="1" x14ac:dyDescent="0.35">
      <c r="A76" s="78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2" t="s">
        <v>20</v>
      </c>
      <c r="I76" s="75"/>
      <c r="J76" s="75"/>
      <c r="K76" s="104"/>
      <c r="L76" s="75"/>
      <c r="M76" s="105"/>
    </row>
    <row r="77" spans="1:13" ht="14.25" customHeight="1" x14ac:dyDescent="0.35">
      <c r="A77" s="78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2" t="s">
        <v>20</v>
      </c>
      <c r="I77" s="75"/>
      <c r="J77" s="75"/>
      <c r="K77" s="104"/>
      <c r="L77" s="75"/>
      <c r="M77" s="105"/>
    </row>
    <row r="78" spans="1:13" ht="14.25" customHeight="1" x14ac:dyDescent="0.35">
      <c r="A78" s="78"/>
      <c r="B78" s="9" t="s">
        <v>1999</v>
      </c>
      <c r="C78" s="10" t="s">
        <v>186</v>
      </c>
      <c r="D78" s="11" t="s">
        <v>187</v>
      </c>
      <c r="E78" s="12">
        <v>21077</v>
      </c>
      <c r="F78" s="12"/>
      <c r="G78" s="12"/>
      <c r="H78" s="72" t="s">
        <v>48</v>
      </c>
      <c r="I78" s="75"/>
      <c r="J78" s="75"/>
      <c r="K78" s="104"/>
      <c r="L78" s="75"/>
      <c r="M78" s="105"/>
    </row>
    <row r="79" spans="1:13" ht="14.25" customHeight="1" x14ac:dyDescent="0.35">
      <c r="A79" s="78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2" t="s">
        <v>20</v>
      </c>
      <c r="I79" s="75"/>
      <c r="J79" s="75"/>
      <c r="K79" s="104"/>
      <c r="L79" s="75"/>
      <c r="M79" s="105"/>
    </row>
    <row r="80" spans="1:13" ht="14.25" customHeight="1" x14ac:dyDescent="0.35">
      <c r="A80" s="78"/>
      <c r="B80" s="9" t="s">
        <v>2000</v>
      </c>
      <c r="C80" s="10" t="s">
        <v>189</v>
      </c>
      <c r="D80" s="11" t="s">
        <v>190</v>
      </c>
      <c r="E80" s="12">
        <v>21079</v>
      </c>
      <c r="F80" s="12"/>
      <c r="G80" s="12"/>
      <c r="H80" s="72" t="s">
        <v>48</v>
      </c>
      <c r="I80" s="75"/>
      <c r="J80" s="75"/>
      <c r="K80" s="104"/>
      <c r="L80" s="75"/>
      <c r="M80" s="105"/>
    </row>
    <row r="81" spans="1:13" ht="14.25" customHeight="1" x14ac:dyDescent="0.35">
      <c r="A81" s="78"/>
      <c r="B81" s="9" t="s">
        <v>2001</v>
      </c>
      <c r="C81" s="10" t="s">
        <v>116</v>
      </c>
      <c r="D81" s="11" t="s">
        <v>191</v>
      </c>
      <c r="E81" s="12">
        <v>21080</v>
      </c>
      <c r="F81" s="12"/>
      <c r="G81" s="12"/>
      <c r="H81" s="72" t="s">
        <v>48</v>
      </c>
      <c r="I81" s="75"/>
      <c r="J81" s="75"/>
      <c r="K81" s="104"/>
      <c r="L81" s="75"/>
      <c r="M81" s="105"/>
    </row>
    <row r="82" spans="1:13" ht="14.25" customHeight="1" x14ac:dyDescent="0.35">
      <c r="A82" s="78"/>
      <c r="B82" s="9" t="s">
        <v>2002</v>
      </c>
      <c r="C82" s="10" t="s">
        <v>192</v>
      </c>
      <c r="D82" s="11" t="s">
        <v>193</v>
      </c>
      <c r="E82" s="12">
        <v>21081</v>
      </c>
      <c r="F82" s="12"/>
      <c r="G82" s="12"/>
      <c r="H82" s="72" t="s">
        <v>48</v>
      </c>
      <c r="I82" s="75"/>
      <c r="J82" s="75"/>
      <c r="K82" s="104"/>
      <c r="L82" s="75"/>
      <c r="M82" s="105"/>
    </row>
    <row r="83" spans="1:13" ht="14.25" customHeight="1" x14ac:dyDescent="0.35">
      <c r="A83" s="78"/>
      <c r="B83" s="95" t="s">
        <v>2003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2" t="s">
        <v>48</v>
      </c>
      <c r="I83" s="75"/>
      <c r="J83" s="75"/>
      <c r="K83" s="104"/>
      <c r="L83" s="75"/>
      <c r="M83" s="105"/>
    </row>
    <row r="84" spans="1:13" ht="14.25" customHeight="1" x14ac:dyDescent="0.35">
      <c r="A84" s="78"/>
      <c r="B84" s="95" t="s">
        <v>2004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2" t="s">
        <v>48</v>
      </c>
      <c r="I84" s="75"/>
      <c r="J84" s="75"/>
      <c r="K84" s="104"/>
      <c r="L84" s="75"/>
      <c r="M84" s="105"/>
    </row>
    <row r="85" spans="1:13" ht="14.25" customHeight="1" x14ac:dyDescent="0.35">
      <c r="A85" s="78"/>
      <c r="B85" s="95" t="s">
        <v>2005</v>
      </c>
      <c r="C85" s="10" t="s">
        <v>200</v>
      </c>
      <c r="D85" s="11" t="s">
        <v>201</v>
      </c>
      <c r="E85" s="12">
        <v>21084</v>
      </c>
      <c r="F85" s="12"/>
      <c r="G85" s="12"/>
      <c r="H85" s="72" t="s">
        <v>48</v>
      </c>
      <c r="I85" s="75"/>
      <c r="J85" s="75"/>
      <c r="K85" s="104"/>
      <c r="L85" s="75"/>
      <c r="M85" s="105"/>
    </row>
    <row r="86" spans="1:13" ht="14.25" customHeight="1" x14ac:dyDescent="0.35">
      <c r="A86" s="78"/>
      <c r="B86" s="95" t="s">
        <v>2006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2" t="s">
        <v>9</v>
      </c>
      <c r="I86" s="75"/>
      <c r="J86" s="75"/>
      <c r="K86" s="104"/>
      <c r="L86" s="75"/>
      <c r="M86" s="105"/>
    </row>
    <row r="87" spans="1:13" ht="14.25" customHeight="1" x14ac:dyDescent="0.35">
      <c r="A87" s="78"/>
      <c r="B87" s="95" t="s">
        <v>2007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2" t="s">
        <v>48</v>
      </c>
      <c r="I87" s="75"/>
      <c r="J87" s="75"/>
      <c r="K87" s="104"/>
      <c r="L87" s="75"/>
      <c r="M87" s="105"/>
    </row>
    <row r="88" spans="1:13" ht="14.25" customHeight="1" x14ac:dyDescent="0.35">
      <c r="A88" s="78"/>
      <c r="B88" s="95" t="s">
        <v>2008</v>
      </c>
      <c r="C88" s="10" t="s">
        <v>207</v>
      </c>
      <c r="D88" s="11" t="s">
        <v>208</v>
      </c>
      <c r="E88" s="12">
        <v>21087</v>
      </c>
      <c r="F88" s="12"/>
      <c r="G88" s="12"/>
      <c r="H88" s="72" t="s">
        <v>48</v>
      </c>
      <c r="I88" s="75"/>
      <c r="J88" s="75"/>
      <c r="K88" s="104"/>
      <c r="L88" s="75"/>
      <c r="M88" s="105"/>
    </row>
    <row r="89" spans="1:13" ht="14.25" customHeight="1" x14ac:dyDescent="0.35">
      <c r="A89" s="78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2" t="s">
        <v>20</v>
      </c>
      <c r="I89" s="75"/>
      <c r="J89" s="75"/>
      <c r="K89" s="104"/>
      <c r="L89" s="75"/>
      <c r="M89" s="105"/>
    </row>
    <row r="90" spans="1:13" ht="14.25" customHeight="1" x14ac:dyDescent="0.35">
      <c r="A90" s="78" t="s">
        <v>211</v>
      </c>
      <c r="B90" s="95" t="s">
        <v>2009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2" t="s">
        <v>9</v>
      </c>
      <c r="I90" s="75"/>
      <c r="J90" s="75"/>
      <c r="K90" s="104"/>
      <c r="L90" s="75"/>
      <c r="M90" s="105"/>
    </row>
    <row r="91" spans="1:13" ht="14.25" customHeight="1" x14ac:dyDescent="0.35">
      <c r="A91" s="78" t="s">
        <v>215</v>
      </c>
      <c r="B91" s="95" t="s">
        <v>2010</v>
      </c>
      <c r="C91" s="10" t="s">
        <v>216</v>
      </c>
      <c r="D91" s="11" t="s">
        <v>217</v>
      </c>
      <c r="E91" s="12">
        <v>21090</v>
      </c>
      <c r="F91" s="12"/>
      <c r="G91" s="12"/>
      <c r="H91" s="72" t="s">
        <v>9</v>
      </c>
      <c r="I91" s="75"/>
      <c r="J91" s="75"/>
      <c r="K91" s="104"/>
      <c r="L91" s="75"/>
      <c r="M91" s="105"/>
    </row>
    <row r="92" spans="1:13" ht="14.25" customHeight="1" x14ac:dyDescent="0.35">
      <c r="A92" s="78"/>
      <c r="B92" s="95" t="s">
        <v>2011</v>
      </c>
      <c r="C92" s="10" t="s">
        <v>218</v>
      </c>
      <c r="D92" s="11" t="s">
        <v>219</v>
      </c>
      <c r="E92" s="12">
        <v>21091</v>
      </c>
      <c r="F92" s="12"/>
      <c r="G92" s="12"/>
      <c r="H92" s="72" t="s">
        <v>48</v>
      </c>
      <c r="I92" s="75"/>
      <c r="J92" s="75"/>
      <c r="K92" s="104"/>
      <c r="L92" s="75"/>
      <c r="M92" s="105"/>
    </row>
    <row r="93" spans="1:13" ht="14.25" customHeight="1" x14ac:dyDescent="0.35">
      <c r="A93" s="78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2" t="s">
        <v>20</v>
      </c>
      <c r="I93" s="75"/>
      <c r="J93" s="75"/>
      <c r="K93" s="104"/>
      <c r="L93" s="75"/>
      <c r="M93" s="105"/>
    </row>
    <row r="94" spans="1:13" ht="14.25" customHeight="1" x14ac:dyDescent="0.35">
      <c r="A94" s="78" t="s">
        <v>222</v>
      </c>
      <c r="B94" s="95" t="s">
        <v>2012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2" t="s">
        <v>9</v>
      </c>
      <c r="I94" s="75"/>
      <c r="J94" s="75"/>
      <c r="K94" s="104"/>
      <c r="L94" s="75"/>
      <c r="M94" s="105"/>
    </row>
    <row r="95" spans="1:13" ht="14.25" customHeight="1" x14ac:dyDescent="0.35">
      <c r="A95" s="78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2" t="s">
        <v>20</v>
      </c>
      <c r="I95" s="75"/>
      <c r="J95" s="75"/>
      <c r="K95" s="104"/>
      <c r="L95" s="75"/>
      <c r="M95" s="105"/>
    </row>
    <row r="96" spans="1:13" ht="14.25" customHeight="1" x14ac:dyDescent="0.35">
      <c r="A96" s="78" t="s">
        <v>6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2" t="s">
        <v>9</v>
      </c>
      <c r="I96" s="75"/>
      <c r="J96" s="75"/>
      <c r="K96" s="104"/>
      <c r="L96" s="75"/>
      <c r="M96" s="105"/>
    </row>
    <row r="97" spans="1:13" ht="14.25" customHeight="1" x14ac:dyDescent="0.35">
      <c r="A97" s="78"/>
      <c r="B97" s="95" t="s">
        <v>2014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2" t="s">
        <v>9</v>
      </c>
      <c r="I97" s="75"/>
      <c r="J97" s="75"/>
      <c r="K97" s="104"/>
      <c r="L97" s="75"/>
      <c r="M97" s="105"/>
    </row>
    <row r="98" spans="1:13" ht="14.25" customHeight="1" x14ac:dyDescent="0.35">
      <c r="A98" s="78"/>
      <c r="B98" s="95" t="s">
        <v>2015</v>
      </c>
      <c r="C98" s="10" t="s">
        <v>229</v>
      </c>
      <c r="D98" s="11" t="s">
        <v>230</v>
      </c>
      <c r="E98" s="12">
        <v>21097</v>
      </c>
      <c r="F98" s="12"/>
      <c r="G98" s="12"/>
      <c r="H98" s="72" t="s">
        <v>48</v>
      </c>
      <c r="I98" s="75"/>
      <c r="J98" s="75"/>
      <c r="K98" s="104"/>
      <c r="L98" s="75"/>
      <c r="M98" s="105"/>
    </row>
    <row r="99" spans="1:13" ht="14.25" customHeight="1" x14ac:dyDescent="0.35">
      <c r="A99" s="78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2" t="s">
        <v>20</v>
      </c>
      <c r="I99" s="75"/>
      <c r="J99" s="75"/>
      <c r="K99" s="104"/>
      <c r="L99" s="75"/>
      <c r="M99" s="105"/>
    </row>
    <row r="100" spans="1:13" ht="14.25" customHeight="1" x14ac:dyDescent="0.35">
      <c r="A100" s="78"/>
      <c r="B100" s="95" t="s">
        <v>2016</v>
      </c>
      <c r="C100" s="10" t="s">
        <v>233</v>
      </c>
      <c r="D100" s="11" t="s">
        <v>234</v>
      </c>
      <c r="E100" s="12">
        <v>21099</v>
      </c>
      <c r="F100" s="12"/>
      <c r="G100" s="12"/>
      <c r="H100" s="72" t="s">
        <v>48</v>
      </c>
      <c r="I100" s="75"/>
      <c r="J100" s="75"/>
      <c r="K100" s="104"/>
      <c r="L100" s="75"/>
      <c r="M100" s="105"/>
    </row>
    <row r="101" spans="1:13" ht="14.25" customHeight="1" x14ac:dyDescent="0.35">
      <c r="A101" s="78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2" t="s">
        <v>20</v>
      </c>
      <c r="I101" s="75"/>
      <c r="J101" s="75"/>
      <c r="K101" s="104"/>
      <c r="L101" s="75"/>
      <c r="M101" s="105"/>
    </row>
    <row r="102" spans="1:13" ht="14.25" customHeight="1" x14ac:dyDescent="0.35">
      <c r="A102" s="78"/>
      <c r="B102" s="95" t="s">
        <v>2017</v>
      </c>
      <c r="C102" s="10" t="s">
        <v>134</v>
      </c>
      <c r="D102" s="11" t="s">
        <v>237</v>
      </c>
      <c r="E102" s="12">
        <v>21101</v>
      </c>
      <c r="F102" s="12"/>
      <c r="G102" s="12"/>
      <c r="H102" s="72" t="s">
        <v>48</v>
      </c>
      <c r="I102" s="75"/>
      <c r="J102" s="75"/>
      <c r="K102" s="104"/>
      <c r="L102" s="75"/>
      <c r="M102" s="105"/>
    </row>
    <row r="103" spans="1:13" ht="14.25" customHeight="1" x14ac:dyDescent="0.35">
      <c r="A103" s="78"/>
      <c r="B103" s="95" t="s">
        <v>2018</v>
      </c>
      <c r="C103" s="10" t="s">
        <v>238</v>
      </c>
      <c r="D103" s="11" t="s">
        <v>239</v>
      </c>
      <c r="E103" s="12">
        <v>21102</v>
      </c>
      <c r="F103" s="12"/>
      <c r="G103" s="12"/>
      <c r="H103" s="72" t="s">
        <v>48</v>
      </c>
      <c r="I103" s="75"/>
      <c r="J103" s="75"/>
      <c r="K103" s="104"/>
      <c r="L103" s="75"/>
      <c r="M103" s="105"/>
    </row>
    <row r="104" spans="1:13" ht="14.25" customHeight="1" x14ac:dyDescent="0.35">
      <c r="A104" s="78"/>
      <c r="B104" s="95" t="s">
        <v>2019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2" t="s">
        <v>9</v>
      </c>
      <c r="I104" s="75"/>
      <c r="J104" s="75"/>
      <c r="K104" s="104"/>
      <c r="L104" s="75"/>
      <c r="M104" s="105"/>
    </row>
    <row r="105" spans="1:13" ht="14.25" customHeight="1" x14ac:dyDescent="0.35">
      <c r="A105" s="78"/>
      <c r="B105" s="95" t="s">
        <v>2020</v>
      </c>
      <c r="C105" s="10" t="s">
        <v>242</v>
      </c>
      <c r="D105" s="11" t="s">
        <v>243</v>
      </c>
      <c r="E105" s="12">
        <v>21104</v>
      </c>
      <c r="F105" s="12"/>
      <c r="G105" s="12"/>
      <c r="H105" s="72" t="s">
        <v>48</v>
      </c>
      <c r="I105" s="75"/>
      <c r="J105" s="75"/>
      <c r="K105" s="104"/>
      <c r="L105" s="75"/>
      <c r="M105" s="105"/>
    </row>
    <row r="106" spans="1:13" ht="14.25" customHeight="1" x14ac:dyDescent="0.35">
      <c r="A106" s="78"/>
      <c r="B106" s="95" t="s">
        <v>2021</v>
      </c>
      <c r="C106" s="10" t="s">
        <v>244</v>
      </c>
      <c r="D106" s="11" t="s">
        <v>245</v>
      </c>
      <c r="E106" s="12">
        <v>21105</v>
      </c>
      <c r="F106" s="12"/>
      <c r="G106" s="12"/>
      <c r="H106" s="72" t="s">
        <v>48</v>
      </c>
      <c r="I106" s="75"/>
      <c r="J106" s="75"/>
      <c r="K106" s="104"/>
      <c r="L106" s="75"/>
      <c r="M106" s="105"/>
    </row>
    <row r="107" spans="1:13" ht="14.25" customHeight="1" x14ac:dyDescent="0.35">
      <c r="A107" s="78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2" t="s">
        <v>20</v>
      </c>
      <c r="I107" s="75"/>
      <c r="J107" s="75"/>
      <c r="K107" s="104"/>
      <c r="L107" s="75"/>
      <c r="M107" s="105"/>
    </row>
    <row r="108" spans="1:13" ht="14.25" customHeight="1" x14ac:dyDescent="0.35">
      <c r="A108" s="78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2" t="s">
        <v>20</v>
      </c>
      <c r="I108" s="75"/>
      <c r="J108" s="75"/>
      <c r="K108" s="104"/>
      <c r="L108" s="75"/>
      <c r="M108" s="105"/>
    </row>
    <row r="109" spans="1:13" ht="14.25" customHeight="1" x14ac:dyDescent="0.35">
      <c r="A109" s="80"/>
      <c r="B109" s="95" t="s">
        <v>2022</v>
      </c>
      <c r="C109" s="10" t="s">
        <v>158</v>
      </c>
      <c r="D109" s="11" t="s">
        <v>250</v>
      </c>
      <c r="E109" s="12">
        <v>21108</v>
      </c>
      <c r="F109" s="12"/>
      <c r="G109" s="81"/>
      <c r="H109" s="72" t="s">
        <v>48</v>
      </c>
      <c r="I109" s="75"/>
      <c r="J109" s="75"/>
      <c r="K109" s="104"/>
      <c r="L109" s="75"/>
      <c r="M109" s="105"/>
    </row>
    <row r="110" spans="1:13" ht="14.25" customHeight="1" x14ac:dyDescent="0.35">
      <c r="A110" s="80"/>
      <c r="B110" s="95" t="s">
        <v>2023</v>
      </c>
      <c r="C110" s="10" t="s">
        <v>251</v>
      </c>
      <c r="D110" s="11" t="s">
        <v>252</v>
      </c>
      <c r="E110" s="12">
        <v>21109</v>
      </c>
      <c r="F110" s="12"/>
      <c r="G110" s="81"/>
      <c r="H110" s="72" t="s">
        <v>9</v>
      </c>
      <c r="I110" s="75"/>
      <c r="J110" s="75"/>
      <c r="K110" s="104"/>
      <c r="L110" s="75"/>
      <c r="M110" s="105"/>
    </row>
    <row r="111" spans="1:13" ht="14.25" customHeight="1" x14ac:dyDescent="0.35">
      <c r="A111" s="80"/>
      <c r="B111" s="9"/>
      <c r="C111" s="10" t="s">
        <v>253</v>
      </c>
      <c r="D111" s="11" t="s">
        <v>254</v>
      </c>
      <c r="E111" s="12">
        <v>21110</v>
      </c>
      <c r="F111" s="12"/>
      <c r="G111" s="81"/>
      <c r="H111" s="72" t="s">
        <v>20</v>
      </c>
      <c r="I111" s="75"/>
      <c r="J111" s="75"/>
      <c r="K111" s="104"/>
      <c r="L111" s="75"/>
      <c r="M111" s="105"/>
    </row>
    <row r="112" spans="1:13" ht="14.25" customHeight="1" x14ac:dyDescent="0.35">
      <c r="A112" s="80"/>
      <c r="B112" s="95" t="s">
        <v>2024</v>
      </c>
      <c r="C112" s="10" t="s">
        <v>255</v>
      </c>
      <c r="D112" s="11" t="s">
        <v>256</v>
      </c>
      <c r="E112" s="12">
        <v>21111</v>
      </c>
      <c r="F112" s="12"/>
      <c r="G112" s="82" t="s">
        <v>257</v>
      </c>
      <c r="H112" s="72" t="s">
        <v>48</v>
      </c>
      <c r="I112" s="75"/>
      <c r="J112" s="75"/>
      <c r="K112" s="104"/>
      <c r="L112" s="75"/>
      <c r="M112" s="105"/>
    </row>
    <row r="113" spans="1:13" ht="14.25" customHeight="1" x14ac:dyDescent="0.35">
      <c r="A113" s="80"/>
      <c r="B113" s="9"/>
      <c r="C113" s="10" t="s">
        <v>258</v>
      </c>
      <c r="D113" s="11" t="s">
        <v>259</v>
      </c>
      <c r="E113" s="12">
        <v>21112</v>
      </c>
      <c r="F113" s="12"/>
      <c r="G113" s="81"/>
      <c r="H113" s="72" t="s">
        <v>48</v>
      </c>
      <c r="I113" s="75"/>
      <c r="J113" s="75"/>
      <c r="K113" s="104"/>
      <c r="L113" s="75"/>
      <c r="M113" s="105"/>
    </row>
    <row r="114" spans="1:13" ht="14.25" customHeight="1" x14ac:dyDescent="0.35">
      <c r="A114" s="80"/>
      <c r="B114" s="95" t="s">
        <v>2025</v>
      </c>
      <c r="C114" s="10" t="s">
        <v>260</v>
      </c>
      <c r="D114" s="11" t="s">
        <v>261</v>
      </c>
      <c r="E114" s="12">
        <v>21113</v>
      </c>
      <c r="F114" s="12"/>
      <c r="G114" s="81"/>
      <c r="H114" s="72" t="s">
        <v>48</v>
      </c>
      <c r="I114" s="75"/>
      <c r="J114" s="75"/>
      <c r="K114" s="104"/>
      <c r="L114" s="75"/>
      <c r="M114" s="105"/>
    </row>
    <row r="115" spans="1:13" ht="14.25" customHeight="1" x14ac:dyDescent="0.35">
      <c r="A115" s="80"/>
      <c r="B115" s="95" t="s">
        <v>2026</v>
      </c>
      <c r="C115" s="10" t="s">
        <v>262</v>
      </c>
      <c r="D115" s="11" t="s">
        <v>263</v>
      </c>
      <c r="E115" s="12">
        <v>21114</v>
      </c>
      <c r="F115" s="12"/>
      <c r="G115" s="81"/>
      <c r="H115" s="72" t="s">
        <v>48</v>
      </c>
      <c r="I115" s="75"/>
      <c r="J115" s="75"/>
      <c r="K115" s="104"/>
      <c r="L115" s="75"/>
      <c r="M115" s="105"/>
    </row>
    <row r="116" spans="1:13" ht="14.25" customHeight="1" x14ac:dyDescent="0.35">
      <c r="A116" s="80"/>
      <c r="B116" s="95" t="s">
        <v>2027</v>
      </c>
      <c r="C116" s="10" t="s">
        <v>264</v>
      </c>
      <c r="D116" s="11" t="s">
        <v>265</v>
      </c>
      <c r="E116" s="12">
        <v>21115</v>
      </c>
      <c r="F116" s="12"/>
      <c r="G116" s="81"/>
      <c r="H116" s="72" t="s">
        <v>48</v>
      </c>
      <c r="I116" s="75"/>
      <c r="J116" s="75"/>
      <c r="K116" s="104"/>
      <c r="L116" s="75"/>
      <c r="M116" s="105"/>
    </row>
    <row r="117" spans="1:13" ht="14.25" customHeight="1" x14ac:dyDescent="0.35">
      <c r="A117" s="80"/>
      <c r="B117" s="95" t="s">
        <v>2028</v>
      </c>
      <c r="C117" s="10" t="s">
        <v>125</v>
      </c>
      <c r="D117" s="11" t="s">
        <v>266</v>
      </c>
      <c r="E117" s="12">
        <v>21116</v>
      </c>
      <c r="F117" s="12"/>
      <c r="G117" s="82" t="s">
        <v>267</v>
      </c>
      <c r="H117" s="72" t="s">
        <v>48</v>
      </c>
      <c r="I117" s="75"/>
      <c r="J117" s="75"/>
      <c r="K117" s="104"/>
      <c r="L117" s="75"/>
      <c r="M117" s="105"/>
    </row>
    <row r="118" spans="1:13" ht="14.25" customHeight="1" x14ac:dyDescent="0.35">
      <c r="A118" s="80"/>
      <c r="B118" s="9"/>
      <c r="C118" s="10" t="s">
        <v>268</v>
      </c>
      <c r="D118" s="11" t="s">
        <v>269</v>
      </c>
      <c r="E118" s="12">
        <v>21117</v>
      </c>
      <c r="F118" s="12"/>
      <c r="G118" s="81"/>
      <c r="H118" s="72" t="s">
        <v>20</v>
      </c>
      <c r="I118" s="75"/>
      <c r="J118" s="75"/>
      <c r="K118" s="104"/>
      <c r="L118" s="75"/>
      <c r="M118" s="105"/>
    </row>
    <row r="119" spans="1:13" ht="14.25" customHeight="1" x14ac:dyDescent="0.35">
      <c r="A119" s="80"/>
      <c r="B119" s="95" t="s">
        <v>2029</v>
      </c>
      <c r="C119" s="10" t="s">
        <v>74</v>
      </c>
      <c r="D119" s="11" t="s">
        <v>270</v>
      </c>
      <c r="E119" s="12">
        <v>21118</v>
      </c>
      <c r="F119" s="12"/>
      <c r="G119" s="81"/>
      <c r="H119" s="72" t="s">
        <v>48</v>
      </c>
      <c r="I119" s="75"/>
      <c r="J119" s="75"/>
      <c r="K119" s="104"/>
      <c r="L119" s="75"/>
      <c r="M119" s="105"/>
    </row>
    <row r="120" spans="1:13" ht="14.25" customHeight="1" x14ac:dyDescent="0.35">
      <c r="A120" s="80"/>
      <c r="B120" s="95" t="s">
        <v>2030</v>
      </c>
      <c r="C120" s="10" t="s">
        <v>271</v>
      </c>
      <c r="D120" s="11" t="s">
        <v>272</v>
      </c>
      <c r="E120" s="12">
        <v>21119</v>
      </c>
      <c r="F120" s="12"/>
      <c r="G120" s="81"/>
      <c r="H120" s="72" t="s">
        <v>48</v>
      </c>
      <c r="I120" s="75"/>
      <c r="J120" s="75"/>
      <c r="K120" s="104"/>
      <c r="L120" s="75"/>
      <c r="M120" s="105"/>
    </row>
    <row r="121" spans="1:13" ht="14.25" customHeight="1" x14ac:dyDescent="0.35">
      <c r="A121" s="80"/>
      <c r="B121" s="9"/>
      <c r="C121" s="10" t="s">
        <v>273</v>
      </c>
      <c r="D121" s="11" t="s">
        <v>274</v>
      </c>
      <c r="E121" s="12">
        <v>21120</v>
      </c>
      <c r="F121" s="12"/>
      <c r="G121" s="81"/>
      <c r="H121" s="72" t="s">
        <v>20</v>
      </c>
      <c r="I121" s="75"/>
      <c r="J121" s="75"/>
      <c r="K121" s="104"/>
      <c r="L121" s="75"/>
      <c r="M121" s="105"/>
    </row>
    <row r="122" spans="1:13" ht="14.25" customHeight="1" x14ac:dyDescent="0.35">
      <c r="A122" s="80"/>
      <c r="B122" s="95" t="s">
        <v>2031</v>
      </c>
      <c r="C122" s="10" t="s">
        <v>275</v>
      </c>
      <c r="D122" s="11" t="s">
        <v>276</v>
      </c>
      <c r="E122" s="12">
        <v>21121</v>
      </c>
      <c r="F122" s="12"/>
      <c r="G122" s="82" t="s">
        <v>277</v>
      </c>
      <c r="H122" s="72" t="s">
        <v>48</v>
      </c>
      <c r="I122" s="75"/>
      <c r="J122" s="75"/>
      <c r="K122" s="104"/>
      <c r="L122" s="75"/>
      <c r="M122" s="105"/>
    </row>
    <row r="123" spans="1:13" ht="14.25" customHeight="1" x14ac:dyDescent="0.35">
      <c r="A123" s="80"/>
      <c r="B123" s="9"/>
      <c r="C123" s="10" t="s">
        <v>278</v>
      </c>
      <c r="D123" s="11" t="s">
        <v>279</v>
      </c>
      <c r="E123" s="12">
        <v>21122</v>
      </c>
      <c r="F123" s="12"/>
      <c r="G123" s="81"/>
      <c r="H123" s="72" t="s">
        <v>20</v>
      </c>
      <c r="I123" s="75"/>
      <c r="J123" s="75"/>
      <c r="K123" s="104"/>
      <c r="L123" s="75"/>
      <c r="M123" s="105"/>
    </row>
    <row r="124" spans="1:13" ht="14.25" customHeight="1" x14ac:dyDescent="0.35">
      <c r="A124" s="80"/>
      <c r="B124" s="9"/>
      <c r="C124" s="10" t="s">
        <v>184</v>
      </c>
      <c r="D124" s="11" t="s">
        <v>280</v>
      </c>
      <c r="E124" s="12">
        <v>21123</v>
      </c>
      <c r="F124" s="15"/>
      <c r="G124" s="81"/>
      <c r="H124" s="72" t="s">
        <v>20</v>
      </c>
      <c r="I124" s="75"/>
      <c r="J124" s="75"/>
      <c r="K124" s="104"/>
      <c r="L124" s="75"/>
      <c r="M124" s="105"/>
    </row>
    <row r="125" spans="1:13" ht="14.25" customHeight="1" x14ac:dyDescent="0.35">
      <c r="A125" s="80"/>
      <c r="B125" s="95" t="s">
        <v>2032</v>
      </c>
      <c r="C125" s="10" t="s">
        <v>281</v>
      </c>
      <c r="D125" s="11" t="s">
        <v>282</v>
      </c>
      <c r="E125" s="12">
        <v>21124</v>
      </c>
      <c r="F125" s="12"/>
      <c r="G125" s="82" t="s">
        <v>283</v>
      </c>
      <c r="H125" s="72" t="s">
        <v>48</v>
      </c>
      <c r="I125" s="75"/>
      <c r="J125" s="75"/>
      <c r="K125" s="104"/>
      <c r="L125" s="75"/>
      <c r="M125" s="105"/>
    </row>
    <row r="126" spans="1:13" ht="14.25" customHeight="1" x14ac:dyDescent="0.35">
      <c r="A126" s="80"/>
      <c r="B126" s="9"/>
      <c r="C126" s="10" t="s">
        <v>284</v>
      </c>
      <c r="D126" s="11" t="s">
        <v>285</v>
      </c>
      <c r="E126" s="12">
        <v>21125</v>
      </c>
      <c r="F126" s="12"/>
      <c r="G126" s="81"/>
      <c r="H126" s="72" t="s">
        <v>20</v>
      </c>
      <c r="I126" s="75"/>
      <c r="J126" s="75"/>
      <c r="K126" s="104"/>
      <c r="L126" s="75"/>
      <c r="M126" s="105"/>
    </row>
    <row r="127" spans="1:13" ht="14.25" customHeight="1" x14ac:dyDescent="0.35">
      <c r="A127" s="80"/>
      <c r="B127" s="95" t="s">
        <v>2033</v>
      </c>
      <c r="C127" s="10" t="s">
        <v>286</v>
      </c>
      <c r="D127" s="11" t="s">
        <v>287</v>
      </c>
      <c r="E127" s="12">
        <v>21126</v>
      </c>
      <c r="F127" s="12"/>
      <c r="G127" s="81"/>
      <c r="H127" s="72" t="s">
        <v>48</v>
      </c>
      <c r="I127" s="75"/>
      <c r="J127" s="75"/>
      <c r="K127" s="104"/>
      <c r="L127" s="75"/>
      <c r="M127" s="105"/>
    </row>
    <row r="128" spans="1:13" ht="14.25" customHeight="1" x14ac:dyDescent="0.35">
      <c r="A128" s="80"/>
      <c r="B128" s="9"/>
      <c r="C128" s="10" t="s">
        <v>288</v>
      </c>
      <c r="D128" s="11" t="s">
        <v>289</v>
      </c>
      <c r="E128" s="12">
        <v>21127</v>
      </c>
      <c r="F128" s="12"/>
      <c r="G128" s="81"/>
      <c r="H128" s="72" t="s">
        <v>20</v>
      </c>
      <c r="I128" s="75"/>
      <c r="J128" s="75"/>
      <c r="K128" s="104"/>
      <c r="L128" s="75"/>
      <c r="M128" s="105"/>
    </row>
    <row r="129" spans="1:13" ht="14.25" customHeight="1" x14ac:dyDescent="0.35">
      <c r="A129" s="80"/>
      <c r="B129" s="95" t="s">
        <v>2034</v>
      </c>
      <c r="C129" s="10" t="s">
        <v>290</v>
      </c>
      <c r="D129" s="11" t="s">
        <v>291</v>
      </c>
      <c r="E129" s="12">
        <v>21128</v>
      </c>
      <c r="F129" s="12"/>
      <c r="G129" s="81"/>
      <c r="H129" s="72" t="s">
        <v>48</v>
      </c>
      <c r="I129" s="75"/>
      <c r="J129" s="75"/>
      <c r="K129" s="104"/>
      <c r="L129" s="75"/>
      <c r="M129" s="105"/>
    </row>
    <row r="130" spans="1:13" ht="14.25" customHeight="1" x14ac:dyDescent="0.35">
      <c r="A130" s="80"/>
      <c r="B130" s="95" t="s">
        <v>2035</v>
      </c>
      <c r="C130" s="10" t="s">
        <v>292</v>
      </c>
      <c r="D130" s="11" t="s">
        <v>293</v>
      </c>
      <c r="E130" s="12">
        <v>21129</v>
      </c>
      <c r="F130" s="12"/>
      <c r="G130" s="12"/>
      <c r="H130" s="72" t="s">
        <v>9</v>
      </c>
      <c r="I130" s="75"/>
      <c r="J130" s="75"/>
      <c r="K130" s="104"/>
      <c r="L130" s="75"/>
      <c r="M130" s="105"/>
    </row>
    <row r="131" spans="1:13" ht="14.25" customHeight="1" x14ac:dyDescent="0.35">
      <c r="A131" s="80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2" t="s">
        <v>20</v>
      </c>
      <c r="I131" s="75"/>
      <c r="J131" s="75"/>
      <c r="K131" s="104"/>
      <c r="L131" s="75"/>
      <c r="M131" s="105"/>
    </row>
    <row r="132" spans="1:13" ht="14.25" customHeight="1" x14ac:dyDescent="0.35">
      <c r="A132" s="80"/>
      <c r="B132" s="95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2" t="s">
        <v>9</v>
      </c>
      <c r="I132" s="75"/>
      <c r="J132" s="75"/>
      <c r="K132" s="104"/>
      <c r="L132" s="75"/>
      <c r="M132" s="105"/>
    </row>
    <row r="133" spans="1:13" ht="14.25" customHeight="1" x14ac:dyDescent="0.35">
      <c r="A133" s="80"/>
      <c r="B133" s="95" t="s">
        <v>2036</v>
      </c>
      <c r="C133" s="10" t="s">
        <v>296</v>
      </c>
      <c r="D133" s="11" t="s">
        <v>297</v>
      </c>
      <c r="E133" s="12">
        <v>21132</v>
      </c>
      <c r="F133" s="12"/>
      <c r="G133" s="12"/>
      <c r="H133" s="72" t="s">
        <v>48</v>
      </c>
      <c r="I133" s="75"/>
      <c r="J133" s="75"/>
      <c r="K133" s="104"/>
      <c r="L133" s="75"/>
      <c r="M133" s="105"/>
    </row>
    <row r="134" spans="1:13" ht="14.25" customHeight="1" x14ac:dyDescent="0.35">
      <c r="A134" s="80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0" t="s">
        <v>300</v>
      </c>
      <c r="H134" s="72" t="s">
        <v>48</v>
      </c>
      <c r="I134" s="75"/>
      <c r="J134" s="75"/>
      <c r="K134" s="104"/>
      <c r="L134" s="75"/>
      <c r="M134" s="105"/>
    </row>
    <row r="135" spans="1:13" ht="14.25" customHeight="1" x14ac:dyDescent="0.35">
      <c r="A135" s="80"/>
      <c r="B135" s="9"/>
      <c r="C135" s="10" t="s">
        <v>301</v>
      </c>
      <c r="D135" s="11" t="s">
        <v>302</v>
      </c>
      <c r="E135" s="12">
        <v>21134</v>
      </c>
      <c r="F135" s="12"/>
      <c r="G135" s="10"/>
      <c r="H135" s="72" t="s">
        <v>20</v>
      </c>
      <c r="I135" s="75"/>
      <c r="J135" s="75"/>
      <c r="K135" s="104"/>
      <c r="L135" s="75"/>
      <c r="M135" s="105"/>
    </row>
    <row r="136" spans="1:13" ht="14.25" customHeight="1" x14ac:dyDescent="0.35">
      <c r="A136" s="80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0" t="s">
        <v>305</v>
      </c>
      <c r="H136" s="72" t="s">
        <v>48</v>
      </c>
      <c r="I136" s="75"/>
      <c r="J136" s="75"/>
      <c r="K136" s="104"/>
      <c r="L136" s="75"/>
      <c r="M136" s="105"/>
    </row>
    <row r="137" spans="1:13" ht="14.25" customHeight="1" x14ac:dyDescent="0.35">
      <c r="A137" s="80"/>
      <c r="B137" s="9"/>
      <c r="C137" s="10" t="s">
        <v>153</v>
      </c>
      <c r="D137" s="11" t="s">
        <v>154</v>
      </c>
      <c r="E137" s="12">
        <v>21136</v>
      </c>
      <c r="F137" s="12"/>
      <c r="G137" s="10"/>
      <c r="H137" s="72" t="s">
        <v>48</v>
      </c>
      <c r="I137" s="75"/>
      <c r="J137" s="75"/>
      <c r="K137" s="104"/>
      <c r="L137" s="75"/>
      <c r="M137" s="105"/>
    </row>
    <row r="138" spans="1:13" ht="14.25" customHeight="1" x14ac:dyDescent="0.35">
      <c r="A138" s="80"/>
      <c r="B138" s="9"/>
      <c r="C138" s="10" t="s">
        <v>306</v>
      </c>
      <c r="D138" s="11" t="s">
        <v>307</v>
      </c>
      <c r="E138" s="12">
        <v>21137</v>
      </c>
      <c r="F138" s="12"/>
      <c r="G138" s="10"/>
      <c r="H138" s="72" t="s">
        <v>20</v>
      </c>
      <c r="I138" s="75"/>
      <c r="J138" s="75"/>
      <c r="K138" s="104"/>
      <c r="L138" s="75"/>
      <c r="M138" s="105"/>
    </row>
    <row r="139" spans="1:13" ht="14.25" customHeight="1" x14ac:dyDescent="0.35">
      <c r="A139" s="80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0" t="s">
        <v>309</v>
      </c>
      <c r="H139" s="72" t="s">
        <v>48</v>
      </c>
      <c r="I139" s="75"/>
      <c r="J139" s="75"/>
      <c r="K139" s="104"/>
      <c r="L139" s="75"/>
      <c r="M139" s="105"/>
    </row>
    <row r="140" spans="1:13" ht="14.25" customHeight="1" x14ac:dyDescent="0.35">
      <c r="A140" s="80"/>
      <c r="B140" s="9"/>
      <c r="C140" s="10" t="s">
        <v>310</v>
      </c>
      <c r="D140" s="11" t="s">
        <v>311</v>
      </c>
      <c r="E140" s="12">
        <v>21139</v>
      </c>
      <c r="F140" s="12"/>
      <c r="G140" s="10"/>
      <c r="H140" s="72" t="s">
        <v>20</v>
      </c>
      <c r="I140" s="75"/>
      <c r="J140" s="75"/>
      <c r="K140" s="104"/>
      <c r="L140" s="75"/>
      <c r="M140" s="105"/>
    </row>
    <row r="141" spans="1:13" ht="14.25" customHeight="1" x14ac:dyDescent="0.35">
      <c r="A141" s="80"/>
      <c r="B141" s="95" t="s">
        <v>2037</v>
      </c>
      <c r="C141" s="10" t="s">
        <v>312</v>
      </c>
      <c r="D141" s="11" t="s">
        <v>313</v>
      </c>
      <c r="E141" s="12">
        <v>21140</v>
      </c>
      <c r="F141" s="12"/>
      <c r="G141" s="10"/>
      <c r="H141" s="72" t="s">
        <v>48</v>
      </c>
      <c r="I141" s="75"/>
      <c r="J141" s="75"/>
      <c r="K141" s="104"/>
      <c r="L141" s="75"/>
      <c r="M141" s="105"/>
    </row>
    <row r="142" spans="1:13" ht="14.25" customHeight="1" x14ac:dyDescent="0.35">
      <c r="A142" s="80"/>
      <c r="B142" s="95" t="s">
        <v>2038</v>
      </c>
      <c r="C142" s="10" t="s">
        <v>273</v>
      </c>
      <c r="D142" s="11" t="s">
        <v>274</v>
      </c>
      <c r="E142" s="12">
        <v>21141</v>
      </c>
      <c r="F142" s="12"/>
      <c r="G142" s="10"/>
      <c r="H142" s="72" t="s">
        <v>48</v>
      </c>
      <c r="I142" s="75"/>
      <c r="J142" s="75"/>
      <c r="K142" s="104"/>
      <c r="L142" s="75"/>
      <c r="M142" s="105"/>
    </row>
    <row r="143" spans="1:13" ht="14.25" customHeight="1" x14ac:dyDescent="0.35">
      <c r="A143" s="80"/>
      <c r="B143" s="9"/>
      <c r="C143" s="10" t="s">
        <v>314</v>
      </c>
      <c r="D143" s="11" t="s">
        <v>315</v>
      </c>
      <c r="E143" s="12">
        <v>21142</v>
      </c>
      <c r="F143" s="12"/>
      <c r="G143" s="10"/>
      <c r="H143" s="72" t="s">
        <v>48</v>
      </c>
      <c r="I143" s="75"/>
      <c r="J143" s="75"/>
      <c r="K143" s="104"/>
      <c r="L143" s="75"/>
      <c r="M143" s="105"/>
    </row>
    <row r="144" spans="1:13" ht="14.25" customHeight="1" x14ac:dyDescent="0.35">
      <c r="A144" s="80"/>
      <c r="B144" s="95" t="s">
        <v>2039</v>
      </c>
      <c r="C144" s="10" t="s">
        <v>316</v>
      </c>
      <c r="D144" s="11" t="s">
        <v>317</v>
      </c>
      <c r="E144" s="12">
        <v>21143</v>
      </c>
      <c r="F144" s="12"/>
      <c r="G144" s="10" t="s">
        <v>318</v>
      </c>
      <c r="H144" s="72" t="s">
        <v>48</v>
      </c>
      <c r="I144" s="75"/>
      <c r="J144" s="75"/>
      <c r="K144" s="104"/>
      <c r="L144" s="75"/>
      <c r="M144" s="105"/>
    </row>
    <row r="145" spans="1:13" ht="14.25" customHeight="1" x14ac:dyDescent="0.35">
      <c r="A145" s="80"/>
      <c r="B145" s="9"/>
      <c r="C145" s="10" t="s">
        <v>319</v>
      </c>
      <c r="D145" s="11" t="s">
        <v>320</v>
      </c>
      <c r="E145" s="12">
        <v>21144</v>
      </c>
      <c r="F145" s="12"/>
      <c r="G145" s="10"/>
      <c r="H145" s="72" t="s">
        <v>20</v>
      </c>
      <c r="I145" s="75"/>
      <c r="J145" s="75"/>
      <c r="K145" s="104"/>
      <c r="L145" s="75"/>
      <c r="M145" s="105"/>
    </row>
    <row r="146" spans="1:13" ht="14.25" customHeight="1" x14ac:dyDescent="0.35">
      <c r="A146" s="80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2" t="s">
        <v>20</v>
      </c>
      <c r="I146" s="75"/>
      <c r="J146" s="75"/>
      <c r="K146" s="104"/>
      <c r="L146" s="75"/>
      <c r="M146" s="105"/>
    </row>
    <row r="147" spans="1:13" ht="14.25" customHeight="1" x14ac:dyDescent="0.35">
      <c r="A147" s="80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2" t="s">
        <v>20</v>
      </c>
      <c r="I147" s="75"/>
      <c r="J147" s="75"/>
      <c r="K147" s="104"/>
      <c r="L147" s="75"/>
      <c r="M147" s="105"/>
    </row>
    <row r="148" spans="1:13" ht="14.25" customHeight="1" x14ac:dyDescent="0.35">
      <c r="A148" s="80"/>
      <c r="B148" s="95" t="s">
        <v>2040</v>
      </c>
      <c r="C148" s="10" t="s">
        <v>11</v>
      </c>
      <c r="D148" s="11" t="s">
        <v>322</v>
      </c>
      <c r="E148" s="12">
        <v>21147</v>
      </c>
      <c r="F148" s="12"/>
      <c r="G148" s="12"/>
      <c r="H148" s="72" t="s">
        <v>48</v>
      </c>
      <c r="I148" s="75"/>
      <c r="J148" s="75"/>
      <c r="K148" s="104"/>
      <c r="L148" s="75"/>
      <c r="M148" s="105"/>
    </row>
    <row r="149" spans="1:13" ht="14.25" customHeight="1" x14ac:dyDescent="0.35">
      <c r="A149" s="80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2" t="s">
        <v>20</v>
      </c>
      <c r="I149" s="75"/>
      <c r="J149" s="75"/>
      <c r="K149" s="104"/>
      <c r="L149" s="75"/>
      <c r="M149" s="105"/>
    </row>
    <row r="150" spans="1:13" ht="14.25" customHeight="1" x14ac:dyDescent="0.35">
      <c r="A150" s="80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2" t="s">
        <v>20</v>
      </c>
      <c r="I150" s="75"/>
      <c r="J150" s="75"/>
      <c r="K150" s="104"/>
      <c r="L150" s="75"/>
      <c r="M150" s="105"/>
    </row>
    <row r="151" spans="1:13" ht="14.25" customHeight="1" x14ac:dyDescent="0.35">
      <c r="A151" s="80"/>
      <c r="B151" s="95" t="s">
        <v>2041</v>
      </c>
      <c r="C151" s="10" t="s">
        <v>326</v>
      </c>
      <c r="D151" s="11" t="s">
        <v>327</v>
      </c>
      <c r="E151" s="12">
        <v>21150</v>
      </c>
      <c r="F151" s="12"/>
      <c r="G151" s="12"/>
      <c r="H151" s="72" t="s">
        <v>48</v>
      </c>
      <c r="I151" s="75"/>
      <c r="J151" s="75"/>
      <c r="K151" s="104"/>
      <c r="L151" s="75"/>
      <c r="M151" s="105"/>
    </row>
    <row r="152" spans="1:13" ht="14.25" customHeight="1" x14ac:dyDescent="0.35">
      <c r="A152" s="80"/>
      <c r="B152" s="95" t="s">
        <v>2042</v>
      </c>
      <c r="C152" s="10" t="s">
        <v>328</v>
      </c>
      <c r="D152" s="11" t="s">
        <v>329</v>
      </c>
      <c r="E152" s="12">
        <v>21151</v>
      </c>
      <c r="F152" s="12"/>
      <c r="G152" s="12"/>
      <c r="H152" s="72" t="s">
        <v>48</v>
      </c>
      <c r="I152" s="75"/>
      <c r="J152" s="75"/>
      <c r="K152" s="104"/>
      <c r="L152" s="75"/>
      <c r="M152" s="105"/>
    </row>
    <row r="153" spans="1:13" ht="14.25" customHeight="1" x14ac:dyDescent="0.35">
      <c r="A153" s="80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2" t="s">
        <v>48</v>
      </c>
      <c r="I153" s="75"/>
      <c r="J153" s="75"/>
      <c r="K153" s="104"/>
      <c r="L153" s="75"/>
      <c r="M153" s="105"/>
    </row>
    <row r="154" spans="1:13" ht="14.25" customHeight="1" x14ac:dyDescent="0.35">
      <c r="A154" s="80"/>
      <c r="B154" s="95" t="s">
        <v>2043</v>
      </c>
      <c r="C154" s="10" t="s">
        <v>56</v>
      </c>
      <c r="D154" s="11" t="s">
        <v>332</v>
      </c>
      <c r="E154" s="12">
        <v>21153</v>
      </c>
      <c r="F154" s="12"/>
      <c r="G154" s="12"/>
      <c r="H154" s="72" t="s">
        <v>48</v>
      </c>
      <c r="I154" s="75"/>
      <c r="J154" s="75"/>
      <c r="K154" s="104"/>
      <c r="L154" s="75"/>
      <c r="M154" s="105"/>
    </row>
    <row r="155" spans="1:13" ht="14.25" customHeight="1" x14ac:dyDescent="0.35">
      <c r="A155" s="80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2" t="s">
        <v>48</v>
      </c>
      <c r="I155" s="75"/>
      <c r="J155" s="75"/>
      <c r="K155" s="104"/>
      <c r="L155" s="75"/>
      <c r="M155" s="105"/>
    </row>
    <row r="156" spans="1:13" ht="14.25" customHeight="1" x14ac:dyDescent="0.35">
      <c r="A156" s="80"/>
      <c r="B156" s="95" t="s">
        <v>2044</v>
      </c>
      <c r="C156" s="10" t="s">
        <v>336</v>
      </c>
      <c r="D156" s="11" t="s">
        <v>337</v>
      </c>
      <c r="E156" s="12">
        <v>21155</v>
      </c>
      <c r="F156" s="12"/>
      <c r="G156" s="12"/>
      <c r="H156" s="72" t="s">
        <v>48</v>
      </c>
      <c r="I156" s="75"/>
      <c r="J156" s="75"/>
      <c r="K156" s="104"/>
      <c r="L156" s="75"/>
      <c r="M156" s="105"/>
    </row>
    <row r="157" spans="1:13" ht="14.25" customHeight="1" x14ac:dyDescent="0.35">
      <c r="A157" s="80"/>
      <c r="B157" s="95" t="s">
        <v>2045</v>
      </c>
      <c r="C157" s="10" t="s">
        <v>338</v>
      </c>
      <c r="D157" s="11" t="s">
        <v>339</v>
      </c>
      <c r="E157" s="12">
        <v>21156</v>
      </c>
      <c r="F157" s="12"/>
      <c r="G157" s="12"/>
      <c r="H157" s="72" t="s">
        <v>48</v>
      </c>
      <c r="I157" s="75"/>
      <c r="J157" s="75"/>
      <c r="K157" s="104"/>
      <c r="L157" s="75"/>
      <c r="M157" s="105"/>
    </row>
    <row r="158" spans="1:13" ht="14.25" customHeight="1" x14ac:dyDescent="0.35">
      <c r="A158" s="80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2" t="s">
        <v>20</v>
      </c>
      <c r="I158" s="75"/>
      <c r="J158" s="75"/>
      <c r="K158" s="104"/>
      <c r="L158" s="75"/>
      <c r="M158" s="105"/>
    </row>
    <row r="159" spans="1:13" ht="14.25" customHeight="1" x14ac:dyDescent="0.35">
      <c r="A159" s="80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2" t="s">
        <v>20</v>
      </c>
      <c r="I159" s="75"/>
      <c r="J159" s="75"/>
      <c r="K159" s="104"/>
      <c r="L159" s="75"/>
      <c r="M159" s="105"/>
    </row>
    <row r="160" spans="1:13" ht="14.25" customHeight="1" x14ac:dyDescent="0.35">
      <c r="A160" s="80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2" t="s">
        <v>48</v>
      </c>
      <c r="I160" s="75"/>
      <c r="J160" s="75"/>
      <c r="K160" s="104"/>
      <c r="L160" s="75"/>
      <c r="M160" s="105"/>
    </row>
    <row r="161" spans="1:13" ht="14.25" customHeight="1" x14ac:dyDescent="0.35">
      <c r="A161" s="80" t="s">
        <v>345</v>
      </c>
      <c r="B161" s="95" t="s">
        <v>2046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2" t="s">
        <v>9</v>
      </c>
      <c r="I161" s="75"/>
      <c r="J161" s="75"/>
      <c r="K161" s="104"/>
      <c r="L161" s="75"/>
      <c r="M161" s="105"/>
    </row>
    <row r="162" spans="1:13" ht="14.25" customHeight="1" x14ac:dyDescent="0.35">
      <c r="A162" s="80"/>
      <c r="B162" s="95" t="s">
        <v>2047</v>
      </c>
      <c r="C162" s="10" t="s">
        <v>189</v>
      </c>
      <c r="D162" s="11" t="s">
        <v>347</v>
      </c>
      <c r="E162" s="12">
        <v>21161</v>
      </c>
      <c r="F162" s="12"/>
      <c r="G162" s="12"/>
      <c r="H162" s="72" t="s">
        <v>48</v>
      </c>
      <c r="I162" s="75"/>
      <c r="J162" s="75"/>
      <c r="K162" s="104"/>
      <c r="L162" s="75"/>
      <c r="M162" s="105"/>
    </row>
    <row r="163" spans="1:13" ht="14.25" customHeight="1" x14ac:dyDescent="0.35">
      <c r="A163" s="80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2" t="s">
        <v>48</v>
      </c>
      <c r="I163" s="75"/>
      <c r="J163" s="75"/>
      <c r="K163" s="104"/>
      <c r="L163" s="75"/>
      <c r="M163" s="105"/>
    </row>
    <row r="164" spans="1:13" ht="14.25" customHeight="1" x14ac:dyDescent="0.35">
      <c r="A164" s="80" t="s">
        <v>350</v>
      </c>
      <c r="B164" s="95" t="s">
        <v>2048</v>
      </c>
      <c r="C164" s="10" t="s">
        <v>351</v>
      </c>
      <c r="D164" s="11" t="s">
        <v>352</v>
      </c>
      <c r="E164" s="12">
        <v>21163</v>
      </c>
      <c r="F164" s="12"/>
      <c r="G164" s="12"/>
      <c r="H164" s="72" t="s">
        <v>9</v>
      </c>
      <c r="I164" s="75"/>
      <c r="J164" s="75"/>
      <c r="K164" s="104"/>
      <c r="L164" s="75"/>
      <c r="M164" s="105"/>
    </row>
    <row r="165" spans="1:13" ht="14.25" customHeight="1" x14ac:dyDescent="0.35">
      <c r="A165" s="80"/>
      <c r="B165" s="95" t="s">
        <v>2049</v>
      </c>
      <c r="C165" s="10" t="s">
        <v>353</v>
      </c>
      <c r="D165" s="11" t="s">
        <v>354</v>
      </c>
      <c r="E165" s="12">
        <v>21164</v>
      </c>
      <c r="F165" s="12"/>
      <c r="G165" s="12"/>
      <c r="H165" s="72" t="s">
        <v>48</v>
      </c>
      <c r="I165" s="75"/>
      <c r="J165" s="75"/>
      <c r="K165" s="104"/>
      <c r="L165" s="75"/>
      <c r="M165" s="105"/>
    </row>
    <row r="166" spans="1:13" ht="14.25" customHeight="1" x14ac:dyDescent="0.35">
      <c r="A166" s="80" t="s">
        <v>355</v>
      </c>
      <c r="B166" s="95" t="s">
        <v>2050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2" t="s">
        <v>9</v>
      </c>
      <c r="I166" s="75"/>
      <c r="J166" s="75"/>
      <c r="K166" s="104"/>
      <c r="L166" s="75"/>
      <c r="M166" s="105"/>
    </row>
    <row r="167" spans="1:13" ht="14.25" customHeight="1" x14ac:dyDescent="0.35">
      <c r="A167" s="80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2" t="s">
        <v>20</v>
      </c>
      <c r="I167" s="75"/>
      <c r="J167" s="75"/>
      <c r="K167" s="104"/>
      <c r="L167" s="75"/>
      <c r="M167" s="105"/>
    </row>
    <row r="168" spans="1:13" ht="14.25" customHeight="1" x14ac:dyDescent="0.35">
      <c r="A168" s="80"/>
      <c r="B168" s="95" t="s">
        <v>2051</v>
      </c>
      <c r="C168" s="10" t="s">
        <v>361</v>
      </c>
      <c r="D168" s="11" t="s">
        <v>362</v>
      </c>
      <c r="E168" s="12">
        <v>21167</v>
      </c>
      <c r="F168" s="12"/>
      <c r="G168" s="12"/>
      <c r="H168" s="72" t="s">
        <v>48</v>
      </c>
      <c r="I168" s="75"/>
      <c r="J168" s="75"/>
      <c r="K168" s="104"/>
      <c r="L168" s="75"/>
      <c r="M168" s="105"/>
    </row>
    <row r="169" spans="1:13" ht="14.25" customHeight="1" x14ac:dyDescent="0.35">
      <c r="A169" s="80"/>
      <c r="B169" s="95" t="s">
        <v>2052</v>
      </c>
      <c r="C169" s="10" t="s">
        <v>11</v>
      </c>
      <c r="D169" s="11" t="s">
        <v>363</v>
      </c>
      <c r="E169" s="12">
        <v>21168</v>
      </c>
      <c r="F169" s="12"/>
      <c r="G169" s="12"/>
      <c r="H169" s="72" t="s">
        <v>48</v>
      </c>
      <c r="I169" s="75"/>
      <c r="J169" s="75"/>
      <c r="K169" s="104"/>
      <c r="L169" s="75"/>
      <c r="M169" s="105"/>
    </row>
    <row r="170" spans="1:13" ht="14.25" customHeight="1" x14ac:dyDescent="0.35">
      <c r="A170" s="80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2" t="s">
        <v>9</v>
      </c>
      <c r="I170" s="75"/>
      <c r="J170" s="75"/>
      <c r="K170" s="104"/>
      <c r="L170" s="75"/>
      <c r="M170" s="105"/>
    </row>
    <row r="171" spans="1:13" ht="14.25" customHeight="1" x14ac:dyDescent="0.35">
      <c r="A171" s="80"/>
      <c r="B171" s="95" t="s">
        <v>2053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2" t="s">
        <v>48</v>
      </c>
      <c r="I171" s="75"/>
      <c r="J171" s="75"/>
      <c r="K171" s="104"/>
      <c r="L171" s="75"/>
      <c r="M171" s="105"/>
    </row>
    <row r="172" spans="1:13" ht="14.25" customHeight="1" x14ac:dyDescent="0.35">
      <c r="A172" s="80"/>
      <c r="B172" s="95" t="s">
        <v>2054</v>
      </c>
      <c r="C172" s="10" t="s">
        <v>369</v>
      </c>
      <c r="D172" s="11" t="s">
        <v>370</v>
      </c>
      <c r="E172" s="12">
        <v>21171</v>
      </c>
      <c r="F172" s="12"/>
      <c r="G172" s="12"/>
      <c r="H172" s="72" t="s">
        <v>48</v>
      </c>
      <c r="I172" s="75"/>
      <c r="J172" s="75"/>
      <c r="K172" s="104"/>
      <c r="L172" s="75"/>
      <c r="M172" s="105"/>
    </row>
    <row r="173" spans="1:13" ht="14.25" customHeight="1" x14ac:dyDescent="0.35">
      <c r="A173" s="80"/>
      <c r="B173" s="95" t="s">
        <v>2055</v>
      </c>
      <c r="C173" s="10" t="s">
        <v>371</v>
      </c>
      <c r="D173" s="11" t="s">
        <v>372</v>
      </c>
      <c r="E173" s="12">
        <v>21172</v>
      </c>
      <c r="F173" s="12"/>
      <c r="G173" s="12"/>
      <c r="H173" s="72" t="s">
        <v>48</v>
      </c>
      <c r="I173" s="75"/>
      <c r="J173" s="75"/>
      <c r="K173" s="104"/>
      <c r="L173" s="75"/>
      <c r="M173" s="105"/>
    </row>
    <row r="174" spans="1:13" ht="14.25" customHeight="1" x14ac:dyDescent="0.35">
      <c r="A174" s="80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2" t="s">
        <v>20</v>
      </c>
      <c r="I174" s="75"/>
      <c r="J174" s="75"/>
      <c r="K174" s="104"/>
      <c r="L174" s="75"/>
      <c r="M174" s="105"/>
    </row>
    <row r="175" spans="1:13" ht="14.25" customHeight="1" x14ac:dyDescent="0.35">
      <c r="A175" s="80"/>
      <c r="B175" s="95" t="s">
        <v>2056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2" t="s">
        <v>48</v>
      </c>
      <c r="I175" s="75"/>
      <c r="J175" s="75"/>
      <c r="K175" s="104"/>
      <c r="L175" s="75"/>
      <c r="M175" s="105"/>
    </row>
    <row r="176" spans="1:13" ht="14.25" customHeight="1" x14ac:dyDescent="0.35">
      <c r="A176" s="80" t="s">
        <v>378</v>
      </c>
      <c r="B176" s="95" t="s">
        <v>2057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2" t="s">
        <v>9</v>
      </c>
      <c r="I176" s="75"/>
      <c r="J176" s="75"/>
      <c r="K176" s="104"/>
      <c r="L176" s="75"/>
      <c r="M176" s="105"/>
    </row>
    <row r="177" spans="1:13" ht="14.25" customHeight="1" x14ac:dyDescent="0.35">
      <c r="A177" s="80"/>
      <c r="B177" s="95" t="s">
        <v>2058</v>
      </c>
      <c r="C177" s="10" t="s">
        <v>382</v>
      </c>
      <c r="D177" s="11" t="s">
        <v>383</v>
      </c>
      <c r="E177" s="12">
        <v>21176</v>
      </c>
      <c r="F177" s="12"/>
      <c r="G177" s="12"/>
      <c r="H177" s="72" t="s">
        <v>48</v>
      </c>
      <c r="I177" s="75"/>
      <c r="J177" s="75"/>
      <c r="K177" s="104"/>
      <c r="L177" s="75"/>
      <c r="M177" s="105"/>
    </row>
    <row r="178" spans="1:13" ht="14.25" customHeight="1" x14ac:dyDescent="0.35">
      <c r="A178" s="80"/>
      <c r="B178" s="95" t="s">
        <v>2059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2" t="s">
        <v>48</v>
      </c>
      <c r="I178" s="75"/>
      <c r="J178" s="75"/>
      <c r="K178" s="104"/>
      <c r="L178" s="75"/>
      <c r="M178" s="105"/>
    </row>
    <row r="179" spans="1:13" ht="14.25" customHeight="1" x14ac:dyDescent="0.35">
      <c r="A179" s="80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2" t="s">
        <v>20</v>
      </c>
      <c r="I179" s="75"/>
      <c r="J179" s="75"/>
      <c r="K179" s="104"/>
      <c r="L179" s="75"/>
      <c r="M179" s="105"/>
    </row>
    <row r="180" spans="1:13" ht="14.25" customHeight="1" x14ac:dyDescent="0.35">
      <c r="A180" s="80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2" t="s">
        <v>20</v>
      </c>
      <c r="I180" s="75"/>
      <c r="J180" s="75"/>
      <c r="K180" s="104"/>
      <c r="L180" s="75"/>
      <c r="M180" s="105"/>
    </row>
    <row r="181" spans="1:13" ht="14.25" customHeight="1" x14ac:dyDescent="0.35">
      <c r="A181" s="80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2" t="s">
        <v>20</v>
      </c>
      <c r="I181" s="75"/>
      <c r="J181" s="75"/>
      <c r="K181" s="104"/>
      <c r="L181" s="75"/>
      <c r="M181" s="105"/>
    </row>
    <row r="182" spans="1:13" ht="14.25" customHeight="1" x14ac:dyDescent="0.35">
      <c r="A182" s="80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2" t="s">
        <v>48</v>
      </c>
      <c r="I182" s="75"/>
      <c r="J182" s="75"/>
      <c r="K182" s="104"/>
      <c r="L182" s="75"/>
      <c r="M182" s="105"/>
    </row>
    <row r="183" spans="1:13" ht="14.25" customHeight="1" x14ac:dyDescent="0.35">
      <c r="A183" s="80"/>
      <c r="B183" s="95" t="s">
        <v>2060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2" t="s">
        <v>48</v>
      </c>
      <c r="I183" s="75"/>
      <c r="J183" s="75"/>
      <c r="K183" s="104"/>
      <c r="L183" s="75"/>
      <c r="M183" s="105"/>
    </row>
    <row r="184" spans="1:13" ht="14.25" customHeight="1" x14ac:dyDescent="0.35">
      <c r="A184" s="80"/>
      <c r="B184" s="95" t="s">
        <v>2061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2" t="s">
        <v>48</v>
      </c>
      <c r="I184" s="75"/>
      <c r="J184" s="75"/>
      <c r="K184" s="104"/>
      <c r="L184" s="75"/>
      <c r="M184" s="105"/>
    </row>
    <row r="185" spans="1:13" ht="14.25" customHeight="1" x14ac:dyDescent="0.35">
      <c r="A185" s="80"/>
      <c r="B185" s="95" t="s">
        <v>2062</v>
      </c>
      <c r="C185" s="10" t="s">
        <v>189</v>
      </c>
      <c r="D185" s="11" t="s">
        <v>399</v>
      </c>
      <c r="E185" s="12">
        <v>21184</v>
      </c>
      <c r="F185" s="12"/>
      <c r="G185" s="12"/>
      <c r="H185" s="72" t="s">
        <v>48</v>
      </c>
      <c r="I185" s="75"/>
      <c r="J185" s="75"/>
      <c r="K185" s="104"/>
      <c r="L185" s="75"/>
      <c r="M185" s="105"/>
    </row>
    <row r="186" spans="1:13" ht="14.25" customHeight="1" x14ac:dyDescent="0.35">
      <c r="A186" s="80"/>
      <c r="B186" s="95" t="s">
        <v>2063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2" t="s">
        <v>48</v>
      </c>
      <c r="I186" s="75"/>
      <c r="J186" s="75"/>
      <c r="K186" s="104"/>
      <c r="L186" s="75"/>
      <c r="M186" s="105"/>
    </row>
    <row r="187" spans="1:13" ht="14.25" customHeight="1" x14ac:dyDescent="0.35">
      <c r="A187" s="80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2" t="s">
        <v>20</v>
      </c>
      <c r="I187" s="75"/>
      <c r="J187" s="75"/>
      <c r="K187" s="104"/>
      <c r="L187" s="75"/>
      <c r="M187" s="105"/>
    </row>
    <row r="188" spans="1:13" ht="14.25" customHeight="1" x14ac:dyDescent="0.35">
      <c r="A188" s="80" t="s">
        <v>405</v>
      </c>
      <c r="B188" s="95" t="s">
        <v>2064</v>
      </c>
      <c r="C188" s="10" t="s">
        <v>406</v>
      </c>
      <c r="D188" s="11" t="s">
        <v>407</v>
      </c>
      <c r="E188" s="12">
        <v>21187</v>
      </c>
      <c r="F188" s="12"/>
      <c r="G188" s="12"/>
      <c r="H188" s="72" t="s">
        <v>9</v>
      </c>
      <c r="I188" s="75"/>
      <c r="J188" s="75"/>
      <c r="K188" s="104"/>
      <c r="L188" s="75"/>
      <c r="M188" s="105"/>
    </row>
    <row r="189" spans="1:13" ht="14.25" customHeight="1" x14ac:dyDescent="0.35">
      <c r="A189" s="80"/>
      <c r="B189" s="95" t="s">
        <v>2065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2" t="s">
        <v>9</v>
      </c>
      <c r="I189" s="75"/>
      <c r="J189" s="75"/>
      <c r="K189" s="104"/>
      <c r="L189" s="75"/>
      <c r="M189" s="105"/>
    </row>
    <row r="190" spans="1:13" ht="14.25" customHeight="1" x14ac:dyDescent="0.35">
      <c r="A190" s="80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2" t="s">
        <v>48</v>
      </c>
      <c r="I190" s="75"/>
      <c r="J190" s="75"/>
      <c r="K190" s="104"/>
      <c r="L190" s="75"/>
      <c r="M190" s="105"/>
    </row>
    <row r="191" spans="1:13" ht="14.25" customHeight="1" x14ac:dyDescent="0.35">
      <c r="A191" s="80"/>
      <c r="B191" s="95" t="s">
        <v>2066</v>
      </c>
      <c r="C191" s="10" t="s">
        <v>361</v>
      </c>
      <c r="D191" s="11" t="s">
        <v>411</v>
      </c>
      <c r="E191" s="12">
        <v>21190</v>
      </c>
      <c r="F191" s="12"/>
      <c r="G191" s="12"/>
      <c r="H191" s="72" t="s">
        <v>48</v>
      </c>
      <c r="I191" s="75"/>
      <c r="J191" s="75"/>
      <c r="K191" s="104"/>
      <c r="L191" s="75"/>
      <c r="M191" s="105"/>
    </row>
    <row r="192" spans="1:13" ht="14.25" customHeight="1" x14ac:dyDescent="0.35">
      <c r="A192" s="80" t="s">
        <v>412</v>
      </c>
      <c r="B192" s="95" t="s">
        <v>2067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2" t="s">
        <v>9</v>
      </c>
      <c r="I192" s="75"/>
      <c r="J192" s="75"/>
      <c r="K192" s="104"/>
      <c r="L192" s="75"/>
      <c r="M192" s="105"/>
    </row>
    <row r="193" spans="1:13" ht="14.25" customHeight="1" x14ac:dyDescent="0.35">
      <c r="A193" s="80"/>
      <c r="B193" s="95" t="s">
        <v>2068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2" t="s">
        <v>48</v>
      </c>
      <c r="I193" s="75"/>
      <c r="J193" s="75"/>
      <c r="K193" s="104"/>
      <c r="L193" s="75"/>
      <c r="M193" s="105"/>
    </row>
    <row r="194" spans="1:13" ht="14.25" customHeight="1" x14ac:dyDescent="0.35">
      <c r="A194" s="80"/>
      <c r="B194" s="95" t="s">
        <v>2069</v>
      </c>
      <c r="C194" s="10" t="s">
        <v>419</v>
      </c>
      <c r="D194" s="11" t="s">
        <v>420</v>
      </c>
      <c r="E194" s="12">
        <v>21193</v>
      </c>
      <c r="F194" s="12"/>
      <c r="G194" s="12"/>
      <c r="H194" s="72" t="s">
        <v>48</v>
      </c>
      <c r="I194" s="75"/>
      <c r="J194" s="75"/>
      <c r="K194" s="104"/>
      <c r="L194" s="75"/>
      <c r="M194" s="105"/>
    </row>
    <row r="195" spans="1:13" ht="14.25" customHeight="1" x14ac:dyDescent="0.35">
      <c r="A195" s="80"/>
      <c r="B195" s="95" t="s">
        <v>2070</v>
      </c>
      <c r="C195" s="10" t="s">
        <v>116</v>
      </c>
      <c r="D195" s="11" t="s">
        <v>421</v>
      </c>
      <c r="E195" s="12">
        <v>21194</v>
      </c>
      <c r="F195" s="12"/>
      <c r="G195" s="12"/>
      <c r="H195" s="72" t="s">
        <v>48</v>
      </c>
      <c r="I195" s="75"/>
      <c r="J195" s="75"/>
      <c r="K195" s="104"/>
      <c r="L195" s="75"/>
      <c r="M195" s="105"/>
    </row>
    <row r="196" spans="1:13" ht="14.25" customHeight="1" x14ac:dyDescent="0.35">
      <c r="A196" s="80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2" t="s">
        <v>48</v>
      </c>
      <c r="I196" s="75"/>
      <c r="J196" s="75"/>
      <c r="K196" s="104"/>
      <c r="L196" s="75"/>
      <c r="M196" s="105"/>
    </row>
    <row r="197" spans="1:13" ht="14.25" customHeight="1" x14ac:dyDescent="0.35">
      <c r="A197" s="80"/>
      <c r="B197" s="95" t="s">
        <v>2071</v>
      </c>
      <c r="C197" s="10" t="s">
        <v>424</v>
      </c>
      <c r="D197" s="11" t="s">
        <v>425</v>
      </c>
      <c r="E197" s="12">
        <v>21196</v>
      </c>
      <c r="F197" s="12"/>
      <c r="G197" s="12"/>
      <c r="H197" s="72" t="s">
        <v>48</v>
      </c>
      <c r="I197" s="75"/>
      <c r="J197" s="75"/>
      <c r="K197" s="104"/>
      <c r="L197" s="75"/>
      <c r="M197" s="105"/>
    </row>
    <row r="198" spans="1:13" ht="14.25" customHeight="1" x14ac:dyDescent="0.35">
      <c r="A198" s="80"/>
      <c r="B198" s="95" t="s">
        <v>2072</v>
      </c>
      <c r="C198" s="10" t="s">
        <v>125</v>
      </c>
      <c r="D198" s="11" t="s">
        <v>426</v>
      </c>
      <c r="E198" s="12">
        <v>21197</v>
      </c>
      <c r="F198" s="12"/>
      <c r="G198" s="12"/>
      <c r="H198" s="72" t="s">
        <v>48</v>
      </c>
      <c r="I198" s="75"/>
      <c r="J198" s="75"/>
      <c r="K198" s="104"/>
      <c r="L198" s="75"/>
      <c r="M198" s="105"/>
    </row>
    <row r="199" spans="1:13" ht="14.25" customHeight="1" x14ac:dyDescent="0.35">
      <c r="A199" s="80"/>
      <c r="B199" s="95" t="s">
        <v>2073</v>
      </c>
      <c r="C199" s="10" t="s">
        <v>116</v>
      </c>
      <c r="D199" s="11" t="s">
        <v>427</v>
      </c>
      <c r="E199" s="12">
        <v>21198</v>
      </c>
      <c r="F199" s="12"/>
      <c r="G199" s="12"/>
      <c r="H199" s="72" t="s">
        <v>48</v>
      </c>
      <c r="I199" s="75"/>
      <c r="J199" s="75"/>
      <c r="K199" s="104"/>
      <c r="L199" s="75"/>
      <c r="M199" s="105"/>
    </row>
    <row r="200" spans="1:13" ht="14.25" customHeight="1" x14ac:dyDescent="0.35">
      <c r="A200" s="80"/>
      <c r="B200" s="95" t="s">
        <v>2074</v>
      </c>
      <c r="C200" s="10" t="s">
        <v>428</v>
      </c>
      <c r="D200" s="11" t="s">
        <v>429</v>
      </c>
      <c r="E200" s="12">
        <v>21199</v>
      </c>
      <c r="F200" s="12"/>
      <c r="G200" s="12"/>
      <c r="H200" s="72" t="s">
        <v>48</v>
      </c>
      <c r="I200" s="75"/>
      <c r="J200" s="75"/>
      <c r="K200" s="104"/>
      <c r="L200" s="75"/>
      <c r="M200" s="105"/>
    </row>
    <row r="201" spans="1:13" ht="14.25" customHeight="1" x14ac:dyDescent="0.35">
      <c r="A201" s="83"/>
      <c r="B201" s="96" t="s">
        <v>2075</v>
      </c>
      <c r="C201" s="10" t="s">
        <v>184</v>
      </c>
      <c r="D201" s="17" t="s">
        <v>430</v>
      </c>
      <c r="E201" s="18">
        <v>21200</v>
      </c>
      <c r="F201" s="18"/>
      <c r="G201" s="18"/>
      <c r="H201" s="73" t="s">
        <v>48</v>
      </c>
      <c r="I201" s="75"/>
      <c r="J201" s="75"/>
      <c r="K201" s="104"/>
      <c r="L201" s="75"/>
      <c r="M201" s="105"/>
    </row>
    <row r="202" spans="1:13" ht="14.25" customHeight="1" x14ac:dyDescent="0.35">
      <c r="A202" s="78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2" t="s">
        <v>48</v>
      </c>
      <c r="I202" s="75"/>
      <c r="J202" s="75"/>
      <c r="K202" s="104"/>
      <c r="L202" s="75"/>
      <c r="M202" s="105"/>
    </row>
    <row r="203" spans="1:13" ht="14.25" customHeight="1" x14ac:dyDescent="0.35">
      <c r="A203" s="78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2" t="s">
        <v>48</v>
      </c>
      <c r="I203" s="75"/>
      <c r="J203" s="75"/>
      <c r="K203" s="104"/>
      <c r="L203" s="75"/>
      <c r="M203" s="105"/>
    </row>
    <row r="204" spans="1:13" ht="14.25" customHeight="1" x14ac:dyDescent="0.35">
      <c r="A204" s="78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2" t="s">
        <v>48</v>
      </c>
      <c r="I204" s="75"/>
      <c r="J204" s="75"/>
      <c r="K204" s="104"/>
      <c r="L204" s="75"/>
      <c r="M204" s="105"/>
    </row>
    <row r="205" spans="1:13" ht="14.25" customHeight="1" x14ac:dyDescent="0.35">
      <c r="A205" s="78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2" t="s">
        <v>48</v>
      </c>
      <c r="I205" s="75"/>
      <c r="J205" s="75"/>
      <c r="K205" s="104"/>
      <c r="L205" s="75"/>
      <c r="M205" s="105"/>
    </row>
    <row r="206" spans="1:13" ht="14.25" customHeight="1" x14ac:dyDescent="0.35">
      <c r="A206" s="78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2" t="s">
        <v>48</v>
      </c>
      <c r="I206" s="75"/>
      <c r="J206" s="75"/>
      <c r="K206" s="104"/>
      <c r="L206" s="75"/>
      <c r="M206" s="105"/>
    </row>
    <row r="207" spans="1:13" ht="14.25" customHeight="1" x14ac:dyDescent="0.35">
      <c r="A207" s="78" t="s">
        <v>441</v>
      </c>
      <c r="B207" s="95" t="s">
        <v>2076</v>
      </c>
      <c r="C207" s="10" t="s">
        <v>442</v>
      </c>
      <c r="D207" s="11" t="s">
        <v>443</v>
      </c>
      <c r="E207" s="12">
        <v>21206</v>
      </c>
      <c r="F207" s="12"/>
      <c r="G207" s="78"/>
      <c r="H207" s="72" t="s">
        <v>9</v>
      </c>
      <c r="I207" s="75"/>
      <c r="J207" s="75"/>
      <c r="K207" s="104"/>
      <c r="L207" s="75"/>
      <c r="M207" s="105"/>
    </row>
    <row r="208" spans="1:13" ht="14.25" customHeight="1" x14ac:dyDescent="0.35">
      <c r="A208" s="78" t="s">
        <v>100</v>
      </c>
      <c r="B208" s="95" t="s">
        <v>1976</v>
      </c>
      <c r="C208" s="10" t="s">
        <v>101</v>
      </c>
      <c r="D208" s="11" t="s">
        <v>102</v>
      </c>
      <c r="E208" s="12">
        <v>21207</v>
      </c>
      <c r="F208" s="12"/>
      <c r="G208" s="78"/>
      <c r="H208" s="72" t="s">
        <v>9</v>
      </c>
      <c r="I208" s="75"/>
      <c r="J208" s="75"/>
      <c r="K208" s="104"/>
      <c r="L208" s="75"/>
      <c r="M208" s="105"/>
    </row>
    <row r="209" spans="1:13" ht="14.25" customHeight="1" x14ac:dyDescent="0.35">
      <c r="A209" s="78" t="s">
        <v>444</v>
      </c>
      <c r="B209" s="95" t="s">
        <v>2077</v>
      </c>
      <c r="C209" s="10" t="s">
        <v>445</v>
      </c>
      <c r="D209" s="11" t="s">
        <v>446</v>
      </c>
      <c r="E209" s="12">
        <v>21208</v>
      </c>
      <c r="F209" s="12"/>
      <c r="G209" s="78"/>
      <c r="H209" s="72" t="s">
        <v>9</v>
      </c>
      <c r="I209" s="75"/>
      <c r="J209" s="75"/>
      <c r="K209" s="104"/>
      <c r="L209" s="75"/>
      <c r="M209" s="105"/>
    </row>
    <row r="210" spans="1:13" ht="14.25" customHeight="1" x14ac:dyDescent="0.35">
      <c r="A210" s="78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2" t="s">
        <v>48</v>
      </c>
      <c r="I210" s="75"/>
      <c r="J210" s="75"/>
      <c r="K210" s="104"/>
      <c r="L210" s="75"/>
      <c r="M210" s="105"/>
    </row>
    <row r="211" spans="1:13" ht="14.25" customHeight="1" x14ac:dyDescent="0.35">
      <c r="A211" s="78" t="s">
        <v>450</v>
      </c>
      <c r="B211" s="97" t="s">
        <v>2078</v>
      </c>
      <c r="C211" s="10" t="s">
        <v>451</v>
      </c>
      <c r="D211" s="11" t="s">
        <v>452</v>
      </c>
      <c r="E211" s="12">
        <v>21211</v>
      </c>
      <c r="F211" s="12"/>
      <c r="G211" s="78"/>
      <c r="H211" s="72" t="s">
        <v>9</v>
      </c>
      <c r="I211" s="75"/>
      <c r="J211" s="75"/>
      <c r="K211" s="104"/>
      <c r="L211" s="75"/>
      <c r="M211" s="105"/>
    </row>
    <row r="212" spans="1:13" ht="14.25" customHeight="1" x14ac:dyDescent="0.35">
      <c r="A212" s="78" t="s">
        <v>453</v>
      </c>
      <c r="B212" s="97" t="s">
        <v>2079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2" t="s">
        <v>9</v>
      </c>
      <c r="I212" s="75"/>
      <c r="J212" s="75"/>
      <c r="K212" s="104"/>
      <c r="L212" s="75"/>
      <c r="M212" s="105"/>
    </row>
    <row r="213" spans="1:13" ht="14.25" customHeight="1" x14ac:dyDescent="0.35">
      <c r="A213" s="78"/>
      <c r="B213" s="95" t="s">
        <v>2080</v>
      </c>
      <c r="C213" s="10" t="s">
        <v>457</v>
      </c>
      <c r="D213" s="11" t="s">
        <v>458</v>
      </c>
      <c r="E213" s="12">
        <v>21213</v>
      </c>
      <c r="F213" s="12"/>
      <c r="G213" s="12"/>
      <c r="H213" s="72" t="s">
        <v>48</v>
      </c>
      <c r="I213" s="75"/>
      <c r="J213" s="75"/>
      <c r="K213" s="104"/>
      <c r="L213" s="75"/>
      <c r="M213" s="105"/>
    </row>
    <row r="214" spans="1:13" ht="14.25" customHeight="1" x14ac:dyDescent="0.35">
      <c r="A214" s="78" t="s">
        <v>459</v>
      </c>
      <c r="B214" s="25"/>
      <c r="C214" s="10" t="s">
        <v>7</v>
      </c>
      <c r="D214" s="11" t="s">
        <v>8</v>
      </c>
      <c r="E214" s="12">
        <v>22001</v>
      </c>
      <c r="F214" s="12"/>
      <c r="G214" s="10"/>
      <c r="H214" s="69"/>
      <c r="I214" s="77" t="s">
        <v>17</v>
      </c>
      <c r="J214" s="75"/>
      <c r="K214" s="104"/>
      <c r="L214" s="75"/>
      <c r="M214" s="105"/>
    </row>
    <row r="215" spans="1:13" ht="14.25" customHeight="1" x14ac:dyDescent="0.35">
      <c r="A215" s="12"/>
      <c r="B215" s="25"/>
      <c r="C215" s="10" t="s">
        <v>242</v>
      </c>
      <c r="D215" s="11" t="s">
        <v>460</v>
      </c>
      <c r="E215" s="12">
        <v>22002</v>
      </c>
      <c r="F215" s="12"/>
      <c r="G215" s="10"/>
      <c r="H215" s="69"/>
      <c r="I215" s="77" t="s">
        <v>17</v>
      </c>
      <c r="J215" s="75"/>
      <c r="K215" s="104"/>
      <c r="L215" s="75"/>
      <c r="M215" s="105"/>
    </row>
    <row r="216" spans="1:13" ht="14.25" customHeight="1" x14ac:dyDescent="0.35">
      <c r="A216" s="12"/>
      <c r="B216" s="25"/>
      <c r="C216" s="10" t="s">
        <v>125</v>
      </c>
      <c r="D216" s="11" t="s">
        <v>126</v>
      </c>
      <c r="E216" s="12">
        <v>22003</v>
      </c>
      <c r="F216" s="12">
        <v>8</v>
      </c>
      <c r="G216" s="10"/>
      <c r="H216" s="69"/>
      <c r="I216" s="77" t="s">
        <v>17</v>
      </c>
      <c r="J216" s="75"/>
      <c r="K216" s="104"/>
      <c r="L216" s="75"/>
      <c r="M216" s="105"/>
    </row>
    <row r="217" spans="1:13" ht="14.25" customHeight="1" x14ac:dyDescent="0.35">
      <c r="A217" s="12"/>
      <c r="B217" s="25"/>
      <c r="C217" s="10" t="s">
        <v>353</v>
      </c>
      <c r="D217" s="11" t="s">
        <v>461</v>
      </c>
      <c r="E217" s="12">
        <v>22004</v>
      </c>
      <c r="F217" s="12"/>
      <c r="G217" s="10"/>
      <c r="H217" s="69"/>
      <c r="I217" s="77" t="s">
        <v>17</v>
      </c>
      <c r="J217" s="75"/>
      <c r="K217" s="104"/>
      <c r="L217" s="75"/>
      <c r="M217" s="105"/>
    </row>
    <row r="218" spans="1:13" ht="14.25" customHeight="1" x14ac:dyDescent="0.35">
      <c r="A218" s="12"/>
      <c r="B218" s="25"/>
      <c r="C218" s="10" t="s">
        <v>189</v>
      </c>
      <c r="D218" s="11" t="s">
        <v>462</v>
      </c>
      <c r="E218" s="12">
        <v>22005</v>
      </c>
      <c r="F218" s="12">
        <v>5</v>
      </c>
      <c r="G218" s="10"/>
      <c r="H218" s="69"/>
      <c r="I218" s="77" t="s">
        <v>17</v>
      </c>
      <c r="J218" s="75"/>
      <c r="K218" s="104"/>
      <c r="L218" s="75"/>
      <c r="M218" s="105"/>
    </row>
    <row r="219" spans="1:13" ht="14.25" customHeight="1" x14ac:dyDescent="0.35">
      <c r="A219" s="12"/>
      <c r="B219" s="25"/>
      <c r="C219" s="10" t="s">
        <v>463</v>
      </c>
      <c r="D219" s="11" t="s">
        <v>464</v>
      </c>
      <c r="E219" s="12">
        <v>22006</v>
      </c>
      <c r="F219" s="12"/>
      <c r="G219" s="10"/>
      <c r="H219" s="69"/>
      <c r="I219" s="77" t="s">
        <v>20</v>
      </c>
      <c r="J219" s="75"/>
      <c r="K219" s="104"/>
      <c r="L219" s="75"/>
      <c r="M219" s="105"/>
    </row>
    <row r="220" spans="1:13" ht="14.25" customHeight="1" x14ac:dyDescent="0.35">
      <c r="A220" s="12"/>
      <c r="B220" s="25"/>
      <c r="C220" s="10" t="s">
        <v>465</v>
      </c>
      <c r="D220" s="11" t="s">
        <v>466</v>
      </c>
      <c r="E220" s="12">
        <v>22007</v>
      </c>
      <c r="F220" s="12"/>
      <c r="G220" s="10"/>
      <c r="H220" s="69"/>
      <c r="I220" s="77" t="s">
        <v>20</v>
      </c>
      <c r="J220" s="75"/>
      <c r="K220" s="104"/>
      <c r="L220" s="75"/>
      <c r="M220" s="105"/>
    </row>
    <row r="221" spans="1:13" ht="14.25" customHeight="1" x14ac:dyDescent="0.35">
      <c r="A221" s="12"/>
      <c r="B221" s="25"/>
      <c r="C221" s="10" t="s">
        <v>467</v>
      </c>
      <c r="D221" s="11" t="s">
        <v>468</v>
      </c>
      <c r="E221" s="12">
        <v>22008</v>
      </c>
      <c r="F221" s="12"/>
      <c r="G221" s="10"/>
      <c r="H221" s="69"/>
      <c r="I221" s="77" t="s">
        <v>20</v>
      </c>
      <c r="J221" s="75"/>
      <c r="K221" s="104"/>
      <c r="L221" s="75"/>
      <c r="M221" s="105"/>
    </row>
    <row r="222" spans="1:13" ht="14.25" customHeight="1" x14ac:dyDescent="0.35">
      <c r="A222" s="12"/>
      <c r="B222" s="25"/>
      <c r="C222" s="10" t="s">
        <v>76</v>
      </c>
      <c r="D222" s="11" t="s">
        <v>77</v>
      </c>
      <c r="E222" s="12">
        <v>22009</v>
      </c>
      <c r="F222" s="12">
        <v>10</v>
      </c>
      <c r="G222" s="10"/>
      <c r="H222" s="69"/>
      <c r="I222" s="77" t="s">
        <v>17</v>
      </c>
      <c r="J222" s="75"/>
      <c r="K222" s="104"/>
      <c r="L222" s="75"/>
      <c r="M222" s="105"/>
    </row>
    <row r="223" spans="1:13" ht="14.25" customHeight="1" x14ac:dyDescent="0.35">
      <c r="A223" s="12"/>
      <c r="B223" s="25"/>
      <c r="C223" s="10" t="s">
        <v>11</v>
      </c>
      <c r="D223" s="11" t="s">
        <v>81</v>
      </c>
      <c r="E223" s="12">
        <v>22010</v>
      </c>
      <c r="F223" s="12"/>
      <c r="G223" s="10"/>
      <c r="H223" s="69"/>
      <c r="I223" s="77" t="s">
        <v>48</v>
      </c>
      <c r="J223" s="75"/>
      <c r="K223" s="104"/>
      <c r="L223" s="75"/>
      <c r="M223" s="105"/>
    </row>
    <row r="224" spans="1:13" ht="14.25" customHeight="1" x14ac:dyDescent="0.35">
      <c r="A224" s="12"/>
      <c r="B224" s="25"/>
      <c r="C224" s="10" t="s">
        <v>469</v>
      </c>
      <c r="D224" s="11" t="s">
        <v>470</v>
      </c>
      <c r="E224" s="12">
        <v>22011</v>
      </c>
      <c r="F224" s="12"/>
      <c r="G224" s="10"/>
      <c r="H224" s="69"/>
      <c r="I224" s="77" t="s">
        <v>20</v>
      </c>
      <c r="J224" s="75"/>
      <c r="K224" s="104"/>
      <c r="L224" s="75"/>
      <c r="M224" s="105"/>
    </row>
    <row r="225" spans="1:13" ht="14.25" customHeight="1" x14ac:dyDescent="0.35">
      <c r="A225" s="12"/>
      <c r="B225" s="25"/>
      <c r="C225" s="10" t="s">
        <v>288</v>
      </c>
      <c r="D225" s="11" t="s">
        <v>471</v>
      </c>
      <c r="E225" s="12">
        <v>22012</v>
      </c>
      <c r="F225" s="12"/>
      <c r="G225" s="10"/>
      <c r="H225" s="69"/>
      <c r="I225" s="77" t="s">
        <v>20</v>
      </c>
      <c r="J225" s="75"/>
      <c r="K225" s="104"/>
      <c r="L225" s="75"/>
      <c r="M225" s="105"/>
    </row>
    <row r="226" spans="1:13" ht="14.25" customHeight="1" x14ac:dyDescent="0.35">
      <c r="A226" s="12"/>
      <c r="B226" s="25"/>
      <c r="C226" s="10" t="s">
        <v>472</v>
      </c>
      <c r="D226" s="11" t="s">
        <v>473</v>
      </c>
      <c r="E226" s="12">
        <v>22013</v>
      </c>
      <c r="F226" s="12"/>
      <c r="G226" s="10"/>
      <c r="H226" s="69"/>
      <c r="I226" s="77" t="s">
        <v>48</v>
      </c>
      <c r="J226" s="75"/>
      <c r="K226" s="104"/>
      <c r="L226" s="75"/>
      <c r="M226" s="105"/>
    </row>
    <row r="227" spans="1:13" ht="14.25" customHeight="1" x14ac:dyDescent="0.35">
      <c r="A227" s="12"/>
      <c r="B227" s="25"/>
      <c r="C227" s="10" t="s">
        <v>63</v>
      </c>
      <c r="D227" s="11" t="s">
        <v>474</v>
      </c>
      <c r="E227" s="12">
        <v>22014</v>
      </c>
      <c r="F227" s="12"/>
      <c r="G227" s="10"/>
      <c r="H227" s="69"/>
      <c r="I227" s="77" t="s">
        <v>20</v>
      </c>
      <c r="J227" s="75"/>
      <c r="K227" s="104"/>
      <c r="L227" s="75"/>
      <c r="M227" s="105"/>
    </row>
    <row r="228" spans="1:13" ht="14.25" customHeight="1" x14ac:dyDescent="0.35">
      <c r="A228" s="12"/>
      <c r="B228" s="25"/>
      <c r="C228" s="10" t="s">
        <v>475</v>
      </c>
      <c r="D228" s="11" t="s">
        <v>476</v>
      </c>
      <c r="E228" s="12">
        <v>22015</v>
      </c>
      <c r="F228" s="12"/>
      <c r="G228" s="10"/>
      <c r="H228" s="69"/>
      <c r="I228" s="77" t="s">
        <v>17</v>
      </c>
      <c r="J228" s="75"/>
      <c r="K228" s="104"/>
      <c r="L228" s="75"/>
      <c r="M228" s="105"/>
    </row>
    <row r="229" spans="1:13" ht="14.25" customHeight="1" x14ac:dyDescent="0.35">
      <c r="A229" s="12"/>
      <c r="B229" s="25"/>
      <c r="C229" s="10" t="s">
        <v>477</v>
      </c>
      <c r="D229" s="11" t="s">
        <v>478</v>
      </c>
      <c r="E229" s="12">
        <v>22016</v>
      </c>
      <c r="F229" s="12"/>
      <c r="G229" s="10"/>
      <c r="H229" s="69"/>
      <c r="I229" s="77" t="s">
        <v>48</v>
      </c>
      <c r="J229" s="75"/>
      <c r="K229" s="104"/>
      <c r="L229" s="75"/>
      <c r="M229" s="105"/>
    </row>
    <row r="230" spans="1:13" ht="14.25" customHeight="1" x14ac:dyDescent="0.35">
      <c r="A230" s="12"/>
      <c r="B230" s="25"/>
      <c r="C230" s="10" t="s">
        <v>479</v>
      </c>
      <c r="D230" s="11" t="s">
        <v>480</v>
      </c>
      <c r="E230" s="12">
        <v>22017</v>
      </c>
      <c r="F230" s="12"/>
      <c r="G230" s="10"/>
      <c r="H230" s="69"/>
      <c r="I230" s="77" t="s">
        <v>17</v>
      </c>
      <c r="J230" s="75"/>
      <c r="K230" s="104"/>
      <c r="L230" s="75"/>
      <c r="M230" s="105"/>
    </row>
    <row r="231" spans="1:13" ht="14.25" customHeight="1" x14ac:dyDescent="0.35">
      <c r="A231" s="12"/>
      <c r="B231" s="25"/>
      <c r="C231" s="10" t="s">
        <v>481</v>
      </c>
      <c r="D231" s="11" t="s">
        <v>482</v>
      </c>
      <c r="E231" s="12">
        <v>22018</v>
      </c>
      <c r="F231" s="12">
        <v>5</v>
      </c>
      <c r="G231" s="10"/>
      <c r="H231" s="69"/>
      <c r="I231" s="77" t="s">
        <v>17</v>
      </c>
      <c r="J231" s="75"/>
      <c r="K231" s="104"/>
      <c r="L231" s="75"/>
      <c r="M231" s="105"/>
    </row>
    <row r="232" spans="1:13" ht="14.25" customHeight="1" x14ac:dyDescent="0.35">
      <c r="A232" s="12"/>
      <c r="B232" s="25"/>
      <c r="C232" s="10" t="s">
        <v>483</v>
      </c>
      <c r="D232" s="11" t="s">
        <v>484</v>
      </c>
      <c r="E232" s="12">
        <v>22019</v>
      </c>
      <c r="F232" s="12">
        <v>5</v>
      </c>
      <c r="G232" s="10"/>
      <c r="H232" s="69"/>
      <c r="I232" s="77" t="s">
        <v>17</v>
      </c>
      <c r="J232" s="75"/>
      <c r="K232" s="104"/>
      <c r="L232" s="75"/>
      <c r="M232" s="105"/>
    </row>
    <row r="233" spans="1:13" ht="14.25" customHeight="1" x14ac:dyDescent="0.35">
      <c r="A233" s="12"/>
      <c r="B233" s="25"/>
      <c r="C233" s="10" t="s">
        <v>485</v>
      </c>
      <c r="D233" s="11" t="s">
        <v>486</v>
      </c>
      <c r="E233" s="12">
        <v>22020</v>
      </c>
      <c r="F233" s="12"/>
      <c r="G233" s="10"/>
      <c r="H233" s="69"/>
      <c r="I233" s="77" t="s">
        <v>48</v>
      </c>
      <c r="J233" s="75"/>
      <c r="K233" s="104"/>
      <c r="L233" s="75"/>
      <c r="M233" s="105"/>
    </row>
    <row r="234" spans="1:13" ht="14.25" customHeight="1" x14ac:dyDescent="0.35">
      <c r="A234" s="12"/>
      <c r="B234" s="25"/>
      <c r="C234" s="10" t="s">
        <v>487</v>
      </c>
      <c r="D234" s="11" t="s">
        <v>488</v>
      </c>
      <c r="E234" s="12">
        <v>22021</v>
      </c>
      <c r="F234" s="12"/>
      <c r="G234" s="10"/>
      <c r="H234" s="69"/>
      <c r="I234" s="77" t="s">
        <v>48</v>
      </c>
      <c r="J234" s="75"/>
      <c r="K234" s="104"/>
      <c r="L234" s="75"/>
      <c r="M234" s="105"/>
    </row>
    <row r="235" spans="1:13" ht="14.25" customHeight="1" x14ac:dyDescent="0.35">
      <c r="A235" s="12"/>
      <c r="B235" s="25"/>
      <c r="C235" s="10" t="s">
        <v>489</v>
      </c>
      <c r="D235" s="11" t="s">
        <v>490</v>
      </c>
      <c r="E235" s="12">
        <v>22022</v>
      </c>
      <c r="F235" s="12"/>
      <c r="G235" s="10"/>
      <c r="H235" s="69"/>
      <c r="I235" s="77" t="s">
        <v>48</v>
      </c>
      <c r="J235" s="75"/>
      <c r="K235" s="104"/>
      <c r="L235" s="75"/>
      <c r="M235" s="105"/>
    </row>
    <row r="236" spans="1:13" ht="14.25" customHeight="1" x14ac:dyDescent="0.35">
      <c r="A236" s="12"/>
      <c r="B236" s="25"/>
      <c r="C236" s="10" t="s">
        <v>184</v>
      </c>
      <c r="D236" s="11" t="s">
        <v>491</v>
      </c>
      <c r="E236" s="12">
        <v>22023</v>
      </c>
      <c r="F236" s="12"/>
      <c r="G236" s="10"/>
      <c r="H236" s="69"/>
      <c r="I236" s="77" t="s">
        <v>20</v>
      </c>
      <c r="J236" s="75"/>
      <c r="K236" s="104"/>
      <c r="L236" s="75"/>
      <c r="M236" s="105"/>
    </row>
    <row r="237" spans="1:13" ht="14.25" customHeight="1" x14ac:dyDescent="0.35">
      <c r="A237" s="12"/>
      <c r="B237" s="25"/>
      <c r="C237" s="10" t="s">
        <v>492</v>
      </c>
      <c r="D237" s="11" t="s">
        <v>493</v>
      </c>
      <c r="E237" s="12">
        <v>22024</v>
      </c>
      <c r="F237" s="12"/>
      <c r="G237" s="10"/>
      <c r="H237" s="69"/>
      <c r="I237" s="77" t="s">
        <v>20</v>
      </c>
      <c r="J237" s="75"/>
      <c r="K237" s="104"/>
      <c r="L237" s="75"/>
      <c r="M237" s="105"/>
    </row>
    <row r="238" spans="1:13" ht="14.25" customHeight="1" x14ac:dyDescent="0.35">
      <c r="A238" s="12"/>
      <c r="B238" s="95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0"/>
      <c r="H238" s="69"/>
      <c r="I238" s="77" t="s">
        <v>17</v>
      </c>
      <c r="J238" s="75"/>
      <c r="K238" s="104"/>
      <c r="L238" s="75"/>
      <c r="M238" s="105"/>
    </row>
    <row r="239" spans="1:13" ht="14.25" customHeight="1" x14ac:dyDescent="0.35">
      <c r="A239" s="12"/>
      <c r="B239" s="25"/>
      <c r="C239" s="10" t="s">
        <v>494</v>
      </c>
      <c r="D239" s="11" t="s">
        <v>495</v>
      </c>
      <c r="E239" s="12">
        <v>22026</v>
      </c>
      <c r="F239" s="12"/>
      <c r="G239" s="10"/>
      <c r="H239" s="69"/>
      <c r="I239" s="77" t="s">
        <v>48</v>
      </c>
      <c r="J239" s="75"/>
      <c r="K239" s="104"/>
      <c r="L239" s="75"/>
      <c r="M239" s="105"/>
    </row>
    <row r="240" spans="1:13" ht="14.25" customHeight="1" x14ac:dyDescent="0.35">
      <c r="A240" s="12"/>
      <c r="B240" s="25"/>
      <c r="C240" s="10" t="s">
        <v>74</v>
      </c>
      <c r="D240" s="11" t="s">
        <v>496</v>
      </c>
      <c r="E240" s="12">
        <v>22027</v>
      </c>
      <c r="F240" s="12"/>
      <c r="G240" s="10"/>
      <c r="H240" s="69"/>
      <c r="I240" s="77" t="s">
        <v>20</v>
      </c>
      <c r="J240" s="75"/>
      <c r="K240" s="104"/>
      <c r="L240" s="75"/>
      <c r="M240" s="105"/>
    </row>
    <row r="241" spans="1:13" ht="14.25" customHeight="1" x14ac:dyDescent="0.35">
      <c r="A241" s="12"/>
      <c r="B241" s="25"/>
      <c r="C241" s="10" t="s">
        <v>497</v>
      </c>
      <c r="D241" s="11" t="s">
        <v>498</v>
      </c>
      <c r="E241" s="12">
        <v>22028</v>
      </c>
      <c r="F241" s="12"/>
      <c r="G241" s="10"/>
      <c r="H241" s="69"/>
      <c r="I241" s="77" t="s">
        <v>20</v>
      </c>
      <c r="J241" s="75"/>
      <c r="K241" s="104"/>
      <c r="L241" s="75"/>
      <c r="M241" s="105"/>
    </row>
    <row r="242" spans="1:13" ht="14.25" customHeight="1" x14ac:dyDescent="0.35">
      <c r="A242" s="12"/>
      <c r="B242" s="25"/>
      <c r="C242" s="10" t="s">
        <v>499</v>
      </c>
      <c r="D242" s="11" t="s">
        <v>500</v>
      </c>
      <c r="E242" s="12">
        <v>22029</v>
      </c>
      <c r="F242" s="12"/>
      <c r="G242" s="10"/>
      <c r="H242" s="69"/>
      <c r="I242" s="77" t="s">
        <v>20</v>
      </c>
      <c r="J242" s="75"/>
      <c r="K242" s="104"/>
      <c r="L242" s="75"/>
      <c r="M242" s="105"/>
    </row>
    <row r="243" spans="1:13" ht="14.25" customHeight="1" x14ac:dyDescent="0.35">
      <c r="A243" s="12"/>
      <c r="B243" s="25"/>
      <c r="C243" s="10" t="s">
        <v>501</v>
      </c>
      <c r="D243" s="11" t="s">
        <v>502</v>
      </c>
      <c r="E243" s="12">
        <v>22030</v>
      </c>
      <c r="F243" s="12"/>
      <c r="G243" s="10"/>
      <c r="H243" s="69"/>
      <c r="I243" s="77" t="s">
        <v>17</v>
      </c>
      <c r="J243" s="75"/>
      <c r="K243" s="104"/>
      <c r="L243" s="75"/>
      <c r="M243" s="105"/>
    </row>
    <row r="244" spans="1:13" ht="14.25" customHeight="1" x14ac:dyDescent="0.35">
      <c r="A244" s="12"/>
      <c r="B244" s="25"/>
      <c r="C244" s="10" t="s">
        <v>503</v>
      </c>
      <c r="D244" s="11" t="s">
        <v>504</v>
      </c>
      <c r="E244" s="12">
        <v>22031</v>
      </c>
      <c r="F244" s="12"/>
      <c r="G244" s="10"/>
      <c r="H244" s="69"/>
      <c r="I244" s="77" t="s">
        <v>48</v>
      </c>
      <c r="J244" s="75"/>
      <c r="K244" s="104"/>
      <c r="L244" s="75"/>
      <c r="M244" s="105"/>
    </row>
    <row r="245" spans="1:13" ht="14.25" customHeight="1" x14ac:dyDescent="0.35">
      <c r="A245" s="12"/>
      <c r="B245" s="25"/>
      <c r="C245" s="10" t="s">
        <v>505</v>
      </c>
      <c r="D245" s="11" t="s">
        <v>506</v>
      </c>
      <c r="E245" s="12">
        <v>22032</v>
      </c>
      <c r="F245" s="12"/>
      <c r="G245" s="10"/>
      <c r="H245" s="69"/>
      <c r="I245" s="77" t="s">
        <v>48</v>
      </c>
      <c r="J245" s="75"/>
      <c r="K245" s="104"/>
      <c r="L245" s="75"/>
      <c r="M245" s="105"/>
    </row>
    <row r="246" spans="1:13" ht="14.25" customHeight="1" x14ac:dyDescent="0.35">
      <c r="A246" s="12"/>
      <c r="B246" s="25"/>
      <c r="C246" s="10" t="s">
        <v>507</v>
      </c>
      <c r="D246" s="11" t="s">
        <v>8</v>
      </c>
      <c r="E246" s="12">
        <v>22033</v>
      </c>
      <c r="F246" s="12"/>
      <c r="G246" s="10"/>
      <c r="H246" s="69"/>
      <c r="I246" s="77" t="s">
        <v>17</v>
      </c>
      <c r="J246" s="75"/>
      <c r="K246" s="104"/>
      <c r="L246" s="75"/>
      <c r="M246" s="105"/>
    </row>
    <row r="247" spans="1:13" ht="14.25" customHeight="1" x14ac:dyDescent="0.35">
      <c r="A247" s="12"/>
      <c r="B247" s="25"/>
      <c r="C247" s="10" t="s">
        <v>508</v>
      </c>
      <c r="D247" s="11" t="s">
        <v>509</v>
      </c>
      <c r="E247" s="12">
        <v>22034</v>
      </c>
      <c r="F247" s="12"/>
      <c r="G247" s="10"/>
      <c r="H247" s="69"/>
      <c r="I247" s="77" t="s">
        <v>20</v>
      </c>
      <c r="J247" s="75"/>
      <c r="K247" s="104"/>
      <c r="L247" s="75"/>
      <c r="M247" s="105"/>
    </row>
    <row r="248" spans="1:13" ht="14.25" customHeight="1" x14ac:dyDescent="0.35">
      <c r="A248" s="12"/>
      <c r="B248" s="25"/>
      <c r="C248" s="10" t="s">
        <v>510</v>
      </c>
      <c r="D248" s="11" t="s">
        <v>511</v>
      </c>
      <c r="E248" s="12">
        <v>22035</v>
      </c>
      <c r="F248" s="12"/>
      <c r="G248" s="10"/>
      <c r="H248" s="69"/>
      <c r="I248" s="77" t="s">
        <v>48</v>
      </c>
      <c r="J248" s="75"/>
      <c r="K248" s="104"/>
      <c r="L248" s="75"/>
      <c r="M248" s="105"/>
    </row>
    <row r="249" spans="1:13" ht="14.25" customHeight="1" x14ac:dyDescent="0.35">
      <c r="A249" s="12"/>
      <c r="B249" s="25"/>
      <c r="C249" s="10" t="s">
        <v>512</v>
      </c>
      <c r="D249" s="11" t="s">
        <v>513</v>
      </c>
      <c r="E249" s="12">
        <v>22036</v>
      </c>
      <c r="F249" s="12"/>
      <c r="G249" s="10"/>
      <c r="H249" s="69"/>
      <c r="I249" s="77" t="s">
        <v>20</v>
      </c>
      <c r="J249" s="75"/>
      <c r="K249" s="104"/>
      <c r="L249" s="75"/>
      <c r="M249" s="105"/>
    </row>
    <row r="250" spans="1:13" ht="14.25" customHeight="1" x14ac:dyDescent="0.35">
      <c r="A250" s="12"/>
      <c r="B250" s="25"/>
      <c r="C250" s="10" t="s">
        <v>11</v>
      </c>
      <c r="D250" s="11" t="s">
        <v>514</v>
      </c>
      <c r="E250" s="12">
        <v>22037</v>
      </c>
      <c r="F250" s="12">
        <v>10</v>
      </c>
      <c r="G250" s="10"/>
      <c r="H250" s="69"/>
      <c r="I250" s="77" t="s">
        <v>17</v>
      </c>
      <c r="J250" s="75"/>
      <c r="K250" s="104"/>
      <c r="L250" s="75"/>
      <c r="M250" s="105"/>
    </row>
    <row r="251" spans="1:13" ht="14.25" customHeight="1" x14ac:dyDescent="0.35">
      <c r="A251" s="12"/>
      <c r="B251" s="25"/>
      <c r="C251" s="10" t="s">
        <v>11</v>
      </c>
      <c r="D251" s="11" t="s">
        <v>515</v>
      </c>
      <c r="E251" s="12">
        <v>22038</v>
      </c>
      <c r="F251" s="12"/>
      <c r="G251" s="10"/>
      <c r="H251" s="69"/>
      <c r="I251" s="77" t="s">
        <v>48</v>
      </c>
      <c r="J251" s="75"/>
      <c r="K251" s="104"/>
      <c r="L251" s="75"/>
      <c r="M251" s="105"/>
    </row>
    <row r="252" spans="1:13" ht="14.25" customHeight="1" x14ac:dyDescent="0.35">
      <c r="A252" s="12"/>
      <c r="B252" s="25"/>
      <c r="C252" s="10" t="s">
        <v>184</v>
      </c>
      <c r="D252" s="11" t="s">
        <v>516</v>
      </c>
      <c r="E252" s="12">
        <v>22039</v>
      </c>
      <c r="F252" s="12"/>
      <c r="G252" s="10"/>
      <c r="H252" s="69"/>
      <c r="I252" s="77" t="s">
        <v>20</v>
      </c>
      <c r="J252" s="75"/>
      <c r="K252" s="104"/>
      <c r="L252" s="75"/>
      <c r="M252" s="105"/>
    </row>
    <row r="253" spans="1:13" ht="14.25" customHeight="1" x14ac:dyDescent="0.35">
      <c r="A253" s="12"/>
      <c r="B253" s="25"/>
      <c r="C253" s="10" t="s">
        <v>517</v>
      </c>
      <c r="D253" s="11" t="s">
        <v>518</v>
      </c>
      <c r="E253" s="12">
        <v>22040</v>
      </c>
      <c r="F253" s="12"/>
      <c r="G253" s="10"/>
      <c r="H253" s="69"/>
      <c r="I253" s="77" t="s">
        <v>48</v>
      </c>
      <c r="J253" s="75"/>
      <c r="K253" s="104"/>
      <c r="L253" s="75"/>
      <c r="M253" s="105"/>
    </row>
    <row r="254" spans="1:13" ht="14.25" customHeight="1" x14ac:dyDescent="0.35">
      <c r="A254" s="12"/>
      <c r="B254" s="25"/>
      <c r="C254" s="10" t="s">
        <v>11</v>
      </c>
      <c r="D254" s="11" t="s">
        <v>519</v>
      </c>
      <c r="E254" s="12">
        <v>22041</v>
      </c>
      <c r="F254" s="12"/>
      <c r="G254" s="10"/>
      <c r="H254" s="69"/>
      <c r="I254" s="77" t="s">
        <v>48</v>
      </c>
      <c r="J254" s="75"/>
      <c r="K254" s="104"/>
      <c r="L254" s="75"/>
      <c r="M254" s="105"/>
    </row>
    <row r="255" spans="1:13" ht="14.25" customHeight="1" x14ac:dyDescent="0.35">
      <c r="A255" s="12"/>
      <c r="B255" s="25"/>
      <c r="C255" s="10" t="s">
        <v>110</v>
      </c>
      <c r="D255" s="11" t="s">
        <v>111</v>
      </c>
      <c r="E255" s="12">
        <v>22042</v>
      </c>
      <c r="F255" s="12">
        <v>10</v>
      </c>
      <c r="G255" s="10"/>
      <c r="H255" s="69"/>
      <c r="I255" s="77" t="s">
        <v>17</v>
      </c>
      <c r="J255" s="75"/>
      <c r="K255" s="104"/>
      <c r="L255" s="75"/>
      <c r="M255" s="105"/>
    </row>
    <row r="256" spans="1:13" ht="14.25" customHeight="1" x14ac:dyDescent="0.35">
      <c r="A256" s="12"/>
      <c r="B256" s="25"/>
      <c r="C256" s="10" t="s">
        <v>520</v>
      </c>
      <c r="D256" s="11" t="s">
        <v>521</v>
      </c>
      <c r="E256" s="12">
        <v>22043</v>
      </c>
      <c r="F256" s="12"/>
      <c r="G256" s="10"/>
      <c r="H256" s="69"/>
      <c r="I256" s="77" t="s">
        <v>48</v>
      </c>
      <c r="J256" s="75"/>
      <c r="K256" s="104"/>
      <c r="L256" s="75"/>
      <c r="M256" s="105"/>
    </row>
    <row r="257" spans="1:13" ht="14.25" customHeight="1" x14ac:dyDescent="0.35">
      <c r="A257" s="12"/>
      <c r="B257" s="25"/>
      <c r="C257" s="10" t="s">
        <v>74</v>
      </c>
      <c r="D257" s="11" t="s">
        <v>522</v>
      </c>
      <c r="E257" s="12">
        <v>22044</v>
      </c>
      <c r="F257" s="12"/>
      <c r="G257" s="10"/>
      <c r="H257" s="69"/>
      <c r="I257" s="77" t="s">
        <v>48</v>
      </c>
      <c r="J257" s="75"/>
      <c r="K257" s="104"/>
      <c r="L257" s="75"/>
      <c r="M257" s="105"/>
    </row>
    <row r="258" spans="1:13" ht="14.25" customHeight="1" x14ac:dyDescent="0.35">
      <c r="A258" s="78" t="s">
        <v>2418</v>
      </c>
      <c r="B258" s="25"/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9"/>
      <c r="I258" s="77" t="s">
        <v>17</v>
      </c>
      <c r="J258" s="75"/>
      <c r="K258" s="104"/>
      <c r="L258" s="75"/>
      <c r="M258" s="105"/>
    </row>
    <row r="259" spans="1:13" ht="14.25" customHeight="1" x14ac:dyDescent="0.35">
      <c r="A259" s="12"/>
      <c r="B259" s="25"/>
      <c r="C259" s="10" t="s">
        <v>125</v>
      </c>
      <c r="D259" s="11" t="s">
        <v>523</v>
      </c>
      <c r="E259" s="12">
        <v>22046</v>
      </c>
      <c r="F259" s="12"/>
      <c r="G259" s="10"/>
      <c r="H259" s="69"/>
      <c r="I259" s="77" t="s">
        <v>48</v>
      </c>
      <c r="J259" s="75"/>
      <c r="K259" s="104"/>
      <c r="L259" s="75"/>
      <c r="M259" s="105"/>
    </row>
    <row r="260" spans="1:13" ht="14.25" customHeight="1" x14ac:dyDescent="0.35">
      <c r="A260" s="12"/>
      <c r="B260" s="25"/>
      <c r="C260" s="10" t="s">
        <v>524</v>
      </c>
      <c r="D260" s="11" t="s">
        <v>525</v>
      </c>
      <c r="E260" s="12">
        <v>22047</v>
      </c>
      <c r="F260" s="12"/>
      <c r="G260" s="10"/>
      <c r="H260" s="69"/>
      <c r="I260" s="77" t="s">
        <v>48</v>
      </c>
      <c r="J260" s="75"/>
      <c r="K260" s="104"/>
      <c r="L260" s="75"/>
      <c r="M260" s="105"/>
    </row>
    <row r="261" spans="1:13" ht="14.25" customHeight="1" x14ac:dyDescent="0.35">
      <c r="A261" s="12"/>
      <c r="B261" s="25"/>
      <c r="C261" s="10" t="s">
        <v>379</v>
      </c>
      <c r="D261" s="11" t="s">
        <v>526</v>
      </c>
      <c r="E261" s="12">
        <v>22048</v>
      </c>
      <c r="F261" s="12"/>
      <c r="G261" s="10"/>
      <c r="H261" s="69"/>
      <c r="I261" s="77" t="s">
        <v>20</v>
      </c>
      <c r="J261" s="75"/>
      <c r="K261" s="104"/>
      <c r="L261" s="75"/>
      <c r="M261" s="105"/>
    </row>
    <row r="262" spans="1:13" ht="14.25" customHeight="1" x14ac:dyDescent="0.35">
      <c r="A262" s="12"/>
      <c r="B262" s="25"/>
      <c r="C262" s="10" t="s">
        <v>527</v>
      </c>
      <c r="D262" s="11" t="s">
        <v>528</v>
      </c>
      <c r="E262" s="12">
        <v>22049</v>
      </c>
      <c r="F262" s="12"/>
      <c r="G262" s="10"/>
      <c r="H262" s="69"/>
      <c r="I262" s="77" t="s">
        <v>48</v>
      </c>
      <c r="J262" s="75"/>
      <c r="K262" s="104"/>
      <c r="L262" s="75"/>
      <c r="M262" s="105"/>
    </row>
    <row r="263" spans="1:13" ht="14.25" customHeight="1" x14ac:dyDescent="0.35">
      <c r="A263" s="12"/>
      <c r="B263" s="25"/>
      <c r="C263" s="10" t="s">
        <v>529</v>
      </c>
      <c r="D263" s="11" t="s">
        <v>530</v>
      </c>
      <c r="E263" s="12">
        <v>22050</v>
      </c>
      <c r="F263" s="12"/>
      <c r="G263" s="10"/>
      <c r="H263" s="69"/>
      <c r="I263" s="77" t="s">
        <v>17</v>
      </c>
      <c r="J263" s="75"/>
      <c r="K263" s="104"/>
      <c r="L263" s="75"/>
      <c r="M263" s="105"/>
    </row>
    <row r="264" spans="1:13" ht="14.25" customHeight="1" x14ac:dyDescent="0.35">
      <c r="A264" s="12"/>
      <c r="B264" s="25"/>
      <c r="C264" s="10" t="s">
        <v>531</v>
      </c>
      <c r="D264" s="11" t="s">
        <v>532</v>
      </c>
      <c r="E264" s="12">
        <v>22051</v>
      </c>
      <c r="F264" s="12"/>
      <c r="G264" s="10"/>
      <c r="H264" s="69"/>
      <c r="I264" s="77" t="s">
        <v>48</v>
      </c>
      <c r="J264" s="75"/>
      <c r="K264" s="104"/>
      <c r="L264" s="75"/>
      <c r="M264" s="105"/>
    </row>
    <row r="265" spans="1:13" ht="14.25" customHeight="1" x14ac:dyDescent="0.35">
      <c r="A265" s="12"/>
      <c r="B265" s="25"/>
      <c r="C265" s="10" t="s">
        <v>533</v>
      </c>
      <c r="D265" s="11" t="s">
        <v>534</v>
      </c>
      <c r="E265" s="12">
        <v>22052</v>
      </c>
      <c r="F265" s="12"/>
      <c r="G265" s="10"/>
      <c r="H265" s="69"/>
      <c r="I265" s="77" t="s">
        <v>48</v>
      </c>
      <c r="J265" s="75"/>
      <c r="K265" s="104"/>
      <c r="L265" s="75"/>
      <c r="M265" s="105"/>
    </row>
    <row r="266" spans="1:13" ht="14.25" customHeight="1" x14ac:dyDescent="0.35">
      <c r="A266" s="12"/>
      <c r="B266" s="25"/>
      <c r="C266" s="10" t="s">
        <v>416</v>
      </c>
      <c r="D266" s="11" t="s">
        <v>535</v>
      </c>
      <c r="E266" s="12">
        <v>22053</v>
      </c>
      <c r="F266" s="12"/>
      <c r="G266" s="10"/>
      <c r="H266" s="69"/>
      <c r="I266" s="77" t="s">
        <v>20</v>
      </c>
      <c r="J266" s="75"/>
      <c r="K266" s="104"/>
      <c r="L266" s="75"/>
      <c r="M266" s="105"/>
    </row>
    <row r="267" spans="1:13" ht="14.25" customHeight="1" x14ac:dyDescent="0.35">
      <c r="A267" s="12"/>
      <c r="B267" s="25"/>
      <c r="C267" s="10" t="s">
        <v>536</v>
      </c>
      <c r="D267" s="11" t="s">
        <v>537</v>
      </c>
      <c r="E267" s="12">
        <v>22054</v>
      </c>
      <c r="F267" s="12"/>
      <c r="G267" s="10"/>
      <c r="H267" s="69"/>
      <c r="I267" s="77" t="s">
        <v>48</v>
      </c>
      <c r="J267" s="75"/>
      <c r="K267" s="104"/>
      <c r="L267" s="75"/>
      <c r="M267" s="105"/>
    </row>
    <row r="268" spans="1:13" ht="14.25" customHeight="1" x14ac:dyDescent="0.35">
      <c r="A268" s="12"/>
      <c r="B268" s="25"/>
      <c r="C268" s="10" t="s">
        <v>538</v>
      </c>
      <c r="D268" s="79" t="s">
        <v>539</v>
      </c>
      <c r="E268" s="12">
        <v>22055</v>
      </c>
      <c r="F268" s="12"/>
      <c r="G268" s="10"/>
      <c r="H268" s="69"/>
      <c r="I268" s="77" t="s">
        <v>20</v>
      </c>
      <c r="J268" s="75"/>
      <c r="K268" s="104"/>
      <c r="L268" s="75"/>
      <c r="M268" s="105"/>
    </row>
    <row r="269" spans="1:13" ht="14.25" customHeight="1" x14ac:dyDescent="0.35">
      <c r="A269" s="12"/>
      <c r="B269" s="25"/>
      <c r="C269" s="10" t="s">
        <v>540</v>
      </c>
      <c r="D269" s="11" t="s">
        <v>541</v>
      </c>
      <c r="E269" s="12">
        <v>22056</v>
      </c>
      <c r="F269" s="12"/>
      <c r="G269" s="10"/>
      <c r="H269" s="69"/>
      <c r="I269" s="77" t="s">
        <v>48</v>
      </c>
      <c r="J269" s="75"/>
      <c r="K269" s="104"/>
      <c r="L269" s="75"/>
      <c r="M269" s="105"/>
    </row>
    <row r="270" spans="1:13" ht="14.25" customHeight="1" x14ac:dyDescent="0.35">
      <c r="A270" s="12"/>
      <c r="B270" s="25"/>
      <c r="C270" s="10" t="s">
        <v>60</v>
      </c>
      <c r="D270" s="11" t="s">
        <v>542</v>
      </c>
      <c r="E270" s="12">
        <v>22057</v>
      </c>
      <c r="F270" s="12">
        <v>10</v>
      </c>
      <c r="G270" s="10"/>
      <c r="H270" s="69"/>
      <c r="I270" s="77" t="s">
        <v>17</v>
      </c>
      <c r="J270" s="75"/>
      <c r="K270" s="104"/>
      <c r="L270" s="75"/>
      <c r="M270" s="105"/>
    </row>
    <row r="271" spans="1:13" ht="14.25" customHeight="1" x14ac:dyDescent="0.35">
      <c r="A271" s="12"/>
      <c r="B271" s="25"/>
      <c r="C271" s="10" t="s">
        <v>543</v>
      </c>
      <c r="D271" s="11" t="s">
        <v>544</v>
      </c>
      <c r="E271" s="12">
        <v>22058</v>
      </c>
      <c r="F271" s="12"/>
      <c r="G271" s="10"/>
      <c r="H271" s="69"/>
      <c r="I271" s="77" t="s">
        <v>48</v>
      </c>
      <c r="J271" s="75"/>
      <c r="K271" s="104"/>
      <c r="L271" s="75"/>
      <c r="M271" s="105"/>
    </row>
    <row r="272" spans="1:13" ht="14.25" customHeight="1" x14ac:dyDescent="0.35">
      <c r="A272" s="12"/>
      <c r="B272" s="25"/>
      <c r="C272" s="10" t="s">
        <v>158</v>
      </c>
      <c r="D272" s="11" t="s">
        <v>159</v>
      </c>
      <c r="E272" s="12">
        <v>22059</v>
      </c>
      <c r="F272" s="12"/>
      <c r="G272" s="10"/>
      <c r="H272" s="69"/>
      <c r="I272" s="77" t="s">
        <v>48</v>
      </c>
      <c r="J272" s="75"/>
      <c r="K272" s="104"/>
      <c r="L272" s="75"/>
      <c r="M272" s="105"/>
    </row>
    <row r="273" spans="1:13" ht="14.25" customHeight="1" x14ac:dyDescent="0.35">
      <c r="A273" s="12"/>
      <c r="B273" s="25"/>
      <c r="C273" s="10" t="s">
        <v>545</v>
      </c>
      <c r="D273" s="11" t="s">
        <v>546</v>
      </c>
      <c r="E273" s="12">
        <v>22060</v>
      </c>
      <c r="F273" s="12"/>
      <c r="G273" s="10"/>
      <c r="H273" s="69"/>
      <c r="I273" s="77" t="s">
        <v>48</v>
      </c>
      <c r="J273" s="75"/>
      <c r="K273" s="104"/>
      <c r="L273" s="75"/>
      <c r="M273" s="105"/>
    </row>
    <row r="274" spans="1:13" ht="14.25" customHeight="1" x14ac:dyDescent="0.35">
      <c r="A274" s="12"/>
      <c r="B274" s="25"/>
      <c r="C274" s="10" t="s">
        <v>184</v>
      </c>
      <c r="D274" s="11" t="s">
        <v>547</v>
      </c>
      <c r="E274" s="12">
        <v>22061</v>
      </c>
      <c r="F274" s="12"/>
      <c r="G274" s="10"/>
      <c r="H274" s="69"/>
      <c r="I274" s="77" t="s">
        <v>20</v>
      </c>
      <c r="J274" s="75"/>
      <c r="K274" s="104"/>
      <c r="L274" s="75"/>
      <c r="M274" s="105"/>
    </row>
    <row r="275" spans="1:13" ht="14.25" customHeight="1" x14ac:dyDescent="0.35">
      <c r="A275" s="12"/>
      <c r="B275" s="25"/>
      <c r="C275" s="10" t="s">
        <v>548</v>
      </c>
      <c r="D275" s="11" t="s">
        <v>549</v>
      </c>
      <c r="E275" s="12">
        <v>22062</v>
      </c>
      <c r="F275" s="12"/>
      <c r="G275" s="10"/>
      <c r="H275" s="69"/>
      <c r="I275" s="77" t="s">
        <v>20</v>
      </c>
      <c r="J275" s="75"/>
      <c r="K275" s="104"/>
      <c r="L275" s="75"/>
      <c r="M275" s="105"/>
    </row>
    <row r="276" spans="1:13" ht="14.25" customHeight="1" x14ac:dyDescent="0.35">
      <c r="A276" s="12"/>
      <c r="B276" s="25"/>
      <c r="C276" s="10" t="s">
        <v>11</v>
      </c>
      <c r="D276" s="11" t="s">
        <v>550</v>
      </c>
      <c r="E276" s="12">
        <v>22063</v>
      </c>
      <c r="F276" s="12"/>
      <c r="G276" s="10"/>
      <c r="H276" s="69"/>
      <c r="I276" s="77" t="s">
        <v>48</v>
      </c>
      <c r="J276" s="75"/>
      <c r="K276" s="104"/>
      <c r="L276" s="75"/>
      <c r="M276" s="105"/>
    </row>
    <row r="277" spans="1:13" ht="14.25" customHeight="1" x14ac:dyDescent="0.35">
      <c r="A277" s="12"/>
      <c r="B277" s="25"/>
      <c r="C277" s="10" t="s">
        <v>551</v>
      </c>
      <c r="D277" s="11" t="s">
        <v>552</v>
      </c>
      <c r="E277" s="12">
        <v>22064</v>
      </c>
      <c r="F277" s="12"/>
      <c r="G277" s="10"/>
      <c r="H277" s="69"/>
      <c r="I277" s="77" t="s">
        <v>20</v>
      </c>
      <c r="J277" s="75"/>
      <c r="K277" s="104"/>
      <c r="L277" s="75"/>
      <c r="M277" s="105"/>
    </row>
    <row r="278" spans="1:13" ht="14.25" customHeight="1" x14ac:dyDescent="0.35">
      <c r="A278" s="12"/>
      <c r="B278" s="25"/>
      <c r="C278" s="10" t="s">
        <v>553</v>
      </c>
      <c r="D278" s="11" t="s">
        <v>554</v>
      </c>
      <c r="E278" s="12">
        <v>22065</v>
      </c>
      <c r="F278" s="12"/>
      <c r="G278" s="10"/>
      <c r="H278" s="69"/>
      <c r="I278" s="77" t="s">
        <v>48</v>
      </c>
      <c r="J278" s="75"/>
      <c r="K278" s="104"/>
      <c r="L278" s="75"/>
      <c r="M278" s="105"/>
    </row>
    <row r="279" spans="1:13" ht="14.25" customHeight="1" x14ac:dyDescent="0.35">
      <c r="A279" s="12"/>
      <c r="B279" s="25"/>
      <c r="C279" s="10" t="s">
        <v>555</v>
      </c>
      <c r="D279" s="11" t="s">
        <v>556</v>
      </c>
      <c r="E279" s="12">
        <v>22066</v>
      </c>
      <c r="F279" s="12">
        <v>10</v>
      </c>
      <c r="G279" s="10"/>
      <c r="H279" s="69"/>
      <c r="I279" s="77" t="s">
        <v>17</v>
      </c>
      <c r="J279" s="75"/>
      <c r="K279" s="104"/>
      <c r="L279" s="75"/>
      <c r="M279" s="105"/>
    </row>
    <row r="280" spans="1:13" ht="14.25" customHeight="1" x14ac:dyDescent="0.35">
      <c r="A280" s="12"/>
      <c r="B280" s="25"/>
      <c r="C280" s="10" t="s">
        <v>557</v>
      </c>
      <c r="D280" s="11" t="s">
        <v>558</v>
      </c>
      <c r="E280" s="12">
        <v>22067</v>
      </c>
      <c r="F280" s="12"/>
      <c r="G280" s="10"/>
      <c r="H280" s="69"/>
      <c r="I280" s="77" t="s">
        <v>20</v>
      </c>
      <c r="J280" s="75"/>
      <c r="K280" s="104"/>
      <c r="L280" s="75"/>
      <c r="M280" s="105"/>
    </row>
    <row r="281" spans="1:13" ht="14.25" customHeight="1" x14ac:dyDescent="0.35">
      <c r="A281" s="12"/>
      <c r="B281" s="25"/>
      <c r="C281" s="10" t="s">
        <v>184</v>
      </c>
      <c r="D281" s="11" t="s">
        <v>185</v>
      </c>
      <c r="E281" s="12">
        <v>22068</v>
      </c>
      <c r="F281" s="12">
        <v>12</v>
      </c>
      <c r="G281" s="10"/>
      <c r="H281" s="69"/>
      <c r="I281" s="77" t="s">
        <v>17</v>
      </c>
      <c r="J281" s="75"/>
      <c r="K281" s="104"/>
      <c r="L281" s="75"/>
      <c r="M281" s="105"/>
    </row>
    <row r="282" spans="1:13" ht="14.25" customHeight="1" x14ac:dyDescent="0.35">
      <c r="A282" s="12"/>
      <c r="B282" s="25"/>
      <c r="C282" s="10" t="s">
        <v>25</v>
      </c>
      <c r="D282" s="11" t="s">
        <v>26</v>
      </c>
      <c r="E282" s="12">
        <v>22069</v>
      </c>
      <c r="F282" s="12">
        <v>10</v>
      </c>
      <c r="G282" s="10"/>
      <c r="H282" s="69"/>
      <c r="I282" s="77" t="s">
        <v>17</v>
      </c>
      <c r="J282" s="75"/>
      <c r="K282" s="104"/>
      <c r="L282" s="75"/>
      <c r="M282" s="105"/>
    </row>
    <row r="283" spans="1:13" ht="14.25" customHeight="1" x14ac:dyDescent="0.35">
      <c r="A283" s="12"/>
      <c r="B283" s="25"/>
      <c r="C283" s="10" t="s">
        <v>559</v>
      </c>
      <c r="D283" s="11" t="s">
        <v>560</v>
      </c>
      <c r="E283" s="12">
        <v>22070</v>
      </c>
      <c r="F283" s="12"/>
      <c r="G283" s="10"/>
      <c r="H283" s="69"/>
      <c r="I283" s="77" t="s">
        <v>48</v>
      </c>
      <c r="J283" s="75"/>
      <c r="K283" s="104"/>
      <c r="L283" s="75"/>
      <c r="M283" s="105"/>
    </row>
    <row r="284" spans="1:13" ht="14.25" customHeight="1" x14ac:dyDescent="0.35">
      <c r="A284" s="12"/>
      <c r="B284" s="25"/>
      <c r="C284" s="10" t="s">
        <v>561</v>
      </c>
      <c r="D284" s="11" t="s">
        <v>562</v>
      </c>
      <c r="E284" s="12">
        <v>22071</v>
      </c>
      <c r="F284" s="12"/>
      <c r="G284" s="10"/>
      <c r="H284" s="69"/>
      <c r="I284" s="77" t="s">
        <v>48</v>
      </c>
      <c r="J284" s="75"/>
      <c r="K284" s="104"/>
      <c r="L284" s="75"/>
      <c r="M284" s="105"/>
    </row>
    <row r="285" spans="1:13" ht="14.25" customHeight="1" x14ac:dyDescent="0.35">
      <c r="A285" s="12"/>
      <c r="B285" s="25"/>
      <c r="C285" s="10" t="s">
        <v>563</v>
      </c>
      <c r="D285" s="11" t="s">
        <v>564</v>
      </c>
      <c r="E285" s="12">
        <v>22072</v>
      </c>
      <c r="F285" s="12"/>
      <c r="G285" s="10"/>
      <c r="H285" s="69"/>
      <c r="I285" s="77" t="s">
        <v>48</v>
      </c>
      <c r="J285" s="75"/>
      <c r="K285" s="104"/>
      <c r="L285" s="75"/>
      <c r="M285" s="105"/>
    </row>
    <row r="286" spans="1:13" ht="14.25" customHeight="1" x14ac:dyDescent="0.35">
      <c r="A286" s="12"/>
      <c r="B286" s="25"/>
      <c r="C286" s="10" t="s">
        <v>565</v>
      </c>
      <c r="D286" s="11" t="s">
        <v>566</v>
      </c>
      <c r="E286" s="12">
        <v>22073</v>
      </c>
      <c r="F286" s="12"/>
      <c r="G286" s="10"/>
      <c r="H286" s="69"/>
      <c r="I286" s="77" t="s">
        <v>48</v>
      </c>
      <c r="J286" s="75"/>
      <c r="K286" s="104"/>
      <c r="L286" s="75"/>
      <c r="M286" s="105"/>
    </row>
    <row r="287" spans="1:13" ht="14.25" customHeight="1" x14ac:dyDescent="0.35">
      <c r="A287" s="12"/>
      <c r="B287" s="25"/>
      <c r="C287" s="10" t="s">
        <v>548</v>
      </c>
      <c r="D287" s="11" t="s">
        <v>567</v>
      </c>
      <c r="E287" s="12">
        <v>22074</v>
      </c>
      <c r="F287" s="12"/>
      <c r="G287" s="10"/>
      <c r="H287" s="69"/>
      <c r="I287" s="77" t="s">
        <v>48</v>
      </c>
      <c r="J287" s="75"/>
      <c r="K287" s="104"/>
      <c r="L287" s="75"/>
      <c r="M287" s="105"/>
    </row>
    <row r="288" spans="1:13" ht="14.25" customHeight="1" x14ac:dyDescent="0.35">
      <c r="A288" s="12"/>
      <c r="B288" s="25"/>
      <c r="C288" s="10" t="s">
        <v>568</v>
      </c>
      <c r="D288" s="11" t="s">
        <v>569</v>
      </c>
      <c r="E288" s="12">
        <v>22075</v>
      </c>
      <c r="F288" s="12"/>
      <c r="G288" s="10"/>
      <c r="H288" s="69"/>
      <c r="I288" s="77" t="s">
        <v>48</v>
      </c>
      <c r="J288" s="75"/>
      <c r="K288" s="104"/>
      <c r="L288" s="75"/>
      <c r="M288" s="105"/>
    </row>
    <row r="289" spans="1:13" ht="14.25" customHeight="1" x14ac:dyDescent="0.35">
      <c r="A289" s="12"/>
      <c r="B289" s="25"/>
      <c r="C289" s="10" t="s">
        <v>74</v>
      </c>
      <c r="D289" s="11" t="s">
        <v>570</v>
      </c>
      <c r="E289" s="12">
        <v>22076</v>
      </c>
      <c r="F289" s="12"/>
      <c r="G289" s="10"/>
      <c r="H289" s="69"/>
      <c r="I289" s="77" t="s">
        <v>48</v>
      </c>
      <c r="J289" s="75"/>
      <c r="K289" s="104"/>
      <c r="L289" s="75"/>
      <c r="M289" s="105"/>
    </row>
    <row r="290" spans="1:13" ht="14.25" customHeight="1" x14ac:dyDescent="0.35">
      <c r="A290" s="12"/>
      <c r="B290" s="25"/>
      <c r="C290" s="10" t="s">
        <v>571</v>
      </c>
      <c r="D290" s="11" t="s">
        <v>572</v>
      </c>
      <c r="E290" s="12">
        <v>22077</v>
      </c>
      <c r="F290" s="12"/>
      <c r="G290" s="10"/>
      <c r="H290" s="69"/>
      <c r="I290" s="77" t="s">
        <v>48</v>
      </c>
      <c r="J290" s="75"/>
      <c r="K290" s="104"/>
      <c r="L290" s="75"/>
      <c r="M290" s="105"/>
    </row>
    <row r="291" spans="1:13" ht="14.25" customHeight="1" x14ac:dyDescent="0.35">
      <c r="A291" s="12"/>
      <c r="B291" s="25"/>
      <c r="C291" s="10" t="s">
        <v>288</v>
      </c>
      <c r="D291" s="11" t="s">
        <v>573</v>
      </c>
      <c r="E291" s="12">
        <v>22078</v>
      </c>
      <c r="F291" s="12"/>
      <c r="G291" s="10"/>
      <c r="H291" s="69"/>
      <c r="I291" s="77" t="s">
        <v>48</v>
      </c>
      <c r="J291" s="75"/>
      <c r="K291" s="104"/>
      <c r="L291" s="75"/>
      <c r="M291" s="105"/>
    </row>
    <row r="292" spans="1:13" ht="14.25" customHeight="1" x14ac:dyDescent="0.35">
      <c r="A292" s="12"/>
      <c r="B292" s="25"/>
      <c r="C292" s="10" t="s">
        <v>11</v>
      </c>
      <c r="D292" s="11" t="s">
        <v>142</v>
      </c>
      <c r="E292" s="12">
        <v>22079</v>
      </c>
      <c r="F292" s="12">
        <v>10</v>
      </c>
      <c r="G292" s="10"/>
      <c r="H292" s="69"/>
      <c r="I292" s="77" t="s">
        <v>17</v>
      </c>
      <c r="J292" s="75"/>
      <c r="K292" s="104"/>
      <c r="L292" s="75"/>
      <c r="M292" s="105"/>
    </row>
    <row r="293" spans="1:13" ht="14.25" customHeight="1" x14ac:dyDescent="0.35">
      <c r="A293" s="12"/>
      <c r="B293" s="25"/>
      <c r="C293" s="10" t="s">
        <v>574</v>
      </c>
      <c r="D293" s="11" t="s">
        <v>575</v>
      </c>
      <c r="E293" s="12">
        <v>22080</v>
      </c>
      <c r="F293" s="12"/>
      <c r="G293" s="10"/>
      <c r="H293" s="69"/>
      <c r="I293" s="77" t="s">
        <v>48</v>
      </c>
      <c r="J293" s="75"/>
      <c r="K293" s="104"/>
      <c r="L293" s="75"/>
      <c r="M293" s="105"/>
    </row>
    <row r="294" spans="1:13" ht="14.25" customHeight="1" x14ac:dyDescent="0.35">
      <c r="A294" s="12"/>
      <c r="B294" s="25"/>
      <c r="C294" s="10" t="s">
        <v>576</v>
      </c>
      <c r="D294" s="11" t="s">
        <v>577</v>
      </c>
      <c r="E294" s="12">
        <v>22081</v>
      </c>
      <c r="F294" s="12"/>
      <c r="G294" s="10"/>
      <c r="H294" s="69"/>
      <c r="I294" s="77" t="s">
        <v>48</v>
      </c>
      <c r="J294" s="75"/>
      <c r="K294" s="104"/>
      <c r="L294" s="75"/>
      <c r="M294" s="105"/>
    </row>
    <row r="295" spans="1:13" ht="14.25" customHeight="1" x14ac:dyDescent="0.35">
      <c r="A295" s="12"/>
      <c r="B295" s="25"/>
      <c r="C295" s="10" t="s">
        <v>578</v>
      </c>
      <c r="D295" s="11" t="s">
        <v>579</v>
      </c>
      <c r="E295" s="12">
        <v>22082</v>
      </c>
      <c r="F295" s="12"/>
      <c r="G295" s="10"/>
      <c r="H295" s="69"/>
      <c r="I295" s="77" t="s">
        <v>48</v>
      </c>
      <c r="J295" s="75"/>
      <c r="K295" s="104"/>
      <c r="L295" s="75"/>
      <c r="M295" s="105"/>
    </row>
    <row r="296" spans="1:13" ht="14.25" customHeight="1" x14ac:dyDescent="0.35">
      <c r="A296" s="12"/>
      <c r="B296" s="25"/>
      <c r="C296" s="10" t="s">
        <v>11</v>
      </c>
      <c r="D296" s="11" t="s">
        <v>580</v>
      </c>
      <c r="E296" s="12">
        <v>22083</v>
      </c>
      <c r="F296" s="12"/>
      <c r="G296" s="10"/>
      <c r="H296" s="69"/>
      <c r="I296" s="77" t="s">
        <v>17</v>
      </c>
      <c r="J296" s="75"/>
      <c r="K296" s="104"/>
      <c r="L296" s="75"/>
      <c r="M296" s="105"/>
    </row>
    <row r="297" spans="1:13" ht="14.25" customHeight="1" x14ac:dyDescent="0.35">
      <c r="A297" s="12"/>
      <c r="B297" s="25"/>
      <c r="C297" s="10" t="s">
        <v>581</v>
      </c>
      <c r="D297" s="11" t="s">
        <v>582</v>
      </c>
      <c r="E297" s="12">
        <v>22084</v>
      </c>
      <c r="F297" s="12"/>
      <c r="G297" s="10"/>
      <c r="H297" s="69"/>
      <c r="I297" s="77" t="s">
        <v>20</v>
      </c>
      <c r="J297" s="75"/>
      <c r="K297" s="104"/>
      <c r="L297" s="75"/>
      <c r="M297" s="105"/>
    </row>
    <row r="298" spans="1:13" ht="14.25" customHeight="1" x14ac:dyDescent="0.35">
      <c r="A298" s="12"/>
      <c r="B298" s="25"/>
      <c r="C298" s="10" t="s">
        <v>583</v>
      </c>
      <c r="D298" s="11" t="s">
        <v>584</v>
      </c>
      <c r="E298" s="12">
        <v>22085</v>
      </c>
      <c r="F298" s="12"/>
      <c r="G298" s="10"/>
      <c r="H298" s="69"/>
      <c r="I298" s="77" t="s">
        <v>48</v>
      </c>
      <c r="J298" s="75"/>
      <c r="K298" s="104"/>
      <c r="L298" s="75"/>
      <c r="M298" s="105"/>
    </row>
    <row r="299" spans="1:13" ht="14.25" customHeight="1" x14ac:dyDescent="0.35">
      <c r="A299" s="12"/>
      <c r="B299" s="25"/>
      <c r="C299" s="10" t="s">
        <v>125</v>
      </c>
      <c r="D299" s="11" t="s">
        <v>523</v>
      </c>
      <c r="E299" s="12">
        <v>22086</v>
      </c>
      <c r="F299" s="12">
        <v>5</v>
      </c>
      <c r="G299" s="10"/>
      <c r="H299" s="69"/>
      <c r="I299" s="77" t="s">
        <v>17</v>
      </c>
      <c r="J299" s="75"/>
      <c r="K299" s="104"/>
      <c r="L299" s="75"/>
      <c r="M299" s="105"/>
    </row>
    <row r="300" spans="1:13" ht="14.25" customHeight="1" x14ac:dyDescent="0.35">
      <c r="A300" s="12"/>
      <c r="B300" s="25"/>
      <c r="C300" s="10" t="s">
        <v>585</v>
      </c>
      <c r="D300" s="11" t="s">
        <v>586</v>
      </c>
      <c r="E300" s="12">
        <v>22087</v>
      </c>
      <c r="F300" s="12"/>
      <c r="G300" s="10"/>
      <c r="H300" s="69"/>
      <c r="I300" s="77" t="s">
        <v>48</v>
      </c>
      <c r="J300" s="75"/>
      <c r="K300" s="104"/>
      <c r="L300" s="75"/>
      <c r="M300" s="105"/>
    </row>
    <row r="301" spans="1:13" ht="14.25" customHeight="1" x14ac:dyDescent="0.35">
      <c r="A301" s="12"/>
      <c r="B301" s="25"/>
      <c r="C301" s="10" t="s">
        <v>587</v>
      </c>
      <c r="D301" s="11" t="s">
        <v>588</v>
      </c>
      <c r="E301" s="12">
        <v>22088</v>
      </c>
      <c r="F301" s="12"/>
      <c r="G301" s="10"/>
      <c r="H301" s="69"/>
      <c r="I301" s="77" t="s">
        <v>48</v>
      </c>
      <c r="J301" s="75"/>
      <c r="K301" s="104"/>
      <c r="L301" s="75"/>
      <c r="M301" s="105"/>
    </row>
    <row r="302" spans="1:13" ht="14.25" customHeight="1" x14ac:dyDescent="0.35">
      <c r="A302" s="12"/>
      <c r="B302" s="25"/>
      <c r="C302" s="10" t="s">
        <v>122</v>
      </c>
      <c r="D302" s="11" t="s">
        <v>589</v>
      </c>
      <c r="E302" s="12">
        <v>22089</v>
      </c>
      <c r="F302" s="12"/>
      <c r="G302" s="10"/>
      <c r="H302" s="69"/>
      <c r="I302" s="77" t="s">
        <v>20</v>
      </c>
      <c r="J302" s="75"/>
      <c r="K302" s="104"/>
      <c r="L302" s="75"/>
      <c r="M302" s="105"/>
    </row>
    <row r="303" spans="1:13" ht="14.25" customHeight="1" x14ac:dyDescent="0.35">
      <c r="A303" s="12"/>
      <c r="B303" s="25"/>
      <c r="C303" s="10" t="s">
        <v>590</v>
      </c>
      <c r="D303" s="11" t="s">
        <v>591</v>
      </c>
      <c r="E303" s="12">
        <v>22090</v>
      </c>
      <c r="F303" s="12"/>
      <c r="G303" s="10"/>
      <c r="H303" s="69"/>
      <c r="I303" s="77" t="s">
        <v>20</v>
      </c>
      <c r="J303" s="75"/>
      <c r="K303" s="104"/>
      <c r="L303" s="75"/>
      <c r="M303" s="105"/>
    </row>
    <row r="304" spans="1:13" ht="14.25" customHeight="1" x14ac:dyDescent="0.35">
      <c r="A304" s="12"/>
      <c r="B304" s="25"/>
      <c r="C304" s="10" t="s">
        <v>592</v>
      </c>
      <c r="D304" s="11" t="s">
        <v>593</v>
      </c>
      <c r="E304" s="12">
        <v>22091</v>
      </c>
      <c r="F304" s="12"/>
      <c r="G304" s="10"/>
      <c r="H304" s="69"/>
      <c r="I304" s="77" t="s">
        <v>48</v>
      </c>
      <c r="J304" s="75"/>
      <c r="K304" s="104"/>
      <c r="L304" s="75"/>
      <c r="M304" s="105"/>
    </row>
    <row r="305" spans="1:13" ht="14.25" customHeight="1" x14ac:dyDescent="0.35">
      <c r="A305" s="12"/>
      <c r="B305" s="25"/>
      <c r="C305" s="10" t="s">
        <v>184</v>
      </c>
      <c r="D305" s="11" t="s">
        <v>594</v>
      </c>
      <c r="E305" s="12">
        <v>22092</v>
      </c>
      <c r="F305" s="12">
        <v>15</v>
      </c>
      <c r="G305" s="10"/>
      <c r="H305" s="69"/>
      <c r="I305" s="77" t="s">
        <v>17</v>
      </c>
      <c r="J305" s="75"/>
      <c r="K305" s="104"/>
      <c r="L305" s="75"/>
      <c r="M305" s="105"/>
    </row>
    <row r="306" spans="1:13" ht="14.25" customHeight="1" x14ac:dyDescent="0.35">
      <c r="A306" s="12"/>
      <c r="B306" s="25"/>
      <c r="C306" s="10" t="s">
        <v>595</v>
      </c>
      <c r="D306" s="11" t="s">
        <v>596</v>
      </c>
      <c r="E306" s="12">
        <v>22093</v>
      </c>
      <c r="F306" s="12"/>
      <c r="G306" s="10"/>
      <c r="H306" s="69"/>
      <c r="I306" s="77" t="s">
        <v>48</v>
      </c>
      <c r="J306" s="75"/>
      <c r="K306" s="104"/>
      <c r="L306" s="75"/>
      <c r="M306" s="105"/>
    </row>
    <row r="307" spans="1:13" ht="14.25" customHeight="1" x14ac:dyDescent="0.35">
      <c r="A307" s="12"/>
      <c r="B307" s="25"/>
      <c r="C307" s="10" t="s">
        <v>597</v>
      </c>
      <c r="D307" s="11" t="s">
        <v>598</v>
      </c>
      <c r="E307" s="12">
        <v>22094</v>
      </c>
      <c r="F307" s="12"/>
      <c r="G307" s="10"/>
      <c r="H307" s="69"/>
      <c r="I307" s="77" t="s">
        <v>48</v>
      </c>
      <c r="J307" s="75"/>
      <c r="K307" s="104"/>
      <c r="L307" s="75"/>
      <c r="M307" s="105"/>
    </row>
    <row r="308" spans="1:13" ht="14.25" customHeight="1" x14ac:dyDescent="0.35">
      <c r="A308" s="12"/>
      <c r="B308" s="25"/>
      <c r="C308" s="10" t="s">
        <v>599</v>
      </c>
      <c r="D308" s="11" t="s">
        <v>600</v>
      </c>
      <c r="E308" s="12">
        <v>22095</v>
      </c>
      <c r="F308" s="12"/>
      <c r="G308" s="10"/>
      <c r="H308" s="69"/>
      <c r="I308" s="77" t="s">
        <v>48</v>
      </c>
      <c r="J308" s="75"/>
      <c r="K308" s="104"/>
      <c r="L308" s="75"/>
      <c r="M308" s="105"/>
    </row>
    <row r="309" spans="1:13" ht="14.25" customHeight="1" x14ac:dyDescent="0.35">
      <c r="A309" s="12"/>
      <c r="B309" s="25"/>
      <c r="C309" s="10" t="s">
        <v>601</v>
      </c>
      <c r="D309" s="11" t="s">
        <v>602</v>
      </c>
      <c r="E309" s="12">
        <v>22096</v>
      </c>
      <c r="F309" s="12"/>
      <c r="G309" s="10"/>
      <c r="H309" s="69"/>
      <c r="I309" s="77" t="s">
        <v>48</v>
      </c>
      <c r="J309" s="75"/>
      <c r="K309" s="104"/>
      <c r="L309" s="75"/>
      <c r="M309" s="105"/>
    </row>
    <row r="310" spans="1:13" ht="14.25" customHeight="1" x14ac:dyDescent="0.35">
      <c r="A310" s="12"/>
      <c r="B310" s="25"/>
      <c r="C310" s="10" t="s">
        <v>603</v>
      </c>
      <c r="D310" s="11" t="s">
        <v>604</v>
      </c>
      <c r="E310" s="12">
        <v>22097</v>
      </c>
      <c r="F310" s="12"/>
      <c r="G310" s="10"/>
      <c r="H310" s="69"/>
      <c r="I310" s="77" t="s">
        <v>48</v>
      </c>
      <c r="J310" s="75"/>
      <c r="K310" s="104"/>
      <c r="L310" s="75"/>
      <c r="M310" s="105"/>
    </row>
    <row r="311" spans="1:13" ht="14.25" customHeight="1" x14ac:dyDescent="0.35">
      <c r="A311" s="12"/>
      <c r="B311" s="25"/>
      <c r="C311" s="10" t="s">
        <v>605</v>
      </c>
      <c r="D311" s="11" t="s">
        <v>606</v>
      </c>
      <c r="E311" s="12">
        <v>22098</v>
      </c>
      <c r="F311" s="12"/>
      <c r="G311" s="10"/>
      <c r="H311" s="69"/>
      <c r="I311" s="77" t="s">
        <v>48</v>
      </c>
      <c r="J311" s="75"/>
      <c r="K311" s="104"/>
      <c r="L311" s="75"/>
      <c r="M311" s="105"/>
    </row>
    <row r="312" spans="1:13" ht="14.25" customHeight="1" x14ac:dyDescent="0.35">
      <c r="A312" s="12"/>
      <c r="B312" s="25" t="s">
        <v>1975</v>
      </c>
      <c r="C312" s="10" t="s">
        <v>7</v>
      </c>
      <c r="D312" s="11" t="s">
        <v>607</v>
      </c>
      <c r="E312" s="12">
        <v>22099</v>
      </c>
      <c r="F312" s="12"/>
      <c r="G312" s="10"/>
      <c r="H312" s="69"/>
      <c r="I312" s="77" t="s">
        <v>48</v>
      </c>
      <c r="J312" s="75"/>
      <c r="K312" s="104"/>
      <c r="L312" s="75"/>
      <c r="M312" s="105"/>
    </row>
    <row r="313" spans="1:13" ht="14.25" customHeight="1" x14ac:dyDescent="0.35">
      <c r="A313" s="12"/>
      <c r="B313" s="25"/>
      <c r="C313" s="10" t="s">
        <v>608</v>
      </c>
      <c r="D313" s="11" t="s">
        <v>609</v>
      </c>
      <c r="E313" s="12">
        <v>22100</v>
      </c>
      <c r="F313" s="12">
        <v>10</v>
      </c>
      <c r="G313" s="10"/>
      <c r="H313" s="69"/>
      <c r="I313" s="77" t="s">
        <v>9</v>
      </c>
      <c r="J313" s="75"/>
      <c r="K313" s="104"/>
      <c r="L313" s="75"/>
      <c r="M313" s="105"/>
    </row>
    <row r="314" spans="1:13" ht="14.25" customHeight="1" x14ac:dyDescent="0.35">
      <c r="A314" s="12"/>
      <c r="B314" s="25"/>
      <c r="C314" s="10" t="s">
        <v>610</v>
      </c>
      <c r="D314" s="11" t="s">
        <v>611</v>
      </c>
      <c r="E314" s="12">
        <v>22101</v>
      </c>
      <c r="F314" s="12"/>
      <c r="G314" s="10"/>
      <c r="H314" s="69"/>
      <c r="I314" s="77" t="s">
        <v>48</v>
      </c>
      <c r="J314" s="75"/>
      <c r="K314" s="104"/>
      <c r="L314" s="75"/>
      <c r="M314" s="105"/>
    </row>
    <row r="315" spans="1:13" ht="14.25" customHeight="1" x14ac:dyDescent="0.35">
      <c r="A315" s="12"/>
      <c r="B315" s="25"/>
      <c r="C315" s="10" t="s">
        <v>612</v>
      </c>
      <c r="D315" s="11" t="s">
        <v>613</v>
      </c>
      <c r="E315" s="12">
        <v>22102</v>
      </c>
      <c r="F315" s="12"/>
      <c r="G315" s="10"/>
      <c r="H315" s="69"/>
      <c r="I315" s="77" t="s">
        <v>48</v>
      </c>
      <c r="J315" s="75"/>
      <c r="K315" s="104"/>
      <c r="L315" s="75"/>
      <c r="M315" s="105"/>
    </row>
    <row r="316" spans="1:13" ht="14.25" customHeight="1" x14ac:dyDescent="0.35">
      <c r="A316" s="12"/>
      <c r="B316" s="25"/>
      <c r="C316" s="10" t="s">
        <v>296</v>
      </c>
      <c r="D316" s="11" t="s">
        <v>614</v>
      </c>
      <c r="E316" s="12">
        <v>22103</v>
      </c>
      <c r="F316" s="12"/>
      <c r="G316" s="10"/>
      <c r="H316" s="69"/>
      <c r="I316" s="77" t="s">
        <v>48</v>
      </c>
      <c r="J316" s="75"/>
      <c r="K316" s="104"/>
      <c r="L316" s="75"/>
      <c r="M316" s="105"/>
    </row>
    <row r="317" spans="1:13" ht="14.25" customHeight="1" x14ac:dyDescent="0.35">
      <c r="A317" s="12"/>
      <c r="B317" s="25"/>
      <c r="C317" s="10" t="s">
        <v>615</v>
      </c>
      <c r="D317" s="11" t="s">
        <v>616</v>
      </c>
      <c r="E317" s="12">
        <v>22104</v>
      </c>
      <c r="F317" s="12"/>
      <c r="G317" s="10"/>
      <c r="H317" s="69"/>
      <c r="I317" s="77" t="s">
        <v>48</v>
      </c>
      <c r="J317" s="75"/>
      <c r="K317" s="104"/>
      <c r="L317" s="75"/>
      <c r="M317" s="105"/>
    </row>
    <row r="318" spans="1:13" ht="14.25" customHeight="1" x14ac:dyDescent="0.35">
      <c r="A318" s="12"/>
      <c r="B318" s="25"/>
      <c r="C318" s="10" t="s">
        <v>617</v>
      </c>
      <c r="D318" s="11" t="s">
        <v>618</v>
      </c>
      <c r="E318" s="12">
        <v>22105</v>
      </c>
      <c r="F318" s="12"/>
      <c r="G318" s="10"/>
      <c r="H318" s="69"/>
      <c r="I318" s="77" t="s">
        <v>48</v>
      </c>
      <c r="J318" s="75"/>
      <c r="K318" s="104"/>
      <c r="L318" s="75"/>
      <c r="M318" s="105"/>
    </row>
    <row r="319" spans="1:13" ht="14.25" customHeight="1" x14ac:dyDescent="0.35">
      <c r="A319" s="12"/>
      <c r="B319" s="25" t="s">
        <v>2404</v>
      </c>
      <c r="C319" s="10" t="s">
        <v>619</v>
      </c>
      <c r="D319" s="11" t="s">
        <v>620</v>
      </c>
      <c r="E319" s="12">
        <v>22106</v>
      </c>
      <c r="F319" s="12"/>
      <c r="G319" s="10"/>
      <c r="H319" s="69"/>
      <c r="I319" s="77" t="s">
        <v>48</v>
      </c>
      <c r="J319" s="75"/>
      <c r="K319" s="104"/>
      <c r="L319" s="75"/>
      <c r="M319" s="105"/>
    </row>
    <row r="320" spans="1:13" ht="14.25" customHeight="1" x14ac:dyDescent="0.35">
      <c r="A320" s="78" t="s">
        <v>621</v>
      </c>
      <c r="B320" s="25" t="s">
        <v>2159</v>
      </c>
      <c r="C320" s="10" t="s">
        <v>622</v>
      </c>
      <c r="D320" s="11" t="s">
        <v>623</v>
      </c>
      <c r="E320" s="12">
        <v>22107</v>
      </c>
      <c r="F320" s="12">
        <v>10</v>
      </c>
      <c r="G320" s="10"/>
      <c r="H320" s="69"/>
      <c r="I320" s="77" t="s">
        <v>9</v>
      </c>
      <c r="J320" s="75" t="s">
        <v>9</v>
      </c>
      <c r="K320" s="104"/>
      <c r="L320" s="75" t="s">
        <v>9</v>
      </c>
      <c r="M320" s="105"/>
    </row>
    <row r="321" spans="1:13" ht="14.25" customHeight="1" x14ac:dyDescent="0.35">
      <c r="A321" s="12"/>
      <c r="B321" s="25"/>
      <c r="C321" s="10" t="s">
        <v>624</v>
      </c>
      <c r="D321" s="11" t="s">
        <v>625</v>
      </c>
      <c r="E321" s="12">
        <v>22108</v>
      </c>
      <c r="F321" s="12"/>
      <c r="G321" s="10"/>
      <c r="H321" s="69"/>
      <c r="I321" s="77" t="s">
        <v>48</v>
      </c>
      <c r="J321" s="75"/>
      <c r="K321" s="104"/>
      <c r="L321" s="75"/>
      <c r="M321" s="105"/>
    </row>
    <row r="322" spans="1:13" ht="14.25" customHeight="1" x14ac:dyDescent="0.35">
      <c r="A322" s="12"/>
      <c r="B322" s="25"/>
      <c r="C322" s="10" t="s">
        <v>626</v>
      </c>
      <c r="D322" s="11" t="s">
        <v>627</v>
      </c>
      <c r="E322" s="12">
        <v>22109</v>
      </c>
      <c r="F322" s="12"/>
      <c r="G322" s="10"/>
      <c r="H322" s="69"/>
      <c r="I322" s="77" t="s">
        <v>48</v>
      </c>
      <c r="J322" s="75"/>
      <c r="K322" s="104"/>
      <c r="L322" s="75"/>
      <c r="M322" s="105"/>
    </row>
    <row r="323" spans="1:13" ht="14.25" customHeight="1" x14ac:dyDescent="0.35">
      <c r="A323" s="12"/>
      <c r="B323" s="25"/>
      <c r="C323" s="10" t="s">
        <v>628</v>
      </c>
      <c r="D323" s="11" t="s">
        <v>629</v>
      </c>
      <c r="E323" s="12">
        <v>22110</v>
      </c>
      <c r="F323" s="12"/>
      <c r="G323" s="10"/>
      <c r="H323" s="69"/>
      <c r="I323" s="77" t="s">
        <v>48</v>
      </c>
      <c r="J323" s="75"/>
      <c r="K323" s="104"/>
      <c r="L323" s="75"/>
      <c r="M323" s="105"/>
    </row>
    <row r="324" spans="1:13" ht="14.25" customHeight="1" x14ac:dyDescent="0.35">
      <c r="A324" s="12"/>
      <c r="B324" s="25"/>
      <c r="C324" s="10" t="s">
        <v>630</v>
      </c>
      <c r="D324" s="11" t="s">
        <v>631</v>
      </c>
      <c r="E324" s="12">
        <v>22111</v>
      </c>
      <c r="F324" s="12"/>
      <c r="G324" s="10"/>
      <c r="H324" s="69"/>
      <c r="I324" s="77" t="s">
        <v>48</v>
      </c>
      <c r="J324" s="75"/>
      <c r="K324" s="104"/>
      <c r="L324" s="75"/>
      <c r="M324" s="105"/>
    </row>
    <row r="325" spans="1:13" ht="14.25" customHeight="1" x14ac:dyDescent="0.35">
      <c r="A325" s="12"/>
      <c r="B325" s="25"/>
      <c r="C325" s="10" t="s">
        <v>632</v>
      </c>
      <c r="D325" s="11" t="s">
        <v>633</v>
      </c>
      <c r="E325" s="12">
        <v>22112</v>
      </c>
      <c r="F325" s="12">
        <v>10</v>
      </c>
      <c r="G325" s="10"/>
      <c r="H325" s="69"/>
      <c r="I325" s="77" t="s">
        <v>9</v>
      </c>
      <c r="J325" s="75"/>
      <c r="K325" s="104"/>
      <c r="L325" s="75"/>
      <c r="M325" s="105"/>
    </row>
    <row r="326" spans="1:13" ht="14.25" customHeight="1" x14ac:dyDescent="0.35">
      <c r="A326" s="12"/>
      <c r="B326" s="25"/>
      <c r="C326" s="10" t="s">
        <v>105</v>
      </c>
      <c r="D326" s="11" t="s">
        <v>106</v>
      </c>
      <c r="E326" s="12">
        <v>22113</v>
      </c>
      <c r="F326" s="12"/>
      <c r="G326" s="10"/>
      <c r="H326" s="69"/>
      <c r="I326" s="77" t="s">
        <v>20</v>
      </c>
      <c r="J326" s="75"/>
      <c r="K326" s="104"/>
      <c r="L326" s="75"/>
      <c r="M326" s="105"/>
    </row>
    <row r="327" spans="1:13" ht="14.25" customHeight="1" x14ac:dyDescent="0.35">
      <c r="A327" s="12"/>
      <c r="B327" s="25"/>
      <c r="C327" s="10" t="s">
        <v>155</v>
      </c>
      <c r="D327" s="11" t="s">
        <v>156</v>
      </c>
      <c r="E327" s="12">
        <v>22114</v>
      </c>
      <c r="F327" s="12"/>
      <c r="G327" s="10"/>
      <c r="H327" s="69"/>
      <c r="I327" s="77" t="s">
        <v>48</v>
      </c>
      <c r="J327" s="75"/>
      <c r="K327" s="104"/>
      <c r="L327" s="75"/>
      <c r="M327" s="105"/>
    </row>
    <row r="328" spans="1:13" ht="14.25" customHeight="1" x14ac:dyDescent="0.35">
      <c r="A328" s="12"/>
      <c r="B328" s="25"/>
      <c r="C328" s="10" t="s">
        <v>507</v>
      </c>
      <c r="D328" s="11" t="s">
        <v>507</v>
      </c>
      <c r="E328" s="12">
        <v>22115</v>
      </c>
      <c r="F328" s="12"/>
      <c r="G328" s="10"/>
      <c r="H328" s="69"/>
      <c r="I328" s="77" t="s">
        <v>9</v>
      </c>
      <c r="J328" s="75"/>
      <c r="K328" s="104"/>
      <c r="L328" s="75"/>
      <c r="M328" s="105"/>
    </row>
    <row r="329" spans="1:13" ht="14.25" customHeight="1" x14ac:dyDescent="0.35">
      <c r="A329" s="12"/>
      <c r="B329" s="25"/>
      <c r="C329" s="10" t="s">
        <v>507</v>
      </c>
      <c r="D329" s="11" t="s">
        <v>507</v>
      </c>
      <c r="E329" s="12">
        <v>22116</v>
      </c>
      <c r="F329" s="12"/>
      <c r="G329" s="10"/>
      <c r="H329" s="69"/>
      <c r="I329" s="77" t="s">
        <v>9</v>
      </c>
      <c r="J329" s="75"/>
      <c r="K329" s="104"/>
      <c r="L329" s="75"/>
      <c r="M329" s="105"/>
    </row>
    <row r="330" spans="1:13" ht="14.25" customHeight="1" x14ac:dyDescent="0.35">
      <c r="A330" s="12"/>
      <c r="B330" s="25"/>
      <c r="C330" s="10" t="s">
        <v>590</v>
      </c>
      <c r="D330" s="11" t="s">
        <v>634</v>
      </c>
      <c r="E330" s="12">
        <v>22117</v>
      </c>
      <c r="F330" s="12"/>
      <c r="G330" s="10"/>
      <c r="H330" s="69"/>
      <c r="I330" s="77" t="s">
        <v>9</v>
      </c>
      <c r="J330" s="75"/>
      <c r="K330" s="104"/>
      <c r="L330" s="75"/>
      <c r="M330" s="105"/>
    </row>
    <row r="331" spans="1:13" ht="14.25" customHeight="1" x14ac:dyDescent="0.35">
      <c r="A331" s="12"/>
      <c r="B331" s="25"/>
      <c r="C331" s="10" t="s">
        <v>353</v>
      </c>
      <c r="D331" s="11" t="s">
        <v>635</v>
      </c>
      <c r="E331" s="12">
        <v>22118</v>
      </c>
      <c r="F331" s="12"/>
      <c r="G331" s="10"/>
      <c r="H331" s="69"/>
      <c r="I331" s="77" t="s">
        <v>48</v>
      </c>
      <c r="J331" s="75"/>
      <c r="K331" s="104"/>
      <c r="L331" s="75"/>
      <c r="M331" s="105"/>
    </row>
    <row r="332" spans="1:13" ht="14.25" customHeight="1" x14ac:dyDescent="0.35">
      <c r="A332" s="12"/>
      <c r="B332" s="25"/>
      <c r="C332" s="10" t="s">
        <v>125</v>
      </c>
      <c r="D332" s="11" t="s">
        <v>228</v>
      </c>
      <c r="E332" s="12">
        <v>22119</v>
      </c>
      <c r="F332" s="12">
        <v>10</v>
      </c>
      <c r="G332" s="10"/>
      <c r="H332" s="69"/>
      <c r="I332" s="77" t="s">
        <v>9</v>
      </c>
      <c r="J332" s="75"/>
      <c r="K332" s="104"/>
      <c r="L332" s="75"/>
      <c r="M332" s="105"/>
    </row>
    <row r="333" spans="1:13" ht="14.25" customHeight="1" x14ac:dyDescent="0.35">
      <c r="A333" s="12"/>
      <c r="B333" s="25"/>
      <c r="C333" s="10" t="s">
        <v>636</v>
      </c>
      <c r="D333" s="11" t="s">
        <v>637</v>
      </c>
      <c r="E333" s="12">
        <v>22120</v>
      </c>
      <c r="F333" s="12"/>
      <c r="G333" s="10"/>
      <c r="H333" s="69"/>
      <c r="I333" s="77" t="s">
        <v>48</v>
      </c>
      <c r="J333" s="75"/>
      <c r="K333" s="104"/>
      <c r="L333" s="75"/>
      <c r="M333" s="105"/>
    </row>
    <row r="334" spans="1:13" ht="14.25" customHeight="1" x14ac:dyDescent="0.35">
      <c r="A334" s="12"/>
      <c r="B334" s="25"/>
      <c r="C334" s="10" t="s">
        <v>638</v>
      </c>
      <c r="D334" s="11" t="s">
        <v>639</v>
      </c>
      <c r="E334" s="12">
        <v>22121</v>
      </c>
      <c r="F334" s="12"/>
      <c r="G334" s="10"/>
      <c r="H334" s="69"/>
      <c r="I334" s="77" t="s">
        <v>9</v>
      </c>
      <c r="J334" s="75"/>
      <c r="K334" s="104"/>
      <c r="L334" s="75"/>
      <c r="M334" s="105"/>
    </row>
    <row r="335" spans="1:13" ht="14.25" customHeight="1" x14ac:dyDescent="0.35">
      <c r="A335" s="12"/>
      <c r="B335" s="25"/>
      <c r="C335" s="10" t="s">
        <v>640</v>
      </c>
      <c r="D335" s="11" t="s">
        <v>641</v>
      </c>
      <c r="E335" s="12">
        <v>22122</v>
      </c>
      <c r="F335" s="12"/>
      <c r="G335" s="10"/>
      <c r="H335" s="69"/>
      <c r="I335" s="77" t="s">
        <v>48</v>
      </c>
      <c r="J335" s="75"/>
      <c r="K335" s="104"/>
      <c r="L335" s="75"/>
      <c r="M335" s="105"/>
    </row>
    <row r="336" spans="1:13" ht="14.25" customHeight="1" x14ac:dyDescent="0.35">
      <c r="A336" s="12"/>
      <c r="B336" s="25"/>
      <c r="C336" s="10" t="s">
        <v>296</v>
      </c>
      <c r="D336" s="11" t="s">
        <v>642</v>
      </c>
      <c r="E336" s="12">
        <v>22123</v>
      </c>
      <c r="F336" s="12"/>
      <c r="G336" s="10"/>
      <c r="H336" s="69"/>
      <c r="I336" s="77" t="s">
        <v>48</v>
      </c>
      <c r="J336" s="75"/>
      <c r="K336" s="104"/>
      <c r="L336" s="75"/>
      <c r="M336" s="105"/>
    </row>
    <row r="337" spans="1:13" ht="14.25" customHeight="1" x14ac:dyDescent="0.35">
      <c r="A337" s="12"/>
      <c r="B337" s="25"/>
      <c r="C337" s="10" t="s">
        <v>643</v>
      </c>
      <c r="D337" s="11" t="s">
        <v>644</v>
      </c>
      <c r="E337" s="12">
        <v>22124</v>
      </c>
      <c r="F337" s="12"/>
      <c r="G337" s="10"/>
      <c r="H337" s="69"/>
      <c r="I337" s="77" t="s">
        <v>20</v>
      </c>
      <c r="J337" s="75"/>
      <c r="K337" s="104"/>
      <c r="L337" s="75"/>
      <c r="M337" s="105"/>
    </row>
    <row r="338" spans="1:13" ht="14.25" customHeight="1" x14ac:dyDescent="0.35">
      <c r="A338" s="12"/>
      <c r="B338" s="25"/>
      <c r="C338" s="10" t="s">
        <v>645</v>
      </c>
      <c r="D338" s="11" t="s">
        <v>646</v>
      </c>
      <c r="E338" s="12">
        <v>22125</v>
      </c>
      <c r="F338" s="12"/>
      <c r="G338" s="10"/>
      <c r="H338" s="69"/>
      <c r="I338" s="77" t="s">
        <v>48</v>
      </c>
      <c r="J338" s="75"/>
      <c r="K338" s="104"/>
      <c r="L338" s="75"/>
      <c r="M338" s="105"/>
    </row>
    <row r="339" spans="1:13" ht="14.25" customHeight="1" x14ac:dyDescent="0.35">
      <c r="A339" s="12"/>
      <c r="B339" s="25"/>
      <c r="C339" s="10" t="s">
        <v>647</v>
      </c>
      <c r="D339" s="11" t="s">
        <v>648</v>
      </c>
      <c r="E339" s="12">
        <v>22126</v>
      </c>
      <c r="F339" s="12">
        <v>10</v>
      </c>
      <c r="G339" s="10"/>
      <c r="H339" s="69"/>
      <c r="I339" s="77" t="s">
        <v>9</v>
      </c>
      <c r="J339" s="75"/>
      <c r="K339" s="104"/>
      <c r="L339" s="75"/>
      <c r="M339" s="105"/>
    </row>
    <row r="340" spans="1:13" ht="14.25" customHeight="1" x14ac:dyDescent="0.35">
      <c r="A340" s="12"/>
      <c r="B340" s="25"/>
      <c r="C340" s="10" t="s">
        <v>649</v>
      </c>
      <c r="D340" s="11" t="s">
        <v>650</v>
      </c>
      <c r="E340" s="12">
        <v>22127</v>
      </c>
      <c r="F340" s="12"/>
      <c r="G340" s="10"/>
      <c r="H340" s="69"/>
      <c r="I340" s="77" t="s">
        <v>48</v>
      </c>
      <c r="J340" s="75"/>
      <c r="K340" s="104"/>
      <c r="L340" s="75"/>
      <c r="M340" s="105"/>
    </row>
    <row r="341" spans="1:13" ht="14.25" customHeight="1" x14ac:dyDescent="0.35">
      <c r="A341" s="12"/>
      <c r="B341" s="25"/>
      <c r="C341" s="10" t="s">
        <v>296</v>
      </c>
      <c r="D341" s="11" t="s">
        <v>651</v>
      </c>
      <c r="E341" s="12">
        <v>22128</v>
      </c>
      <c r="F341" s="12"/>
      <c r="G341" s="10"/>
      <c r="H341" s="69"/>
      <c r="I341" s="77" t="s">
        <v>48</v>
      </c>
      <c r="J341" s="75"/>
      <c r="K341" s="104"/>
      <c r="L341" s="75"/>
      <c r="M341" s="105"/>
    </row>
    <row r="342" spans="1:13" ht="14.25" customHeight="1" x14ac:dyDescent="0.35">
      <c r="A342" s="12"/>
      <c r="B342" s="25"/>
      <c r="C342" s="10" t="s">
        <v>238</v>
      </c>
      <c r="D342" s="11" t="s">
        <v>652</v>
      </c>
      <c r="E342" s="12">
        <v>22129</v>
      </c>
      <c r="F342" s="12">
        <v>5</v>
      </c>
      <c r="G342" s="10"/>
      <c r="H342" s="69"/>
      <c r="I342" s="77" t="s">
        <v>17</v>
      </c>
      <c r="J342" s="75"/>
      <c r="K342" s="104"/>
      <c r="L342" s="75"/>
      <c r="M342" s="105"/>
    </row>
    <row r="343" spans="1:13" ht="14.25" customHeight="1" x14ac:dyDescent="0.35">
      <c r="A343" s="12"/>
      <c r="B343" s="25"/>
      <c r="C343" s="10" t="s">
        <v>653</v>
      </c>
      <c r="D343" s="11" t="s">
        <v>654</v>
      </c>
      <c r="E343" s="12">
        <v>22130</v>
      </c>
      <c r="F343" s="12"/>
      <c r="G343" s="10"/>
      <c r="H343" s="69"/>
      <c r="I343" s="77" t="s">
        <v>17</v>
      </c>
      <c r="J343" s="75"/>
      <c r="K343" s="104"/>
      <c r="L343" s="75"/>
      <c r="M343" s="105"/>
    </row>
    <row r="344" spans="1:13" ht="14.25" customHeight="1" x14ac:dyDescent="0.35">
      <c r="A344" s="12"/>
      <c r="B344" s="25"/>
      <c r="C344" s="10" t="s">
        <v>71</v>
      </c>
      <c r="D344" s="11" t="s">
        <v>655</v>
      </c>
      <c r="E344" s="12">
        <v>22131</v>
      </c>
      <c r="F344" s="12"/>
      <c r="G344" s="10"/>
      <c r="H344" s="69"/>
      <c r="I344" s="77" t="s">
        <v>48</v>
      </c>
      <c r="J344" s="75"/>
      <c r="K344" s="104"/>
      <c r="L344" s="75"/>
      <c r="M344" s="105"/>
    </row>
    <row r="345" spans="1:13" ht="14.25" customHeight="1" x14ac:dyDescent="0.35">
      <c r="A345" s="12"/>
      <c r="B345" s="25"/>
      <c r="C345" s="10" t="s">
        <v>656</v>
      </c>
      <c r="D345" s="11" t="s">
        <v>657</v>
      </c>
      <c r="E345" s="12">
        <v>22132</v>
      </c>
      <c r="F345" s="12"/>
      <c r="G345" s="10"/>
      <c r="H345" s="69"/>
      <c r="I345" s="77" t="s">
        <v>48</v>
      </c>
      <c r="J345" s="75"/>
      <c r="K345" s="104"/>
      <c r="L345" s="75"/>
      <c r="M345" s="105"/>
    </row>
    <row r="346" spans="1:13" ht="14.25" customHeight="1" x14ac:dyDescent="0.35">
      <c r="A346" s="12"/>
      <c r="B346" s="25"/>
      <c r="C346" s="10" t="s">
        <v>658</v>
      </c>
      <c r="D346" s="11" t="s">
        <v>659</v>
      </c>
      <c r="E346" s="12">
        <v>22133</v>
      </c>
      <c r="F346" s="12"/>
      <c r="G346" s="10"/>
      <c r="H346" s="69"/>
      <c r="I346" s="77" t="s">
        <v>20</v>
      </c>
      <c r="J346" s="75"/>
      <c r="K346" s="104"/>
      <c r="L346" s="75"/>
      <c r="M346" s="105"/>
    </row>
    <row r="347" spans="1:13" ht="14.25" customHeight="1" x14ac:dyDescent="0.35">
      <c r="A347" s="12"/>
      <c r="B347" s="25" t="s">
        <v>2402</v>
      </c>
      <c r="C347" s="10" t="s">
        <v>660</v>
      </c>
      <c r="D347" s="11" t="s">
        <v>661</v>
      </c>
      <c r="E347" s="12">
        <v>22134</v>
      </c>
      <c r="F347" s="12"/>
      <c r="G347" s="10"/>
      <c r="H347" s="69"/>
      <c r="I347" s="77" t="s">
        <v>48</v>
      </c>
      <c r="J347" s="75"/>
      <c r="K347" s="104"/>
      <c r="L347" s="75"/>
      <c r="M347" s="105"/>
    </row>
    <row r="348" spans="1:13" ht="14.25" customHeight="1" x14ac:dyDescent="0.35">
      <c r="A348" s="12"/>
      <c r="B348" s="25"/>
      <c r="C348" s="10" t="s">
        <v>662</v>
      </c>
      <c r="D348" s="11" t="s">
        <v>663</v>
      </c>
      <c r="E348" s="12">
        <v>22135</v>
      </c>
      <c r="F348" s="12"/>
      <c r="G348" s="10"/>
      <c r="H348" s="69"/>
      <c r="I348" s="77" t="s">
        <v>20</v>
      </c>
      <c r="J348" s="75"/>
      <c r="K348" s="104"/>
      <c r="L348" s="75"/>
      <c r="M348" s="105"/>
    </row>
    <row r="349" spans="1:13" ht="14.25" customHeight="1" x14ac:dyDescent="0.35">
      <c r="A349" s="12"/>
      <c r="B349" s="25"/>
      <c r="C349" s="10" t="s">
        <v>664</v>
      </c>
      <c r="D349" s="11" t="s">
        <v>665</v>
      </c>
      <c r="E349" s="12">
        <v>22136</v>
      </c>
      <c r="F349" s="12"/>
      <c r="G349" s="10"/>
      <c r="H349" s="69"/>
      <c r="I349" s="77" t="s">
        <v>48</v>
      </c>
      <c r="J349" s="75"/>
      <c r="K349" s="104"/>
      <c r="L349" s="75"/>
      <c r="M349" s="105"/>
    </row>
    <row r="350" spans="1:13" ht="14.25" customHeight="1" x14ac:dyDescent="0.35">
      <c r="A350" s="12"/>
      <c r="B350" s="25"/>
      <c r="C350" s="10" t="s">
        <v>666</v>
      </c>
      <c r="D350" s="11" t="s">
        <v>667</v>
      </c>
      <c r="E350" s="12">
        <v>22137</v>
      </c>
      <c r="F350" s="12"/>
      <c r="G350" s="10"/>
      <c r="H350" s="69"/>
      <c r="I350" s="77" t="s">
        <v>48</v>
      </c>
      <c r="J350" s="75"/>
      <c r="K350" s="104"/>
      <c r="L350" s="75"/>
      <c r="M350" s="105"/>
    </row>
    <row r="351" spans="1:13" ht="14.25" customHeight="1" x14ac:dyDescent="0.35">
      <c r="A351" s="12"/>
      <c r="B351" s="25" t="s">
        <v>2405</v>
      </c>
      <c r="C351" s="10" t="s">
        <v>27</v>
      </c>
      <c r="D351" s="11" t="s">
        <v>668</v>
      </c>
      <c r="E351" s="12">
        <v>22138</v>
      </c>
      <c r="F351" s="12"/>
      <c r="G351" s="10"/>
      <c r="H351" s="69"/>
      <c r="I351" s="77" t="s">
        <v>48</v>
      </c>
      <c r="J351" s="75"/>
      <c r="K351" s="104"/>
      <c r="L351" s="75"/>
      <c r="M351" s="105"/>
    </row>
    <row r="352" spans="1:13" ht="14.25" customHeight="1" x14ac:dyDescent="0.35">
      <c r="A352" s="12"/>
      <c r="B352" s="25"/>
      <c r="C352" s="10" t="s">
        <v>669</v>
      </c>
      <c r="D352" s="11" t="s">
        <v>670</v>
      </c>
      <c r="E352" s="12">
        <v>22139</v>
      </c>
      <c r="F352" s="12">
        <v>10</v>
      </c>
      <c r="G352" s="10"/>
      <c r="H352" s="69"/>
      <c r="I352" s="77" t="s">
        <v>9</v>
      </c>
      <c r="J352" s="75"/>
      <c r="K352" s="104"/>
      <c r="L352" s="75"/>
      <c r="M352" s="105"/>
    </row>
    <row r="353" spans="1:13" ht="14.25" customHeight="1" x14ac:dyDescent="0.35">
      <c r="A353" s="12"/>
      <c r="B353" s="25"/>
      <c r="C353" s="10" t="s">
        <v>726</v>
      </c>
      <c r="D353" s="11" t="s">
        <v>2397</v>
      </c>
      <c r="E353" s="12">
        <v>22140</v>
      </c>
      <c r="F353" s="12">
        <v>10</v>
      </c>
      <c r="G353" s="10" t="s">
        <v>417</v>
      </c>
      <c r="H353" s="69"/>
      <c r="I353" s="77" t="s">
        <v>9</v>
      </c>
      <c r="J353" s="75"/>
      <c r="K353" s="104"/>
      <c r="L353" s="75"/>
      <c r="M353" s="105"/>
    </row>
    <row r="354" spans="1:13" ht="14.25" customHeight="1" x14ac:dyDescent="0.35">
      <c r="A354" s="12"/>
      <c r="B354" s="25"/>
      <c r="C354" s="10" t="s">
        <v>672</v>
      </c>
      <c r="D354" s="11" t="s">
        <v>673</v>
      </c>
      <c r="E354" s="12">
        <v>22141</v>
      </c>
      <c r="F354" s="12"/>
      <c r="G354" s="10"/>
      <c r="H354" s="69"/>
      <c r="I354" s="77" t="s">
        <v>20</v>
      </c>
      <c r="J354" s="75"/>
      <c r="K354" s="104"/>
      <c r="L354" s="75"/>
      <c r="M354" s="105"/>
    </row>
    <row r="355" spans="1:13" ht="14.25" customHeight="1" x14ac:dyDescent="0.35">
      <c r="A355" s="12"/>
      <c r="B355" s="25"/>
      <c r="C355" s="10" t="s">
        <v>674</v>
      </c>
      <c r="D355" s="11" t="s">
        <v>675</v>
      </c>
      <c r="E355" s="12">
        <v>22142</v>
      </c>
      <c r="F355" s="12"/>
      <c r="G355" s="10"/>
      <c r="H355" s="69"/>
      <c r="I355" s="77" t="s">
        <v>48</v>
      </c>
      <c r="J355" s="75"/>
      <c r="K355" s="104"/>
      <c r="L355" s="75"/>
      <c r="M355" s="105"/>
    </row>
    <row r="356" spans="1:13" ht="14.25" customHeight="1" x14ac:dyDescent="0.35">
      <c r="A356" s="12"/>
      <c r="B356" s="25" t="s">
        <v>2406</v>
      </c>
      <c r="C356" s="10" t="s">
        <v>676</v>
      </c>
      <c r="D356" s="11" t="s">
        <v>677</v>
      </c>
      <c r="E356" s="12">
        <v>22143</v>
      </c>
      <c r="F356" s="12"/>
      <c r="G356" s="10"/>
      <c r="H356" s="69"/>
      <c r="I356" s="77" t="s">
        <v>48</v>
      </c>
      <c r="J356" s="75"/>
      <c r="K356" s="104"/>
      <c r="L356" s="75"/>
      <c r="M356" s="105"/>
    </row>
    <row r="357" spans="1:13" ht="14.25" customHeight="1" x14ac:dyDescent="0.35">
      <c r="A357" s="12"/>
      <c r="B357" s="25"/>
      <c r="C357" s="10" t="s">
        <v>678</v>
      </c>
      <c r="D357" s="11" t="s">
        <v>679</v>
      </c>
      <c r="E357" s="12">
        <v>22144</v>
      </c>
      <c r="F357" s="12"/>
      <c r="G357" s="10"/>
      <c r="H357" s="69"/>
      <c r="I357" s="77" t="s">
        <v>48</v>
      </c>
      <c r="J357" s="75"/>
      <c r="K357" s="104"/>
      <c r="L357" s="75"/>
      <c r="M357" s="105"/>
    </row>
    <row r="358" spans="1:13" ht="14.25" customHeight="1" x14ac:dyDescent="0.35">
      <c r="A358" s="12"/>
      <c r="B358" s="25"/>
      <c r="C358" s="10" t="s">
        <v>680</v>
      </c>
      <c r="D358" s="11" t="s">
        <v>681</v>
      </c>
      <c r="E358" s="12">
        <v>22145</v>
      </c>
      <c r="F358" s="12"/>
      <c r="G358" s="10"/>
      <c r="H358" s="69"/>
      <c r="I358" s="77" t="s">
        <v>20</v>
      </c>
      <c r="J358" s="75"/>
      <c r="K358" s="104"/>
      <c r="L358" s="75"/>
      <c r="M358" s="105"/>
    </row>
    <row r="359" spans="1:13" ht="14.25" customHeight="1" x14ac:dyDescent="0.35">
      <c r="A359" s="12"/>
      <c r="B359" s="25" t="s">
        <v>2401</v>
      </c>
      <c r="C359" s="10" t="s">
        <v>682</v>
      </c>
      <c r="D359" s="11" t="s">
        <v>683</v>
      </c>
      <c r="E359" s="12">
        <v>22146</v>
      </c>
      <c r="F359" s="12"/>
      <c r="G359" s="10"/>
      <c r="H359" s="69"/>
      <c r="I359" s="77" t="s">
        <v>48</v>
      </c>
      <c r="J359" s="75"/>
      <c r="K359" s="104"/>
      <c r="L359" s="75"/>
      <c r="M359" s="105"/>
    </row>
    <row r="360" spans="1:13" ht="14.25" customHeight="1" x14ac:dyDescent="0.35">
      <c r="A360" s="12"/>
      <c r="B360" s="25" t="s">
        <v>2400</v>
      </c>
      <c r="C360" s="10" t="s">
        <v>116</v>
      </c>
      <c r="D360" s="11" t="s">
        <v>2399</v>
      </c>
      <c r="E360" s="12">
        <v>22147</v>
      </c>
      <c r="F360" s="12"/>
      <c r="G360" s="10"/>
      <c r="H360" s="69"/>
      <c r="I360" s="77" t="s">
        <v>48</v>
      </c>
      <c r="J360" s="75"/>
      <c r="K360" s="104"/>
      <c r="L360" s="75"/>
      <c r="M360" s="105"/>
    </row>
    <row r="361" spans="1:13" ht="14.25" customHeight="1" x14ac:dyDescent="0.35">
      <c r="A361" s="12"/>
      <c r="B361" s="25"/>
      <c r="C361" s="10" t="s">
        <v>684</v>
      </c>
      <c r="D361" s="11" t="s">
        <v>685</v>
      </c>
      <c r="E361" s="12">
        <v>22148</v>
      </c>
      <c r="F361" s="12"/>
      <c r="G361" s="10"/>
      <c r="H361" s="69"/>
      <c r="I361" s="77" t="s">
        <v>48</v>
      </c>
      <c r="J361" s="75"/>
      <c r="K361" s="104"/>
      <c r="L361" s="75"/>
      <c r="M361" s="105"/>
    </row>
    <row r="362" spans="1:13" ht="14.25" customHeight="1" x14ac:dyDescent="0.35">
      <c r="A362" s="12"/>
      <c r="B362" s="25"/>
      <c r="C362" s="10" t="s">
        <v>686</v>
      </c>
      <c r="D362" s="11" t="s">
        <v>687</v>
      </c>
      <c r="E362" s="12">
        <v>22149</v>
      </c>
      <c r="F362" s="12"/>
      <c r="G362" s="10"/>
      <c r="H362" s="69"/>
      <c r="I362" s="77" t="s">
        <v>9</v>
      </c>
      <c r="J362" s="75"/>
      <c r="K362" s="104"/>
      <c r="L362" s="75"/>
      <c r="M362" s="105"/>
    </row>
    <row r="363" spans="1:13" ht="14.25" customHeight="1" x14ac:dyDescent="0.35">
      <c r="A363" s="12"/>
      <c r="B363" s="25" t="s">
        <v>2398</v>
      </c>
      <c r="C363" s="10" t="s">
        <v>688</v>
      </c>
      <c r="D363" s="11" t="s">
        <v>689</v>
      </c>
      <c r="E363" s="12">
        <v>22150</v>
      </c>
      <c r="F363" s="12"/>
      <c r="G363" s="10"/>
      <c r="H363" s="69"/>
      <c r="I363" s="77" t="s">
        <v>48</v>
      </c>
      <c r="J363" s="75"/>
      <c r="K363" s="104"/>
      <c r="L363" s="75"/>
      <c r="M363" s="105"/>
    </row>
    <row r="364" spans="1:13" ht="14.25" customHeight="1" x14ac:dyDescent="0.35">
      <c r="A364" s="12"/>
      <c r="B364" s="25"/>
      <c r="C364" s="10" t="s">
        <v>690</v>
      </c>
      <c r="D364" s="11" t="s">
        <v>691</v>
      </c>
      <c r="E364" s="12">
        <v>22151</v>
      </c>
      <c r="F364" s="12"/>
      <c r="G364" s="10"/>
      <c r="H364" s="69"/>
      <c r="I364" s="77" t="s">
        <v>48</v>
      </c>
      <c r="J364" s="75"/>
      <c r="K364" s="104"/>
      <c r="L364" s="75"/>
      <c r="M364" s="105"/>
    </row>
    <row r="365" spans="1:13" ht="14.25" customHeight="1" x14ac:dyDescent="0.35">
      <c r="A365" s="12"/>
      <c r="B365" s="25"/>
      <c r="C365" s="10" t="s">
        <v>692</v>
      </c>
      <c r="D365" s="11" t="s">
        <v>693</v>
      </c>
      <c r="E365" s="12">
        <v>22152</v>
      </c>
      <c r="F365" s="12"/>
      <c r="G365" s="10"/>
      <c r="H365" s="69"/>
      <c r="I365" s="77" t="s">
        <v>48</v>
      </c>
      <c r="J365" s="75"/>
      <c r="K365" s="104"/>
      <c r="L365" s="75"/>
      <c r="M365" s="105"/>
    </row>
    <row r="366" spans="1:13" ht="14.25" customHeight="1" x14ac:dyDescent="0.35">
      <c r="A366" s="12"/>
      <c r="B366" s="25"/>
      <c r="C366" s="10" t="s">
        <v>694</v>
      </c>
      <c r="D366" s="11" t="s">
        <v>695</v>
      </c>
      <c r="E366" s="12">
        <v>22153</v>
      </c>
      <c r="F366" s="12"/>
      <c r="G366" s="10"/>
      <c r="H366" s="69"/>
      <c r="I366" s="77" t="s">
        <v>20</v>
      </c>
      <c r="J366" s="75"/>
      <c r="K366" s="104"/>
      <c r="L366" s="75"/>
      <c r="M366" s="105"/>
    </row>
    <row r="367" spans="1:13" ht="14.25" customHeight="1" x14ac:dyDescent="0.35">
      <c r="A367" s="12"/>
      <c r="B367" s="25"/>
      <c r="C367" s="10" t="s">
        <v>696</v>
      </c>
      <c r="D367" s="11" t="s">
        <v>697</v>
      </c>
      <c r="E367" s="12">
        <v>22154</v>
      </c>
      <c r="F367" s="12"/>
      <c r="G367" s="10"/>
      <c r="H367" s="69"/>
      <c r="I367" s="77" t="s">
        <v>9</v>
      </c>
      <c r="J367" s="75"/>
      <c r="K367" s="104"/>
      <c r="L367" s="75"/>
      <c r="M367" s="105"/>
    </row>
    <row r="368" spans="1:13" ht="14.25" customHeight="1" x14ac:dyDescent="0.35">
      <c r="A368" s="12"/>
      <c r="B368" s="25"/>
      <c r="C368" s="10" t="s">
        <v>698</v>
      </c>
      <c r="D368" s="11" t="s">
        <v>699</v>
      </c>
      <c r="E368" s="12">
        <v>22155</v>
      </c>
      <c r="F368" s="12"/>
      <c r="G368" s="10"/>
      <c r="H368" s="69"/>
      <c r="I368" s="77" t="s">
        <v>20</v>
      </c>
      <c r="J368" s="75"/>
      <c r="K368" s="104"/>
      <c r="L368" s="75"/>
      <c r="M368" s="105"/>
    </row>
    <row r="369" spans="1:13" ht="14.25" customHeight="1" x14ac:dyDescent="0.35">
      <c r="A369" s="12"/>
      <c r="B369" s="25" t="s">
        <v>2403</v>
      </c>
      <c r="C369" s="10" t="s">
        <v>125</v>
      </c>
      <c r="D369" s="11" t="s">
        <v>700</v>
      </c>
      <c r="E369" s="12">
        <v>22156</v>
      </c>
      <c r="F369" s="12"/>
      <c r="G369" s="10"/>
      <c r="H369" s="69"/>
      <c r="I369" s="77" t="s">
        <v>48</v>
      </c>
      <c r="J369" s="75"/>
      <c r="K369" s="104"/>
      <c r="L369" s="75"/>
      <c r="M369" s="105"/>
    </row>
    <row r="370" spans="1:13" ht="14.25" customHeight="1" x14ac:dyDescent="0.35">
      <c r="A370" s="12"/>
      <c r="B370" s="25"/>
      <c r="C370" s="10" t="s">
        <v>701</v>
      </c>
      <c r="D370" s="11" t="s">
        <v>702</v>
      </c>
      <c r="E370" s="12">
        <v>22157</v>
      </c>
      <c r="F370" s="12"/>
      <c r="G370" s="10"/>
      <c r="H370" s="69"/>
      <c r="I370" s="77" t="s">
        <v>48</v>
      </c>
      <c r="J370" s="75"/>
      <c r="K370" s="104"/>
      <c r="L370" s="75"/>
      <c r="M370" s="105"/>
    </row>
    <row r="371" spans="1:13" ht="14.25" customHeight="1" x14ac:dyDescent="0.35">
      <c r="A371" s="12"/>
      <c r="B371" s="25"/>
      <c r="C371" s="10" t="s">
        <v>703</v>
      </c>
      <c r="D371" s="11" t="s">
        <v>704</v>
      </c>
      <c r="E371" s="12">
        <v>22158</v>
      </c>
      <c r="F371" s="12"/>
      <c r="G371" s="10"/>
      <c r="H371" s="69"/>
      <c r="I371" s="77" t="s">
        <v>48</v>
      </c>
      <c r="J371" s="75"/>
      <c r="K371" s="104"/>
      <c r="L371" s="75"/>
      <c r="M371" s="105"/>
    </row>
    <row r="372" spans="1:13" ht="14.25" customHeight="1" x14ac:dyDescent="0.35">
      <c r="A372" s="78" t="s">
        <v>705</v>
      </c>
      <c r="B372" s="22" t="s">
        <v>2377</v>
      </c>
      <c r="C372" s="23" t="s">
        <v>706</v>
      </c>
      <c r="D372" s="10" t="s">
        <v>707</v>
      </c>
      <c r="E372" s="12">
        <v>23001</v>
      </c>
      <c r="F372" s="12">
        <v>10</v>
      </c>
      <c r="G372" s="24" t="s">
        <v>708</v>
      </c>
      <c r="H372" s="69"/>
      <c r="I372" s="76"/>
      <c r="J372" s="77" t="s">
        <v>17</v>
      </c>
      <c r="K372" s="104"/>
      <c r="L372" s="75" t="s">
        <v>9</v>
      </c>
      <c r="M372" s="105"/>
    </row>
    <row r="373" spans="1:13" ht="14.25" customHeight="1" x14ac:dyDescent="0.35">
      <c r="A373" s="12"/>
      <c r="B373" s="95" t="s">
        <v>2081</v>
      </c>
      <c r="C373" s="23" t="s">
        <v>615</v>
      </c>
      <c r="D373" s="10" t="s">
        <v>616</v>
      </c>
      <c r="E373" s="12">
        <v>23002</v>
      </c>
      <c r="F373" s="12">
        <v>10</v>
      </c>
      <c r="G373" s="24" t="s">
        <v>709</v>
      </c>
      <c r="H373" s="69"/>
      <c r="I373" s="76"/>
      <c r="J373" s="77" t="s">
        <v>17</v>
      </c>
      <c r="K373" s="104"/>
      <c r="L373" s="75"/>
      <c r="M373" s="105"/>
    </row>
    <row r="374" spans="1:13" ht="14.25" customHeight="1" x14ac:dyDescent="0.35">
      <c r="A374" s="78" t="s">
        <v>710</v>
      </c>
      <c r="B374" s="95" t="s">
        <v>2082</v>
      </c>
      <c r="C374" s="23" t="s">
        <v>711</v>
      </c>
      <c r="D374" s="10" t="s">
        <v>712</v>
      </c>
      <c r="E374" s="12">
        <v>23003</v>
      </c>
      <c r="F374" s="13">
        <v>8</v>
      </c>
      <c r="G374" s="24" t="s">
        <v>713</v>
      </c>
      <c r="H374" s="69"/>
      <c r="I374" s="76"/>
      <c r="J374" s="77" t="s">
        <v>17</v>
      </c>
      <c r="K374" s="104"/>
      <c r="L374" s="75"/>
      <c r="M374" s="105"/>
    </row>
    <row r="375" spans="1:13" ht="14.25" customHeight="1" x14ac:dyDescent="0.35">
      <c r="A375" s="78" t="s">
        <v>714</v>
      </c>
      <c r="B375" s="95" t="s">
        <v>2083</v>
      </c>
      <c r="C375" s="23" t="s">
        <v>529</v>
      </c>
      <c r="D375" s="10" t="s">
        <v>530</v>
      </c>
      <c r="E375" s="12">
        <v>23004</v>
      </c>
      <c r="F375" s="12"/>
      <c r="G375" s="10"/>
      <c r="H375" s="69"/>
      <c r="I375" s="76"/>
      <c r="J375" s="77" t="s">
        <v>17</v>
      </c>
      <c r="K375" s="104"/>
      <c r="L375" s="75"/>
      <c r="M375" s="105"/>
    </row>
    <row r="376" spans="1:13" ht="14.25" customHeight="1" x14ac:dyDescent="0.35">
      <c r="A376" s="12"/>
      <c r="B376" s="95" t="s">
        <v>2084</v>
      </c>
      <c r="C376" s="23" t="s">
        <v>715</v>
      </c>
      <c r="D376" s="10" t="s">
        <v>32</v>
      </c>
      <c r="E376" s="12">
        <v>23005</v>
      </c>
      <c r="F376" s="12"/>
      <c r="G376" s="10" t="s">
        <v>716</v>
      </c>
      <c r="H376" s="69"/>
      <c r="I376" s="76"/>
      <c r="J376" s="77" t="s">
        <v>17</v>
      </c>
      <c r="K376" s="107" t="s">
        <v>9</v>
      </c>
      <c r="L376" s="75"/>
      <c r="M376" s="105"/>
    </row>
    <row r="377" spans="1:13" ht="14.25" customHeight="1" x14ac:dyDescent="0.35">
      <c r="A377" s="78" t="s">
        <v>6</v>
      </c>
      <c r="B377" s="95" t="s">
        <v>2128</v>
      </c>
      <c r="C377" s="23" t="s">
        <v>7</v>
      </c>
      <c r="D377" s="10" t="s">
        <v>8</v>
      </c>
      <c r="E377" s="12">
        <v>23006</v>
      </c>
      <c r="F377" s="12"/>
      <c r="G377" s="10"/>
      <c r="H377" s="69"/>
      <c r="I377" s="76"/>
      <c r="J377" s="77" t="s">
        <v>17</v>
      </c>
      <c r="K377" s="104"/>
      <c r="L377" s="75"/>
      <c r="M377" s="105"/>
    </row>
    <row r="378" spans="1:13" ht="14.25" customHeight="1" x14ac:dyDescent="0.35">
      <c r="A378" s="78" t="s">
        <v>6</v>
      </c>
      <c r="B378" s="95" t="s">
        <v>2128</v>
      </c>
      <c r="C378" s="23" t="s">
        <v>7</v>
      </c>
      <c r="D378" s="10" t="s">
        <v>8</v>
      </c>
      <c r="E378" s="12">
        <v>23007</v>
      </c>
      <c r="F378" s="12"/>
      <c r="G378" s="10"/>
      <c r="H378" s="69"/>
      <c r="I378" s="76"/>
      <c r="J378" s="77" t="s">
        <v>17</v>
      </c>
      <c r="K378" s="104"/>
      <c r="L378" s="75"/>
      <c r="M378" s="105"/>
    </row>
    <row r="379" spans="1:13" ht="14.25" customHeight="1" x14ac:dyDescent="0.35">
      <c r="A379" s="78" t="s">
        <v>717</v>
      </c>
      <c r="B379" s="95" t="s">
        <v>2085</v>
      </c>
      <c r="C379" s="23" t="s">
        <v>718</v>
      </c>
      <c r="D379" s="10" t="s">
        <v>719</v>
      </c>
      <c r="E379" s="12">
        <v>23008</v>
      </c>
      <c r="F379" s="12"/>
      <c r="G379" s="10"/>
      <c r="H379" s="69"/>
      <c r="I379" s="76"/>
      <c r="J379" s="77" t="s">
        <v>17</v>
      </c>
      <c r="K379" s="104"/>
      <c r="L379" s="75"/>
      <c r="M379" s="105"/>
    </row>
    <row r="380" spans="1:13" ht="14.25" customHeight="1" x14ac:dyDescent="0.35">
      <c r="A380" s="12"/>
      <c r="B380" s="95" t="s">
        <v>2065</v>
      </c>
      <c r="C380" s="23" t="s">
        <v>184</v>
      </c>
      <c r="D380" s="10" t="s">
        <v>720</v>
      </c>
      <c r="E380" s="12">
        <v>23009</v>
      </c>
      <c r="F380" s="12"/>
      <c r="G380" s="10" t="s">
        <v>408</v>
      </c>
      <c r="H380" s="69"/>
      <c r="I380" s="76"/>
      <c r="J380" s="77" t="s">
        <v>17</v>
      </c>
      <c r="K380" s="104"/>
      <c r="L380" s="75"/>
      <c r="M380" s="105"/>
    </row>
    <row r="381" spans="1:13" ht="14.25" customHeight="1" x14ac:dyDescent="0.35">
      <c r="A381" s="78" t="s">
        <v>721</v>
      </c>
      <c r="B381" s="95" t="s">
        <v>2086</v>
      </c>
      <c r="C381" s="23" t="s">
        <v>722</v>
      </c>
      <c r="D381" s="10" t="s">
        <v>723</v>
      </c>
      <c r="E381" s="12">
        <v>23010</v>
      </c>
      <c r="F381" s="12">
        <v>10</v>
      </c>
      <c r="G381" s="10"/>
      <c r="H381" s="69"/>
      <c r="I381" s="76"/>
      <c r="J381" s="77" t="s">
        <v>17</v>
      </c>
      <c r="K381" s="104"/>
      <c r="L381" s="75"/>
      <c r="M381" s="105"/>
    </row>
    <row r="382" spans="1:13" ht="14.25" customHeight="1" x14ac:dyDescent="0.35">
      <c r="A382" s="12"/>
      <c r="B382" s="9"/>
      <c r="C382" s="23" t="s">
        <v>134</v>
      </c>
      <c r="D382" s="10" t="s">
        <v>237</v>
      </c>
      <c r="E382" s="12">
        <v>23011</v>
      </c>
      <c r="F382" s="12"/>
      <c r="G382" s="10"/>
      <c r="H382" s="69"/>
      <c r="I382" s="76"/>
      <c r="J382" s="77" t="s">
        <v>20</v>
      </c>
      <c r="K382" s="104"/>
      <c r="L382" s="75"/>
      <c r="M382" s="105"/>
    </row>
    <row r="383" spans="1:13" ht="14.25" customHeight="1" x14ac:dyDescent="0.35">
      <c r="A383" s="78" t="s">
        <v>2408</v>
      </c>
      <c r="B383" s="95" t="s">
        <v>1961</v>
      </c>
      <c r="C383" s="23" t="s">
        <v>15</v>
      </c>
      <c r="D383" s="10" t="s">
        <v>16</v>
      </c>
      <c r="E383" s="12">
        <v>23012</v>
      </c>
      <c r="F383" s="12">
        <v>10</v>
      </c>
      <c r="G383" s="10"/>
      <c r="H383" s="69"/>
      <c r="I383" s="76"/>
      <c r="J383" s="77" t="s">
        <v>17</v>
      </c>
      <c r="K383" s="104"/>
      <c r="L383" s="75"/>
      <c r="M383" s="105"/>
    </row>
    <row r="384" spans="1:13" ht="14.25" customHeight="1" x14ac:dyDescent="0.35">
      <c r="A384" s="78" t="s">
        <v>724</v>
      </c>
      <c r="B384" s="95" t="s">
        <v>2087</v>
      </c>
      <c r="C384" s="82" t="s">
        <v>576</v>
      </c>
      <c r="D384" s="10" t="s">
        <v>725</v>
      </c>
      <c r="E384" s="12">
        <v>23013</v>
      </c>
      <c r="F384" s="12">
        <v>10</v>
      </c>
      <c r="G384" s="10"/>
      <c r="H384" s="69"/>
      <c r="I384" s="76"/>
      <c r="J384" s="77" t="s">
        <v>17</v>
      </c>
      <c r="K384" s="104"/>
      <c r="L384" s="75" t="s">
        <v>9</v>
      </c>
      <c r="M384" s="105"/>
    </row>
    <row r="385" spans="1:13" ht="14.25" customHeight="1" x14ac:dyDescent="0.35">
      <c r="A385" s="12"/>
      <c r="B385" s="95" t="s">
        <v>2068</v>
      </c>
      <c r="C385" s="158" t="s">
        <v>726</v>
      </c>
      <c r="D385" s="10" t="s">
        <v>418</v>
      </c>
      <c r="E385" s="12">
        <v>23014</v>
      </c>
      <c r="F385" s="12"/>
      <c r="G385" s="10" t="s">
        <v>727</v>
      </c>
      <c r="H385" s="69"/>
      <c r="I385" s="76"/>
      <c r="J385" s="77" t="s">
        <v>17</v>
      </c>
      <c r="K385" s="104"/>
      <c r="L385" s="75"/>
      <c r="M385" s="105"/>
    </row>
    <row r="386" spans="1:13" ht="14.25" customHeight="1" x14ac:dyDescent="0.35">
      <c r="A386" s="78" t="s">
        <v>2417</v>
      </c>
      <c r="B386" s="9" t="s">
        <v>2159</v>
      </c>
      <c r="C386" s="82" t="s">
        <v>622</v>
      </c>
      <c r="D386" s="10" t="s">
        <v>623</v>
      </c>
      <c r="E386" s="12">
        <v>23015</v>
      </c>
      <c r="F386" s="12"/>
      <c r="G386" s="10" t="s">
        <v>728</v>
      </c>
      <c r="H386" s="69"/>
      <c r="I386" s="76"/>
      <c r="J386" s="77" t="s">
        <v>17</v>
      </c>
      <c r="K386" s="104"/>
      <c r="L386" s="75"/>
      <c r="M386" s="105"/>
    </row>
    <row r="387" spans="1:13" ht="14.25" customHeight="1" x14ac:dyDescent="0.35">
      <c r="A387" s="78" t="s">
        <v>6</v>
      </c>
      <c r="B387" s="9"/>
      <c r="C387" s="82" t="s">
        <v>7</v>
      </c>
      <c r="D387" s="10" t="s">
        <v>8</v>
      </c>
      <c r="E387" s="12">
        <v>23016</v>
      </c>
      <c r="F387" s="12"/>
      <c r="G387" s="10"/>
      <c r="H387" s="69"/>
      <c r="I387" s="76"/>
      <c r="J387" s="77" t="s">
        <v>17</v>
      </c>
      <c r="K387" s="104"/>
      <c r="L387" s="75"/>
      <c r="M387" s="105"/>
    </row>
    <row r="388" spans="1:13" ht="14.25" customHeight="1" x14ac:dyDescent="0.35">
      <c r="A388" s="78" t="s">
        <v>6</v>
      </c>
      <c r="B388" s="9"/>
      <c r="C388" s="82" t="s">
        <v>729</v>
      </c>
      <c r="D388" s="10" t="s">
        <v>730</v>
      </c>
      <c r="E388" s="12">
        <v>23017</v>
      </c>
      <c r="F388" s="12"/>
      <c r="G388" s="10"/>
      <c r="H388" s="69"/>
      <c r="I388" s="76"/>
      <c r="J388" s="77" t="s">
        <v>20</v>
      </c>
      <c r="K388" s="104"/>
      <c r="L388" s="75"/>
      <c r="M388" s="105"/>
    </row>
    <row r="389" spans="1:13" ht="14.25" customHeight="1" x14ac:dyDescent="0.35">
      <c r="A389" s="12"/>
      <c r="B389" s="9">
        <v>1713133697</v>
      </c>
      <c r="C389" s="158" t="s">
        <v>731</v>
      </c>
      <c r="D389" s="10" t="s">
        <v>732</v>
      </c>
      <c r="E389" s="12">
        <v>23018</v>
      </c>
      <c r="F389" s="12"/>
      <c r="G389" s="10"/>
      <c r="H389" s="69"/>
      <c r="I389" s="76"/>
      <c r="J389" s="77" t="s">
        <v>48</v>
      </c>
      <c r="K389" s="104"/>
      <c r="L389" s="75"/>
      <c r="M389" s="105"/>
    </row>
    <row r="390" spans="1:13" ht="14.25" customHeight="1" x14ac:dyDescent="0.35">
      <c r="A390" s="12"/>
      <c r="B390" s="9"/>
      <c r="C390" s="158" t="s">
        <v>479</v>
      </c>
      <c r="D390" s="10" t="s">
        <v>479</v>
      </c>
      <c r="E390" s="12">
        <v>23019</v>
      </c>
      <c r="F390" s="12"/>
      <c r="G390" s="10"/>
      <c r="H390" s="69"/>
      <c r="I390" s="76"/>
      <c r="J390" s="77" t="s">
        <v>17</v>
      </c>
      <c r="K390" s="104"/>
      <c r="L390" s="75"/>
      <c r="M390" s="105"/>
    </row>
    <row r="391" spans="1:13" ht="14.25" customHeight="1" x14ac:dyDescent="0.35">
      <c r="A391" s="78" t="s">
        <v>733</v>
      </c>
      <c r="B391" s="9"/>
      <c r="C391" s="82" t="s">
        <v>353</v>
      </c>
      <c r="D391" s="10" t="s">
        <v>734</v>
      </c>
      <c r="E391" s="12">
        <v>23020</v>
      </c>
      <c r="F391" s="12"/>
      <c r="G391" s="10" t="s">
        <v>735</v>
      </c>
      <c r="H391" s="69"/>
      <c r="I391" s="76"/>
      <c r="J391" s="77" t="s">
        <v>17</v>
      </c>
      <c r="K391" s="104"/>
      <c r="L391" s="75"/>
      <c r="M391" s="105"/>
    </row>
    <row r="392" spans="1:13" ht="14.25" customHeight="1" x14ac:dyDescent="0.35">
      <c r="A392" s="12"/>
      <c r="B392" s="9"/>
      <c r="C392" s="158" t="s">
        <v>711</v>
      </c>
      <c r="D392" s="10" t="s">
        <v>736</v>
      </c>
      <c r="E392" s="12">
        <v>23021</v>
      </c>
      <c r="F392" s="12"/>
      <c r="G392" s="10"/>
      <c r="H392" s="69"/>
      <c r="I392" s="76"/>
      <c r="J392" s="77" t="s">
        <v>20</v>
      </c>
      <c r="K392" s="104"/>
      <c r="L392" s="75"/>
      <c r="M392" s="105"/>
    </row>
    <row r="393" spans="1:13" ht="14.25" customHeight="1" x14ac:dyDescent="0.35">
      <c r="A393" s="12"/>
      <c r="B393" s="95" t="s">
        <v>2088</v>
      </c>
      <c r="C393" s="158" t="s">
        <v>379</v>
      </c>
      <c r="D393" s="10" t="s">
        <v>737</v>
      </c>
      <c r="E393" s="12">
        <v>23022</v>
      </c>
      <c r="F393" s="12"/>
      <c r="G393" s="10"/>
      <c r="H393" s="69"/>
      <c r="I393" s="76"/>
      <c r="J393" s="77" t="s">
        <v>48</v>
      </c>
      <c r="K393" s="107" t="s">
        <v>9</v>
      </c>
      <c r="L393" s="75"/>
      <c r="M393" s="105"/>
    </row>
    <row r="394" spans="1:13" ht="14.25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0"/>
      <c r="H394" s="69"/>
      <c r="I394" s="76"/>
      <c r="J394" s="77" t="s">
        <v>20</v>
      </c>
      <c r="K394" s="104"/>
      <c r="L394" s="75"/>
      <c r="M394" s="105"/>
    </row>
    <row r="395" spans="1:13" ht="14.25" customHeight="1" x14ac:dyDescent="0.35">
      <c r="A395" s="12"/>
      <c r="B395" s="9">
        <v>3855507802</v>
      </c>
      <c r="C395" s="158" t="s">
        <v>740</v>
      </c>
      <c r="D395" s="10" t="s">
        <v>741</v>
      </c>
      <c r="E395" s="12">
        <v>23024</v>
      </c>
      <c r="F395" s="12"/>
      <c r="G395" s="10"/>
      <c r="H395" s="69"/>
      <c r="I395" s="76"/>
      <c r="J395" s="77" t="s">
        <v>48</v>
      </c>
      <c r="K395" s="104"/>
      <c r="L395" s="75"/>
      <c r="M395" s="105"/>
    </row>
    <row r="396" spans="1:13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0"/>
      <c r="H396" s="69"/>
      <c r="I396" s="76"/>
      <c r="J396" s="77" t="s">
        <v>20</v>
      </c>
      <c r="K396" s="104"/>
      <c r="L396" s="75"/>
      <c r="M396" s="105"/>
    </row>
    <row r="397" spans="1:13" ht="14.25" customHeight="1" x14ac:dyDescent="0.35">
      <c r="A397" s="78" t="s">
        <v>744</v>
      </c>
      <c r="B397" s="9">
        <v>705125490</v>
      </c>
      <c r="C397" s="82" t="s">
        <v>632</v>
      </c>
      <c r="D397" s="10" t="s">
        <v>633</v>
      </c>
      <c r="E397" s="12">
        <v>23026</v>
      </c>
      <c r="F397" s="12">
        <v>10</v>
      </c>
      <c r="G397" s="10" t="s">
        <v>2396</v>
      </c>
      <c r="H397" s="69"/>
      <c r="I397" s="76"/>
      <c r="J397" s="77" t="s">
        <v>17</v>
      </c>
      <c r="K397" s="104"/>
      <c r="L397" s="75" t="s">
        <v>9</v>
      </c>
      <c r="M397" s="105"/>
    </row>
    <row r="398" spans="1:13" ht="14.25" customHeight="1" x14ac:dyDescent="0.35">
      <c r="A398" s="12"/>
      <c r="B398" s="95" t="s">
        <v>2089</v>
      </c>
      <c r="C398" s="158" t="s">
        <v>379</v>
      </c>
      <c r="D398" s="10" t="s">
        <v>746</v>
      </c>
      <c r="E398" s="12">
        <v>23027</v>
      </c>
      <c r="F398" s="12"/>
      <c r="G398" s="10" t="s">
        <v>747</v>
      </c>
      <c r="H398" s="69"/>
      <c r="I398" s="76"/>
      <c r="J398" s="77" t="s">
        <v>48</v>
      </c>
      <c r="K398" s="104"/>
      <c r="L398" s="75"/>
      <c r="M398" s="105"/>
    </row>
    <row r="399" spans="1:13" ht="14.25" customHeight="1" x14ac:dyDescent="0.35">
      <c r="A399" s="12"/>
      <c r="B399" s="9">
        <v>727327160</v>
      </c>
      <c r="C399" s="158" t="s">
        <v>748</v>
      </c>
      <c r="D399" s="10" t="s">
        <v>749</v>
      </c>
      <c r="E399" s="12">
        <v>23028</v>
      </c>
      <c r="F399" s="12"/>
      <c r="G399" s="10"/>
      <c r="H399" s="69"/>
      <c r="I399" s="76"/>
      <c r="J399" s="77" t="s">
        <v>48</v>
      </c>
      <c r="K399" s="104"/>
      <c r="L399" s="75"/>
      <c r="M399" s="105"/>
    </row>
    <row r="400" spans="1:13" ht="14.25" customHeight="1" x14ac:dyDescent="0.35">
      <c r="A400" s="12"/>
      <c r="B400" s="9">
        <v>15777298948</v>
      </c>
      <c r="C400" s="158" t="s">
        <v>750</v>
      </c>
      <c r="D400" s="10" t="s">
        <v>751</v>
      </c>
      <c r="E400" s="12">
        <v>23029</v>
      </c>
      <c r="F400" s="12"/>
      <c r="G400" s="10"/>
      <c r="H400" s="69"/>
      <c r="I400" s="76"/>
      <c r="J400" s="77" t="s">
        <v>48</v>
      </c>
      <c r="K400" s="104"/>
      <c r="L400" s="75"/>
      <c r="M400" s="105"/>
    </row>
    <row r="401" spans="1:13" ht="14.25" customHeight="1" x14ac:dyDescent="0.35">
      <c r="A401" s="12"/>
      <c r="B401" s="95" t="s">
        <v>2090</v>
      </c>
      <c r="C401" s="158" t="s">
        <v>752</v>
      </c>
      <c r="D401" s="10" t="s">
        <v>753</v>
      </c>
      <c r="E401" s="12">
        <v>23030</v>
      </c>
      <c r="F401" s="12"/>
      <c r="G401" s="10"/>
      <c r="H401" s="69"/>
      <c r="I401" s="76"/>
      <c r="J401" s="77" t="s">
        <v>48</v>
      </c>
      <c r="K401" s="107" t="s">
        <v>9</v>
      </c>
      <c r="L401" s="75"/>
      <c r="M401" s="105"/>
    </row>
    <row r="402" spans="1:13" ht="14.25" customHeight="1" x14ac:dyDescent="0.35">
      <c r="A402" s="12"/>
      <c r="B402" s="95" t="s">
        <v>2091</v>
      </c>
      <c r="C402" s="158" t="s">
        <v>754</v>
      </c>
      <c r="D402" s="10" t="s">
        <v>755</v>
      </c>
      <c r="E402" s="12">
        <v>23031</v>
      </c>
      <c r="F402" s="12"/>
      <c r="G402" s="10"/>
      <c r="H402" s="69"/>
      <c r="I402" s="76"/>
      <c r="J402" s="77" t="s">
        <v>48</v>
      </c>
      <c r="K402" s="104"/>
      <c r="L402" s="75"/>
      <c r="M402" s="105"/>
    </row>
    <row r="403" spans="1:13" ht="14.25" customHeight="1" x14ac:dyDescent="0.35">
      <c r="A403" s="12"/>
      <c r="B403" s="9"/>
      <c r="C403" s="158" t="s">
        <v>7</v>
      </c>
      <c r="D403" s="10" t="s">
        <v>756</v>
      </c>
      <c r="E403" s="12">
        <v>23032</v>
      </c>
      <c r="F403" s="12"/>
      <c r="G403" s="10"/>
      <c r="H403" s="69"/>
      <c r="I403" s="76"/>
      <c r="J403" s="77" t="s">
        <v>20</v>
      </c>
      <c r="K403" s="104"/>
      <c r="L403" s="75"/>
      <c r="M403" s="105"/>
    </row>
    <row r="404" spans="1:13" ht="14.25" customHeight="1" x14ac:dyDescent="0.35">
      <c r="A404" s="12"/>
      <c r="B404" s="95" t="s">
        <v>2092</v>
      </c>
      <c r="C404" s="158" t="s">
        <v>757</v>
      </c>
      <c r="D404" s="10" t="s">
        <v>758</v>
      </c>
      <c r="E404" s="12">
        <v>23033</v>
      </c>
      <c r="F404" s="12"/>
      <c r="G404" s="10"/>
      <c r="H404" s="69"/>
      <c r="I404" s="76"/>
      <c r="J404" s="77" t="s">
        <v>48</v>
      </c>
      <c r="K404" s="104"/>
      <c r="L404" s="75"/>
      <c r="M404" s="105"/>
    </row>
    <row r="405" spans="1:13" ht="14.25" customHeight="1" x14ac:dyDescent="0.35">
      <c r="A405" s="12"/>
      <c r="B405" s="95" t="s">
        <v>2093</v>
      </c>
      <c r="C405" s="158" t="s">
        <v>759</v>
      </c>
      <c r="D405" s="10" t="s">
        <v>760</v>
      </c>
      <c r="E405" s="12">
        <v>23034</v>
      </c>
      <c r="F405" s="12"/>
      <c r="G405" s="10"/>
      <c r="H405" s="69"/>
      <c r="I405" s="76"/>
      <c r="J405" s="77" t="s">
        <v>48</v>
      </c>
      <c r="K405" s="104"/>
      <c r="L405" s="75"/>
      <c r="M405" s="105"/>
    </row>
    <row r="406" spans="1:13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0"/>
      <c r="H406" s="69"/>
      <c r="I406" s="76"/>
      <c r="J406" s="77" t="s">
        <v>20</v>
      </c>
      <c r="K406" s="104"/>
      <c r="L406" s="75"/>
      <c r="M406" s="105"/>
    </row>
    <row r="407" spans="1:13" ht="14.25" customHeight="1" x14ac:dyDescent="0.35">
      <c r="A407" s="12"/>
      <c r="B407" s="9"/>
      <c r="C407" s="158" t="s">
        <v>763</v>
      </c>
      <c r="D407" s="10" t="s">
        <v>764</v>
      </c>
      <c r="E407" s="12">
        <v>23036</v>
      </c>
      <c r="F407" s="12"/>
      <c r="G407" s="10"/>
      <c r="H407" s="69"/>
      <c r="I407" s="76"/>
      <c r="J407" s="77" t="s">
        <v>20</v>
      </c>
      <c r="K407" s="104"/>
      <c r="L407" s="75"/>
      <c r="M407" s="105"/>
    </row>
    <row r="408" spans="1:13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0"/>
      <c r="H408" s="69"/>
      <c r="I408" s="76"/>
      <c r="J408" s="77" t="s">
        <v>20</v>
      </c>
      <c r="K408" s="104"/>
      <c r="L408" s="75"/>
      <c r="M408" s="105"/>
    </row>
    <row r="409" spans="1:13" ht="14.25" customHeight="1" x14ac:dyDescent="0.35">
      <c r="A409" s="12"/>
      <c r="B409" s="9"/>
      <c r="C409" s="158" t="s">
        <v>767</v>
      </c>
      <c r="D409" s="10" t="s">
        <v>768</v>
      </c>
      <c r="E409" s="12">
        <v>23038</v>
      </c>
      <c r="F409" s="12"/>
      <c r="G409" s="10"/>
      <c r="H409" s="69"/>
      <c r="I409" s="76"/>
      <c r="J409" s="77" t="s">
        <v>20</v>
      </c>
      <c r="K409" s="104"/>
      <c r="L409" s="75"/>
      <c r="M409" s="105"/>
    </row>
    <row r="410" spans="1:13" ht="14.25" customHeight="1" x14ac:dyDescent="0.35">
      <c r="A410" s="12"/>
      <c r="B410" s="9">
        <v>704353898</v>
      </c>
      <c r="C410" s="158" t="s">
        <v>769</v>
      </c>
      <c r="D410" s="10" t="s">
        <v>770</v>
      </c>
      <c r="E410" s="12">
        <v>23039</v>
      </c>
      <c r="F410" s="12"/>
      <c r="G410" s="10" t="s">
        <v>771</v>
      </c>
      <c r="H410" s="69"/>
      <c r="I410" s="76"/>
      <c r="J410" s="77" t="s">
        <v>48</v>
      </c>
      <c r="K410" s="104"/>
      <c r="L410" s="75"/>
      <c r="M410" s="105"/>
    </row>
    <row r="411" spans="1:13" ht="14.25" customHeight="1" x14ac:dyDescent="0.35">
      <c r="A411" s="12"/>
      <c r="B411" s="9">
        <v>17620296529</v>
      </c>
      <c r="C411" s="158" t="s">
        <v>772</v>
      </c>
      <c r="D411" s="10" t="s">
        <v>773</v>
      </c>
      <c r="E411" s="12">
        <v>23040</v>
      </c>
      <c r="F411" s="12"/>
      <c r="G411" s="10"/>
      <c r="H411" s="69"/>
      <c r="I411" s="76"/>
      <c r="J411" s="77" t="s">
        <v>48</v>
      </c>
      <c r="K411" s="104"/>
      <c r="L411" s="75"/>
      <c r="M411" s="105"/>
    </row>
    <row r="412" spans="1:13" ht="14.25" customHeight="1" x14ac:dyDescent="0.35">
      <c r="A412" s="12"/>
      <c r="B412" s="9">
        <v>1708113782</v>
      </c>
      <c r="C412" s="158" t="s">
        <v>774</v>
      </c>
      <c r="D412" s="10" t="s">
        <v>775</v>
      </c>
      <c r="E412" s="12">
        <v>23041</v>
      </c>
      <c r="F412" s="12"/>
      <c r="G412" s="10"/>
      <c r="H412" s="69"/>
      <c r="I412" s="76"/>
      <c r="J412" s="77" t="s">
        <v>48</v>
      </c>
      <c r="K412" s="104"/>
      <c r="L412" s="75"/>
      <c r="M412" s="105"/>
    </row>
    <row r="413" spans="1:13" ht="14.25" customHeight="1" x14ac:dyDescent="0.35">
      <c r="A413" s="12"/>
      <c r="B413" s="9"/>
      <c r="C413" s="158" t="s">
        <v>776</v>
      </c>
      <c r="D413" s="10" t="s">
        <v>777</v>
      </c>
      <c r="E413" s="12">
        <v>23042</v>
      </c>
      <c r="F413" s="12"/>
      <c r="G413" s="24"/>
      <c r="H413" s="69"/>
      <c r="I413" s="76"/>
      <c r="J413" s="77"/>
      <c r="K413" s="104"/>
      <c r="L413" s="75"/>
      <c r="M413" s="105"/>
    </row>
    <row r="414" spans="1:13" ht="14.25" customHeight="1" x14ac:dyDescent="0.35">
      <c r="A414" s="12"/>
      <c r="B414" s="9">
        <v>708142032</v>
      </c>
      <c r="C414" s="158" t="s">
        <v>778</v>
      </c>
      <c r="D414" s="10" t="s">
        <v>779</v>
      </c>
      <c r="E414" s="12">
        <v>23043</v>
      </c>
      <c r="F414" s="12"/>
      <c r="G414" s="24"/>
      <c r="H414" s="69"/>
      <c r="I414" s="76"/>
      <c r="J414" s="77" t="s">
        <v>48</v>
      </c>
      <c r="K414" s="104"/>
      <c r="L414" s="75"/>
      <c r="M414" s="105"/>
    </row>
    <row r="415" spans="1:13" ht="14.25" customHeight="1" x14ac:dyDescent="0.35">
      <c r="A415" s="12"/>
      <c r="B415" s="95" t="s">
        <v>2094</v>
      </c>
      <c r="C415" s="158" t="s">
        <v>780</v>
      </c>
      <c r="D415" s="10" t="s">
        <v>781</v>
      </c>
      <c r="E415" s="12">
        <v>23044</v>
      </c>
      <c r="F415" s="12"/>
      <c r="G415" s="24" t="s">
        <v>782</v>
      </c>
      <c r="H415" s="69"/>
      <c r="I415" s="76"/>
      <c r="J415" s="77" t="s">
        <v>48</v>
      </c>
      <c r="K415" s="104"/>
      <c r="L415" s="75"/>
      <c r="M415" s="105"/>
    </row>
    <row r="416" spans="1:13" ht="14.25" customHeight="1" x14ac:dyDescent="0.35">
      <c r="A416" s="78" t="s">
        <v>783</v>
      </c>
      <c r="B416" s="95" t="s">
        <v>2095</v>
      </c>
      <c r="C416" s="82" t="s">
        <v>116</v>
      </c>
      <c r="D416" s="10" t="s">
        <v>784</v>
      </c>
      <c r="E416" s="12">
        <v>23045</v>
      </c>
      <c r="F416" s="12">
        <v>10</v>
      </c>
      <c r="G416" s="24" t="s">
        <v>785</v>
      </c>
      <c r="H416" s="69"/>
      <c r="I416" s="76"/>
      <c r="J416" s="77" t="s">
        <v>9</v>
      </c>
      <c r="K416" s="104"/>
      <c r="L416" s="75"/>
      <c r="M416" s="105"/>
    </row>
    <row r="417" spans="1:13" ht="14.25" customHeight="1" x14ac:dyDescent="0.35">
      <c r="A417" s="78" t="s">
        <v>786</v>
      </c>
      <c r="B417" s="95" t="s">
        <v>2096</v>
      </c>
      <c r="C417" s="82" t="s">
        <v>128</v>
      </c>
      <c r="D417" s="10" t="s">
        <v>129</v>
      </c>
      <c r="E417" s="12">
        <v>23046</v>
      </c>
      <c r="F417" s="12">
        <v>10</v>
      </c>
      <c r="G417" s="24"/>
      <c r="H417" s="103" t="s">
        <v>48</v>
      </c>
      <c r="I417" s="76"/>
      <c r="J417" s="77" t="s">
        <v>9</v>
      </c>
      <c r="K417" s="104"/>
      <c r="L417" s="75"/>
      <c r="M417" s="105"/>
    </row>
    <row r="418" spans="1:13" ht="14.25" customHeight="1" x14ac:dyDescent="0.35">
      <c r="A418" s="12"/>
      <c r="B418" s="9">
        <v>738253697</v>
      </c>
      <c r="C418" s="158" t="s">
        <v>787</v>
      </c>
      <c r="D418" s="10" t="s">
        <v>788</v>
      </c>
      <c r="E418" s="12">
        <v>23047</v>
      </c>
      <c r="F418" s="12"/>
      <c r="G418" s="24"/>
      <c r="H418" s="69"/>
      <c r="I418" s="76"/>
      <c r="J418" s="77" t="s">
        <v>48</v>
      </c>
      <c r="K418" s="104"/>
      <c r="L418" s="75"/>
      <c r="M418" s="105"/>
    </row>
    <row r="419" spans="1:13" ht="14.25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24" t="s">
        <v>791</v>
      </c>
      <c r="H419" s="69"/>
      <c r="I419" s="76"/>
      <c r="J419" s="77" t="s">
        <v>48</v>
      </c>
      <c r="K419" s="104"/>
      <c r="L419" s="75"/>
      <c r="M419" s="105"/>
    </row>
    <row r="420" spans="1:13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24"/>
      <c r="H420" s="69"/>
      <c r="I420" s="76"/>
      <c r="J420" s="77" t="s">
        <v>20</v>
      </c>
      <c r="K420" s="104"/>
      <c r="L420" s="75"/>
      <c r="M420" s="105"/>
    </row>
    <row r="421" spans="1:13" ht="14.25" customHeight="1" x14ac:dyDescent="0.35">
      <c r="A421" s="78" t="s">
        <v>794</v>
      </c>
      <c r="B421" s="95" t="s">
        <v>2097</v>
      </c>
      <c r="C421" s="82" t="s">
        <v>189</v>
      </c>
      <c r="D421" s="10" t="s">
        <v>795</v>
      </c>
      <c r="E421" s="12">
        <v>23050</v>
      </c>
      <c r="F421" s="12"/>
      <c r="G421" s="24" t="s">
        <v>796</v>
      </c>
      <c r="H421" s="69"/>
      <c r="I421" s="76"/>
      <c r="J421" s="77" t="s">
        <v>9</v>
      </c>
      <c r="K421" s="104"/>
      <c r="L421" s="75"/>
      <c r="M421" s="105"/>
    </row>
    <row r="422" spans="1:13" ht="14.25" customHeight="1" x14ac:dyDescent="0.35">
      <c r="A422" s="12"/>
      <c r="B422" s="95" t="s">
        <v>2098</v>
      </c>
      <c r="C422" s="158" t="s">
        <v>797</v>
      </c>
      <c r="D422" s="10" t="s">
        <v>798</v>
      </c>
      <c r="E422" s="12">
        <v>23051</v>
      </c>
      <c r="F422" s="12"/>
      <c r="G422" s="102" t="s">
        <v>1149</v>
      </c>
      <c r="H422" s="69"/>
      <c r="I422" s="76"/>
      <c r="J422" s="77" t="s">
        <v>48</v>
      </c>
      <c r="K422" s="107" t="s">
        <v>9</v>
      </c>
      <c r="L422" s="75"/>
      <c r="M422" s="105"/>
    </row>
    <row r="423" spans="1:13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24"/>
      <c r="H423" s="69"/>
      <c r="I423" s="76"/>
      <c r="J423" s="77" t="s">
        <v>20</v>
      </c>
      <c r="K423" s="104"/>
      <c r="L423" s="75"/>
      <c r="M423" s="105"/>
    </row>
    <row r="424" spans="1:13" ht="14.25" customHeight="1" x14ac:dyDescent="0.35">
      <c r="A424" s="12"/>
      <c r="B424" s="9"/>
      <c r="C424" s="158" t="s">
        <v>359</v>
      </c>
      <c r="D424" s="10" t="s">
        <v>801</v>
      </c>
      <c r="E424" s="12">
        <v>23053</v>
      </c>
      <c r="F424" s="12"/>
      <c r="G424" s="24"/>
      <c r="H424" s="69"/>
      <c r="I424" s="76"/>
      <c r="J424" s="77" t="s">
        <v>20</v>
      </c>
      <c r="K424" s="104"/>
      <c r="L424" s="75"/>
      <c r="M424" s="105"/>
    </row>
    <row r="425" spans="1:13" ht="14.25" customHeight="1" x14ac:dyDescent="0.35">
      <c r="A425" s="78" t="s">
        <v>802</v>
      </c>
      <c r="B425" s="95" t="s">
        <v>2099</v>
      </c>
      <c r="C425" s="82" t="s">
        <v>803</v>
      </c>
      <c r="D425" s="10" t="s">
        <v>804</v>
      </c>
      <c r="E425" s="12">
        <v>23054</v>
      </c>
      <c r="F425" s="12">
        <v>10</v>
      </c>
      <c r="G425" s="24" t="s">
        <v>805</v>
      </c>
      <c r="H425" s="69"/>
      <c r="I425" s="76"/>
      <c r="J425" s="77" t="s">
        <v>9</v>
      </c>
      <c r="K425" s="104"/>
      <c r="L425" s="75"/>
      <c r="M425" s="105"/>
    </row>
    <row r="426" spans="1:13" ht="14.25" customHeight="1" x14ac:dyDescent="0.35">
      <c r="A426" s="78" t="s">
        <v>2418</v>
      </c>
      <c r="B426" s="95" t="s">
        <v>1965</v>
      </c>
      <c r="C426" s="82" t="s">
        <v>50</v>
      </c>
      <c r="D426" s="79" t="s">
        <v>51</v>
      </c>
      <c r="E426" s="12">
        <v>23055</v>
      </c>
      <c r="F426" s="12">
        <v>10</v>
      </c>
      <c r="G426" s="24" t="s">
        <v>52</v>
      </c>
      <c r="H426" s="69"/>
      <c r="I426" s="76"/>
      <c r="J426" s="77" t="s">
        <v>9</v>
      </c>
      <c r="K426" s="104"/>
      <c r="L426" s="75"/>
      <c r="M426" s="105"/>
    </row>
    <row r="427" spans="1:13" ht="14.25" customHeight="1" x14ac:dyDescent="0.35">
      <c r="A427" s="12"/>
      <c r="B427" s="9">
        <v>15158140306</v>
      </c>
      <c r="C427" s="158" t="s">
        <v>806</v>
      </c>
      <c r="D427" s="10" t="s">
        <v>807</v>
      </c>
      <c r="E427" s="12">
        <v>23056</v>
      </c>
      <c r="F427" s="12"/>
      <c r="G427" s="24"/>
      <c r="H427" s="69"/>
      <c r="I427" s="76"/>
      <c r="J427" s="77" t="s">
        <v>48</v>
      </c>
      <c r="K427" s="104"/>
      <c r="L427" s="75"/>
      <c r="M427" s="105"/>
    </row>
    <row r="428" spans="1:13" ht="14.25" customHeight="1" x14ac:dyDescent="0.35">
      <c r="A428" s="78" t="s">
        <v>808</v>
      </c>
      <c r="B428" s="95" t="s">
        <v>2100</v>
      </c>
      <c r="C428" s="82" t="s">
        <v>288</v>
      </c>
      <c r="D428" s="10" t="s">
        <v>809</v>
      </c>
      <c r="E428" s="12">
        <v>23057</v>
      </c>
      <c r="F428" s="12"/>
      <c r="G428" s="24"/>
      <c r="H428" s="69"/>
      <c r="I428" s="76"/>
      <c r="J428" s="77" t="s">
        <v>9</v>
      </c>
      <c r="K428" s="104"/>
      <c r="L428" s="75"/>
      <c r="M428" s="105"/>
    </row>
    <row r="429" spans="1:13" ht="14.25" customHeight="1" x14ac:dyDescent="0.35">
      <c r="A429" s="12"/>
      <c r="B429" s="9"/>
      <c r="C429" s="158" t="s">
        <v>810</v>
      </c>
      <c r="D429" s="10" t="s">
        <v>811</v>
      </c>
      <c r="E429" s="12">
        <v>23058</v>
      </c>
      <c r="F429" s="12">
        <v>10</v>
      </c>
      <c r="G429" s="24"/>
      <c r="H429" s="69"/>
      <c r="I429" s="76"/>
      <c r="J429" s="77" t="s">
        <v>20</v>
      </c>
      <c r="K429" s="104"/>
      <c r="L429" s="75"/>
      <c r="M429" s="105"/>
    </row>
    <row r="430" spans="1:13" ht="14.25" customHeight="1" x14ac:dyDescent="0.35">
      <c r="A430" s="12"/>
      <c r="B430" s="9"/>
      <c r="C430" s="158" t="s">
        <v>812</v>
      </c>
      <c r="D430" s="10" t="s">
        <v>813</v>
      </c>
      <c r="E430" s="12">
        <v>23059</v>
      </c>
      <c r="F430" s="12"/>
      <c r="G430" s="24"/>
      <c r="H430" s="69"/>
      <c r="I430" s="76"/>
      <c r="J430" s="77" t="s">
        <v>20</v>
      </c>
      <c r="K430" s="104"/>
      <c r="L430" s="75"/>
      <c r="M430" s="105"/>
    </row>
    <row r="431" spans="1:13" ht="14.25" customHeight="1" x14ac:dyDescent="0.35">
      <c r="A431" s="12"/>
      <c r="B431" s="9"/>
      <c r="C431" s="158" t="s">
        <v>814</v>
      </c>
      <c r="D431" s="10" t="s">
        <v>815</v>
      </c>
      <c r="E431" s="12">
        <v>23060</v>
      </c>
      <c r="F431" s="12"/>
      <c r="G431" s="24"/>
      <c r="H431" s="69"/>
      <c r="I431" s="76"/>
      <c r="J431" s="77" t="s">
        <v>20</v>
      </c>
      <c r="K431" s="104"/>
      <c r="L431" s="75"/>
      <c r="M431" s="105"/>
    </row>
    <row r="432" spans="1:13" ht="14.25" customHeight="1" x14ac:dyDescent="0.35">
      <c r="A432" s="78" t="s">
        <v>816</v>
      </c>
      <c r="B432" s="95" t="s">
        <v>2101</v>
      </c>
      <c r="C432" s="82" t="s">
        <v>189</v>
      </c>
      <c r="D432" s="10" t="s">
        <v>817</v>
      </c>
      <c r="E432" s="12">
        <v>23061</v>
      </c>
      <c r="F432" s="12">
        <v>10</v>
      </c>
      <c r="G432" s="24" t="s">
        <v>462</v>
      </c>
      <c r="H432" s="69"/>
      <c r="I432" s="76"/>
      <c r="J432" s="77" t="s">
        <v>9</v>
      </c>
      <c r="K432" s="104"/>
      <c r="L432" s="75"/>
      <c r="M432" s="105"/>
    </row>
    <row r="433" spans="1:13" ht="14.25" customHeight="1" x14ac:dyDescent="0.35">
      <c r="A433" s="12"/>
      <c r="B433" s="9"/>
      <c r="C433" s="158" t="s">
        <v>818</v>
      </c>
      <c r="D433" s="10" t="s">
        <v>819</v>
      </c>
      <c r="E433" s="12">
        <v>23062</v>
      </c>
      <c r="F433" s="12"/>
      <c r="G433" s="24"/>
      <c r="H433" s="69"/>
      <c r="I433" s="76"/>
      <c r="J433" s="77" t="s">
        <v>20</v>
      </c>
      <c r="K433" s="104"/>
      <c r="L433" s="75"/>
      <c r="M433" s="105"/>
    </row>
    <row r="434" spans="1:13" ht="14.25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24"/>
      <c r="H434" s="69"/>
      <c r="I434" s="76"/>
      <c r="J434" s="77" t="s">
        <v>20</v>
      </c>
      <c r="K434" s="104"/>
      <c r="L434" s="75"/>
      <c r="M434" s="105"/>
    </row>
    <row r="435" spans="1:13" ht="14.25" customHeight="1" x14ac:dyDescent="0.35">
      <c r="A435" s="12"/>
      <c r="B435" s="95" t="s">
        <v>2102</v>
      </c>
      <c r="C435" s="158" t="s">
        <v>125</v>
      </c>
      <c r="D435" s="10" t="s">
        <v>822</v>
      </c>
      <c r="E435" s="12">
        <v>23064</v>
      </c>
      <c r="F435" s="12"/>
      <c r="G435" s="24"/>
      <c r="H435" s="69"/>
      <c r="I435" s="76"/>
      <c r="J435" s="77" t="s">
        <v>48</v>
      </c>
      <c r="K435" s="104"/>
      <c r="L435" s="75"/>
      <c r="M435" s="105"/>
    </row>
    <row r="436" spans="1:13" ht="14.25" customHeight="1" x14ac:dyDescent="0.35">
      <c r="A436" s="12"/>
      <c r="B436" s="95" t="s">
        <v>2103</v>
      </c>
      <c r="C436" s="158" t="s">
        <v>823</v>
      </c>
      <c r="D436" s="10" t="s">
        <v>824</v>
      </c>
      <c r="E436" s="12">
        <v>23065</v>
      </c>
      <c r="F436" s="12"/>
      <c r="G436" s="24"/>
      <c r="H436" s="69"/>
      <c r="I436" s="76"/>
      <c r="J436" s="77" t="s">
        <v>48</v>
      </c>
      <c r="K436" s="104"/>
      <c r="L436" s="75"/>
      <c r="M436" s="105"/>
    </row>
    <row r="437" spans="1:13" ht="14.25" customHeight="1" x14ac:dyDescent="0.35">
      <c r="A437" s="78" t="s">
        <v>825</v>
      </c>
      <c r="B437" s="95" t="s">
        <v>2104</v>
      </c>
      <c r="C437" s="82" t="s">
        <v>826</v>
      </c>
      <c r="D437" s="10" t="s">
        <v>693</v>
      </c>
      <c r="E437" s="12">
        <v>23066</v>
      </c>
      <c r="F437" s="12">
        <v>10</v>
      </c>
      <c r="G437" s="24" t="s">
        <v>827</v>
      </c>
      <c r="H437" s="69"/>
      <c r="I437" s="76"/>
      <c r="J437" s="77" t="s">
        <v>9</v>
      </c>
      <c r="K437" s="104"/>
      <c r="L437" s="75"/>
      <c r="M437" s="105"/>
    </row>
    <row r="438" spans="1:13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24"/>
      <c r="H438" s="69"/>
      <c r="I438" s="76"/>
      <c r="J438" s="77" t="s">
        <v>48</v>
      </c>
      <c r="K438" s="104"/>
      <c r="L438" s="75"/>
      <c r="M438" s="105"/>
    </row>
    <row r="439" spans="1:13" ht="14.25" customHeight="1" x14ac:dyDescent="0.35">
      <c r="A439" s="12"/>
      <c r="B439" s="95" t="s">
        <v>2105</v>
      </c>
      <c r="C439" s="158" t="s">
        <v>829</v>
      </c>
      <c r="D439" s="10" t="s">
        <v>830</v>
      </c>
      <c r="E439" s="12">
        <v>23068</v>
      </c>
      <c r="F439" s="12"/>
      <c r="G439" s="24"/>
      <c r="H439" s="69"/>
      <c r="I439" s="76"/>
      <c r="J439" s="77" t="s">
        <v>48</v>
      </c>
      <c r="K439" s="104"/>
      <c r="L439" s="75"/>
      <c r="M439" s="105"/>
    </row>
    <row r="440" spans="1:13" ht="14.25" customHeight="1" x14ac:dyDescent="0.35">
      <c r="A440" s="12"/>
      <c r="B440" s="9">
        <v>737767397</v>
      </c>
      <c r="C440" s="158" t="s">
        <v>831</v>
      </c>
      <c r="D440" s="10" t="s">
        <v>832</v>
      </c>
      <c r="E440" s="12">
        <v>23069</v>
      </c>
      <c r="F440" s="12"/>
      <c r="G440" s="24"/>
      <c r="H440" s="69"/>
      <c r="I440" s="76"/>
      <c r="J440" s="77" t="s">
        <v>48</v>
      </c>
      <c r="K440" s="104"/>
      <c r="L440" s="75"/>
      <c r="M440" s="105"/>
    </row>
    <row r="441" spans="1:13" ht="14.25" customHeight="1" x14ac:dyDescent="0.35">
      <c r="A441" s="12"/>
      <c r="B441" s="95" t="s">
        <v>2106</v>
      </c>
      <c r="C441" s="158" t="s">
        <v>125</v>
      </c>
      <c r="D441" s="10" t="s">
        <v>266</v>
      </c>
      <c r="E441" s="12">
        <v>23070</v>
      </c>
      <c r="F441" s="12"/>
      <c r="G441" s="24"/>
      <c r="H441" s="69"/>
      <c r="I441" s="76"/>
      <c r="J441" s="77" t="s">
        <v>48</v>
      </c>
      <c r="K441" s="104"/>
      <c r="L441" s="75"/>
      <c r="M441" s="105"/>
    </row>
    <row r="442" spans="1:13" ht="14.25" customHeight="1" x14ac:dyDescent="0.35">
      <c r="A442" s="12"/>
      <c r="B442" s="9"/>
      <c r="C442" s="158" t="s">
        <v>833</v>
      </c>
      <c r="D442" s="10" t="s">
        <v>834</v>
      </c>
      <c r="E442" s="12">
        <v>23071</v>
      </c>
      <c r="F442" s="12"/>
      <c r="G442" s="24"/>
      <c r="H442" s="69"/>
      <c r="I442" s="76"/>
      <c r="J442" s="77" t="s">
        <v>20</v>
      </c>
      <c r="K442" s="104"/>
      <c r="L442" s="75"/>
      <c r="M442" s="105"/>
    </row>
    <row r="443" spans="1:13" ht="14.25" customHeight="1" x14ac:dyDescent="0.35">
      <c r="A443" s="12"/>
      <c r="B443" s="95" t="s">
        <v>2107</v>
      </c>
      <c r="C443" s="158" t="s">
        <v>835</v>
      </c>
      <c r="D443" s="10" t="s">
        <v>836</v>
      </c>
      <c r="E443" s="12">
        <v>23072</v>
      </c>
      <c r="F443" s="12"/>
      <c r="G443" s="24"/>
      <c r="H443" s="69"/>
      <c r="I443" s="76"/>
      <c r="J443" s="77" t="s">
        <v>48</v>
      </c>
      <c r="K443" s="104"/>
      <c r="L443" s="75"/>
      <c r="M443" s="105"/>
    </row>
    <row r="444" spans="1:13" ht="14.25" customHeight="1" x14ac:dyDescent="0.35">
      <c r="A444" s="12"/>
      <c r="B444" s="9"/>
      <c r="C444" s="158" t="s">
        <v>837</v>
      </c>
      <c r="D444" s="10" t="s">
        <v>838</v>
      </c>
      <c r="E444" s="12">
        <v>23073</v>
      </c>
      <c r="F444" s="12"/>
      <c r="G444" s="24"/>
      <c r="H444" s="69"/>
      <c r="I444" s="76"/>
      <c r="J444" s="77" t="s">
        <v>20</v>
      </c>
      <c r="K444" s="104"/>
      <c r="L444" s="75"/>
      <c r="M444" s="105"/>
    </row>
    <row r="445" spans="1:13" ht="14.25" customHeight="1" x14ac:dyDescent="0.35">
      <c r="A445" s="12"/>
      <c r="B445" s="9"/>
      <c r="C445" s="158" t="s">
        <v>839</v>
      </c>
      <c r="D445" s="10" t="s">
        <v>840</v>
      </c>
      <c r="E445" s="12">
        <v>23074</v>
      </c>
      <c r="F445" s="12"/>
      <c r="G445" s="24"/>
      <c r="H445" s="69"/>
      <c r="I445" s="76"/>
      <c r="J445" s="77" t="s">
        <v>20</v>
      </c>
      <c r="K445" s="104"/>
      <c r="L445" s="75"/>
      <c r="M445" s="105"/>
    </row>
    <row r="446" spans="1:13" ht="14.25" customHeight="1" x14ac:dyDescent="0.35">
      <c r="A446" s="12"/>
      <c r="B446" s="9"/>
      <c r="C446" s="158" t="s">
        <v>841</v>
      </c>
      <c r="D446" s="10" t="s">
        <v>842</v>
      </c>
      <c r="E446" s="12">
        <v>23075</v>
      </c>
      <c r="F446" s="12"/>
      <c r="G446" s="24"/>
      <c r="H446" s="69"/>
      <c r="I446" s="76"/>
      <c r="J446" s="77" t="s">
        <v>20</v>
      </c>
      <c r="K446" s="104"/>
      <c r="L446" s="75"/>
      <c r="M446" s="105"/>
    </row>
    <row r="447" spans="1:13" ht="14.25" customHeight="1" x14ac:dyDescent="0.35">
      <c r="A447" s="12"/>
      <c r="B447" s="95" t="s">
        <v>2108</v>
      </c>
      <c r="C447" s="158" t="s">
        <v>843</v>
      </c>
      <c r="D447" s="10" t="s">
        <v>844</v>
      </c>
      <c r="E447" s="12">
        <v>23076</v>
      </c>
      <c r="F447" s="12"/>
      <c r="G447" s="24"/>
      <c r="H447" s="69"/>
      <c r="I447" s="76"/>
      <c r="J447" s="77" t="s">
        <v>48</v>
      </c>
      <c r="K447" s="104"/>
      <c r="L447" s="75"/>
      <c r="M447" s="105"/>
    </row>
    <row r="448" spans="1:13" ht="14.25" customHeight="1" x14ac:dyDescent="0.35">
      <c r="A448" s="12"/>
      <c r="B448" s="9">
        <v>90621678</v>
      </c>
      <c r="C448" s="158" t="s">
        <v>845</v>
      </c>
      <c r="D448" s="10" t="s">
        <v>846</v>
      </c>
      <c r="E448" s="12">
        <v>23077</v>
      </c>
      <c r="F448" s="12"/>
      <c r="G448" s="24" t="s">
        <v>847</v>
      </c>
      <c r="H448" s="69"/>
      <c r="I448" s="76"/>
      <c r="J448" s="77" t="s">
        <v>48</v>
      </c>
      <c r="K448" s="104"/>
      <c r="L448" s="75"/>
      <c r="M448" s="105"/>
    </row>
    <row r="449" spans="1:13" ht="14.25" customHeight="1" x14ac:dyDescent="0.35">
      <c r="A449" s="12"/>
      <c r="B449" s="9">
        <v>705652873</v>
      </c>
      <c r="C449" s="158" t="s">
        <v>848</v>
      </c>
      <c r="D449" s="10" t="s">
        <v>849</v>
      </c>
      <c r="E449" s="12">
        <v>23078</v>
      </c>
      <c r="F449" s="12"/>
      <c r="G449" s="24"/>
      <c r="H449" s="69"/>
      <c r="I449" s="76"/>
      <c r="J449" s="77" t="s">
        <v>48</v>
      </c>
      <c r="K449" s="104"/>
      <c r="L449" s="75"/>
      <c r="M449" s="105"/>
    </row>
    <row r="450" spans="1:13" ht="14.25" customHeight="1" x14ac:dyDescent="0.35">
      <c r="A450" s="78" t="s">
        <v>850</v>
      </c>
      <c r="B450" s="95" t="s">
        <v>2109</v>
      </c>
      <c r="C450" s="82" t="s">
        <v>281</v>
      </c>
      <c r="D450" s="10" t="s">
        <v>851</v>
      </c>
      <c r="E450" s="12">
        <v>23079</v>
      </c>
      <c r="F450" s="12">
        <v>10</v>
      </c>
      <c r="G450" s="24"/>
      <c r="H450" s="69"/>
      <c r="I450" s="76"/>
      <c r="J450" s="77" t="s">
        <v>9</v>
      </c>
      <c r="K450" s="104"/>
      <c r="L450" s="75"/>
      <c r="M450" s="105"/>
    </row>
    <row r="451" spans="1:13" ht="14.25" customHeight="1" x14ac:dyDescent="0.35">
      <c r="A451" s="12"/>
      <c r="B451" s="9"/>
      <c r="C451" s="158" t="s">
        <v>852</v>
      </c>
      <c r="D451" s="10" t="s">
        <v>853</v>
      </c>
      <c r="E451" s="12">
        <v>23080</v>
      </c>
      <c r="F451" s="12"/>
      <c r="G451" s="24"/>
      <c r="H451" s="69"/>
      <c r="I451" s="76"/>
      <c r="J451" s="77" t="s">
        <v>20</v>
      </c>
      <c r="K451" s="104"/>
      <c r="L451" s="75"/>
      <c r="M451" s="105"/>
    </row>
    <row r="452" spans="1:13" ht="14.25" customHeight="1" x14ac:dyDescent="0.35">
      <c r="A452" s="12"/>
      <c r="B452" s="9"/>
      <c r="C452" s="158" t="s">
        <v>220</v>
      </c>
      <c r="D452" s="10" t="s">
        <v>854</v>
      </c>
      <c r="E452" s="12">
        <v>23081</v>
      </c>
      <c r="F452" s="12"/>
      <c r="G452" s="24"/>
      <c r="H452" s="69"/>
      <c r="I452" s="76"/>
      <c r="J452" s="77" t="s">
        <v>20</v>
      </c>
      <c r="K452" s="104"/>
      <c r="L452" s="75"/>
      <c r="M452" s="105"/>
    </row>
    <row r="453" spans="1:13" ht="14.25" customHeight="1" x14ac:dyDescent="0.35">
      <c r="A453" s="12"/>
      <c r="B453" s="95" t="s">
        <v>2110</v>
      </c>
      <c r="C453" s="158" t="s">
        <v>855</v>
      </c>
      <c r="D453" s="10" t="s">
        <v>856</v>
      </c>
      <c r="E453" s="12">
        <v>23082</v>
      </c>
      <c r="F453" s="12"/>
      <c r="G453" s="24"/>
      <c r="H453" s="69"/>
      <c r="I453" s="76"/>
      <c r="J453" s="77" t="s">
        <v>48</v>
      </c>
      <c r="K453" s="104"/>
      <c r="L453" s="75"/>
      <c r="M453" s="105"/>
    </row>
    <row r="454" spans="1:13" ht="14.25" customHeight="1" x14ac:dyDescent="0.35">
      <c r="A454" s="12"/>
      <c r="B454" s="95" t="s">
        <v>2111</v>
      </c>
      <c r="C454" s="158" t="s">
        <v>857</v>
      </c>
      <c r="D454" s="10" t="s">
        <v>858</v>
      </c>
      <c r="E454" s="12">
        <v>23083</v>
      </c>
      <c r="F454" s="12"/>
      <c r="G454" s="24"/>
      <c r="H454" s="69"/>
      <c r="I454" s="76"/>
      <c r="J454" s="77" t="s">
        <v>48</v>
      </c>
      <c r="K454" s="104"/>
      <c r="L454" s="75"/>
      <c r="M454" s="105"/>
    </row>
    <row r="455" spans="1:13" ht="14.25" customHeight="1" x14ac:dyDescent="0.35">
      <c r="A455" s="12"/>
      <c r="B455" s="95" t="s">
        <v>2112</v>
      </c>
      <c r="C455" s="158" t="s">
        <v>859</v>
      </c>
      <c r="D455" s="10" t="s">
        <v>860</v>
      </c>
      <c r="E455" s="12">
        <v>23084</v>
      </c>
      <c r="F455" s="12"/>
      <c r="G455" s="24" t="s">
        <v>861</v>
      </c>
      <c r="H455" s="69"/>
      <c r="I455" s="76"/>
      <c r="J455" s="77" t="s">
        <v>48</v>
      </c>
      <c r="K455" s="104"/>
      <c r="L455" s="75"/>
      <c r="M455" s="105"/>
    </row>
    <row r="456" spans="1:13" ht="14.25" customHeight="1" x14ac:dyDescent="0.35">
      <c r="A456" s="12"/>
      <c r="B456" s="95" t="s">
        <v>2113</v>
      </c>
      <c r="C456" s="158" t="s">
        <v>288</v>
      </c>
      <c r="D456" s="10" t="s">
        <v>862</v>
      </c>
      <c r="E456" s="12">
        <v>23085</v>
      </c>
      <c r="F456" s="12"/>
      <c r="G456" s="24"/>
      <c r="H456" s="69"/>
      <c r="I456" s="76"/>
      <c r="J456" s="77" t="s">
        <v>48</v>
      </c>
      <c r="K456" s="104"/>
      <c r="L456" s="75"/>
      <c r="M456" s="105"/>
    </row>
    <row r="457" spans="1:13" ht="14.25" customHeight="1" x14ac:dyDescent="0.35">
      <c r="A457" s="12"/>
      <c r="B457" s="95" t="s">
        <v>2114</v>
      </c>
      <c r="C457" s="158" t="s">
        <v>863</v>
      </c>
      <c r="D457" s="10" t="s">
        <v>864</v>
      </c>
      <c r="E457" s="12">
        <v>23086</v>
      </c>
      <c r="F457" s="12"/>
      <c r="G457" s="24"/>
      <c r="H457" s="69"/>
      <c r="I457" s="76"/>
      <c r="J457" s="77" t="s">
        <v>48</v>
      </c>
      <c r="K457" s="104"/>
      <c r="L457" s="75"/>
      <c r="M457" s="105"/>
    </row>
    <row r="458" spans="1:13" ht="14.25" customHeight="1" x14ac:dyDescent="0.35">
      <c r="A458" s="12"/>
      <c r="B458" s="9">
        <v>531343511</v>
      </c>
      <c r="C458" s="158" t="s">
        <v>865</v>
      </c>
      <c r="D458" s="10" t="s">
        <v>866</v>
      </c>
      <c r="E458" s="12">
        <v>23087</v>
      </c>
      <c r="F458" s="12"/>
      <c r="G458" s="24" t="s">
        <v>867</v>
      </c>
      <c r="H458" s="69"/>
      <c r="I458" s="76"/>
      <c r="J458" s="77" t="s">
        <v>48</v>
      </c>
      <c r="K458" s="104"/>
      <c r="L458" s="75"/>
      <c r="M458" s="105"/>
    </row>
    <row r="459" spans="1:13" ht="14.25" customHeight="1" x14ac:dyDescent="0.35">
      <c r="A459" s="12"/>
      <c r="B459" s="95" t="s">
        <v>2115</v>
      </c>
      <c r="C459" s="158" t="s">
        <v>125</v>
      </c>
      <c r="D459" s="10" t="s">
        <v>868</v>
      </c>
      <c r="E459" s="12">
        <v>23088</v>
      </c>
      <c r="F459" s="12"/>
      <c r="G459" s="24" t="s">
        <v>318</v>
      </c>
      <c r="H459" s="69"/>
      <c r="I459" s="76"/>
      <c r="J459" s="77" t="s">
        <v>48</v>
      </c>
      <c r="K459" s="104"/>
      <c r="L459" s="75"/>
      <c r="M459" s="105"/>
    </row>
    <row r="460" spans="1:13" ht="14.25" customHeight="1" x14ac:dyDescent="0.35">
      <c r="A460" s="12"/>
      <c r="B460" s="9"/>
      <c r="C460" s="158" t="s">
        <v>158</v>
      </c>
      <c r="D460" s="10" t="s">
        <v>159</v>
      </c>
      <c r="E460" s="12">
        <v>23089</v>
      </c>
      <c r="F460" s="12"/>
      <c r="G460" s="24"/>
      <c r="H460" s="69"/>
      <c r="I460" s="76"/>
      <c r="J460" s="77" t="s">
        <v>20</v>
      </c>
      <c r="K460" s="104"/>
      <c r="L460" s="75"/>
      <c r="M460" s="105"/>
    </row>
    <row r="461" spans="1:13" ht="14.25" customHeight="1" x14ac:dyDescent="0.35">
      <c r="A461" s="12"/>
      <c r="B461" s="9"/>
      <c r="C461" s="158" t="s">
        <v>869</v>
      </c>
      <c r="D461" s="10" t="s">
        <v>870</v>
      </c>
      <c r="E461" s="12">
        <v>23090</v>
      </c>
      <c r="F461" s="12"/>
      <c r="G461" s="24"/>
      <c r="H461" s="69"/>
      <c r="I461" s="76"/>
      <c r="J461" s="77" t="s">
        <v>20</v>
      </c>
      <c r="K461" s="104"/>
      <c r="L461" s="75"/>
      <c r="M461" s="105"/>
    </row>
    <row r="462" spans="1:13" ht="14.25" customHeight="1" x14ac:dyDescent="0.35">
      <c r="A462" s="12"/>
      <c r="B462" s="95" t="s">
        <v>2116</v>
      </c>
      <c r="C462" s="158" t="s">
        <v>11</v>
      </c>
      <c r="D462" s="10" t="s">
        <v>871</v>
      </c>
      <c r="E462" s="12">
        <v>23091</v>
      </c>
      <c r="F462" s="12"/>
      <c r="G462" s="24"/>
      <c r="H462" s="69"/>
      <c r="I462" s="76"/>
      <c r="J462" s="77" t="s">
        <v>48</v>
      </c>
      <c r="K462" s="104"/>
      <c r="L462" s="75"/>
      <c r="M462" s="105"/>
    </row>
    <row r="463" spans="1:13" ht="14.25" customHeight="1" x14ac:dyDescent="0.35">
      <c r="A463" s="12"/>
      <c r="B463" s="9">
        <v>627349466</v>
      </c>
      <c r="C463" s="158" t="s">
        <v>872</v>
      </c>
      <c r="D463" s="10" t="s">
        <v>873</v>
      </c>
      <c r="E463" s="12">
        <v>23092</v>
      </c>
      <c r="F463" s="12"/>
      <c r="G463" s="24"/>
      <c r="H463" s="69"/>
      <c r="I463" s="76"/>
      <c r="J463" s="77" t="s">
        <v>48</v>
      </c>
      <c r="K463" s="104"/>
      <c r="L463" s="75"/>
      <c r="M463" s="105"/>
    </row>
    <row r="464" spans="1:13" ht="14.25" customHeight="1" x14ac:dyDescent="0.35">
      <c r="A464" s="12"/>
      <c r="B464" s="9">
        <v>17643882286</v>
      </c>
      <c r="C464" s="158" t="s">
        <v>481</v>
      </c>
      <c r="D464" s="10" t="s">
        <v>874</v>
      </c>
      <c r="E464" s="12">
        <v>23093</v>
      </c>
      <c r="F464" s="12"/>
      <c r="G464" s="24" t="s">
        <v>875</v>
      </c>
      <c r="H464" s="69"/>
      <c r="I464" s="76"/>
      <c r="J464" s="77" t="s">
        <v>48</v>
      </c>
      <c r="K464" s="104"/>
      <c r="L464" s="75"/>
      <c r="M464" s="105"/>
    </row>
    <row r="465" spans="1:13" ht="14.25" customHeight="1" x14ac:dyDescent="0.35">
      <c r="A465" s="12"/>
      <c r="B465" s="95" t="s">
        <v>2117</v>
      </c>
      <c r="C465" s="158" t="s">
        <v>63</v>
      </c>
      <c r="D465" s="10" t="s">
        <v>876</v>
      </c>
      <c r="E465" s="12">
        <v>23094</v>
      </c>
      <c r="F465" s="12"/>
      <c r="G465" s="24"/>
      <c r="H465" s="69"/>
      <c r="I465" s="76"/>
      <c r="J465" s="77" t="s">
        <v>48</v>
      </c>
      <c r="K465" s="104"/>
      <c r="L465" s="75"/>
      <c r="M465" s="105"/>
    </row>
    <row r="466" spans="1:13" ht="14.25" customHeight="1" x14ac:dyDescent="0.35">
      <c r="A466" s="12"/>
      <c r="B466" s="9"/>
      <c r="C466" s="158" t="s">
        <v>877</v>
      </c>
      <c r="D466" s="10" t="s">
        <v>878</v>
      </c>
      <c r="E466" s="12">
        <v>23095</v>
      </c>
      <c r="F466" s="12"/>
      <c r="G466" s="24"/>
      <c r="H466" s="69"/>
      <c r="I466" s="76"/>
      <c r="J466" s="77" t="s">
        <v>20</v>
      </c>
      <c r="K466" s="104"/>
      <c r="L466" s="75"/>
      <c r="M466" s="105"/>
    </row>
    <row r="467" spans="1:13" ht="14.25" customHeight="1" x14ac:dyDescent="0.35">
      <c r="A467" s="12"/>
      <c r="B467" s="9">
        <v>733448215</v>
      </c>
      <c r="C467" s="158" t="s">
        <v>879</v>
      </c>
      <c r="D467" s="10" t="s">
        <v>880</v>
      </c>
      <c r="E467" s="12">
        <v>23096</v>
      </c>
      <c r="F467" s="12"/>
      <c r="G467" s="24"/>
      <c r="H467" s="69"/>
      <c r="I467" s="76"/>
      <c r="J467" s="77" t="s">
        <v>48</v>
      </c>
      <c r="K467" s="104"/>
      <c r="L467" s="75"/>
      <c r="M467" s="105"/>
    </row>
    <row r="468" spans="1:13" ht="14.25" customHeight="1" x14ac:dyDescent="0.35">
      <c r="A468" s="12"/>
      <c r="B468" s="95" t="s">
        <v>2118</v>
      </c>
      <c r="C468" s="158" t="s">
        <v>881</v>
      </c>
      <c r="D468" s="10" t="s">
        <v>882</v>
      </c>
      <c r="E468" s="12">
        <v>23097</v>
      </c>
      <c r="F468" s="12"/>
      <c r="G468" s="24"/>
      <c r="H468" s="69"/>
      <c r="I468" s="76"/>
      <c r="J468" s="77" t="s">
        <v>48</v>
      </c>
      <c r="K468" s="104"/>
      <c r="L468" s="75"/>
      <c r="M468" s="105"/>
    </row>
    <row r="469" spans="1:13" ht="14.25" customHeight="1" x14ac:dyDescent="0.35">
      <c r="A469" s="12"/>
      <c r="B469" s="9">
        <v>735733308</v>
      </c>
      <c r="C469" s="158" t="s">
        <v>883</v>
      </c>
      <c r="D469" s="10" t="s">
        <v>884</v>
      </c>
      <c r="E469" s="12">
        <v>23098</v>
      </c>
      <c r="F469" s="12"/>
      <c r="G469" s="24"/>
      <c r="H469" s="69"/>
      <c r="I469" s="76"/>
      <c r="J469" s="77" t="s">
        <v>48</v>
      </c>
      <c r="K469" s="104"/>
      <c r="L469" s="75"/>
      <c r="M469" s="105"/>
    </row>
    <row r="470" spans="1:13" ht="14.25" customHeight="1" x14ac:dyDescent="0.35">
      <c r="A470" s="12"/>
      <c r="B470" s="95" t="s">
        <v>2119</v>
      </c>
      <c r="C470" s="158" t="s">
        <v>885</v>
      </c>
      <c r="D470" s="10" t="s">
        <v>886</v>
      </c>
      <c r="E470" s="12">
        <v>23099</v>
      </c>
      <c r="F470" s="12"/>
      <c r="G470" s="24"/>
      <c r="H470" s="69"/>
      <c r="I470" s="76"/>
      <c r="J470" s="77" t="s">
        <v>48</v>
      </c>
      <c r="K470" s="104"/>
      <c r="L470" s="75"/>
      <c r="M470" s="105"/>
    </row>
    <row r="471" spans="1:13" ht="14.25" customHeight="1" x14ac:dyDescent="0.35">
      <c r="A471" s="12"/>
      <c r="B471" s="95" t="s">
        <v>2120</v>
      </c>
      <c r="C471" s="158" t="s">
        <v>353</v>
      </c>
      <c r="D471" s="10" t="s">
        <v>887</v>
      </c>
      <c r="E471" s="12">
        <v>23100</v>
      </c>
      <c r="F471" s="12"/>
      <c r="G471" s="24"/>
      <c r="H471" s="69"/>
      <c r="I471" s="76"/>
      <c r="J471" s="77" t="s">
        <v>48</v>
      </c>
      <c r="K471" s="104"/>
      <c r="L471" s="75"/>
      <c r="M471" s="105"/>
    </row>
    <row r="472" spans="1:13" ht="14.25" customHeight="1" x14ac:dyDescent="0.35">
      <c r="A472" s="12"/>
      <c r="B472" s="95" t="s">
        <v>2121</v>
      </c>
      <c r="C472" s="158" t="s">
        <v>189</v>
      </c>
      <c r="D472" s="10" t="s">
        <v>888</v>
      </c>
      <c r="E472" s="12">
        <v>23101</v>
      </c>
      <c r="F472" s="12"/>
      <c r="G472" s="24"/>
      <c r="H472" s="69"/>
      <c r="I472" s="76"/>
      <c r="J472" s="77" t="s">
        <v>48</v>
      </c>
      <c r="K472" s="104"/>
      <c r="L472" s="75"/>
      <c r="M472" s="105"/>
    </row>
    <row r="473" spans="1:13" ht="14.25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24"/>
      <c r="H473" s="69"/>
      <c r="I473" s="76"/>
      <c r="J473" s="77" t="s">
        <v>48</v>
      </c>
      <c r="K473" s="104"/>
      <c r="L473" s="75"/>
      <c r="M473" s="105"/>
    </row>
    <row r="474" spans="1:13" ht="14.25" customHeight="1" x14ac:dyDescent="0.35">
      <c r="A474" s="12"/>
      <c r="B474" s="9">
        <v>17678221189</v>
      </c>
      <c r="C474" s="158" t="s">
        <v>890</v>
      </c>
      <c r="D474" s="10" t="s">
        <v>891</v>
      </c>
      <c r="E474" s="12">
        <v>23103</v>
      </c>
      <c r="F474" s="12"/>
      <c r="G474" s="24"/>
      <c r="H474" s="69"/>
      <c r="I474" s="76"/>
      <c r="J474" s="77" t="s">
        <v>48</v>
      </c>
      <c r="K474" s="104"/>
      <c r="L474" s="75"/>
      <c r="M474" s="105"/>
    </row>
    <row r="475" spans="1:13" ht="14.25" customHeight="1" x14ac:dyDescent="0.35">
      <c r="A475" s="12"/>
      <c r="B475" s="9"/>
      <c r="C475" s="158" t="s">
        <v>892</v>
      </c>
      <c r="D475" s="10" t="s">
        <v>893</v>
      </c>
      <c r="E475" s="12">
        <v>23104</v>
      </c>
      <c r="F475" s="12"/>
      <c r="G475" s="24"/>
      <c r="H475" s="69"/>
      <c r="I475" s="76"/>
      <c r="J475" s="77" t="s">
        <v>20</v>
      </c>
      <c r="K475" s="104"/>
      <c r="L475" s="75"/>
      <c r="M475" s="105"/>
    </row>
    <row r="476" spans="1:13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24" t="s">
        <v>896</v>
      </c>
      <c r="H476" s="69"/>
      <c r="I476" s="76"/>
      <c r="J476" s="77" t="s">
        <v>48</v>
      </c>
      <c r="K476" s="104"/>
      <c r="L476" s="75"/>
      <c r="M476" s="105"/>
    </row>
    <row r="477" spans="1:13" ht="14.25" customHeight="1" x14ac:dyDescent="0.35">
      <c r="A477" s="12"/>
      <c r="B477" s="95" t="s">
        <v>2122</v>
      </c>
      <c r="C477" s="158" t="s">
        <v>897</v>
      </c>
      <c r="D477" s="10" t="s">
        <v>898</v>
      </c>
      <c r="E477" s="12">
        <v>23106</v>
      </c>
      <c r="F477" s="12"/>
      <c r="G477" s="24"/>
      <c r="H477" s="69"/>
      <c r="I477" s="76"/>
      <c r="J477" s="77" t="s">
        <v>48</v>
      </c>
      <c r="K477" s="107" t="s">
        <v>9</v>
      </c>
      <c r="L477" s="75"/>
      <c r="M477" s="105"/>
    </row>
    <row r="478" spans="1:13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24"/>
      <c r="H478" s="69"/>
      <c r="I478" s="76"/>
      <c r="J478" s="77" t="s">
        <v>20</v>
      </c>
      <c r="K478" s="104"/>
      <c r="L478" s="75"/>
      <c r="M478" s="105"/>
    </row>
    <row r="479" spans="1:13" ht="14.25" customHeight="1" x14ac:dyDescent="0.35">
      <c r="A479" s="12"/>
      <c r="B479" s="95" t="s">
        <v>2123</v>
      </c>
      <c r="C479" s="158" t="s">
        <v>901</v>
      </c>
      <c r="D479" s="10" t="s">
        <v>902</v>
      </c>
      <c r="E479" s="12">
        <v>23108</v>
      </c>
      <c r="F479" s="12"/>
      <c r="G479" s="24"/>
      <c r="H479" s="69"/>
      <c r="I479" s="76"/>
      <c r="J479" s="77" t="s">
        <v>48</v>
      </c>
      <c r="K479" s="104"/>
      <c r="L479" s="75"/>
      <c r="M479" s="105"/>
    </row>
    <row r="480" spans="1:13" ht="14.25" customHeight="1" x14ac:dyDescent="0.35">
      <c r="A480" s="12"/>
      <c r="B480" s="9"/>
      <c r="C480" s="158" t="s">
        <v>903</v>
      </c>
      <c r="D480" s="10" t="s">
        <v>904</v>
      </c>
      <c r="E480" s="12">
        <v>23109</v>
      </c>
      <c r="F480" s="12"/>
      <c r="G480" s="24"/>
      <c r="H480" s="69"/>
      <c r="I480" s="76"/>
      <c r="J480" s="77" t="s">
        <v>48</v>
      </c>
      <c r="K480" s="104"/>
      <c r="L480" s="75"/>
      <c r="M480" s="105"/>
    </row>
    <row r="481" spans="1:13" ht="14.25" customHeight="1" x14ac:dyDescent="0.35">
      <c r="A481" s="12"/>
      <c r="B481" s="95" t="s">
        <v>2124</v>
      </c>
      <c r="C481" s="158" t="s">
        <v>905</v>
      </c>
      <c r="D481" s="10" t="s">
        <v>906</v>
      </c>
      <c r="E481" s="12">
        <v>23110</v>
      </c>
      <c r="F481" s="12"/>
      <c r="G481" s="24"/>
      <c r="H481" s="69"/>
      <c r="I481" s="76"/>
      <c r="J481" s="77" t="s">
        <v>48</v>
      </c>
      <c r="K481" s="104"/>
      <c r="L481" s="75"/>
      <c r="M481" s="105"/>
    </row>
    <row r="482" spans="1:13" ht="14.25" customHeight="1" x14ac:dyDescent="0.35">
      <c r="A482" s="12"/>
      <c r="B482" s="9">
        <v>603509941</v>
      </c>
      <c r="C482" s="158" t="s">
        <v>907</v>
      </c>
      <c r="D482" s="10" t="s">
        <v>908</v>
      </c>
      <c r="E482" s="12">
        <v>23111</v>
      </c>
      <c r="F482" s="12"/>
      <c r="G482" s="24"/>
      <c r="H482" s="69"/>
      <c r="I482" s="76"/>
      <c r="J482" s="77" t="s">
        <v>48</v>
      </c>
      <c r="K482" s="104"/>
      <c r="L482" s="75"/>
      <c r="M482" s="105"/>
    </row>
    <row r="483" spans="1:13" ht="14.25" customHeight="1" x14ac:dyDescent="0.35">
      <c r="A483" s="78" t="s">
        <v>909</v>
      </c>
      <c r="B483" s="95" t="s">
        <v>2125</v>
      </c>
      <c r="C483" s="82" t="s">
        <v>361</v>
      </c>
      <c r="D483" s="10" t="s">
        <v>910</v>
      </c>
      <c r="E483" s="12">
        <v>23112</v>
      </c>
      <c r="F483" s="12"/>
      <c r="G483" s="24"/>
      <c r="H483" s="69"/>
      <c r="I483" s="76"/>
      <c r="J483" s="77" t="s">
        <v>9</v>
      </c>
      <c r="K483" s="104"/>
      <c r="L483" s="75"/>
      <c r="M483" s="105"/>
    </row>
    <row r="484" spans="1:13" ht="14.25" customHeight="1" x14ac:dyDescent="0.35">
      <c r="A484" s="78" t="s">
        <v>911</v>
      </c>
      <c r="B484" s="95" t="s">
        <v>1975</v>
      </c>
      <c r="C484" s="82" t="s">
        <v>7</v>
      </c>
      <c r="D484" s="10" t="s">
        <v>607</v>
      </c>
      <c r="E484" s="12">
        <v>23113</v>
      </c>
      <c r="F484" s="12"/>
      <c r="G484" s="24"/>
      <c r="H484" s="69"/>
      <c r="I484" s="76"/>
      <c r="J484" s="77" t="s">
        <v>9</v>
      </c>
      <c r="K484" s="104"/>
      <c r="L484" s="75"/>
      <c r="M484" s="105"/>
    </row>
    <row r="485" spans="1:13" ht="14.25" customHeight="1" x14ac:dyDescent="0.35">
      <c r="A485" s="78" t="s">
        <v>912</v>
      </c>
      <c r="B485" s="95" t="s">
        <v>2126</v>
      </c>
      <c r="C485" s="82" t="s">
        <v>54</v>
      </c>
      <c r="D485" s="10" t="s">
        <v>913</v>
      </c>
      <c r="E485" s="12">
        <v>23114</v>
      </c>
      <c r="F485" s="12"/>
      <c r="G485" s="24"/>
      <c r="H485" s="69"/>
      <c r="I485" s="76"/>
      <c r="J485" s="77" t="s">
        <v>9</v>
      </c>
      <c r="K485" s="104"/>
      <c r="L485" s="75"/>
      <c r="M485" s="105"/>
    </row>
    <row r="486" spans="1:13" ht="14.25" customHeight="1" x14ac:dyDescent="0.35">
      <c r="A486" s="12"/>
      <c r="B486" s="9">
        <v>1727879613</v>
      </c>
      <c r="C486" s="158" t="s">
        <v>914</v>
      </c>
      <c r="D486" s="10" t="s">
        <v>915</v>
      </c>
      <c r="E486" s="12">
        <v>23115</v>
      </c>
      <c r="F486" s="12"/>
      <c r="G486" s="24"/>
      <c r="H486" s="69"/>
      <c r="I486" s="76"/>
      <c r="J486" s="77" t="s">
        <v>48</v>
      </c>
      <c r="K486" s="104"/>
      <c r="L486" s="75"/>
      <c r="M486" s="105"/>
    </row>
    <row r="487" spans="1:13" ht="14.25" customHeight="1" x14ac:dyDescent="0.35">
      <c r="A487" s="12"/>
      <c r="B487" s="9"/>
      <c r="C487" s="158" t="s">
        <v>916</v>
      </c>
      <c r="D487" s="10" t="s">
        <v>917</v>
      </c>
      <c r="E487" s="12">
        <v>23116</v>
      </c>
      <c r="F487" s="12"/>
      <c r="G487" s="24"/>
      <c r="H487" s="69"/>
      <c r="I487" s="76"/>
      <c r="J487" s="77" t="s">
        <v>20</v>
      </c>
      <c r="K487" s="104"/>
      <c r="L487" s="75"/>
      <c r="M487" s="105"/>
    </row>
    <row r="488" spans="1:13" ht="14.25" customHeight="1" x14ac:dyDescent="0.35">
      <c r="A488" s="12"/>
      <c r="B488" s="9"/>
      <c r="C488" s="158" t="s">
        <v>11</v>
      </c>
      <c r="D488" s="10" t="s">
        <v>363</v>
      </c>
      <c r="E488" s="12">
        <v>23117</v>
      </c>
      <c r="F488" s="12"/>
      <c r="G488" s="24"/>
      <c r="H488" s="69"/>
      <c r="I488" s="76"/>
      <c r="J488" s="77" t="s">
        <v>20</v>
      </c>
      <c r="K488" s="104"/>
      <c r="L488" s="75"/>
      <c r="M488" s="105"/>
    </row>
    <row r="489" spans="1:13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24"/>
      <c r="H489" s="69"/>
      <c r="I489" s="76"/>
      <c r="J489" s="77" t="s">
        <v>48</v>
      </c>
      <c r="K489" s="104"/>
      <c r="L489" s="75"/>
      <c r="M489" s="105"/>
    </row>
    <row r="490" spans="1:13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24"/>
      <c r="H490" s="69"/>
      <c r="I490" s="76"/>
      <c r="J490" s="77" t="s">
        <v>9</v>
      </c>
      <c r="K490" s="104"/>
      <c r="L490" s="75"/>
      <c r="M490" s="105"/>
    </row>
    <row r="491" spans="1:13" ht="14.25" customHeight="1" x14ac:dyDescent="0.35">
      <c r="A491" s="12"/>
      <c r="B491" s="9"/>
      <c r="C491" s="158" t="s">
        <v>922</v>
      </c>
      <c r="D491" s="10" t="s">
        <v>923</v>
      </c>
      <c r="E491" s="12">
        <v>23120</v>
      </c>
      <c r="F491" s="12"/>
      <c r="G491" s="24"/>
      <c r="H491" s="69"/>
      <c r="I491" s="76"/>
      <c r="J491" s="77" t="s">
        <v>48</v>
      </c>
      <c r="K491" s="104"/>
      <c r="L491" s="75"/>
      <c r="M491" s="105"/>
    </row>
    <row r="492" spans="1:13" ht="14.25" customHeight="1" x14ac:dyDescent="0.35">
      <c r="A492" s="12"/>
      <c r="B492" s="9"/>
      <c r="C492" s="158" t="s">
        <v>924</v>
      </c>
      <c r="D492" s="10" t="s">
        <v>925</v>
      </c>
      <c r="E492" s="12">
        <v>23121</v>
      </c>
      <c r="F492" s="12"/>
      <c r="G492" s="24"/>
      <c r="H492" s="69"/>
      <c r="I492" s="76"/>
      <c r="J492" s="77" t="s">
        <v>20</v>
      </c>
      <c r="K492" s="104"/>
      <c r="L492" s="75"/>
      <c r="M492" s="105"/>
    </row>
    <row r="493" spans="1:13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24"/>
      <c r="H493" s="69"/>
      <c r="I493" s="76"/>
      <c r="J493" s="77" t="s">
        <v>48</v>
      </c>
      <c r="K493" s="104"/>
      <c r="L493" s="75"/>
      <c r="M493" s="105"/>
    </row>
    <row r="494" spans="1:13" ht="14.25" customHeight="1" x14ac:dyDescent="0.35">
      <c r="A494" s="12"/>
      <c r="B494" s="9"/>
      <c r="C494" s="158" t="s">
        <v>15</v>
      </c>
      <c r="D494" s="10" t="s">
        <v>928</v>
      </c>
      <c r="E494" s="12">
        <v>23123</v>
      </c>
      <c r="F494" s="12"/>
      <c r="G494" s="24"/>
      <c r="H494" s="69"/>
      <c r="I494" s="76"/>
      <c r="J494" s="77" t="s">
        <v>9</v>
      </c>
      <c r="K494" s="104"/>
      <c r="L494" s="75"/>
      <c r="M494" s="105"/>
    </row>
    <row r="495" spans="1:13" ht="14.25" customHeight="1" x14ac:dyDescent="0.35">
      <c r="A495" s="12"/>
      <c r="B495" s="9"/>
      <c r="C495" s="158" t="s">
        <v>903</v>
      </c>
      <c r="D495" s="10" t="s">
        <v>904</v>
      </c>
      <c r="E495" s="12">
        <v>23124</v>
      </c>
      <c r="F495" s="12"/>
      <c r="G495" s="24"/>
      <c r="H495" s="69"/>
      <c r="I495" s="76"/>
      <c r="J495" s="77" t="s">
        <v>20</v>
      </c>
      <c r="K495" s="104"/>
      <c r="L495" s="75"/>
      <c r="M495" s="105"/>
    </row>
    <row r="496" spans="1:13" ht="14.25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24"/>
      <c r="H496" s="69"/>
      <c r="I496" s="76"/>
      <c r="J496" s="77" t="s">
        <v>48</v>
      </c>
      <c r="K496" s="104"/>
      <c r="L496" s="75"/>
      <c r="M496" s="105"/>
    </row>
    <row r="497" spans="1:13" ht="14.25" customHeight="1" x14ac:dyDescent="0.35">
      <c r="A497" s="12"/>
      <c r="B497" s="9"/>
      <c r="C497" s="158" t="s">
        <v>931</v>
      </c>
      <c r="D497" s="10" t="s">
        <v>932</v>
      </c>
      <c r="E497" s="12">
        <v>23126</v>
      </c>
      <c r="F497" s="12"/>
      <c r="G497" s="24"/>
      <c r="H497" s="69"/>
      <c r="I497" s="76"/>
      <c r="J497" s="77" t="s">
        <v>20</v>
      </c>
      <c r="K497" s="104"/>
      <c r="L497" s="75"/>
      <c r="M497" s="105"/>
    </row>
    <row r="498" spans="1:13" ht="14.25" customHeight="1" x14ac:dyDescent="0.35">
      <c r="A498" s="12"/>
      <c r="B498" s="9"/>
      <c r="C498" s="158" t="s">
        <v>933</v>
      </c>
      <c r="D498" s="10" t="s">
        <v>934</v>
      </c>
      <c r="E498" s="12">
        <v>23127</v>
      </c>
      <c r="F498" s="12"/>
      <c r="G498" s="24"/>
      <c r="H498" s="69"/>
      <c r="I498" s="76"/>
      <c r="J498" s="77" t="s">
        <v>48</v>
      </c>
      <c r="K498" s="104"/>
      <c r="L498" s="75"/>
      <c r="M498" s="105"/>
    </row>
    <row r="499" spans="1:13" ht="14.25" customHeight="1" x14ac:dyDescent="0.35">
      <c r="A499" s="12"/>
      <c r="B499" s="9"/>
      <c r="C499" s="158" t="s">
        <v>25</v>
      </c>
      <c r="D499" s="10" t="s">
        <v>935</v>
      </c>
      <c r="E499" s="12">
        <v>23128</v>
      </c>
      <c r="F499" s="12"/>
      <c r="G499" s="24"/>
      <c r="H499" s="69"/>
      <c r="I499" s="76"/>
      <c r="J499" s="77" t="s">
        <v>9</v>
      </c>
      <c r="K499" s="104"/>
      <c r="L499" s="75"/>
      <c r="M499" s="105"/>
    </row>
    <row r="500" spans="1:13" ht="14.25" customHeight="1" x14ac:dyDescent="0.35">
      <c r="A500" s="12"/>
      <c r="B500" s="9"/>
      <c r="C500" s="158" t="s">
        <v>936</v>
      </c>
      <c r="D500" s="10" t="s">
        <v>937</v>
      </c>
      <c r="E500" s="12">
        <v>23129</v>
      </c>
      <c r="F500" s="12"/>
      <c r="G500" s="24"/>
      <c r="H500" s="69"/>
      <c r="I500" s="76"/>
      <c r="J500" s="77" t="s">
        <v>48</v>
      </c>
      <c r="K500" s="104"/>
      <c r="L500" s="75"/>
      <c r="M500" s="105"/>
    </row>
    <row r="501" spans="1:13" ht="14.25" customHeight="1" x14ac:dyDescent="0.35">
      <c r="A501" s="12"/>
      <c r="B501" s="9"/>
      <c r="C501" s="158" t="s">
        <v>273</v>
      </c>
      <c r="D501" s="10" t="s">
        <v>274</v>
      </c>
      <c r="E501" s="12">
        <v>23130</v>
      </c>
      <c r="F501" s="12">
        <v>8</v>
      </c>
      <c r="G501" s="24"/>
      <c r="H501" s="69"/>
      <c r="I501" s="76"/>
      <c r="J501" s="77" t="s">
        <v>9</v>
      </c>
      <c r="K501" s="104"/>
      <c r="L501" s="75"/>
      <c r="M501" s="105"/>
    </row>
    <row r="502" spans="1:13" ht="14.25" customHeight="1" x14ac:dyDescent="0.35">
      <c r="A502" s="12"/>
      <c r="B502" s="9"/>
      <c r="C502" s="158" t="s">
        <v>938</v>
      </c>
      <c r="D502" s="10" t="s">
        <v>939</v>
      </c>
      <c r="E502" s="12">
        <v>23131</v>
      </c>
      <c r="F502" s="12"/>
      <c r="G502" s="24"/>
      <c r="H502" s="69"/>
      <c r="I502" s="76"/>
      <c r="J502" s="77" t="s">
        <v>48</v>
      </c>
      <c r="K502" s="104"/>
      <c r="L502" s="75"/>
      <c r="M502" s="105"/>
    </row>
    <row r="503" spans="1:13" ht="14.25" customHeight="1" x14ac:dyDescent="0.35">
      <c r="A503" s="12"/>
      <c r="B503" s="9"/>
      <c r="C503" s="158" t="s">
        <v>11</v>
      </c>
      <c r="D503" s="10" t="s">
        <v>363</v>
      </c>
      <c r="E503" s="12">
        <v>23132</v>
      </c>
      <c r="F503" s="12"/>
      <c r="G503" s="24"/>
      <c r="H503" s="69"/>
      <c r="I503" s="76"/>
      <c r="J503" s="77" t="s">
        <v>48</v>
      </c>
      <c r="K503" s="104"/>
      <c r="L503" s="75"/>
      <c r="M503" s="105"/>
    </row>
    <row r="504" spans="1:13" ht="14.25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24"/>
      <c r="H504" s="69"/>
      <c r="I504" s="76"/>
      <c r="J504" s="77" t="s">
        <v>48</v>
      </c>
      <c r="K504" s="104"/>
      <c r="L504" s="75"/>
      <c r="M504" s="105"/>
    </row>
    <row r="505" spans="1:13" ht="14.25" customHeight="1" x14ac:dyDescent="0.35">
      <c r="A505" s="12"/>
      <c r="B505" s="95" t="s">
        <v>2127</v>
      </c>
      <c r="C505" s="158" t="s">
        <v>942</v>
      </c>
      <c r="D505" s="10" t="s">
        <v>943</v>
      </c>
      <c r="E505" s="12">
        <v>23134</v>
      </c>
      <c r="F505" s="12">
        <v>15</v>
      </c>
      <c r="G505" s="24" t="s">
        <v>2165</v>
      </c>
      <c r="H505" s="69"/>
      <c r="I505" s="76"/>
      <c r="J505" s="77" t="s">
        <v>9</v>
      </c>
      <c r="K505" s="104"/>
      <c r="L505" s="75"/>
      <c r="M505" s="105"/>
    </row>
    <row r="506" spans="1:13" ht="14.25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24"/>
      <c r="H506" s="69"/>
      <c r="I506" s="76"/>
      <c r="J506" s="77" t="s">
        <v>20</v>
      </c>
      <c r="K506" s="104"/>
      <c r="L506" s="75"/>
      <c r="M506" s="105"/>
    </row>
    <row r="507" spans="1:13" ht="14.25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24"/>
      <c r="H507" s="69"/>
      <c r="I507" s="76"/>
      <c r="J507" s="77" t="s">
        <v>48</v>
      </c>
      <c r="K507" s="104"/>
      <c r="L507" s="75"/>
      <c r="M507" s="105"/>
    </row>
    <row r="508" spans="1:13" ht="14.25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24"/>
      <c r="H508" s="69"/>
      <c r="I508" s="76"/>
      <c r="J508" s="77" t="s">
        <v>9</v>
      </c>
      <c r="K508" s="104"/>
      <c r="L508" s="75"/>
      <c r="M508" s="105"/>
    </row>
    <row r="509" spans="1:13" ht="14.25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24"/>
      <c r="H509" s="69"/>
      <c r="I509" s="76"/>
      <c r="J509" s="77" t="s">
        <v>48</v>
      </c>
      <c r="K509" s="104"/>
      <c r="L509" s="75"/>
      <c r="M509" s="105"/>
    </row>
    <row r="510" spans="1:13" ht="14.25" customHeight="1" x14ac:dyDescent="0.35">
      <c r="A510" s="12"/>
      <c r="B510" s="9"/>
      <c r="C510" s="158" t="s">
        <v>949</v>
      </c>
      <c r="D510" s="10" t="s">
        <v>950</v>
      </c>
      <c r="E510" s="12">
        <v>23139</v>
      </c>
      <c r="F510" s="12"/>
      <c r="G510" s="24"/>
      <c r="H510" s="69"/>
      <c r="I510" s="76"/>
      <c r="J510" s="77" t="s">
        <v>48</v>
      </c>
      <c r="K510" s="104"/>
      <c r="L510" s="75"/>
      <c r="M510" s="105"/>
    </row>
    <row r="511" spans="1:13" ht="14.25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24"/>
      <c r="H511" s="69"/>
      <c r="I511" s="76"/>
      <c r="J511" s="77" t="s">
        <v>48</v>
      </c>
      <c r="K511" s="104"/>
      <c r="L511" s="75"/>
      <c r="M511" s="105"/>
    </row>
    <row r="512" spans="1:13" ht="14.25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24"/>
      <c r="H512" s="69"/>
      <c r="I512" s="76"/>
      <c r="J512" s="77" t="s">
        <v>48</v>
      </c>
      <c r="K512" s="104"/>
      <c r="L512" s="75"/>
      <c r="M512" s="105"/>
    </row>
    <row r="513" spans="1:13" ht="14.25" customHeight="1" x14ac:dyDescent="0.35">
      <c r="A513" s="12"/>
      <c r="B513" s="9"/>
      <c r="C513" s="158" t="s">
        <v>953</v>
      </c>
      <c r="D513" s="10" t="s">
        <v>954</v>
      </c>
      <c r="E513" s="12">
        <v>23142</v>
      </c>
      <c r="F513" s="12">
        <v>10</v>
      </c>
      <c r="G513" s="24"/>
      <c r="H513" s="69"/>
      <c r="I513" s="76"/>
      <c r="J513" s="77" t="s">
        <v>9</v>
      </c>
      <c r="K513" s="104"/>
      <c r="L513" s="75"/>
      <c r="M513" s="105"/>
    </row>
    <row r="514" spans="1:13" ht="14.25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24"/>
      <c r="H514" s="69"/>
      <c r="I514" s="76"/>
      <c r="J514" s="77" t="s">
        <v>48</v>
      </c>
      <c r="K514" s="104"/>
      <c r="L514" s="75"/>
      <c r="M514" s="105"/>
    </row>
    <row r="515" spans="1:13" ht="14.25" customHeight="1" x14ac:dyDescent="0.35">
      <c r="A515" s="12"/>
      <c r="B515" s="9"/>
      <c r="C515" s="158" t="s">
        <v>116</v>
      </c>
      <c r="D515" s="10" t="s">
        <v>956</v>
      </c>
      <c r="E515" s="12">
        <v>23144</v>
      </c>
      <c r="F515" s="12"/>
      <c r="G515" s="24"/>
      <c r="H515" s="69"/>
      <c r="I515" s="76"/>
      <c r="J515" s="77" t="s">
        <v>9</v>
      </c>
      <c r="K515" s="104"/>
      <c r="L515" s="75"/>
      <c r="M515" s="105"/>
    </row>
    <row r="516" spans="1:13" ht="14.25" customHeight="1" x14ac:dyDescent="0.35">
      <c r="A516" s="12"/>
      <c r="B516" s="9"/>
      <c r="C516" s="158" t="s">
        <v>957</v>
      </c>
      <c r="D516" s="10" t="s">
        <v>958</v>
      </c>
      <c r="E516" s="12">
        <v>23145</v>
      </c>
      <c r="F516" s="12"/>
      <c r="G516" s="24"/>
      <c r="H516" s="69"/>
      <c r="I516" s="76"/>
      <c r="J516" s="77" t="s">
        <v>48</v>
      </c>
      <c r="K516" s="104"/>
      <c r="L516" s="75"/>
      <c r="M516" s="105"/>
    </row>
    <row r="517" spans="1:13" ht="14.25" customHeight="1" x14ac:dyDescent="0.35">
      <c r="A517" s="12"/>
      <c r="B517" s="9"/>
      <c r="C517" s="158" t="s">
        <v>852</v>
      </c>
      <c r="D517" s="10" t="s">
        <v>959</v>
      </c>
      <c r="E517" s="12">
        <v>23146</v>
      </c>
      <c r="F517" s="12"/>
      <c r="G517" s="24"/>
      <c r="H517" s="69"/>
      <c r="I517" s="76"/>
      <c r="J517" s="77" t="s">
        <v>48</v>
      </c>
      <c r="K517" s="104"/>
      <c r="L517" s="75"/>
      <c r="M517" s="105"/>
    </row>
    <row r="518" spans="1:13" ht="14.25" customHeight="1" x14ac:dyDescent="0.35">
      <c r="A518" s="12"/>
      <c r="B518" s="9"/>
      <c r="C518" s="158" t="s">
        <v>852</v>
      </c>
      <c r="D518" s="10" t="s">
        <v>960</v>
      </c>
      <c r="E518" s="12">
        <v>23147</v>
      </c>
      <c r="F518" s="12"/>
      <c r="G518" s="24"/>
      <c r="H518" s="69"/>
      <c r="I518" s="76"/>
      <c r="J518" s="77" t="s">
        <v>48</v>
      </c>
      <c r="K518" s="104"/>
      <c r="L518" s="75"/>
      <c r="M518" s="105"/>
    </row>
    <row r="519" spans="1:13" ht="14.25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24"/>
      <c r="H519" s="69"/>
      <c r="I519" s="76"/>
      <c r="J519" s="77" t="s">
        <v>9</v>
      </c>
      <c r="K519" s="104"/>
      <c r="L519" s="75"/>
      <c r="M519" s="105"/>
    </row>
    <row r="520" spans="1:13" ht="14.25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24"/>
      <c r="H520" s="69"/>
      <c r="I520" s="76"/>
      <c r="J520" s="77" t="s">
        <v>20</v>
      </c>
      <c r="K520" s="104"/>
      <c r="L520" s="75"/>
      <c r="M520" s="105"/>
    </row>
    <row r="521" spans="1:13" ht="14.25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24"/>
      <c r="H521" s="69"/>
      <c r="I521" s="76"/>
      <c r="J521" s="77" t="s">
        <v>48</v>
      </c>
      <c r="K521" s="104"/>
      <c r="L521" s="75"/>
      <c r="M521" s="105"/>
    </row>
    <row r="522" spans="1:13" ht="14.25" customHeight="1" x14ac:dyDescent="0.35">
      <c r="A522" s="12"/>
      <c r="B522" s="9"/>
      <c r="C522" s="158" t="s">
        <v>184</v>
      </c>
      <c r="D522" s="10" t="s">
        <v>965</v>
      </c>
      <c r="E522" s="12">
        <v>23151</v>
      </c>
      <c r="F522" s="12"/>
      <c r="G522" s="24"/>
      <c r="H522" s="69"/>
      <c r="I522" s="76"/>
      <c r="J522" s="77" t="s">
        <v>48</v>
      </c>
      <c r="K522" s="104"/>
      <c r="L522" s="75"/>
      <c r="M522" s="105"/>
    </row>
    <row r="523" spans="1:13" ht="14.25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24"/>
      <c r="H523" s="69"/>
      <c r="I523" s="76"/>
      <c r="J523" s="77" t="s">
        <v>20</v>
      </c>
      <c r="K523" s="104"/>
      <c r="L523" s="75"/>
      <c r="M523" s="105"/>
    </row>
    <row r="524" spans="1:13" ht="14.25" customHeight="1" x14ac:dyDescent="0.35">
      <c r="A524" s="12"/>
      <c r="B524" s="9"/>
      <c r="C524" s="158" t="s">
        <v>968</v>
      </c>
      <c r="D524" s="10" t="s">
        <v>968</v>
      </c>
      <c r="E524" s="12">
        <v>23153</v>
      </c>
      <c r="F524" s="12"/>
      <c r="G524" s="24"/>
      <c r="H524" s="69"/>
      <c r="I524" s="76"/>
      <c r="J524" s="77"/>
      <c r="K524" s="104"/>
      <c r="L524" s="75"/>
      <c r="M524" s="105"/>
    </row>
    <row r="525" spans="1:13" ht="14.25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24"/>
      <c r="H525" s="69"/>
      <c r="I525" s="76"/>
      <c r="J525" s="77" t="s">
        <v>9</v>
      </c>
      <c r="K525" s="104"/>
      <c r="L525" s="75"/>
      <c r="M525" s="105"/>
    </row>
    <row r="526" spans="1:13" ht="14.25" customHeight="1" x14ac:dyDescent="0.35">
      <c r="A526" s="12"/>
      <c r="B526" s="9"/>
      <c r="C526" s="158" t="s">
        <v>971</v>
      </c>
      <c r="D526" s="10" t="s">
        <v>972</v>
      </c>
      <c r="E526" s="12">
        <v>23155</v>
      </c>
      <c r="F526" s="12"/>
      <c r="G526" s="24"/>
      <c r="H526" s="69"/>
      <c r="I526" s="76"/>
      <c r="J526" s="77" t="s">
        <v>48</v>
      </c>
      <c r="K526" s="104"/>
      <c r="L526" s="75"/>
      <c r="M526" s="105"/>
    </row>
    <row r="527" spans="1:13" ht="14.25" customHeight="1" x14ac:dyDescent="0.35">
      <c r="A527" s="12"/>
      <c r="B527" s="9"/>
      <c r="C527" s="158" t="s">
        <v>973</v>
      </c>
      <c r="D527" s="10" t="s">
        <v>974</v>
      </c>
      <c r="E527" s="12">
        <v>23156</v>
      </c>
      <c r="F527" s="12"/>
      <c r="G527" s="24"/>
      <c r="H527" s="69"/>
      <c r="I527" s="76"/>
      <c r="J527" s="77" t="s">
        <v>48</v>
      </c>
      <c r="K527" s="104"/>
      <c r="L527" s="75"/>
      <c r="M527" s="105"/>
    </row>
    <row r="528" spans="1:13" ht="14.25" customHeight="1" x14ac:dyDescent="0.35">
      <c r="A528" s="12"/>
      <c r="B528" s="9"/>
      <c r="C528" s="158" t="s">
        <v>27</v>
      </c>
      <c r="D528" s="10" t="s">
        <v>975</v>
      </c>
      <c r="E528" s="12">
        <v>23157</v>
      </c>
      <c r="F528" s="12">
        <v>10</v>
      </c>
      <c r="G528" s="24"/>
      <c r="H528" s="69"/>
      <c r="I528" s="76"/>
      <c r="J528" s="77" t="s">
        <v>9</v>
      </c>
      <c r="K528" s="104"/>
      <c r="L528" s="75"/>
      <c r="M528" s="105"/>
    </row>
    <row r="529" spans="1:13" ht="14.25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24"/>
      <c r="H529" s="69"/>
      <c r="I529" s="76"/>
      <c r="J529" s="77" t="s">
        <v>48</v>
      </c>
      <c r="K529" s="104"/>
      <c r="L529" s="75"/>
      <c r="M529" s="105"/>
    </row>
    <row r="530" spans="1:13" ht="14.25" customHeight="1" x14ac:dyDescent="0.35">
      <c r="A530" s="12"/>
      <c r="B530" s="9"/>
      <c r="C530" s="158" t="s">
        <v>976</v>
      </c>
      <c r="D530" s="10" t="s">
        <v>978</v>
      </c>
      <c r="E530" s="12">
        <v>23159</v>
      </c>
      <c r="F530" s="12"/>
      <c r="G530" s="24"/>
      <c r="H530" s="69"/>
      <c r="I530" s="76"/>
      <c r="J530" s="77" t="s">
        <v>48</v>
      </c>
      <c r="K530" s="104"/>
      <c r="L530" s="75"/>
      <c r="M530" s="105"/>
    </row>
    <row r="531" spans="1:13" ht="14.25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24"/>
      <c r="H531" s="69"/>
      <c r="I531" s="76"/>
      <c r="J531" s="77" t="s">
        <v>48</v>
      </c>
      <c r="K531" s="104"/>
      <c r="L531" s="75"/>
      <c r="M531" s="105"/>
    </row>
    <row r="532" spans="1:13" ht="14.25" customHeight="1" x14ac:dyDescent="0.35">
      <c r="A532" s="12"/>
      <c r="B532" s="9"/>
      <c r="C532" s="158" t="s">
        <v>323</v>
      </c>
      <c r="D532" s="10" t="s">
        <v>324</v>
      </c>
      <c r="E532" s="12">
        <v>23161</v>
      </c>
      <c r="F532" s="12"/>
      <c r="G532" s="24"/>
      <c r="H532" s="69"/>
      <c r="I532" s="76"/>
      <c r="J532" s="77" t="s">
        <v>20</v>
      </c>
      <c r="K532" s="104"/>
      <c r="L532" s="75"/>
      <c r="M532" s="105"/>
    </row>
    <row r="533" spans="1:13" ht="14.25" customHeight="1" x14ac:dyDescent="0.35">
      <c r="A533" s="12"/>
      <c r="B533" s="9"/>
      <c r="C533" s="158" t="s">
        <v>979</v>
      </c>
      <c r="D533" s="10" t="s">
        <v>980</v>
      </c>
      <c r="E533" s="12">
        <v>23162</v>
      </c>
      <c r="F533" s="12"/>
      <c r="G533" s="24"/>
      <c r="H533" s="69"/>
      <c r="I533" s="76"/>
      <c r="J533" s="77" t="s">
        <v>20</v>
      </c>
      <c r="K533" s="104"/>
      <c r="L533" s="75"/>
      <c r="M533" s="105"/>
    </row>
    <row r="534" spans="1:13" ht="14.25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24"/>
      <c r="H534" s="69"/>
      <c r="I534" s="76"/>
      <c r="J534" s="77" t="s">
        <v>20</v>
      </c>
      <c r="K534" s="104"/>
      <c r="L534" s="75"/>
      <c r="M534" s="105"/>
    </row>
    <row r="535" spans="1:13" ht="14.25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24"/>
      <c r="H535" s="69"/>
      <c r="I535" s="76"/>
      <c r="J535" s="77" t="s">
        <v>9</v>
      </c>
      <c r="K535" s="104"/>
      <c r="L535" s="75"/>
      <c r="M535" s="105"/>
    </row>
    <row r="536" spans="1:13" ht="14.25" customHeight="1" x14ac:dyDescent="0.35">
      <c r="A536" s="12"/>
      <c r="B536" s="9"/>
      <c r="C536" s="158" t="s">
        <v>983</v>
      </c>
      <c r="D536" s="10" t="s">
        <v>984</v>
      </c>
      <c r="E536" s="12">
        <v>23165</v>
      </c>
      <c r="F536" s="12"/>
      <c r="G536" s="24"/>
      <c r="H536" s="69"/>
      <c r="I536" s="76"/>
      <c r="J536" s="77" t="s">
        <v>48</v>
      </c>
      <c r="K536" s="104"/>
      <c r="L536" s="75"/>
      <c r="M536" s="105"/>
    </row>
    <row r="537" spans="1:13" ht="14.25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24"/>
      <c r="H537" s="69"/>
      <c r="I537" s="76"/>
      <c r="J537" s="77" t="s">
        <v>48</v>
      </c>
      <c r="K537" s="104"/>
      <c r="L537" s="75"/>
      <c r="M537" s="105"/>
    </row>
    <row r="538" spans="1:13" ht="14.25" customHeight="1" x14ac:dyDescent="0.35">
      <c r="A538" s="12"/>
      <c r="B538" s="9"/>
      <c r="C538" s="158" t="s">
        <v>125</v>
      </c>
      <c r="D538" s="10" t="s">
        <v>987</v>
      </c>
      <c r="E538" s="12">
        <v>23167</v>
      </c>
      <c r="F538" s="12"/>
      <c r="G538" s="24"/>
      <c r="H538" s="69"/>
      <c r="I538" s="76"/>
      <c r="J538" s="77" t="s">
        <v>48</v>
      </c>
      <c r="K538" s="104"/>
      <c r="L538" s="75"/>
      <c r="M538" s="105"/>
    </row>
    <row r="539" spans="1:13" ht="14.25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24"/>
      <c r="H539" s="69"/>
      <c r="I539" s="76"/>
      <c r="J539" s="77" t="s">
        <v>20</v>
      </c>
      <c r="K539" s="104"/>
      <c r="L539" s="75"/>
      <c r="M539" s="105"/>
    </row>
    <row r="540" spans="1:13" ht="14.25" customHeight="1" x14ac:dyDescent="0.35">
      <c r="A540" s="12"/>
      <c r="B540" s="9"/>
      <c r="C540" s="158" t="s">
        <v>74</v>
      </c>
      <c r="D540" s="10" t="s">
        <v>990</v>
      </c>
      <c r="E540" s="12">
        <v>23169</v>
      </c>
      <c r="F540" s="12"/>
      <c r="G540" s="24"/>
      <c r="H540" s="69"/>
      <c r="I540" s="76"/>
      <c r="J540" s="77" t="s">
        <v>48</v>
      </c>
      <c r="K540" s="104"/>
      <c r="L540" s="75"/>
      <c r="M540" s="105"/>
    </row>
    <row r="541" spans="1:13" ht="14.25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24"/>
      <c r="H541" s="69"/>
      <c r="I541" s="76"/>
      <c r="J541" s="77" t="s">
        <v>48</v>
      </c>
      <c r="K541" s="104"/>
      <c r="L541" s="75"/>
      <c r="M541" s="105"/>
    </row>
    <row r="542" spans="1:13" ht="14.25" customHeight="1" x14ac:dyDescent="0.35">
      <c r="A542" s="12"/>
      <c r="B542" s="9"/>
      <c r="C542" s="158" t="s">
        <v>993</v>
      </c>
      <c r="D542" s="10" t="s">
        <v>994</v>
      </c>
      <c r="E542" s="12">
        <v>23171</v>
      </c>
      <c r="F542" s="12"/>
      <c r="G542" s="24"/>
      <c r="H542" s="69"/>
      <c r="I542" s="76"/>
      <c r="J542" s="77" t="s">
        <v>20</v>
      </c>
      <c r="K542" s="104"/>
      <c r="L542" s="75"/>
      <c r="M542" s="105"/>
    </row>
    <row r="543" spans="1:13" ht="14.25" customHeight="1" x14ac:dyDescent="0.35">
      <c r="A543" s="12"/>
      <c r="B543" s="9"/>
      <c r="C543" s="158" t="s">
        <v>995</v>
      </c>
      <c r="D543" s="10" t="s">
        <v>996</v>
      </c>
      <c r="E543" s="12">
        <v>23172</v>
      </c>
      <c r="F543" s="12"/>
      <c r="G543" s="24"/>
      <c r="H543" s="69"/>
      <c r="I543" s="76"/>
      <c r="J543" s="77" t="s">
        <v>48</v>
      </c>
      <c r="K543" s="104"/>
      <c r="L543" s="75"/>
      <c r="M543" s="105"/>
    </row>
    <row r="544" spans="1:13" ht="14.25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24"/>
      <c r="H544" s="69"/>
      <c r="I544" s="76"/>
      <c r="J544" s="77" t="s">
        <v>48</v>
      </c>
      <c r="K544" s="104"/>
      <c r="L544" s="75"/>
      <c r="M544" s="105"/>
    </row>
    <row r="545" spans="1:13" ht="14.25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24"/>
      <c r="H545" s="69"/>
      <c r="I545" s="76"/>
      <c r="J545" s="77" t="s">
        <v>48</v>
      </c>
      <c r="K545" s="104"/>
      <c r="L545" s="75"/>
      <c r="M545" s="105"/>
    </row>
    <row r="546" spans="1:13" ht="14.25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24"/>
      <c r="H546" s="69"/>
      <c r="I546" s="76"/>
      <c r="J546" s="77" t="s">
        <v>48</v>
      </c>
      <c r="K546" s="104"/>
      <c r="L546" s="75"/>
      <c r="M546" s="105"/>
    </row>
    <row r="547" spans="1:13" ht="14.25" customHeight="1" x14ac:dyDescent="0.35">
      <c r="A547" s="12"/>
      <c r="B547" s="9"/>
      <c r="C547" s="158" t="s">
        <v>1003</v>
      </c>
      <c r="D547" s="10" t="s">
        <v>1004</v>
      </c>
      <c r="E547" s="12">
        <v>23176</v>
      </c>
      <c r="F547" s="12"/>
      <c r="G547" s="24"/>
      <c r="H547" s="69"/>
      <c r="I547" s="76"/>
      <c r="J547" s="77" t="s">
        <v>48</v>
      </c>
      <c r="K547" s="104"/>
      <c r="L547" s="75"/>
      <c r="M547" s="105"/>
    </row>
    <row r="548" spans="1:13" ht="14.25" customHeight="1" x14ac:dyDescent="0.35">
      <c r="A548" s="12"/>
      <c r="B548" s="9"/>
      <c r="C548" s="158" t="s">
        <v>7</v>
      </c>
      <c r="D548" s="10" t="s">
        <v>8</v>
      </c>
      <c r="E548" s="12">
        <v>23177</v>
      </c>
      <c r="F548" s="12"/>
      <c r="G548" s="24"/>
      <c r="H548" s="69"/>
      <c r="I548" s="76"/>
      <c r="J548" s="77" t="s">
        <v>48</v>
      </c>
      <c r="K548" s="104"/>
      <c r="L548" s="75"/>
      <c r="M548" s="105"/>
    </row>
    <row r="549" spans="1:13" ht="14.25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24"/>
      <c r="H549" s="69"/>
      <c r="I549" s="76"/>
      <c r="J549" s="77" t="s">
        <v>48</v>
      </c>
      <c r="K549" s="104"/>
      <c r="L549" s="75"/>
      <c r="M549" s="105"/>
    </row>
    <row r="550" spans="1:13" ht="14.25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24"/>
      <c r="H550" s="69"/>
      <c r="I550" s="76"/>
      <c r="J550" s="77" t="s">
        <v>48</v>
      </c>
      <c r="K550" s="104"/>
      <c r="L550" s="75"/>
      <c r="M550" s="105"/>
    </row>
    <row r="551" spans="1:13" ht="14.25" customHeight="1" x14ac:dyDescent="0.35">
      <c r="A551" s="12"/>
      <c r="B551" s="9"/>
      <c r="C551" s="158" t="s">
        <v>184</v>
      </c>
      <c r="D551" s="10" t="s">
        <v>1009</v>
      </c>
      <c r="E551" s="12">
        <v>23180</v>
      </c>
      <c r="F551" s="12"/>
      <c r="G551" s="24"/>
      <c r="H551" s="69"/>
      <c r="I551" s="76"/>
      <c r="J551" s="77" t="s">
        <v>48</v>
      </c>
      <c r="K551" s="104"/>
      <c r="L551" s="75"/>
      <c r="M551" s="105"/>
    </row>
    <row r="552" spans="1:13" ht="14.25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24"/>
      <c r="H552" s="69"/>
      <c r="I552" s="76"/>
      <c r="J552" s="77" t="s">
        <v>48</v>
      </c>
      <c r="K552" s="104"/>
      <c r="L552" s="75"/>
      <c r="M552" s="105"/>
    </row>
    <row r="553" spans="1:13" ht="14.25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0"/>
      <c r="H553" s="69"/>
      <c r="I553" s="76"/>
      <c r="J553" s="76"/>
      <c r="K553" s="108" t="s">
        <v>20</v>
      </c>
      <c r="L553" s="75"/>
      <c r="M553" s="105"/>
    </row>
    <row r="554" spans="1:13" ht="14.25" customHeight="1" x14ac:dyDescent="0.35">
      <c r="A554" s="78" t="s">
        <v>6</v>
      </c>
      <c r="B554" s="95" t="s">
        <v>2128</v>
      </c>
      <c r="C554" s="82" t="s">
        <v>7</v>
      </c>
      <c r="D554" s="10" t="s">
        <v>8</v>
      </c>
      <c r="E554" s="12">
        <v>24002</v>
      </c>
      <c r="F554" s="12"/>
      <c r="G554" s="10"/>
      <c r="H554" s="69"/>
      <c r="I554" s="76"/>
      <c r="J554" s="76"/>
      <c r="K554" s="108" t="s">
        <v>9</v>
      </c>
      <c r="L554" s="75"/>
      <c r="M554" s="105"/>
    </row>
    <row r="555" spans="1:13" ht="14.25" customHeight="1" x14ac:dyDescent="0.35">
      <c r="A555" s="78" t="s">
        <v>6</v>
      </c>
      <c r="B555" s="95" t="s">
        <v>2128</v>
      </c>
      <c r="C555" s="82" t="s">
        <v>7</v>
      </c>
      <c r="D555" s="10" t="s">
        <v>8</v>
      </c>
      <c r="E555" s="12">
        <v>24003</v>
      </c>
      <c r="F555" s="15"/>
      <c r="G555" s="10"/>
      <c r="H555" s="69"/>
      <c r="I555" s="76"/>
      <c r="J555" s="76"/>
      <c r="K555" s="108" t="s">
        <v>17</v>
      </c>
      <c r="L555" s="75"/>
      <c r="M555" s="105"/>
    </row>
    <row r="556" spans="1:13" ht="14.25" customHeight="1" x14ac:dyDescent="0.35">
      <c r="A556" s="78" t="s">
        <v>1013</v>
      </c>
      <c r="B556" s="95" t="s">
        <v>2088</v>
      </c>
      <c r="C556" s="82" t="s">
        <v>379</v>
      </c>
      <c r="D556" s="10" t="s">
        <v>737</v>
      </c>
      <c r="E556" s="12">
        <v>24004</v>
      </c>
      <c r="F556" s="12">
        <v>10</v>
      </c>
      <c r="G556" s="10" t="s">
        <v>1015</v>
      </c>
      <c r="H556" s="69"/>
      <c r="I556" s="76"/>
      <c r="J556" s="76"/>
      <c r="K556" s="108" t="s">
        <v>9</v>
      </c>
      <c r="L556" s="75" t="s">
        <v>9</v>
      </c>
      <c r="M556" s="105"/>
    </row>
    <row r="557" spans="1:13" ht="14.25" customHeight="1" x14ac:dyDescent="0.35">
      <c r="A557" s="12"/>
      <c r="B557" s="9"/>
      <c r="C557" s="158" t="s">
        <v>1016</v>
      </c>
      <c r="D557" s="10" t="s">
        <v>1017</v>
      </c>
      <c r="E557" s="12">
        <v>24005</v>
      </c>
      <c r="F557" s="12">
        <v>10</v>
      </c>
      <c r="G557" s="10"/>
      <c r="H557" s="69"/>
      <c r="I557" s="76"/>
      <c r="J557" s="76"/>
      <c r="K557" s="108" t="s">
        <v>17</v>
      </c>
      <c r="L557" s="75"/>
      <c r="M557" s="105"/>
    </row>
    <row r="558" spans="1:13" ht="14.25" customHeight="1" x14ac:dyDescent="0.35">
      <c r="A558" s="12"/>
      <c r="B558" s="95" t="s">
        <v>2129</v>
      </c>
      <c r="C558" s="158" t="s">
        <v>1018</v>
      </c>
      <c r="D558" s="10" t="s">
        <v>1019</v>
      </c>
      <c r="E558" s="12">
        <v>24006</v>
      </c>
      <c r="F558" s="12">
        <v>15</v>
      </c>
      <c r="G558" s="10" t="s">
        <v>1020</v>
      </c>
      <c r="H558" s="69"/>
      <c r="I558" s="76"/>
      <c r="J558" s="76"/>
      <c r="K558" s="108" t="s">
        <v>9</v>
      </c>
      <c r="L558" s="75"/>
      <c r="M558" s="105"/>
    </row>
    <row r="559" spans="1:13" ht="14.25" customHeight="1" x14ac:dyDescent="0.35">
      <c r="A559" s="12"/>
      <c r="B559" s="9"/>
      <c r="C559" s="158" t="s">
        <v>155</v>
      </c>
      <c r="D559" s="10" t="s">
        <v>156</v>
      </c>
      <c r="E559" s="12">
        <v>24007</v>
      </c>
      <c r="F559" s="12">
        <v>10</v>
      </c>
      <c r="G559" s="10"/>
      <c r="H559" s="69"/>
      <c r="I559" s="76"/>
      <c r="J559" s="76"/>
      <c r="K559" s="108" t="s">
        <v>9</v>
      </c>
      <c r="L559" s="75"/>
      <c r="M559" s="105"/>
    </row>
    <row r="560" spans="1:13" ht="14.25" customHeight="1" x14ac:dyDescent="0.35">
      <c r="A560" s="78" t="s">
        <v>1021</v>
      </c>
      <c r="B560" s="95" t="s">
        <v>2130</v>
      </c>
      <c r="C560" s="82" t="s">
        <v>1023</v>
      </c>
      <c r="D560" s="10" t="s">
        <v>1821</v>
      </c>
      <c r="E560" s="12">
        <v>24008</v>
      </c>
      <c r="F560" s="12">
        <v>10</v>
      </c>
      <c r="G560" s="10" t="s">
        <v>1025</v>
      </c>
      <c r="H560" s="69"/>
      <c r="I560" s="76"/>
      <c r="J560" s="76"/>
      <c r="K560" s="108" t="s">
        <v>9</v>
      </c>
      <c r="L560" s="75"/>
      <c r="M560" s="105"/>
    </row>
    <row r="561" spans="1:13" ht="14.25" customHeight="1" x14ac:dyDescent="0.35">
      <c r="A561" s="12"/>
      <c r="B561" s="9"/>
      <c r="C561" s="158" t="s">
        <v>835</v>
      </c>
      <c r="D561" s="10" t="s">
        <v>1026</v>
      </c>
      <c r="E561" s="12">
        <v>24009</v>
      </c>
      <c r="F561" s="12">
        <v>10</v>
      </c>
      <c r="G561" s="10"/>
      <c r="H561" s="69"/>
      <c r="I561" s="76"/>
      <c r="J561" s="76"/>
      <c r="K561" s="108" t="s">
        <v>17</v>
      </c>
      <c r="L561" s="75"/>
      <c r="M561" s="105"/>
    </row>
    <row r="562" spans="1:13" ht="14.25" customHeight="1" x14ac:dyDescent="0.35">
      <c r="A562" s="12"/>
      <c r="B562" s="9"/>
      <c r="C562" s="158" t="s">
        <v>1027</v>
      </c>
      <c r="D562" s="10" t="s">
        <v>1028</v>
      </c>
      <c r="E562" s="12">
        <v>24010</v>
      </c>
      <c r="F562" s="12">
        <v>10</v>
      </c>
      <c r="G562" s="10"/>
      <c r="H562" s="69"/>
      <c r="I562" s="76"/>
      <c r="J562" s="76"/>
      <c r="K562" s="108" t="s">
        <v>9</v>
      </c>
      <c r="L562" s="75"/>
      <c r="M562" s="105"/>
    </row>
    <row r="563" spans="1:13" ht="14.25" customHeight="1" x14ac:dyDescent="0.35">
      <c r="A563" s="78" t="s">
        <v>1029</v>
      </c>
      <c r="B563" s="95" t="s">
        <v>2131</v>
      </c>
      <c r="C563" s="82" t="s">
        <v>957</v>
      </c>
      <c r="D563" s="10" t="s">
        <v>958</v>
      </c>
      <c r="E563" s="12">
        <v>24011</v>
      </c>
      <c r="F563" s="12">
        <v>10</v>
      </c>
      <c r="G563" s="10" t="s">
        <v>1030</v>
      </c>
      <c r="H563" s="69"/>
      <c r="I563" s="76"/>
      <c r="J563" s="76"/>
      <c r="K563" s="108" t="s">
        <v>17</v>
      </c>
      <c r="L563" s="75"/>
      <c r="M563" s="105"/>
    </row>
    <row r="564" spans="1:13" ht="14.25" customHeight="1" x14ac:dyDescent="0.35">
      <c r="A564" s="12"/>
      <c r="B564" s="9"/>
      <c r="C564" s="158" t="s">
        <v>15</v>
      </c>
      <c r="D564" s="10" t="s">
        <v>16</v>
      </c>
      <c r="E564" s="12">
        <v>24012</v>
      </c>
      <c r="F564" s="12">
        <v>10</v>
      </c>
      <c r="G564" s="10"/>
      <c r="H564" s="69"/>
      <c r="I564" s="76"/>
      <c r="J564" s="76"/>
      <c r="K564" s="108" t="s">
        <v>17</v>
      </c>
      <c r="L564" s="75"/>
      <c r="M564" s="105"/>
    </row>
    <row r="565" spans="1:13" ht="14.25" customHeight="1" x14ac:dyDescent="0.35">
      <c r="A565" s="12"/>
      <c r="B565" s="9"/>
      <c r="C565" s="158" t="s">
        <v>184</v>
      </c>
      <c r="D565" s="10" t="s">
        <v>1031</v>
      </c>
      <c r="E565" s="12">
        <v>24013</v>
      </c>
      <c r="F565" s="12">
        <v>15</v>
      </c>
      <c r="G565" s="10"/>
      <c r="H565" s="69"/>
      <c r="I565" s="76"/>
      <c r="J565" s="76"/>
      <c r="K565" s="108" t="s">
        <v>17</v>
      </c>
      <c r="L565" s="75"/>
      <c r="M565" s="105"/>
    </row>
    <row r="566" spans="1:13" ht="14.25" customHeight="1" x14ac:dyDescent="0.35">
      <c r="A566" s="78" t="s">
        <v>1032</v>
      </c>
      <c r="B566" s="9" t="s">
        <v>1033</v>
      </c>
      <c r="C566" s="82" t="s">
        <v>1034</v>
      </c>
      <c r="D566" s="10" t="s">
        <v>1035</v>
      </c>
      <c r="E566" s="12">
        <v>24014</v>
      </c>
      <c r="F566" s="12">
        <v>10</v>
      </c>
      <c r="G566" s="10" t="s">
        <v>1036</v>
      </c>
      <c r="H566" s="69"/>
      <c r="I566" s="76"/>
      <c r="J566" s="76"/>
      <c r="K566" s="108" t="s">
        <v>17</v>
      </c>
      <c r="L566" s="75"/>
      <c r="M566" s="105"/>
    </row>
    <row r="567" spans="1:13" ht="14.25" customHeight="1" x14ac:dyDescent="0.35">
      <c r="A567" s="78" t="s">
        <v>2418</v>
      </c>
      <c r="B567" s="95" t="s">
        <v>1965</v>
      </c>
      <c r="C567" s="82" t="s">
        <v>50</v>
      </c>
      <c r="D567" s="10" t="s">
        <v>51</v>
      </c>
      <c r="E567" s="12">
        <v>24015</v>
      </c>
      <c r="F567" s="12">
        <v>10</v>
      </c>
      <c r="G567" s="10" t="s">
        <v>52</v>
      </c>
      <c r="H567" s="69"/>
      <c r="I567" s="76"/>
      <c r="J567" s="76"/>
      <c r="K567" s="108" t="s">
        <v>17</v>
      </c>
      <c r="L567" s="75"/>
      <c r="M567" s="105"/>
    </row>
    <row r="568" spans="1:13" ht="14.25" customHeight="1" x14ac:dyDescent="0.35">
      <c r="A568" s="78" t="s">
        <v>1038</v>
      </c>
      <c r="B568" s="9"/>
      <c r="C568" s="82" t="s">
        <v>726</v>
      </c>
      <c r="D568" s="10" t="s">
        <v>418</v>
      </c>
      <c r="E568" s="12">
        <v>24016</v>
      </c>
      <c r="F568" s="12"/>
      <c r="G568" s="10" t="s">
        <v>417</v>
      </c>
      <c r="H568" s="69"/>
      <c r="I568" s="76"/>
      <c r="J568" s="76"/>
      <c r="K568" s="108" t="s">
        <v>53</v>
      </c>
      <c r="L568" s="75" t="s">
        <v>53</v>
      </c>
      <c r="M568" s="105"/>
    </row>
    <row r="569" spans="1:13" ht="14.25" customHeight="1" x14ac:dyDescent="0.35">
      <c r="A569" s="12"/>
      <c r="B569" s="95" t="s">
        <v>2084</v>
      </c>
      <c r="C569" s="158" t="s">
        <v>715</v>
      </c>
      <c r="D569" s="10" t="s">
        <v>32</v>
      </c>
      <c r="E569" s="12">
        <v>24017</v>
      </c>
      <c r="F569" s="12"/>
      <c r="G569" s="10" t="s">
        <v>1039</v>
      </c>
      <c r="H569" s="69"/>
      <c r="I569" s="76"/>
      <c r="J569" s="76"/>
      <c r="K569" s="108" t="s">
        <v>17</v>
      </c>
      <c r="L569" s="75"/>
      <c r="M569" s="105"/>
    </row>
    <row r="570" spans="1:13" ht="14.25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0"/>
      <c r="H570" s="69"/>
      <c r="I570" s="76"/>
      <c r="J570" s="76"/>
      <c r="K570" s="108" t="s">
        <v>20</v>
      </c>
      <c r="L570" s="75"/>
      <c r="M570" s="105"/>
    </row>
    <row r="571" spans="1:13" ht="14.25" customHeight="1" x14ac:dyDescent="0.35">
      <c r="A571" s="78" t="s">
        <v>1040</v>
      </c>
      <c r="B571" s="95" t="s">
        <v>2132</v>
      </c>
      <c r="C571" s="82" t="s">
        <v>1041</v>
      </c>
      <c r="D571" s="10" t="s">
        <v>1042</v>
      </c>
      <c r="E571" s="12">
        <v>24019</v>
      </c>
      <c r="F571" s="12"/>
      <c r="G571" s="10"/>
      <c r="H571" s="69"/>
      <c r="I571" s="76"/>
      <c r="J571" s="76"/>
      <c r="K571" s="108" t="s">
        <v>17</v>
      </c>
      <c r="L571" s="75"/>
      <c r="M571" s="105"/>
    </row>
    <row r="572" spans="1:13" ht="14.25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0"/>
      <c r="H572" s="69"/>
      <c r="I572" s="76"/>
      <c r="J572" s="76"/>
      <c r="K572" s="108" t="s">
        <v>20</v>
      </c>
      <c r="L572" s="75"/>
      <c r="M572" s="105"/>
    </row>
    <row r="573" spans="1:13" ht="14.25" customHeight="1" x14ac:dyDescent="0.35">
      <c r="A573" s="12"/>
      <c r="B573" s="9"/>
      <c r="C573" s="158" t="s">
        <v>54</v>
      </c>
      <c r="D573" s="10" t="s">
        <v>913</v>
      </c>
      <c r="E573" s="12">
        <v>24021</v>
      </c>
      <c r="F573" s="12"/>
      <c r="G573" s="10" t="s">
        <v>1043</v>
      </c>
      <c r="H573" s="69"/>
      <c r="I573" s="76"/>
      <c r="J573" s="76"/>
      <c r="K573" s="108" t="s">
        <v>20</v>
      </c>
      <c r="L573" s="75"/>
      <c r="M573" s="105"/>
    </row>
    <row r="574" spans="1:13" ht="14.25" customHeight="1" x14ac:dyDescent="0.35">
      <c r="A574" s="12"/>
      <c r="B574" s="9"/>
      <c r="C574" s="158" t="s">
        <v>1044</v>
      </c>
      <c r="D574" s="10" t="s">
        <v>1045</v>
      </c>
      <c r="E574" s="12">
        <v>24022</v>
      </c>
      <c r="F574" s="12"/>
      <c r="G574" s="10"/>
      <c r="H574" s="69"/>
      <c r="I574" s="76"/>
      <c r="J574" s="76"/>
      <c r="K574" s="108" t="s">
        <v>48</v>
      </c>
      <c r="L574" s="75"/>
      <c r="M574" s="105"/>
    </row>
    <row r="575" spans="1:13" ht="14.25" customHeight="1" x14ac:dyDescent="0.35">
      <c r="A575" s="12"/>
      <c r="B575" s="9" t="s">
        <v>1046</v>
      </c>
      <c r="C575" s="158" t="s">
        <v>1047</v>
      </c>
      <c r="D575" s="10" t="s">
        <v>1048</v>
      </c>
      <c r="E575" s="12">
        <v>24023</v>
      </c>
      <c r="F575" s="12"/>
      <c r="G575" s="10"/>
      <c r="H575" s="69"/>
      <c r="I575" s="76"/>
      <c r="J575" s="76"/>
      <c r="K575" s="108" t="s">
        <v>48</v>
      </c>
      <c r="L575" s="75"/>
      <c r="M575" s="105"/>
    </row>
    <row r="576" spans="1:13" ht="14.25" customHeight="1" x14ac:dyDescent="0.35">
      <c r="A576" s="12"/>
      <c r="B576" s="9" t="s">
        <v>1049</v>
      </c>
      <c r="C576" s="158" t="s">
        <v>1050</v>
      </c>
      <c r="D576" s="10" t="s">
        <v>1051</v>
      </c>
      <c r="E576" s="12">
        <v>24024</v>
      </c>
      <c r="F576" s="12"/>
      <c r="G576" s="10"/>
      <c r="H576" s="69"/>
      <c r="I576" s="76"/>
      <c r="J576" s="76"/>
      <c r="K576" s="108" t="s">
        <v>48</v>
      </c>
      <c r="L576" s="75"/>
      <c r="M576" s="105"/>
    </row>
    <row r="577" spans="1:13" ht="14.25" customHeight="1" x14ac:dyDescent="0.35">
      <c r="A577" s="12"/>
      <c r="B577" s="9"/>
      <c r="C577" s="158" t="s">
        <v>158</v>
      </c>
      <c r="D577" s="10" t="s">
        <v>159</v>
      </c>
      <c r="E577" s="12">
        <v>24025</v>
      </c>
      <c r="F577" s="12"/>
      <c r="G577" s="10"/>
      <c r="H577" s="69"/>
      <c r="I577" s="76"/>
      <c r="J577" s="76"/>
      <c r="K577" s="108" t="s">
        <v>48</v>
      </c>
      <c r="L577" s="75"/>
      <c r="M577" s="105"/>
    </row>
    <row r="578" spans="1:13" ht="14.25" customHeight="1" x14ac:dyDescent="0.35">
      <c r="A578" s="12"/>
      <c r="B578" s="9"/>
      <c r="C578" s="158" t="s">
        <v>1052</v>
      </c>
      <c r="D578" s="10" t="s">
        <v>1053</v>
      </c>
      <c r="E578" s="12">
        <v>24026</v>
      </c>
      <c r="F578" s="12"/>
      <c r="G578" s="10"/>
      <c r="H578" s="69"/>
      <c r="I578" s="76"/>
      <c r="J578" s="76"/>
      <c r="K578" s="108" t="s">
        <v>48</v>
      </c>
      <c r="L578" s="75"/>
      <c r="M578" s="105"/>
    </row>
    <row r="579" spans="1:13" ht="14.25" customHeight="1" x14ac:dyDescent="0.35">
      <c r="A579" s="12"/>
      <c r="B579" s="9"/>
      <c r="C579" s="158" t="s">
        <v>826</v>
      </c>
      <c r="D579" s="10" t="s">
        <v>693</v>
      </c>
      <c r="E579" s="12">
        <v>24027</v>
      </c>
      <c r="F579" s="12"/>
      <c r="G579" s="10"/>
      <c r="H579" s="69"/>
      <c r="I579" s="76"/>
      <c r="J579" s="76"/>
      <c r="K579" s="108" t="s">
        <v>17</v>
      </c>
      <c r="L579" s="75"/>
      <c r="M579" s="105"/>
    </row>
    <row r="580" spans="1:13" ht="14.25" customHeight="1" x14ac:dyDescent="0.35">
      <c r="A580" s="12"/>
      <c r="B580" s="9"/>
      <c r="C580" s="158" t="s">
        <v>845</v>
      </c>
      <c r="D580" s="10" t="s">
        <v>1054</v>
      </c>
      <c r="E580" s="12">
        <v>24028</v>
      </c>
      <c r="F580" s="12">
        <v>10</v>
      </c>
      <c r="G580" s="10" t="s">
        <v>1055</v>
      </c>
      <c r="H580" s="69"/>
      <c r="I580" s="76"/>
      <c r="J580" s="76"/>
      <c r="K580" s="108" t="s">
        <v>17</v>
      </c>
      <c r="L580" s="75"/>
      <c r="M580" s="105"/>
    </row>
    <row r="581" spans="1:13" ht="14.25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0"/>
      <c r="H581" s="69"/>
      <c r="I581" s="76"/>
      <c r="J581" s="76"/>
      <c r="K581" s="108" t="s">
        <v>17</v>
      </c>
      <c r="L581" s="75"/>
      <c r="M581" s="105"/>
    </row>
    <row r="582" spans="1:13" ht="14.25" customHeight="1" x14ac:dyDescent="0.35">
      <c r="A582" s="12"/>
      <c r="B582" s="95" t="s">
        <v>2133</v>
      </c>
      <c r="C582" s="158" t="s">
        <v>125</v>
      </c>
      <c r="D582" s="10" t="s">
        <v>1058</v>
      </c>
      <c r="E582" s="12">
        <v>24030</v>
      </c>
      <c r="F582" s="12"/>
      <c r="G582" s="10"/>
      <c r="H582" s="69"/>
      <c r="I582" s="76"/>
      <c r="J582" s="76"/>
      <c r="K582" s="108" t="s">
        <v>48</v>
      </c>
      <c r="L582" s="75"/>
      <c r="M582" s="105"/>
    </row>
    <row r="583" spans="1:13" ht="14.25" customHeight="1" x14ac:dyDescent="0.35">
      <c r="A583" s="12"/>
      <c r="B583" s="9"/>
      <c r="C583" s="158" t="s">
        <v>1059</v>
      </c>
      <c r="D583" s="10" t="s">
        <v>1060</v>
      </c>
      <c r="E583" s="12">
        <v>24031</v>
      </c>
      <c r="F583" s="12"/>
      <c r="G583" s="10"/>
      <c r="H583" s="69"/>
      <c r="I583" s="76"/>
      <c r="J583" s="76"/>
      <c r="K583" s="108" t="s">
        <v>48</v>
      </c>
      <c r="L583" s="75"/>
      <c r="M583" s="105"/>
    </row>
    <row r="584" spans="1:13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0"/>
      <c r="H584" s="69"/>
      <c r="I584" s="76"/>
      <c r="J584" s="76"/>
      <c r="K584" s="108" t="s">
        <v>48</v>
      </c>
      <c r="L584" s="75"/>
      <c r="M584" s="105"/>
    </row>
    <row r="585" spans="1:13" ht="14.25" customHeight="1" x14ac:dyDescent="0.35">
      <c r="A585" s="12"/>
      <c r="B585" s="9"/>
      <c r="C585" s="158" t="s">
        <v>1063</v>
      </c>
      <c r="D585" s="10" t="s">
        <v>1064</v>
      </c>
      <c r="E585" s="12">
        <v>24033</v>
      </c>
      <c r="F585" s="12"/>
      <c r="G585" s="10"/>
      <c r="H585" s="69"/>
      <c r="I585" s="76"/>
      <c r="J585" s="76"/>
      <c r="K585" s="108" t="s">
        <v>20</v>
      </c>
      <c r="L585" s="75"/>
      <c r="M585" s="105"/>
    </row>
    <row r="586" spans="1:13" ht="14.25" customHeight="1" x14ac:dyDescent="0.35">
      <c r="A586" s="78" t="s">
        <v>1065</v>
      </c>
      <c r="B586" s="95" t="s">
        <v>2090</v>
      </c>
      <c r="C586" s="82" t="s">
        <v>752</v>
      </c>
      <c r="D586" s="10" t="s">
        <v>753</v>
      </c>
      <c r="E586" s="12">
        <v>24034</v>
      </c>
      <c r="F586" s="12">
        <v>10</v>
      </c>
      <c r="G586" s="10" t="s">
        <v>1067</v>
      </c>
      <c r="H586" s="69"/>
      <c r="I586" s="76"/>
      <c r="J586" s="76"/>
      <c r="K586" s="108" t="s">
        <v>9</v>
      </c>
      <c r="L586" s="75"/>
      <c r="M586" s="105"/>
    </row>
    <row r="587" spans="1:13" ht="14.25" customHeight="1" x14ac:dyDescent="0.35">
      <c r="A587" s="78" t="s">
        <v>1068</v>
      </c>
      <c r="B587" s="95" t="s">
        <v>1985</v>
      </c>
      <c r="C587" s="82" t="s">
        <v>125</v>
      </c>
      <c r="D587" s="10" t="s">
        <v>126</v>
      </c>
      <c r="E587" s="12">
        <v>24035</v>
      </c>
      <c r="F587" s="12"/>
      <c r="G587" s="10" t="s">
        <v>1069</v>
      </c>
      <c r="H587" s="69"/>
      <c r="I587" s="76"/>
      <c r="J587" s="76"/>
      <c r="K587" s="108" t="s">
        <v>9</v>
      </c>
      <c r="L587" s="75"/>
      <c r="M587" s="105"/>
    </row>
    <row r="588" spans="1:13" ht="14.25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0"/>
      <c r="H588" s="69"/>
      <c r="I588" s="76"/>
      <c r="J588" s="76"/>
      <c r="K588" s="108" t="s">
        <v>20</v>
      </c>
      <c r="L588" s="75"/>
      <c r="M588" s="105"/>
    </row>
    <row r="589" spans="1:13" ht="14.25" customHeight="1" x14ac:dyDescent="0.35">
      <c r="A589" s="12"/>
      <c r="B589" s="9"/>
      <c r="C589" s="158" t="s">
        <v>1072</v>
      </c>
      <c r="D589" s="10" t="s">
        <v>1072</v>
      </c>
      <c r="E589" s="12">
        <v>24037</v>
      </c>
      <c r="F589" s="12">
        <v>10</v>
      </c>
      <c r="G589" s="10" t="s">
        <v>1041</v>
      </c>
      <c r="H589" s="69"/>
      <c r="I589" s="76"/>
      <c r="J589" s="76"/>
      <c r="K589" s="108" t="s">
        <v>9</v>
      </c>
      <c r="L589" s="75"/>
      <c r="M589" s="105"/>
    </row>
    <row r="590" spans="1:13" ht="14.25" customHeight="1" x14ac:dyDescent="0.35">
      <c r="A590" s="12"/>
      <c r="B590" s="9"/>
      <c r="C590" s="158" t="s">
        <v>632</v>
      </c>
      <c r="D590" s="10" t="s">
        <v>633</v>
      </c>
      <c r="E590" s="12">
        <v>24038</v>
      </c>
      <c r="F590" s="12">
        <v>10</v>
      </c>
      <c r="G590" s="10" t="s">
        <v>1073</v>
      </c>
      <c r="H590" s="69"/>
      <c r="I590" s="76"/>
      <c r="J590" s="76"/>
      <c r="K590" s="108" t="s">
        <v>9</v>
      </c>
      <c r="L590" s="75"/>
      <c r="M590" s="105"/>
    </row>
    <row r="591" spans="1:13" ht="14.25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0"/>
      <c r="H591" s="69"/>
      <c r="I591" s="76"/>
      <c r="J591" s="76"/>
      <c r="K591" s="108" t="s">
        <v>48</v>
      </c>
      <c r="L591" s="75"/>
      <c r="M591" s="105"/>
    </row>
    <row r="592" spans="1:13" ht="14.25" customHeight="1" x14ac:dyDescent="0.35">
      <c r="A592" s="12"/>
      <c r="B592" s="9" t="s">
        <v>1076</v>
      </c>
      <c r="C592" s="158" t="s">
        <v>1077</v>
      </c>
      <c r="D592" s="10" t="s">
        <v>1078</v>
      </c>
      <c r="E592" s="12">
        <v>24040</v>
      </c>
      <c r="F592" s="12"/>
      <c r="G592" s="10"/>
      <c r="H592" s="69"/>
      <c r="I592" s="76"/>
      <c r="J592" s="76"/>
      <c r="K592" s="108" t="s">
        <v>48</v>
      </c>
      <c r="L592" s="75"/>
      <c r="M592" s="105"/>
    </row>
    <row r="593" spans="1:13" ht="14.25" customHeight="1" x14ac:dyDescent="0.35">
      <c r="A593" s="12"/>
      <c r="B593" s="9"/>
      <c r="C593" s="158" t="s">
        <v>973</v>
      </c>
      <c r="D593" s="10" t="s">
        <v>1079</v>
      </c>
      <c r="E593" s="12">
        <v>24041</v>
      </c>
      <c r="F593" s="12">
        <v>10</v>
      </c>
      <c r="G593" s="10" t="s">
        <v>1080</v>
      </c>
      <c r="H593" s="69"/>
      <c r="I593" s="76"/>
      <c r="J593" s="76"/>
      <c r="K593" s="108" t="s">
        <v>17</v>
      </c>
      <c r="L593" s="75"/>
      <c r="M593" s="105"/>
    </row>
    <row r="594" spans="1:13" ht="14.25" customHeight="1" x14ac:dyDescent="0.35">
      <c r="A594" s="12"/>
      <c r="B594" s="95" t="s">
        <v>2134</v>
      </c>
      <c r="C594" s="158" t="s">
        <v>1082</v>
      </c>
      <c r="D594" s="10" t="s">
        <v>1083</v>
      </c>
      <c r="E594" s="12">
        <v>24042</v>
      </c>
      <c r="F594" s="12"/>
      <c r="G594" s="10"/>
      <c r="H594" s="69"/>
      <c r="I594" s="76"/>
      <c r="J594" s="76"/>
      <c r="K594" s="108" t="s">
        <v>48</v>
      </c>
      <c r="L594" s="75"/>
      <c r="M594" s="105"/>
    </row>
    <row r="595" spans="1:13" ht="14.25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0"/>
      <c r="H595" s="69"/>
      <c r="I595" s="76"/>
      <c r="J595" s="76"/>
      <c r="K595" s="108" t="s">
        <v>20</v>
      </c>
      <c r="L595" s="75"/>
      <c r="M595" s="105"/>
    </row>
    <row r="596" spans="1:13" ht="14.25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0"/>
      <c r="H596" s="69"/>
      <c r="I596" s="76"/>
      <c r="J596" s="76"/>
      <c r="K596" s="108" t="s">
        <v>9</v>
      </c>
      <c r="L596" s="75"/>
      <c r="M596" s="105"/>
    </row>
    <row r="597" spans="1:13" ht="14.25" customHeight="1" x14ac:dyDescent="0.35">
      <c r="A597" s="12"/>
      <c r="B597" s="9">
        <v>1705647547</v>
      </c>
      <c r="C597" s="158" t="s">
        <v>1086</v>
      </c>
      <c r="D597" s="10" t="s">
        <v>1087</v>
      </c>
      <c r="E597" s="12">
        <v>24045</v>
      </c>
      <c r="F597" s="12"/>
      <c r="G597" s="10"/>
      <c r="H597" s="69"/>
      <c r="I597" s="76"/>
      <c r="J597" s="76"/>
      <c r="K597" s="108" t="s">
        <v>48</v>
      </c>
      <c r="L597" s="75"/>
      <c r="M597" s="105"/>
    </row>
    <row r="598" spans="1:13" ht="14.25" customHeight="1" x14ac:dyDescent="0.35">
      <c r="A598" s="12"/>
      <c r="B598" s="95" t="s">
        <v>1967</v>
      </c>
      <c r="C598" s="158" t="s">
        <v>63</v>
      </c>
      <c r="D598" s="10" t="s">
        <v>1089</v>
      </c>
      <c r="E598" s="12">
        <v>24046</v>
      </c>
      <c r="F598" s="12">
        <v>10</v>
      </c>
      <c r="G598" s="10" t="s">
        <v>1090</v>
      </c>
      <c r="H598" s="69"/>
      <c r="I598" s="76"/>
      <c r="J598" s="76"/>
      <c r="K598" s="108" t="s">
        <v>9</v>
      </c>
      <c r="L598" s="75"/>
      <c r="M598" s="105"/>
    </row>
    <row r="599" spans="1:13" ht="14.25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0"/>
      <c r="H599" s="69"/>
      <c r="I599" s="76"/>
      <c r="J599" s="76"/>
      <c r="K599" s="108" t="s">
        <v>20</v>
      </c>
      <c r="L599" s="75"/>
      <c r="M599" s="105"/>
    </row>
    <row r="600" spans="1:13" ht="14.25" customHeight="1" x14ac:dyDescent="0.35">
      <c r="A600" s="78" t="s">
        <v>1093</v>
      </c>
      <c r="B600" s="95" t="s">
        <v>2121</v>
      </c>
      <c r="C600" s="82" t="s">
        <v>189</v>
      </c>
      <c r="D600" s="10" t="s">
        <v>888</v>
      </c>
      <c r="E600" s="12">
        <v>24048</v>
      </c>
      <c r="F600" s="12">
        <v>10</v>
      </c>
      <c r="G600" s="10" t="s">
        <v>1094</v>
      </c>
      <c r="H600" s="69"/>
      <c r="I600" s="76"/>
      <c r="J600" s="76"/>
      <c r="K600" s="108" t="s">
        <v>9</v>
      </c>
      <c r="L600" s="75"/>
      <c r="M600" s="105"/>
    </row>
    <row r="601" spans="1:13" ht="14.25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0"/>
      <c r="H601" s="69"/>
      <c r="I601" s="76"/>
      <c r="J601" s="76"/>
      <c r="K601" s="108" t="s">
        <v>20</v>
      </c>
      <c r="L601" s="75"/>
      <c r="M601" s="105"/>
    </row>
    <row r="602" spans="1:13" ht="14.25" customHeight="1" x14ac:dyDescent="0.35">
      <c r="A602" s="12"/>
      <c r="B602" s="9"/>
      <c r="C602" s="158" t="s">
        <v>1097</v>
      </c>
      <c r="D602" s="10" t="s">
        <v>1098</v>
      </c>
      <c r="E602" s="12">
        <v>24050</v>
      </c>
      <c r="F602" s="12"/>
      <c r="G602" s="10"/>
      <c r="H602" s="69"/>
      <c r="I602" s="76"/>
      <c r="J602" s="76"/>
      <c r="K602" s="108" t="s">
        <v>20</v>
      </c>
      <c r="L602" s="75"/>
      <c r="M602" s="105"/>
    </row>
    <row r="603" spans="1:13" ht="14.25" customHeight="1" x14ac:dyDescent="0.35">
      <c r="A603" s="12"/>
      <c r="B603" s="9"/>
      <c r="C603" s="158" t="s">
        <v>1099</v>
      </c>
      <c r="D603" s="10" t="s">
        <v>1100</v>
      </c>
      <c r="E603" s="12">
        <v>24051</v>
      </c>
      <c r="F603" s="12">
        <v>5</v>
      </c>
      <c r="G603" s="10"/>
      <c r="H603" s="69"/>
      <c r="I603" s="76"/>
      <c r="J603" s="76"/>
      <c r="K603" s="108" t="s">
        <v>9</v>
      </c>
      <c r="L603" s="75"/>
      <c r="M603" s="105"/>
    </row>
    <row r="604" spans="1:13" ht="14.25" customHeight="1" x14ac:dyDescent="0.35">
      <c r="A604" s="12"/>
      <c r="B604" s="9"/>
      <c r="C604" s="158" t="s">
        <v>481</v>
      </c>
      <c r="D604" s="10" t="s">
        <v>1101</v>
      </c>
      <c r="E604" s="12">
        <v>24052</v>
      </c>
      <c r="F604" s="12">
        <v>10</v>
      </c>
      <c r="G604" s="10"/>
      <c r="H604" s="69"/>
      <c r="I604" s="76"/>
      <c r="J604" s="76"/>
      <c r="K604" s="108" t="s">
        <v>9</v>
      </c>
      <c r="L604" s="75"/>
      <c r="M604" s="105"/>
    </row>
    <row r="605" spans="1:13" ht="14.25" customHeight="1" x14ac:dyDescent="0.35">
      <c r="A605" s="12"/>
      <c r="B605" s="9"/>
      <c r="C605" s="158" t="s">
        <v>379</v>
      </c>
      <c r="D605" s="10" t="s">
        <v>746</v>
      </c>
      <c r="E605" s="12">
        <v>24053</v>
      </c>
      <c r="F605" s="12">
        <v>10</v>
      </c>
      <c r="G605" s="10" t="s">
        <v>1102</v>
      </c>
      <c r="H605" s="69"/>
      <c r="I605" s="76"/>
      <c r="J605" s="76"/>
      <c r="K605" s="108" t="s">
        <v>9</v>
      </c>
      <c r="L605" s="75"/>
      <c r="M605" s="105"/>
    </row>
    <row r="606" spans="1:13" ht="14.25" customHeight="1" x14ac:dyDescent="0.35">
      <c r="A606" s="12"/>
      <c r="B606" s="9"/>
      <c r="C606" s="158" t="s">
        <v>839</v>
      </c>
      <c r="D606" s="10" t="s">
        <v>1103</v>
      </c>
      <c r="E606" s="12">
        <v>24054</v>
      </c>
      <c r="F606" s="12"/>
      <c r="G606" s="10"/>
      <c r="H606" s="69"/>
      <c r="I606" s="76"/>
      <c r="J606" s="76"/>
      <c r="K606" s="108" t="s">
        <v>48</v>
      </c>
      <c r="L606" s="75"/>
      <c r="M606" s="105"/>
    </row>
    <row r="607" spans="1:13" ht="14.25" customHeight="1" x14ac:dyDescent="0.35">
      <c r="A607" s="12"/>
      <c r="B607" s="9"/>
      <c r="C607" s="158" t="s">
        <v>1104</v>
      </c>
      <c r="D607" s="79" t="s">
        <v>687</v>
      </c>
      <c r="E607" s="12">
        <v>24055</v>
      </c>
      <c r="F607" s="12">
        <v>10</v>
      </c>
      <c r="G607" s="10"/>
      <c r="H607" s="69"/>
      <c r="I607" s="76"/>
      <c r="J607" s="76"/>
      <c r="K607" s="108" t="s">
        <v>9</v>
      </c>
      <c r="L607" s="75"/>
      <c r="M607" s="105"/>
    </row>
    <row r="608" spans="1:13" ht="14.25" customHeight="1" x14ac:dyDescent="0.35">
      <c r="A608" s="12"/>
      <c r="B608" s="9"/>
      <c r="C608" s="158" t="s">
        <v>1105</v>
      </c>
      <c r="D608" s="10" t="s">
        <v>1106</v>
      </c>
      <c r="E608" s="12">
        <v>24056</v>
      </c>
      <c r="F608" s="12"/>
      <c r="G608" s="10"/>
      <c r="H608" s="69"/>
      <c r="I608" s="76"/>
      <c r="J608" s="76"/>
      <c r="K608" s="108" t="s">
        <v>48</v>
      </c>
      <c r="L608" s="75"/>
      <c r="M608" s="105"/>
    </row>
    <row r="609" spans="1:13" ht="14.25" customHeight="1" x14ac:dyDescent="0.35">
      <c r="A609" s="12"/>
      <c r="B609" s="9"/>
      <c r="C609" s="158" t="s">
        <v>1107</v>
      </c>
      <c r="D609" s="10" t="s">
        <v>1108</v>
      </c>
      <c r="E609" s="12">
        <v>24057</v>
      </c>
      <c r="F609" s="12">
        <v>10</v>
      </c>
      <c r="G609" s="10" t="s">
        <v>1109</v>
      </c>
      <c r="H609" s="69"/>
      <c r="I609" s="76"/>
      <c r="J609" s="76"/>
      <c r="K609" s="108" t="s">
        <v>9</v>
      </c>
      <c r="L609" s="75"/>
      <c r="M609" s="105"/>
    </row>
    <row r="610" spans="1:13" ht="14.25" customHeight="1" x14ac:dyDescent="0.35">
      <c r="A610" s="12"/>
      <c r="B610" s="9"/>
      <c r="C610" s="158" t="s">
        <v>995</v>
      </c>
      <c r="D610" s="10" t="s">
        <v>996</v>
      </c>
      <c r="E610" s="12">
        <v>24058</v>
      </c>
      <c r="F610" s="12">
        <v>10</v>
      </c>
      <c r="G610" s="10" t="s">
        <v>1110</v>
      </c>
      <c r="H610" s="69"/>
      <c r="I610" s="76"/>
      <c r="J610" s="76"/>
      <c r="K610" s="108" t="s">
        <v>9</v>
      </c>
      <c r="L610" s="75"/>
      <c r="M610" s="105"/>
    </row>
    <row r="611" spans="1:13" ht="14.25" customHeight="1" x14ac:dyDescent="0.35">
      <c r="A611" s="12"/>
      <c r="B611" s="95" t="s">
        <v>2135</v>
      </c>
      <c r="C611" s="158" t="s">
        <v>1112</v>
      </c>
      <c r="D611" s="10" t="s">
        <v>1113</v>
      </c>
      <c r="E611" s="12">
        <v>24059</v>
      </c>
      <c r="F611" s="12"/>
      <c r="G611" s="10"/>
      <c r="H611" s="69"/>
      <c r="I611" s="76"/>
      <c r="J611" s="76"/>
      <c r="K611" s="108" t="s">
        <v>48</v>
      </c>
      <c r="L611" s="75"/>
      <c r="M611" s="105"/>
    </row>
    <row r="612" spans="1:13" ht="14.25" customHeight="1" x14ac:dyDescent="0.35">
      <c r="A612" s="12"/>
      <c r="B612" s="95" t="s">
        <v>2136</v>
      </c>
      <c r="C612" s="158" t="s">
        <v>296</v>
      </c>
      <c r="D612" s="10" t="s">
        <v>1114</v>
      </c>
      <c r="E612" s="12">
        <v>24060</v>
      </c>
      <c r="F612" s="12"/>
      <c r="G612" s="10"/>
      <c r="H612" s="69"/>
      <c r="I612" s="76"/>
      <c r="J612" s="76"/>
      <c r="K612" s="108" t="s">
        <v>48</v>
      </c>
      <c r="L612" s="75"/>
      <c r="M612" s="105"/>
    </row>
    <row r="613" spans="1:13" ht="14.25" customHeight="1" x14ac:dyDescent="0.35">
      <c r="A613" s="12"/>
      <c r="B613" s="95" t="s">
        <v>2137</v>
      </c>
      <c r="C613" s="158" t="s">
        <v>1115</v>
      </c>
      <c r="D613" s="10" t="s">
        <v>1116</v>
      </c>
      <c r="E613" s="12">
        <v>24061</v>
      </c>
      <c r="F613" s="12"/>
      <c r="G613" s="10"/>
      <c r="H613" s="69"/>
      <c r="I613" s="76"/>
      <c r="J613" s="76"/>
      <c r="K613" s="108" t="s">
        <v>48</v>
      </c>
      <c r="L613" s="75"/>
      <c r="M613" s="105"/>
    </row>
    <row r="614" spans="1:13" ht="14.25" customHeight="1" x14ac:dyDescent="0.35">
      <c r="A614" s="12"/>
      <c r="B614" s="9"/>
      <c r="C614" s="158" t="s">
        <v>565</v>
      </c>
      <c r="D614" s="10" t="s">
        <v>1117</v>
      </c>
      <c r="E614" s="12">
        <v>24062</v>
      </c>
      <c r="F614" s="12"/>
      <c r="G614" s="10"/>
      <c r="H614" s="69"/>
      <c r="I614" s="76"/>
      <c r="J614" s="76"/>
      <c r="K614" s="108" t="s">
        <v>48</v>
      </c>
      <c r="L614" s="75"/>
      <c r="M614" s="105"/>
    </row>
    <row r="615" spans="1:13" ht="14.25" customHeight="1" x14ac:dyDescent="0.35">
      <c r="A615" s="12"/>
      <c r="B615" s="9"/>
      <c r="C615" s="158" t="s">
        <v>7</v>
      </c>
      <c r="D615" s="10" t="s">
        <v>607</v>
      </c>
      <c r="E615" s="12">
        <v>24063</v>
      </c>
      <c r="F615" s="12">
        <v>10</v>
      </c>
      <c r="G615" s="10"/>
      <c r="H615" s="69"/>
      <c r="I615" s="76"/>
      <c r="J615" s="76"/>
      <c r="K615" s="108" t="s">
        <v>9</v>
      </c>
      <c r="L615" s="75"/>
      <c r="M615" s="105"/>
    </row>
    <row r="616" spans="1:13" ht="14.25" customHeight="1" x14ac:dyDescent="0.35">
      <c r="A616" s="78" t="s">
        <v>1118</v>
      </c>
      <c r="B616" s="95" t="s">
        <v>2122</v>
      </c>
      <c r="C616" s="82" t="s">
        <v>897</v>
      </c>
      <c r="D616" s="10" t="s">
        <v>1120</v>
      </c>
      <c r="E616" s="12">
        <v>24064</v>
      </c>
      <c r="F616" s="12">
        <v>10</v>
      </c>
      <c r="G616" s="10"/>
      <c r="H616" s="69"/>
      <c r="I616" s="76"/>
      <c r="J616" s="76"/>
      <c r="K616" s="108" t="s">
        <v>9</v>
      </c>
      <c r="L616" s="75"/>
      <c r="M616" s="105"/>
    </row>
    <row r="617" spans="1:13" ht="14.25" customHeight="1" x14ac:dyDescent="0.35">
      <c r="A617" s="12"/>
      <c r="B617" s="9"/>
      <c r="C617" s="158" t="s">
        <v>1121</v>
      </c>
      <c r="D617" s="10" t="s">
        <v>1122</v>
      </c>
      <c r="E617" s="12">
        <v>24065</v>
      </c>
      <c r="F617" s="12"/>
      <c r="G617" s="10"/>
      <c r="H617" s="69"/>
      <c r="I617" s="76"/>
      <c r="J617" s="76"/>
      <c r="K617" s="108" t="s">
        <v>20</v>
      </c>
      <c r="L617" s="75"/>
      <c r="M617" s="105"/>
    </row>
    <row r="618" spans="1:13" ht="14.25" customHeight="1" x14ac:dyDescent="0.35">
      <c r="A618" s="12"/>
      <c r="B618" s="9">
        <v>5731981212</v>
      </c>
      <c r="C618" s="158" t="s">
        <v>1123</v>
      </c>
      <c r="D618" s="10" t="s">
        <v>1124</v>
      </c>
      <c r="E618" s="12">
        <v>24066</v>
      </c>
      <c r="F618" s="12"/>
      <c r="G618" s="10"/>
      <c r="H618" s="69"/>
      <c r="I618" s="76"/>
      <c r="J618" s="76"/>
      <c r="K618" s="108" t="s">
        <v>48</v>
      </c>
      <c r="L618" s="75"/>
      <c r="M618" s="105"/>
    </row>
    <row r="619" spans="1:13" ht="14.25" customHeight="1" x14ac:dyDescent="0.35">
      <c r="A619" s="12"/>
      <c r="B619" s="9"/>
      <c r="C619" s="158" t="s">
        <v>1125</v>
      </c>
      <c r="D619" s="10" t="s">
        <v>1126</v>
      </c>
      <c r="E619" s="12">
        <v>24067</v>
      </c>
      <c r="F619" s="12"/>
      <c r="G619" s="10"/>
      <c r="H619" s="69"/>
      <c r="I619" s="76"/>
      <c r="J619" s="76"/>
      <c r="K619" s="108" t="s">
        <v>48</v>
      </c>
      <c r="L619" s="75"/>
      <c r="M619" s="105"/>
    </row>
    <row r="620" spans="1:13" ht="14.25" customHeight="1" x14ac:dyDescent="0.35">
      <c r="A620" s="12"/>
      <c r="B620" s="9">
        <v>46707296990</v>
      </c>
      <c r="C620" s="158" t="s">
        <v>863</v>
      </c>
      <c r="D620" s="10" t="s">
        <v>1127</v>
      </c>
      <c r="E620" s="12">
        <v>24068</v>
      </c>
      <c r="F620" s="12"/>
      <c r="G620" s="10"/>
      <c r="H620" s="69"/>
      <c r="I620" s="76"/>
      <c r="J620" s="76"/>
      <c r="K620" s="108" t="s">
        <v>48</v>
      </c>
      <c r="L620" s="75"/>
      <c r="M620" s="105"/>
    </row>
    <row r="621" spans="1:13" ht="14.25" customHeight="1" x14ac:dyDescent="0.35">
      <c r="A621" s="12"/>
      <c r="B621" s="9"/>
      <c r="C621" s="158" t="s">
        <v>1128</v>
      </c>
      <c r="D621" s="10" t="s">
        <v>1129</v>
      </c>
      <c r="E621" s="12">
        <v>24069</v>
      </c>
      <c r="F621" s="12"/>
      <c r="G621" s="10"/>
      <c r="H621" s="69"/>
      <c r="I621" s="76"/>
      <c r="J621" s="76"/>
      <c r="K621" s="108" t="s">
        <v>48</v>
      </c>
      <c r="L621" s="75"/>
      <c r="M621" s="105"/>
    </row>
    <row r="622" spans="1:13" ht="14.25" customHeight="1" x14ac:dyDescent="0.35">
      <c r="A622" s="12"/>
      <c r="B622" s="9"/>
      <c r="C622" s="158" t="s">
        <v>765</v>
      </c>
      <c r="D622" s="10" t="s">
        <v>1130</v>
      </c>
      <c r="E622" s="12">
        <v>24070</v>
      </c>
      <c r="F622" s="12"/>
      <c r="G622" s="10"/>
      <c r="H622" s="69"/>
      <c r="I622" s="76"/>
      <c r="J622" s="76"/>
      <c r="K622" s="108" t="s">
        <v>20</v>
      </c>
      <c r="L622" s="75"/>
      <c r="M622" s="105"/>
    </row>
    <row r="623" spans="1:13" ht="14.25" customHeight="1" x14ac:dyDescent="0.35">
      <c r="A623" s="12"/>
      <c r="B623" s="9" t="s">
        <v>1131</v>
      </c>
      <c r="C623" s="158" t="s">
        <v>1132</v>
      </c>
      <c r="D623" s="10" t="s">
        <v>1133</v>
      </c>
      <c r="E623" s="12">
        <v>24071</v>
      </c>
      <c r="F623" s="12"/>
      <c r="G623" s="10"/>
      <c r="H623" s="69"/>
      <c r="I623" s="76"/>
      <c r="J623" s="76"/>
      <c r="K623" s="108" t="s">
        <v>48</v>
      </c>
      <c r="L623" s="75"/>
      <c r="M623" s="105"/>
    </row>
    <row r="624" spans="1:13" ht="14.25" customHeight="1" x14ac:dyDescent="0.35">
      <c r="A624" s="12"/>
      <c r="B624" s="9"/>
      <c r="C624" s="158" t="s">
        <v>1134</v>
      </c>
      <c r="D624" s="10" t="s">
        <v>1135</v>
      </c>
      <c r="E624" s="12">
        <v>24072</v>
      </c>
      <c r="F624" s="12"/>
      <c r="G624" s="10"/>
      <c r="H624" s="69"/>
      <c r="I624" s="76"/>
      <c r="J624" s="76"/>
      <c r="K624" s="108" t="s">
        <v>48</v>
      </c>
      <c r="L624" s="75"/>
      <c r="M624" s="105"/>
    </row>
    <row r="625" spans="1:13" ht="14.25" customHeight="1" x14ac:dyDescent="0.35">
      <c r="A625" s="78" t="s">
        <v>1136</v>
      </c>
      <c r="B625" s="95" t="s">
        <v>2138</v>
      </c>
      <c r="C625" s="82" t="s">
        <v>916</v>
      </c>
      <c r="D625" s="10" t="s">
        <v>1138</v>
      </c>
      <c r="E625" s="12">
        <v>24073</v>
      </c>
      <c r="F625" s="12">
        <v>10</v>
      </c>
      <c r="G625" s="10" t="s">
        <v>1139</v>
      </c>
      <c r="H625" s="69"/>
      <c r="I625" s="76"/>
      <c r="J625" s="76"/>
      <c r="K625" s="108" t="s">
        <v>9</v>
      </c>
      <c r="L625" s="75"/>
      <c r="M625" s="105"/>
    </row>
    <row r="626" spans="1:13" ht="14.25" customHeight="1" x14ac:dyDescent="0.35">
      <c r="A626" s="12"/>
      <c r="B626" s="95" t="s">
        <v>2139</v>
      </c>
      <c r="C626" s="158" t="s">
        <v>353</v>
      </c>
      <c r="D626" s="10" t="s">
        <v>1141</v>
      </c>
      <c r="E626" s="12">
        <v>24074</v>
      </c>
      <c r="F626" s="12"/>
      <c r="G626" s="10"/>
      <c r="H626" s="69"/>
      <c r="I626" s="76"/>
      <c r="J626" s="76"/>
      <c r="K626" s="108" t="s">
        <v>48</v>
      </c>
      <c r="L626" s="75"/>
      <c r="M626" s="105"/>
    </row>
    <row r="627" spans="1:13" ht="14.25" customHeight="1" x14ac:dyDescent="0.35">
      <c r="A627" s="12"/>
      <c r="B627" s="9"/>
      <c r="C627" s="158" t="s">
        <v>74</v>
      </c>
      <c r="D627" s="10" t="s">
        <v>1142</v>
      </c>
      <c r="E627" s="12">
        <v>24075</v>
      </c>
      <c r="F627" s="12">
        <v>6</v>
      </c>
      <c r="G627" s="10"/>
      <c r="H627" s="69"/>
      <c r="I627" s="76"/>
      <c r="J627" s="76"/>
      <c r="K627" s="108" t="s">
        <v>9</v>
      </c>
      <c r="L627" s="75"/>
      <c r="M627" s="105"/>
    </row>
    <row r="628" spans="1:13" ht="14.25" customHeight="1" x14ac:dyDescent="0.35">
      <c r="A628" s="12"/>
      <c r="B628" s="9"/>
      <c r="C628" s="158" t="s">
        <v>74</v>
      </c>
      <c r="D628" s="10" t="s">
        <v>1143</v>
      </c>
      <c r="E628" s="12">
        <v>24076</v>
      </c>
      <c r="F628" s="12"/>
      <c r="G628" s="10"/>
      <c r="H628" s="69"/>
      <c r="I628" s="76"/>
      <c r="J628" s="76"/>
      <c r="K628" s="108" t="s">
        <v>20</v>
      </c>
      <c r="L628" s="75"/>
      <c r="M628" s="105"/>
    </row>
    <row r="629" spans="1:13" ht="14.25" customHeight="1" x14ac:dyDescent="0.35">
      <c r="A629" s="78" t="s">
        <v>1144</v>
      </c>
      <c r="B629" s="95" t="s">
        <v>2140</v>
      </c>
      <c r="C629" s="82" t="s">
        <v>25</v>
      </c>
      <c r="D629" s="10" t="s">
        <v>697</v>
      </c>
      <c r="E629" s="12">
        <v>24077</v>
      </c>
      <c r="F629" s="12">
        <v>10</v>
      </c>
      <c r="G629" s="10"/>
      <c r="H629" s="69"/>
      <c r="I629" s="76"/>
      <c r="J629" s="76"/>
      <c r="K629" s="108" t="s">
        <v>9</v>
      </c>
      <c r="L629" s="75"/>
      <c r="M629" s="105"/>
    </row>
    <row r="630" spans="1:13" ht="14.25" customHeight="1" x14ac:dyDescent="0.35">
      <c r="A630" s="12"/>
      <c r="B630" s="95" t="s">
        <v>2141</v>
      </c>
      <c r="C630" s="158" t="s">
        <v>379</v>
      </c>
      <c r="D630" s="10" t="s">
        <v>1146</v>
      </c>
      <c r="E630" s="12">
        <v>24078</v>
      </c>
      <c r="F630" s="12"/>
      <c r="G630" s="10"/>
      <c r="H630" s="69"/>
      <c r="I630" s="76"/>
      <c r="J630" s="76"/>
      <c r="K630" s="108" t="s">
        <v>48</v>
      </c>
      <c r="L630" s="75"/>
      <c r="M630" s="105"/>
    </row>
    <row r="631" spans="1:13" ht="14.25" customHeight="1" x14ac:dyDescent="0.35">
      <c r="A631" s="78" t="s">
        <v>1147</v>
      </c>
      <c r="B631" s="95" t="s">
        <v>2098</v>
      </c>
      <c r="C631" s="82" t="s">
        <v>797</v>
      </c>
      <c r="D631" s="10" t="s">
        <v>798</v>
      </c>
      <c r="E631" s="12">
        <v>24079</v>
      </c>
      <c r="F631" s="12">
        <v>10</v>
      </c>
      <c r="G631" s="10" t="s">
        <v>1149</v>
      </c>
      <c r="H631" s="69"/>
      <c r="I631" s="76"/>
      <c r="J631" s="76"/>
      <c r="K631" s="108" t="s">
        <v>9</v>
      </c>
      <c r="L631" s="75"/>
      <c r="M631" s="105"/>
    </row>
    <row r="632" spans="1:13" ht="14.25" customHeight="1" x14ac:dyDescent="0.35">
      <c r="A632" s="12"/>
      <c r="B632" s="9"/>
      <c r="C632" s="158" t="s">
        <v>1150</v>
      </c>
      <c r="D632" s="10" t="s">
        <v>1151</v>
      </c>
      <c r="E632" s="12">
        <v>24080</v>
      </c>
      <c r="F632" s="12">
        <v>10</v>
      </c>
      <c r="G632" s="10"/>
      <c r="H632" s="69"/>
      <c r="I632" s="76"/>
      <c r="J632" s="76"/>
      <c r="K632" s="108" t="s">
        <v>9</v>
      </c>
      <c r="L632" s="75"/>
      <c r="M632" s="105"/>
    </row>
    <row r="633" spans="1:13" ht="14.25" customHeight="1" x14ac:dyDescent="0.35">
      <c r="A633" s="12"/>
      <c r="B633" s="9"/>
      <c r="C633" s="158" t="s">
        <v>1152</v>
      </c>
      <c r="D633" s="10" t="s">
        <v>1153</v>
      </c>
      <c r="E633" s="12">
        <v>24081</v>
      </c>
      <c r="F633" s="12"/>
      <c r="G633" s="10"/>
      <c r="H633" s="69"/>
      <c r="I633" s="76"/>
      <c r="J633" s="76"/>
      <c r="K633" s="108" t="s">
        <v>48</v>
      </c>
      <c r="L633" s="75"/>
      <c r="M633" s="105"/>
    </row>
    <row r="634" spans="1:13" ht="14.25" customHeight="1" x14ac:dyDescent="0.35">
      <c r="A634" s="12"/>
      <c r="B634" s="9"/>
      <c r="C634" s="158" t="s">
        <v>1154</v>
      </c>
      <c r="D634" s="10" t="s">
        <v>1155</v>
      </c>
      <c r="E634" s="12">
        <v>24082</v>
      </c>
      <c r="F634" s="12"/>
      <c r="G634" s="10"/>
      <c r="H634" s="69"/>
      <c r="I634" s="76"/>
      <c r="J634" s="76"/>
      <c r="K634" s="108" t="s">
        <v>20</v>
      </c>
      <c r="L634" s="75"/>
      <c r="M634" s="105"/>
    </row>
    <row r="635" spans="1:13" ht="14.25" customHeight="1" x14ac:dyDescent="0.35">
      <c r="A635" s="78" t="s">
        <v>1156</v>
      </c>
      <c r="B635" s="84"/>
      <c r="C635" s="82" t="s">
        <v>288</v>
      </c>
      <c r="D635" s="10" t="s">
        <v>1157</v>
      </c>
      <c r="E635" s="12">
        <v>24083</v>
      </c>
      <c r="F635" s="12">
        <v>5</v>
      </c>
      <c r="G635" s="10"/>
      <c r="H635" s="69"/>
      <c r="I635" s="76"/>
      <c r="J635" s="76"/>
      <c r="K635" s="108" t="s">
        <v>9</v>
      </c>
      <c r="L635" s="75"/>
      <c r="M635" s="105"/>
    </row>
    <row r="636" spans="1:13" ht="14.25" customHeight="1" x14ac:dyDescent="0.35">
      <c r="A636" s="12"/>
      <c r="B636" s="9"/>
      <c r="C636" s="158" t="s">
        <v>125</v>
      </c>
      <c r="D636" s="10" t="s">
        <v>126</v>
      </c>
      <c r="E636" s="12">
        <v>24084</v>
      </c>
      <c r="F636" s="12"/>
      <c r="G636" s="10"/>
      <c r="H636" s="69"/>
      <c r="I636" s="76"/>
      <c r="J636" s="76"/>
      <c r="K636" s="108" t="s">
        <v>9</v>
      </c>
      <c r="L636" s="75"/>
      <c r="M636" s="105"/>
    </row>
    <row r="637" spans="1:13" ht="14.25" customHeight="1" x14ac:dyDescent="0.35">
      <c r="A637" s="78" t="s">
        <v>1158</v>
      </c>
      <c r="B637" s="84"/>
      <c r="C637" s="82" t="s">
        <v>1159</v>
      </c>
      <c r="D637" s="10" t="s">
        <v>1160</v>
      </c>
      <c r="E637" s="12">
        <v>24085</v>
      </c>
      <c r="F637" s="12"/>
      <c r="G637" s="10"/>
      <c r="H637" s="69"/>
      <c r="I637" s="76"/>
      <c r="J637" s="76"/>
      <c r="K637" s="108" t="s">
        <v>9</v>
      </c>
      <c r="L637" s="75"/>
      <c r="M637" s="105"/>
    </row>
    <row r="638" spans="1:13" ht="14.25" customHeight="1" x14ac:dyDescent="0.35">
      <c r="A638" s="12"/>
      <c r="B638" s="9"/>
      <c r="C638" s="158" t="s">
        <v>153</v>
      </c>
      <c r="D638" s="10" t="s">
        <v>154</v>
      </c>
      <c r="E638" s="12">
        <v>24086</v>
      </c>
      <c r="F638" s="12"/>
      <c r="G638" s="10"/>
      <c r="H638" s="69"/>
      <c r="I638" s="76"/>
      <c r="J638" s="76"/>
      <c r="K638" s="108" t="s">
        <v>20</v>
      </c>
      <c r="L638" s="75"/>
      <c r="M638" s="105"/>
    </row>
    <row r="639" spans="1:13" ht="14.25" customHeight="1" x14ac:dyDescent="0.35">
      <c r="A639" s="78" t="s">
        <v>1161</v>
      </c>
      <c r="B639" s="99" t="s">
        <v>2142</v>
      </c>
      <c r="C639" s="82" t="s">
        <v>1163</v>
      </c>
      <c r="D639" s="10" t="s">
        <v>1164</v>
      </c>
      <c r="E639" s="12">
        <v>24087</v>
      </c>
      <c r="F639" s="12"/>
      <c r="G639" s="10" t="s">
        <v>1165</v>
      </c>
      <c r="H639" s="69"/>
      <c r="I639" s="76"/>
      <c r="J639" s="76"/>
      <c r="K639" s="108" t="s">
        <v>9</v>
      </c>
      <c r="L639" s="75"/>
      <c r="M639" s="105"/>
    </row>
    <row r="640" spans="1:13" ht="14.25" customHeight="1" x14ac:dyDescent="0.35">
      <c r="A640" s="12"/>
      <c r="B640" s="9" t="s">
        <v>1166</v>
      </c>
      <c r="C640" s="158" t="s">
        <v>1167</v>
      </c>
      <c r="D640" s="10" t="s">
        <v>1168</v>
      </c>
      <c r="E640" s="12">
        <v>24088</v>
      </c>
      <c r="F640" s="12"/>
      <c r="G640" s="10"/>
      <c r="H640" s="69"/>
      <c r="I640" s="76"/>
      <c r="J640" s="76"/>
      <c r="K640" s="108" t="s">
        <v>48</v>
      </c>
      <c r="L640" s="75"/>
      <c r="M640" s="105"/>
    </row>
    <row r="641" spans="1:13" ht="14.25" customHeight="1" x14ac:dyDescent="0.35">
      <c r="A641" s="12"/>
      <c r="B641" s="9"/>
      <c r="C641" s="158" t="s">
        <v>379</v>
      </c>
      <c r="D641" s="10" t="s">
        <v>1169</v>
      </c>
      <c r="E641" s="12">
        <v>24089</v>
      </c>
      <c r="F641" s="12"/>
      <c r="G641" s="10"/>
      <c r="H641" s="69"/>
      <c r="I641" s="76"/>
      <c r="J641" s="76"/>
      <c r="K641" s="108" t="s">
        <v>48</v>
      </c>
      <c r="L641" s="75"/>
      <c r="M641" s="105"/>
    </row>
    <row r="642" spans="1:13" ht="14.25" customHeight="1" x14ac:dyDescent="0.35">
      <c r="A642" s="78" t="s">
        <v>1170</v>
      </c>
      <c r="B642" s="95" t="s">
        <v>2143</v>
      </c>
      <c r="C642" s="82" t="s">
        <v>189</v>
      </c>
      <c r="D642" s="10" t="s">
        <v>1171</v>
      </c>
      <c r="E642" s="12">
        <v>24090</v>
      </c>
      <c r="F642" s="12">
        <v>5</v>
      </c>
      <c r="G642" s="10"/>
      <c r="H642" s="69"/>
      <c r="I642" s="76"/>
      <c r="J642" s="76"/>
      <c r="K642" s="108" t="s">
        <v>9</v>
      </c>
      <c r="L642" s="75" t="s">
        <v>9</v>
      </c>
      <c r="M642" s="105"/>
    </row>
    <row r="643" spans="1:13" ht="14.25" customHeight="1" x14ac:dyDescent="0.35">
      <c r="A643" s="12"/>
      <c r="B643" s="9"/>
      <c r="C643" s="158" t="s">
        <v>1172</v>
      </c>
      <c r="D643" s="10" t="s">
        <v>1173</v>
      </c>
      <c r="E643" s="12">
        <v>24091</v>
      </c>
      <c r="F643" s="12"/>
      <c r="G643" s="10"/>
      <c r="H643" s="69"/>
      <c r="I643" s="76"/>
      <c r="J643" s="76"/>
      <c r="K643" s="108" t="s">
        <v>20</v>
      </c>
      <c r="L643" s="75"/>
      <c r="M643" s="105"/>
    </row>
    <row r="644" spans="1:13" ht="14.25" customHeight="1" x14ac:dyDescent="0.35">
      <c r="A644" s="12"/>
      <c r="B644" s="9"/>
      <c r="C644" s="158" t="s">
        <v>379</v>
      </c>
      <c r="D644" s="10" t="s">
        <v>1174</v>
      </c>
      <c r="E644" s="12">
        <v>24092</v>
      </c>
      <c r="F644" s="12"/>
      <c r="G644" s="10"/>
      <c r="H644" s="69"/>
      <c r="I644" s="76"/>
      <c r="J644" s="76"/>
      <c r="K644" s="108" t="s">
        <v>48</v>
      </c>
      <c r="L644" s="75"/>
      <c r="M644" s="105"/>
    </row>
    <row r="645" spans="1:13" ht="14.25" customHeight="1" x14ac:dyDescent="0.35">
      <c r="A645" s="12"/>
      <c r="B645" s="9"/>
      <c r="C645" s="158" t="s">
        <v>1175</v>
      </c>
      <c r="D645" s="10" t="s">
        <v>1176</v>
      </c>
      <c r="E645" s="12">
        <v>24093</v>
      </c>
      <c r="F645" s="12"/>
      <c r="G645" s="10"/>
      <c r="H645" s="69"/>
      <c r="I645" s="76"/>
      <c r="J645" s="76"/>
      <c r="K645" s="108" t="s">
        <v>48</v>
      </c>
      <c r="L645" s="75"/>
      <c r="M645" s="105"/>
    </row>
    <row r="646" spans="1:13" ht="14.25" customHeight="1" x14ac:dyDescent="0.35">
      <c r="A646" s="12"/>
      <c r="B646" s="9"/>
      <c r="C646" s="158" t="s">
        <v>1177</v>
      </c>
      <c r="D646" s="10" t="s">
        <v>1178</v>
      </c>
      <c r="E646" s="12">
        <v>24094</v>
      </c>
      <c r="F646" s="12"/>
      <c r="G646" s="10"/>
      <c r="H646" s="69"/>
      <c r="I646" s="76"/>
      <c r="J646" s="76"/>
      <c r="K646" s="108" t="s">
        <v>48</v>
      </c>
      <c r="L646" s="75"/>
      <c r="M646" s="105"/>
    </row>
    <row r="647" spans="1:13" ht="14.25" customHeight="1" x14ac:dyDescent="0.35">
      <c r="A647" s="12"/>
      <c r="B647" s="9"/>
      <c r="C647" s="158" t="s">
        <v>338</v>
      </c>
      <c r="D647" s="10" t="s">
        <v>339</v>
      </c>
      <c r="E647" s="12">
        <v>24095</v>
      </c>
      <c r="F647" s="12"/>
      <c r="G647" s="10"/>
      <c r="H647" s="69"/>
      <c r="I647" s="76"/>
      <c r="J647" s="76"/>
      <c r="K647" s="108" t="s">
        <v>20</v>
      </c>
      <c r="L647" s="75"/>
      <c r="M647" s="105"/>
    </row>
    <row r="648" spans="1:13" ht="14.25" customHeight="1" x14ac:dyDescent="0.35">
      <c r="A648" s="12"/>
      <c r="B648" s="9"/>
      <c r="C648" s="158" t="s">
        <v>58</v>
      </c>
      <c r="D648" s="10" t="s">
        <v>59</v>
      </c>
      <c r="E648" s="12">
        <v>24096</v>
      </c>
      <c r="F648" s="12"/>
      <c r="G648" s="10"/>
      <c r="H648" s="69"/>
      <c r="I648" s="76"/>
      <c r="J648" s="76"/>
      <c r="K648" s="108" t="s">
        <v>48</v>
      </c>
      <c r="L648" s="75"/>
      <c r="M648" s="105"/>
    </row>
    <row r="649" spans="1:13" ht="14.25" customHeight="1" x14ac:dyDescent="0.35">
      <c r="A649" s="12"/>
      <c r="B649" s="95" t="s">
        <v>2144</v>
      </c>
      <c r="C649" s="158" t="s">
        <v>1180</v>
      </c>
      <c r="D649" s="10" t="s">
        <v>1181</v>
      </c>
      <c r="E649" s="12">
        <v>24097</v>
      </c>
      <c r="F649" s="12"/>
      <c r="G649" s="10"/>
      <c r="H649" s="69"/>
      <c r="I649" s="76"/>
      <c r="J649" s="76"/>
      <c r="K649" s="108" t="s">
        <v>48</v>
      </c>
      <c r="L649" s="75"/>
      <c r="M649" s="105"/>
    </row>
    <row r="650" spans="1:13" ht="14.25" customHeight="1" x14ac:dyDescent="0.35">
      <c r="A650" s="12"/>
      <c r="B650" s="9"/>
      <c r="C650" s="158" t="s">
        <v>1182</v>
      </c>
      <c r="D650" s="10" t="s">
        <v>1183</v>
      </c>
      <c r="E650" s="12">
        <v>24098</v>
      </c>
      <c r="F650" s="12"/>
      <c r="G650" s="10"/>
      <c r="H650" s="12"/>
      <c r="I650" s="74"/>
      <c r="J650" s="74"/>
      <c r="K650" s="109" t="s">
        <v>48</v>
      </c>
      <c r="L650" s="75"/>
      <c r="M650" s="105"/>
    </row>
    <row r="651" spans="1:13" ht="14.25" customHeight="1" x14ac:dyDescent="0.35">
      <c r="A651" s="12"/>
      <c r="B651" s="9"/>
      <c r="C651" s="158" t="s">
        <v>1184</v>
      </c>
      <c r="D651" s="10" t="s">
        <v>1185</v>
      </c>
      <c r="E651" s="12">
        <v>24099</v>
      </c>
      <c r="F651" s="12"/>
      <c r="G651" s="10"/>
      <c r="H651" s="12"/>
      <c r="I651" s="12"/>
      <c r="J651" s="12"/>
      <c r="K651" s="110" t="s">
        <v>20</v>
      </c>
      <c r="L651" s="75"/>
      <c r="M651" s="105"/>
    </row>
    <row r="652" spans="1:13" ht="14.25" customHeight="1" x14ac:dyDescent="0.35">
      <c r="A652" s="12"/>
      <c r="B652" s="9"/>
      <c r="C652" s="158" t="s">
        <v>1186</v>
      </c>
      <c r="D652" s="10" t="s">
        <v>1187</v>
      </c>
      <c r="E652" s="12">
        <v>24100</v>
      </c>
      <c r="F652" s="12"/>
      <c r="G652" s="10"/>
      <c r="H652" s="12"/>
      <c r="I652" s="12"/>
      <c r="J652" s="12"/>
      <c r="K652" s="110" t="s">
        <v>48</v>
      </c>
      <c r="L652" s="75"/>
      <c r="M652" s="105"/>
    </row>
    <row r="653" spans="1:13" ht="14.25" customHeight="1" x14ac:dyDescent="0.35">
      <c r="A653" s="12"/>
      <c r="B653" s="9" t="s">
        <v>1188</v>
      </c>
      <c r="C653" s="158" t="s">
        <v>403</v>
      </c>
      <c r="D653" s="10" t="s">
        <v>1189</v>
      </c>
      <c r="E653" s="12">
        <v>24101</v>
      </c>
      <c r="F653" s="12"/>
      <c r="G653" s="10" t="s">
        <v>404</v>
      </c>
      <c r="H653" s="12"/>
      <c r="I653" s="12"/>
      <c r="J653" s="12"/>
      <c r="K653" s="110" t="s">
        <v>48</v>
      </c>
      <c r="L653" s="75"/>
      <c r="M653" s="105"/>
    </row>
    <row r="654" spans="1:13" ht="14.25" customHeight="1" x14ac:dyDescent="0.35">
      <c r="A654" s="12"/>
      <c r="B654" s="95" t="s">
        <v>2145</v>
      </c>
      <c r="C654" s="158" t="s">
        <v>1190</v>
      </c>
      <c r="D654" s="10" t="s">
        <v>1191</v>
      </c>
      <c r="E654" s="12">
        <v>24102</v>
      </c>
      <c r="F654" s="12"/>
      <c r="G654" s="10"/>
      <c r="H654" s="12"/>
      <c r="I654" s="12"/>
      <c r="J654" s="12"/>
      <c r="K654" s="110" t="s">
        <v>48</v>
      </c>
      <c r="L654" s="75"/>
      <c r="M654" s="105"/>
    </row>
    <row r="655" spans="1:13" ht="14.25" customHeight="1" x14ac:dyDescent="0.35">
      <c r="A655" s="12"/>
      <c r="B655" s="9"/>
      <c r="C655" s="158" t="s">
        <v>1192</v>
      </c>
      <c r="D655" s="10" t="s">
        <v>1193</v>
      </c>
      <c r="E655" s="12">
        <v>24103</v>
      </c>
      <c r="F655" s="12"/>
      <c r="G655" s="10"/>
      <c r="H655" s="12"/>
      <c r="I655" s="12"/>
      <c r="J655" s="12"/>
      <c r="K655" s="110" t="s">
        <v>48</v>
      </c>
      <c r="L655" s="75"/>
      <c r="M655" s="105"/>
    </row>
    <row r="656" spans="1:13" ht="14.25" customHeight="1" x14ac:dyDescent="0.35">
      <c r="A656" s="78" t="s">
        <v>1194</v>
      </c>
      <c r="B656" s="84"/>
      <c r="C656" s="82" t="s">
        <v>1195</v>
      </c>
      <c r="D656" s="10" t="s">
        <v>1196</v>
      </c>
      <c r="E656" s="12">
        <v>24104</v>
      </c>
      <c r="F656" s="12"/>
      <c r="G656" s="10"/>
      <c r="H656" s="12"/>
      <c r="I656" s="12"/>
      <c r="J656" s="12"/>
      <c r="K656" s="110" t="s">
        <v>9</v>
      </c>
      <c r="L656" s="75"/>
      <c r="M656" s="105"/>
    </row>
    <row r="657" spans="1:13" ht="14.25" customHeight="1" x14ac:dyDescent="0.35">
      <c r="A657" s="78"/>
      <c r="B657" s="99" t="s">
        <v>2146</v>
      </c>
      <c r="C657" s="158" t="s">
        <v>1197</v>
      </c>
      <c r="D657" s="10" t="s">
        <v>1198</v>
      </c>
      <c r="E657" s="12">
        <v>24104</v>
      </c>
      <c r="F657" s="12"/>
      <c r="G657" s="10"/>
      <c r="H657" s="12"/>
      <c r="I657" s="12"/>
      <c r="J657" s="12"/>
      <c r="K657" s="110" t="s">
        <v>9</v>
      </c>
      <c r="L657" s="75"/>
      <c r="M657" s="105"/>
    </row>
    <row r="658" spans="1:13" ht="14.25" customHeight="1" x14ac:dyDescent="0.35">
      <c r="A658" s="12"/>
      <c r="B658" s="9"/>
      <c r="C658" s="158" t="s">
        <v>1199</v>
      </c>
      <c r="D658" s="10" t="s">
        <v>1200</v>
      </c>
      <c r="E658" s="12">
        <v>24105</v>
      </c>
      <c r="F658" s="12"/>
      <c r="G658" s="10"/>
      <c r="H658" s="12"/>
      <c r="I658" s="12"/>
      <c r="J658" s="12"/>
      <c r="K658" s="110" t="s">
        <v>48</v>
      </c>
      <c r="L658" s="75"/>
      <c r="M658" s="105"/>
    </row>
    <row r="659" spans="1:13" ht="14.25" customHeight="1" x14ac:dyDescent="0.35">
      <c r="A659" s="12"/>
      <c r="B659" s="95" t="s">
        <v>2147</v>
      </c>
      <c r="C659" s="158" t="s">
        <v>125</v>
      </c>
      <c r="D659" s="10" t="s">
        <v>1201</v>
      </c>
      <c r="E659" s="12">
        <v>24106</v>
      </c>
      <c r="F659" s="12"/>
      <c r="G659" s="10" t="s">
        <v>1202</v>
      </c>
      <c r="H659" s="12"/>
      <c r="I659" s="12"/>
      <c r="J659" s="12"/>
      <c r="K659" s="110" t="s">
        <v>48</v>
      </c>
      <c r="L659" s="75"/>
      <c r="M659" s="105"/>
    </row>
    <row r="660" spans="1:13" ht="14.25" customHeight="1" x14ac:dyDescent="0.35">
      <c r="A660" s="78" t="s">
        <v>1203</v>
      </c>
      <c r="B660" s="84"/>
      <c r="C660" s="82" t="s">
        <v>1204</v>
      </c>
      <c r="D660" s="10" t="s">
        <v>1205</v>
      </c>
      <c r="E660" s="12">
        <v>24107</v>
      </c>
      <c r="F660" s="12"/>
      <c r="G660" s="10"/>
      <c r="H660" s="12"/>
      <c r="I660" s="12"/>
      <c r="J660" s="12"/>
      <c r="K660" s="110" t="s">
        <v>48</v>
      </c>
      <c r="L660" s="75"/>
      <c r="M660" s="105"/>
    </row>
    <row r="661" spans="1:13" ht="14.25" customHeight="1" x14ac:dyDescent="0.35">
      <c r="A661" s="12"/>
      <c r="B661" s="9"/>
      <c r="C661" s="158" t="s">
        <v>1206</v>
      </c>
      <c r="D661" s="10" t="s">
        <v>1207</v>
      </c>
      <c r="E661" s="12">
        <v>24108</v>
      </c>
      <c r="F661" s="12"/>
      <c r="G661" s="10"/>
      <c r="H661" s="12"/>
      <c r="I661" s="12"/>
      <c r="J661" s="12"/>
      <c r="K661" s="110" t="s">
        <v>48</v>
      </c>
      <c r="L661" s="75"/>
      <c r="M661" s="105"/>
    </row>
    <row r="662" spans="1:13" ht="14.25" customHeight="1" x14ac:dyDescent="0.35">
      <c r="A662" s="12"/>
      <c r="B662" s="9"/>
      <c r="C662" s="158" t="s">
        <v>125</v>
      </c>
      <c r="D662" s="10" t="s">
        <v>1208</v>
      </c>
      <c r="E662" s="12">
        <v>24109</v>
      </c>
      <c r="F662" s="12"/>
      <c r="G662" s="10"/>
      <c r="H662" s="12"/>
      <c r="I662" s="12"/>
      <c r="J662" s="12"/>
      <c r="K662" s="110" t="s">
        <v>48</v>
      </c>
      <c r="L662" s="75"/>
      <c r="M662" s="105"/>
    </row>
    <row r="663" spans="1:13" ht="14.25" customHeight="1" x14ac:dyDescent="0.35">
      <c r="A663" s="78" t="s">
        <v>1209</v>
      </c>
      <c r="B663" s="99" t="s">
        <v>2148</v>
      </c>
      <c r="C663" s="82" t="s">
        <v>957</v>
      </c>
      <c r="D663" s="10" t="s">
        <v>1210</v>
      </c>
      <c r="E663" s="12">
        <v>24110</v>
      </c>
      <c r="F663" s="12"/>
      <c r="G663" s="10" t="s">
        <v>1211</v>
      </c>
      <c r="H663" s="12"/>
      <c r="I663" s="12"/>
      <c r="J663" s="12"/>
      <c r="K663" s="110" t="s">
        <v>13</v>
      </c>
      <c r="L663" s="75"/>
      <c r="M663" s="105"/>
    </row>
    <row r="664" spans="1:13" ht="14.25" customHeight="1" x14ac:dyDescent="0.35">
      <c r="A664" s="78" t="s">
        <v>1212</v>
      </c>
      <c r="B664" s="84"/>
      <c r="C664" s="82" t="s">
        <v>1003</v>
      </c>
      <c r="D664" s="10" t="s">
        <v>1004</v>
      </c>
      <c r="E664" s="12">
        <v>24111</v>
      </c>
      <c r="F664" s="12">
        <v>10</v>
      </c>
      <c r="G664" s="10"/>
      <c r="H664" s="12"/>
      <c r="I664" s="12"/>
      <c r="J664" s="12"/>
      <c r="K664" s="110" t="s">
        <v>9</v>
      </c>
      <c r="L664" s="75"/>
      <c r="M664" s="105"/>
    </row>
    <row r="665" spans="1:13" ht="14.25" customHeight="1" x14ac:dyDescent="0.35">
      <c r="A665" s="12"/>
      <c r="B665" s="9"/>
      <c r="C665" s="158" t="s">
        <v>288</v>
      </c>
      <c r="D665" s="10" t="s">
        <v>1213</v>
      </c>
      <c r="E665" s="12">
        <v>24112</v>
      </c>
      <c r="F665" s="12"/>
      <c r="G665" s="10"/>
      <c r="H665" s="12"/>
      <c r="I665" s="12"/>
      <c r="J665" s="12"/>
      <c r="K665" s="110" t="s">
        <v>48</v>
      </c>
      <c r="L665" s="75"/>
      <c r="M665" s="105"/>
    </row>
    <row r="666" spans="1:13" ht="14.25" customHeight="1" x14ac:dyDescent="0.35">
      <c r="A666" s="12"/>
      <c r="B666" s="9" t="s">
        <v>2196</v>
      </c>
      <c r="C666" s="158" t="s">
        <v>1215</v>
      </c>
      <c r="D666" s="10" t="s">
        <v>1216</v>
      </c>
      <c r="E666" s="12">
        <v>24113</v>
      </c>
      <c r="F666" s="12"/>
      <c r="G666" s="10"/>
      <c r="H666" s="12"/>
      <c r="I666" s="12"/>
      <c r="J666" s="12"/>
      <c r="K666" s="110" t="s">
        <v>48</v>
      </c>
      <c r="L666" s="75"/>
      <c r="M666" s="105"/>
    </row>
    <row r="667" spans="1:13" ht="14.25" customHeight="1" x14ac:dyDescent="0.35">
      <c r="A667" s="78" t="s">
        <v>1217</v>
      </c>
      <c r="B667" s="99" t="s">
        <v>2149</v>
      </c>
      <c r="C667" s="82" t="s">
        <v>353</v>
      </c>
      <c r="D667" s="10" t="s">
        <v>961</v>
      </c>
      <c r="E667" s="12">
        <v>24114</v>
      </c>
      <c r="F667" s="12">
        <v>10</v>
      </c>
      <c r="G667" s="10" t="s">
        <v>1218</v>
      </c>
      <c r="H667" s="12"/>
      <c r="I667" s="12"/>
      <c r="J667" s="12"/>
      <c r="K667" s="110" t="s">
        <v>9</v>
      </c>
      <c r="L667" s="75"/>
      <c r="M667" s="105"/>
    </row>
    <row r="668" spans="1:13" ht="14.25" customHeight="1" x14ac:dyDescent="0.35">
      <c r="A668" s="78" t="s">
        <v>1219</v>
      </c>
      <c r="B668" s="9"/>
      <c r="C668" s="82" t="s">
        <v>353</v>
      </c>
      <c r="D668" s="10" t="s">
        <v>1220</v>
      </c>
      <c r="E668" s="12">
        <v>24115</v>
      </c>
      <c r="F668" s="12">
        <v>5</v>
      </c>
      <c r="G668" s="10"/>
      <c r="H668" s="12"/>
      <c r="I668" s="12"/>
      <c r="J668" s="12"/>
      <c r="K668" s="110" t="s">
        <v>9</v>
      </c>
      <c r="L668" s="75"/>
      <c r="M668" s="105"/>
    </row>
    <row r="669" spans="1:13" ht="14.25" customHeight="1" x14ac:dyDescent="0.35">
      <c r="A669" s="157" t="s">
        <v>1953</v>
      </c>
      <c r="B669" s="9"/>
      <c r="C669" s="82" t="s">
        <v>189</v>
      </c>
      <c r="D669" s="10" t="s">
        <v>347</v>
      </c>
      <c r="E669" s="12">
        <v>24116</v>
      </c>
      <c r="F669" s="12">
        <v>10</v>
      </c>
      <c r="G669" s="10"/>
      <c r="H669" s="12"/>
      <c r="I669" s="12"/>
      <c r="J669" s="12"/>
      <c r="K669" s="69" t="s">
        <v>9</v>
      </c>
      <c r="L669" s="75" t="s">
        <v>9</v>
      </c>
      <c r="M669" s="105"/>
    </row>
    <row r="670" spans="1:13" ht="14.25" customHeight="1" x14ac:dyDescent="0.35">
      <c r="A670" s="78" t="s">
        <v>1223</v>
      </c>
      <c r="B670" s="95" t="s">
        <v>2150</v>
      </c>
      <c r="C670" s="82" t="s">
        <v>953</v>
      </c>
      <c r="D670" s="10" t="s">
        <v>954</v>
      </c>
      <c r="E670" s="12">
        <v>24117</v>
      </c>
      <c r="F670" s="12">
        <v>10</v>
      </c>
      <c r="G670" s="10"/>
      <c r="H670" s="12"/>
      <c r="I670" s="12"/>
      <c r="J670" s="12"/>
      <c r="K670" s="69" t="s">
        <v>9</v>
      </c>
      <c r="L670" s="75"/>
      <c r="M670" s="105"/>
    </row>
    <row r="671" spans="1:13" ht="14.25" customHeight="1" x14ac:dyDescent="0.35">
      <c r="A671" s="12"/>
      <c r="B671" s="9"/>
      <c r="C671" s="158" t="s">
        <v>1224</v>
      </c>
      <c r="D671" s="10" t="s">
        <v>1225</v>
      </c>
      <c r="E671" s="12">
        <v>24118</v>
      </c>
      <c r="F671" s="12"/>
      <c r="G671" s="10"/>
      <c r="H671" s="12"/>
      <c r="I671" s="12"/>
      <c r="J671" s="12"/>
      <c r="K671" s="110" t="s">
        <v>48</v>
      </c>
      <c r="L671" s="75"/>
      <c r="M671" s="105"/>
    </row>
    <row r="672" spans="1:13" ht="14.25" customHeight="1" x14ac:dyDescent="0.35">
      <c r="A672" s="78" t="s">
        <v>1226</v>
      </c>
      <c r="B672" s="95" t="s">
        <v>2151</v>
      </c>
      <c r="C672" s="82" t="s">
        <v>1227</v>
      </c>
      <c r="D672" s="10" t="s">
        <v>1228</v>
      </c>
      <c r="E672" s="12">
        <v>24119</v>
      </c>
      <c r="F672" s="12"/>
      <c r="G672" s="10"/>
      <c r="H672" s="12"/>
      <c r="I672" s="12"/>
      <c r="J672" s="12"/>
      <c r="K672" s="110" t="s">
        <v>9</v>
      </c>
      <c r="L672" s="75"/>
      <c r="M672" s="105"/>
    </row>
    <row r="673" spans="1:13" ht="14.25" customHeight="1" x14ac:dyDescent="0.35">
      <c r="A673" s="78" t="s">
        <v>1229</v>
      </c>
      <c r="B673" s="9" t="s">
        <v>2195</v>
      </c>
      <c r="C673" s="82" t="s">
        <v>1230</v>
      </c>
      <c r="D673" s="10" t="s">
        <v>1231</v>
      </c>
      <c r="E673" s="12">
        <v>24120</v>
      </c>
      <c r="F673" s="12">
        <v>10</v>
      </c>
      <c r="G673" s="10"/>
      <c r="H673" s="12"/>
      <c r="I673" s="12"/>
      <c r="J673" s="12"/>
      <c r="K673" s="69" t="s">
        <v>9</v>
      </c>
      <c r="L673" s="75"/>
      <c r="M673" s="105"/>
    </row>
    <row r="674" spans="1:13" ht="14.25" customHeight="1" x14ac:dyDescent="0.35">
      <c r="A674" s="12"/>
      <c r="B674" s="25"/>
      <c r="C674" s="158" t="s">
        <v>150</v>
      </c>
      <c r="D674" s="10" t="s">
        <v>1232</v>
      </c>
      <c r="E674" s="12">
        <v>24121</v>
      </c>
      <c r="F674" s="12"/>
      <c r="G674" s="10"/>
      <c r="H674" s="12"/>
      <c r="I674" s="12"/>
      <c r="J674" s="12"/>
      <c r="K674" s="110" t="s">
        <v>20</v>
      </c>
      <c r="L674" s="75"/>
      <c r="M674" s="105"/>
    </row>
    <row r="675" spans="1:13" ht="14.25" customHeight="1" x14ac:dyDescent="0.35">
      <c r="A675" s="12"/>
      <c r="B675" s="95" t="s">
        <v>2152</v>
      </c>
      <c r="C675" s="158" t="s">
        <v>1233</v>
      </c>
      <c r="D675" s="10" t="s">
        <v>1234</v>
      </c>
      <c r="E675" s="12">
        <v>24122</v>
      </c>
      <c r="F675" s="12"/>
      <c r="G675" s="10" t="s">
        <v>1235</v>
      </c>
      <c r="H675" s="12"/>
      <c r="I675" s="12"/>
      <c r="J675" s="12"/>
      <c r="K675" s="69" t="s">
        <v>48</v>
      </c>
      <c r="L675" s="75"/>
      <c r="M675" s="105"/>
    </row>
    <row r="676" spans="1:13" ht="14.25" customHeight="1" x14ac:dyDescent="0.35">
      <c r="A676" s="12"/>
      <c r="B676" s="25" t="s">
        <v>2194</v>
      </c>
      <c r="C676" s="158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10" t="s">
        <v>48</v>
      </c>
      <c r="L676" s="75"/>
      <c r="M676" s="105"/>
    </row>
    <row r="677" spans="1:13" ht="14.25" customHeight="1" x14ac:dyDescent="0.35">
      <c r="A677" s="78" t="s">
        <v>1238</v>
      </c>
      <c r="B677" s="25"/>
      <c r="C677" s="82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10" t="s">
        <v>9</v>
      </c>
      <c r="L677" s="75"/>
      <c r="M677" s="105"/>
    </row>
    <row r="678" spans="1:13" ht="14.25" customHeight="1" x14ac:dyDescent="0.35">
      <c r="A678" s="12"/>
      <c r="B678" s="25"/>
      <c r="C678" s="158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10"/>
      <c r="L678" s="75"/>
      <c r="M678" s="105"/>
    </row>
    <row r="679" spans="1:13" ht="14.25" customHeight="1" x14ac:dyDescent="0.35">
      <c r="A679" s="12"/>
      <c r="B679" s="100" t="s">
        <v>2153</v>
      </c>
      <c r="C679" s="158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10" t="s">
        <v>48</v>
      </c>
      <c r="L679" s="75"/>
      <c r="M679" s="105"/>
    </row>
    <row r="680" spans="1:13" ht="14.25" customHeight="1" x14ac:dyDescent="0.35">
      <c r="A680" s="12"/>
      <c r="B680" s="100" t="s">
        <v>2154</v>
      </c>
      <c r="C680" s="158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10" t="s">
        <v>48</v>
      </c>
      <c r="L680" s="75"/>
      <c r="M680" s="105"/>
    </row>
    <row r="681" spans="1:13" ht="14.25" customHeight="1" x14ac:dyDescent="0.35">
      <c r="A681" s="12"/>
      <c r="B681" s="25"/>
      <c r="C681" s="158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10" t="s">
        <v>48</v>
      </c>
      <c r="L681" s="75"/>
      <c r="M681" s="105"/>
    </row>
    <row r="682" spans="1:13" ht="14.25" customHeight="1" x14ac:dyDescent="0.35">
      <c r="A682" s="78" t="s">
        <v>1249</v>
      </c>
      <c r="B682" s="25"/>
      <c r="C682" s="82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10" t="s">
        <v>9</v>
      </c>
      <c r="L682" s="75"/>
      <c r="M682" s="105"/>
    </row>
    <row r="683" spans="1:13" ht="14.25" customHeight="1" x14ac:dyDescent="0.35">
      <c r="A683" s="12"/>
      <c r="B683" s="25"/>
      <c r="C683" s="158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10" t="s">
        <v>48</v>
      </c>
      <c r="L683" s="75"/>
      <c r="M683" s="105"/>
    </row>
    <row r="684" spans="1:13" ht="14.25" customHeight="1" x14ac:dyDescent="0.35">
      <c r="A684" s="12"/>
      <c r="B684" s="25"/>
      <c r="C684" s="158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10" t="s">
        <v>48</v>
      </c>
      <c r="L684" s="75"/>
      <c r="M684" s="105"/>
    </row>
    <row r="685" spans="1:13" ht="14.25" customHeight="1" x14ac:dyDescent="0.35">
      <c r="A685" s="12"/>
      <c r="B685" s="25"/>
      <c r="C685" s="158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10" t="s">
        <v>48</v>
      </c>
      <c r="L685" s="75"/>
      <c r="M685" s="105"/>
    </row>
    <row r="686" spans="1:13" ht="14.25" customHeight="1" x14ac:dyDescent="0.35">
      <c r="A686" s="78" t="s">
        <v>1257</v>
      </c>
      <c r="B686" s="25"/>
      <c r="C686" s="82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10" t="s">
        <v>9</v>
      </c>
      <c r="L686" s="75"/>
      <c r="M686" s="105"/>
    </row>
    <row r="687" spans="1:13" ht="14.25" customHeight="1" x14ac:dyDescent="0.35">
      <c r="A687" s="12"/>
      <c r="B687" s="25"/>
      <c r="C687" s="158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10" t="s">
        <v>48</v>
      </c>
      <c r="L687" s="75"/>
      <c r="M687" s="105"/>
    </row>
    <row r="688" spans="1:13" ht="14.25" customHeight="1" x14ac:dyDescent="0.35">
      <c r="A688" s="12"/>
      <c r="B688" s="25" t="s">
        <v>2193</v>
      </c>
      <c r="C688" s="158" t="s">
        <v>1261</v>
      </c>
      <c r="D688" s="10" t="s">
        <v>1262</v>
      </c>
      <c r="E688" s="12">
        <v>24135</v>
      </c>
      <c r="F688" s="12"/>
      <c r="G688" s="10"/>
      <c r="H688" s="12"/>
      <c r="I688" s="12"/>
      <c r="J688" s="12"/>
      <c r="K688" s="110" t="s">
        <v>48</v>
      </c>
      <c r="L688" s="75"/>
      <c r="M688" s="105"/>
    </row>
    <row r="689" spans="1:13" ht="14.25" customHeight="1" x14ac:dyDescent="0.35">
      <c r="A689" s="12"/>
      <c r="B689" s="25" t="s">
        <v>2192</v>
      </c>
      <c r="C689" s="158" t="s">
        <v>1263</v>
      </c>
      <c r="D689" s="10" t="s">
        <v>1264</v>
      </c>
      <c r="E689" s="12">
        <v>24136</v>
      </c>
      <c r="F689" s="12"/>
      <c r="G689" s="10"/>
      <c r="H689" s="12"/>
      <c r="I689" s="12"/>
      <c r="J689" s="12"/>
      <c r="K689" s="110" t="s">
        <v>48</v>
      </c>
      <c r="L689" s="75"/>
      <c r="M689" s="105"/>
    </row>
    <row r="690" spans="1:13" ht="14.25" customHeight="1" x14ac:dyDescent="0.35">
      <c r="A690" s="12"/>
      <c r="B690" s="25"/>
      <c r="C690" s="158" t="s">
        <v>27</v>
      </c>
      <c r="D690" s="10" t="s">
        <v>1265</v>
      </c>
      <c r="E690" s="12">
        <v>24137</v>
      </c>
      <c r="F690" s="12"/>
      <c r="G690" s="10"/>
      <c r="H690" s="12"/>
      <c r="I690" s="12"/>
      <c r="J690" s="12"/>
      <c r="K690" s="110" t="s">
        <v>48</v>
      </c>
      <c r="L690" s="75"/>
      <c r="M690" s="105"/>
    </row>
    <row r="691" spans="1:13" ht="14.25" customHeight="1" x14ac:dyDescent="0.35">
      <c r="A691" s="12"/>
      <c r="B691" s="100" t="s">
        <v>2155</v>
      </c>
      <c r="C691" s="158" t="s">
        <v>1267</v>
      </c>
      <c r="D691" s="10" t="s">
        <v>1268</v>
      </c>
      <c r="E691" s="12">
        <v>24138</v>
      </c>
      <c r="F691" s="12"/>
      <c r="G691" s="10"/>
      <c r="H691" s="12"/>
      <c r="I691" s="12"/>
      <c r="J691" s="12"/>
      <c r="K691" s="110" t="s">
        <v>48</v>
      </c>
      <c r="L691" s="75"/>
      <c r="M691" s="105"/>
    </row>
    <row r="692" spans="1:13" ht="14.25" customHeight="1" x14ac:dyDescent="0.35">
      <c r="A692" s="12"/>
      <c r="B692" s="100" t="s">
        <v>2157</v>
      </c>
      <c r="C692" s="158" t="s">
        <v>1269</v>
      </c>
      <c r="D692" s="10" t="s">
        <v>1270</v>
      </c>
      <c r="E692" s="12">
        <v>24139</v>
      </c>
      <c r="F692" s="12"/>
      <c r="G692" s="10"/>
      <c r="H692" s="12"/>
      <c r="I692" s="12"/>
      <c r="J692" s="12"/>
      <c r="K692" s="110" t="s">
        <v>48</v>
      </c>
      <c r="L692" s="75"/>
      <c r="M692" s="105"/>
    </row>
    <row r="693" spans="1:13" ht="14.25" customHeight="1" x14ac:dyDescent="0.35">
      <c r="A693" s="78" t="s">
        <v>1271</v>
      </c>
      <c r="B693" s="25">
        <v>8824910453</v>
      </c>
      <c r="C693" s="82" t="s">
        <v>1272</v>
      </c>
      <c r="D693" s="10" t="s">
        <v>1273</v>
      </c>
      <c r="E693" s="12">
        <v>24140</v>
      </c>
      <c r="F693" s="12">
        <v>5</v>
      </c>
      <c r="G693" s="10"/>
      <c r="H693" s="12"/>
      <c r="I693" s="12"/>
      <c r="J693" s="12"/>
      <c r="K693" s="110" t="s">
        <v>9</v>
      </c>
      <c r="L693" s="75"/>
      <c r="M693" s="105"/>
    </row>
    <row r="694" spans="1:13" ht="14.25" customHeight="1" x14ac:dyDescent="0.35">
      <c r="A694" s="12"/>
      <c r="B694" s="100" t="s">
        <v>2156</v>
      </c>
      <c r="C694" s="158" t="s">
        <v>1275</v>
      </c>
      <c r="D694" s="10" t="s">
        <v>1276</v>
      </c>
      <c r="E694" s="12">
        <v>24141</v>
      </c>
      <c r="F694" s="12"/>
      <c r="G694" s="10"/>
      <c r="H694" s="12"/>
      <c r="I694" s="12"/>
      <c r="J694" s="12"/>
      <c r="K694" s="110" t="s">
        <v>48</v>
      </c>
      <c r="L694" s="75"/>
      <c r="M694" s="105"/>
    </row>
    <row r="695" spans="1:13" ht="14.25" customHeight="1" x14ac:dyDescent="0.35">
      <c r="A695" s="12"/>
      <c r="B695" s="25"/>
      <c r="C695" s="82" t="s">
        <v>7</v>
      </c>
      <c r="D695" s="10" t="s">
        <v>1277</v>
      </c>
      <c r="E695" s="12">
        <v>24142</v>
      </c>
      <c r="F695" s="12"/>
      <c r="G695" s="10"/>
      <c r="H695" s="12"/>
      <c r="I695" s="12"/>
      <c r="J695" s="12"/>
      <c r="K695" s="110" t="s">
        <v>48</v>
      </c>
      <c r="L695" s="75"/>
      <c r="M695" s="105"/>
    </row>
    <row r="696" spans="1:13" ht="14.25" customHeight="1" x14ac:dyDescent="0.35">
      <c r="A696" s="78" t="s">
        <v>2413</v>
      </c>
      <c r="B696" s="25"/>
      <c r="C696" s="82" t="s">
        <v>726</v>
      </c>
      <c r="D696" s="10" t="s">
        <v>418</v>
      </c>
      <c r="E696" s="12">
        <v>24143</v>
      </c>
      <c r="F696" s="12">
        <v>10</v>
      </c>
      <c r="G696" s="10"/>
      <c r="H696" s="12"/>
      <c r="I696" s="12"/>
      <c r="J696" s="12"/>
      <c r="K696" s="110" t="s">
        <v>9</v>
      </c>
      <c r="L696" s="75"/>
      <c r="M696" s="105"/>
    </row>
    <row r="697" spans="1:13" ht="14.25" customHeight="1" x14ac:dyDescent="0.35">
      <c r="A697" s="12"/>
      <c r="B697" s="25"/>
      <c r="C697" s="82" t="s">
        <v>1278</v>
      </c>
      <c r="D697" s="10" t="s">
        <v>1279</v>
      </c>
      <c r="E697" s="12">
        <v>24144</v>
      </c>
      <c r="F697" s="12"/>
      <c r="G697" s="10"/>
      <c r="H697" s="12"/>
      <c r="I697" s="12"/>
      <c r="J697" s="12"/>
      <c r="K697" s="110" t="s">
        <v>48</v>
      </c>
      <c r="L697" s="75"/>
      <c r="M697" s="105"/>
    </row>
    <row r="698" spans="1:13" ht="14.25" customHeight="1" x14ac:dyDescent="0.35">
      <c r="A698" s="85" t="s">
        <v>1280</v>
      </c>
      <c r="B698" s="68" t="s">
        <v>1896</v>
      </c>
      <c r="C698" s="27" t="s">
        <v>353</v>
      </c>
      <c r="D698" s="28" t="s">
        <v>1281</v>
      </c>
      <c r="E698" s="29">
        <v>24220</v>
      </c>
      <c r="F698" s="29">
        <v>5</v>
      </c>
      <c r="G698" s="28" t="s">
        <v>1282</v>
      </c>
      <c r="H698" s="29"/>
      <c r="I698" s="29"/>
      <c r="J698" s="29"/>
      <c r="K698" s="111" t="s">
        <v>9</v>
      </c>
      <c r="L698" s="75"/>
      <c r="M698" s="105"/>
    </row>
    <row r="699" spans="1:13" ht="14.25" customHeight="1" x14ac:dyDescent="0.35">
      <c r="A699" s="126" t="s">
        <v>1283</v>
      </c>
      <c r="B699" s="127" t="s">
        <v>1897</v>
      </c>
      <c r="C699" s="27" t="s">
        <v>1285</v>
      </c>
      <c r="D699" s="118" t="s">
        <v>1286</v>
      </c>
      <c r="E699" s="117">
        <v>24221</v>
      </c>
      <c r="F699" s="117">
        <v>3</v>
      </c>
      <c r="G699" s="118" t="s">
        <v>1287</v>
      </c>
      <c r="H699" s="117"/>
      <c r="I699" s="117"/>
      <c r="J699" s="117"/>
      <c r="K699" s="119" t="s">
        <v>9</v>
      </c>
      <c r="L699" s="120"/>
      <c r="M699" s="105"/>
    </row>
    <row r="700" spans="1:13" ht="14.25" customHeight="1" x14ac:dyDescent="0.35">
      <c r="A700" s="121" t="s">
        <v>1816</v>
      </c>
      <c r="B700" s="137"/>
      <c r="C700" s="105" t="s">
        <v>1027</v>
      </c>
      <c r="D700" s="122" t="s">
        <v>1028</v>
      </c>
      <c r="E700" s="76">
        <v>25001</v>
      </c>
      <c r="F700" s="121">
        <v>10</v>
      </c>
      <c r="G700" s="122" t="s">
        <v>1817</v>
      </c>
      <c r="H700" s="75"/>
      <c r="I700" s="75"/>
      <c r="J700" s="75"/>
      <c r="K700" s="75"/>
      <c r="L700" s="121" t="s">
        <v>20</v>
      </c>
      <c r="M700" s="105"/>
    </row>
    <row r="701" spans="1:13" ht="14.25" customHeight="1" x14ac:dyDescent="0.35">
      <c r="A701" s="76" t="s">
        <v>1820</v>
      </c>
      <c r="B701" s="143"/>
      <c r="C701" s="105" t="s">
        <v>1526</v>
      </c>
      <c r="D701" s="123" t="s">
        <v>1819</v>
      </c>
      <c r="E701" s="76">
        <v>25002</v>
      </c>
      <c r="F701" s="76">
        <v>10</v>
      </c>
      <c r="G701" s="123"/>
      <c r="H701" s="75"/>
      <c r="I701" s="75"/>
      <c r="J701" s="75"/>
      <c r="K701" s="75"/>
      <c r="L701" s="76" t="s">
        <v>20</v>
      </c>
      <c r="M701" s="105"/>
    </row>
    <row r="702" spans="1:13" ht="14.25" customHeight="1" x14ac:dyDescent="0.35">
      <c r="A702" s="121" t="s">
        <v>1822</v>
      </c>
      <c r="B702" s="137" t="s">
        <v>2130</v>
      </c>
      <c r="C702" s="105" t="s">
        <v>2297</v>
      </c>
      <c r="D702" s="122" t="s">
        <v>1821</v>
      </c>
      <c r="E702" s="76">
        <v>25003</v>
      </c>
      <c r="F702" s="121">
        <v>10</v>
      </c>
      <c r="G702" s="122" t="s">
        <v>2198</v>
      </c>
      <c r="H702" s="75"/>
      <c r="I702" s="75"/>
      <c r="J702" s="75"/>
      <c r="K702" s="75"/>
      <c r="L702" s="121" t="s">
        <v>9</v>
      </c>
      <c r="M702" s="105"/>
    </row>
    <row r="703" spans="1:13" ht="14.25" customHeight="1" x14ac:dyDescent="0.35">
      <c r="A703" s="76" t="s">
        <v>1032</v>
      </c>
      <c r="B703" s="143" t="s">
        <v>1033</v>
      </c>
      <c r="C703" s="105" t="s">
        <v>1034</v>
      </c>
      <c r="D703" s="123" t="s">
        <v>1824</v>
      </c>
      <c r="E703" s="76">
        <v>25004</v>
      </c>
      <c r="F703" s="76">
        <v>10</v>
      </c>
      <c r="G703" s="123" t="s">
        <v>1825</v>
      </c>
      <c r="H703" s="75"/>
      <c r="I703" s="75"/>
      <c r="J703" s="75"/>
      <c r="K703" s="75"/>
      <c r="L703" s="76" t="s">
        <v>9</v>
      </c>
      <c r="M703" s="105"/>
    </row>
    <row r="704" spans="1:13" ht="14.25" customHeight="1" x14ac:dyDescent="0.35">
      <c r="A704" s="121" t="s">
        <v>1828</v>
      </c>
      <c r="B704" s="137">
        <v>49407112141</v>
      </c>
      <c r="C704" s="105" t="s">
        <v>792</v>
      </c>
      <c r="D704" s="122" t="s">
        <v>793</v>
      </c>
      <c r="E704" s="76">
        <v>25005</v>
      </c>
      <c r="F704" s="121">
        <v>10</v>
      </c>
      <c r="G704" s="122" t="s">
        <v>1829</v>
      </c>
      <c r="H704" s="75"/>
      <c r="I704" s="75"/>
      <c r="J704" s="75"/>
      <c r="K704" s="75"/>
      <c r="L704" s="121" t="s">
        <v>9</v>
      </c>
      <c r="M704" s="105"/>
    </row>
    <row r="705" spans="1:13" ht="14.25" customHeight="1" x14ac:dyDescent="0.35">
      <c r="A705" s="129" t="s">
        <v>1831</v>
      </c>
      <c r="B705" s="159" t="s">
        <v>2309</v>
      </c>
      <c r="C705" s="105" t="s">
        <v>2247</v>
      </c>
      <c r="D705" s="128" t="s">
        <v>1830</v>
      </c>
      <c r="E705" s="76">
        <v>25006</v>
      </c>
      <c r="F705" s="76">
        <v>10</v>
      </c>
      <c r="G705" s="76" t="s">
        <v>1832</v>
      </c>
      <c r="H705" s="75"/>
      <c r="I705" s="75"/>
      <c r="J705" s="75"/>
      <c r="K705" s="75"/>
      <c r="L705" s="76" t="s">
        <v>9</v>
      </c>
      <c r="M705" s="105"/>
    </row>
    <row r="706" spans="1:13" ht="14.25" customHeight="1" x14ac:dyDescent="0.35">
      <c r="A706" s="76"/>
      <c r="B706" s="159" t="s">
        <v>2311</v>
      </c>
      <c r="C706" s="105" t="s">
        <v>1528</v>
      </c>
      <c r="D706" s="128" t="s">
        <v>1834</v>
      </c>
      <c r="E706" s="76">
        <v>25007</v>
      </c>
      <c r="F706" s="76">
        <v>10</v>
      </c>
      <c r="G706" s="76" t="s">
        <v>1835</v>
      </c>
      <c r="H706" s="75"/>
      <c r="I706" s="75"/>
      <c r="J706" s="75"/>
      <c r="K706" s="75"/>
      <c r="L706" s="76" t="s">
        <v>9</v>
      </c>
      <c r="M706" s="105"/>
    </row>
    <row r="707" spans="1:13" ht="14.25" customHeight="1" x14ac:dyDescent="0.35">
      <c r="A707" s="129" t="s">
        <v>1838</v>
      </c>
      <c r="B707" s="159" t="s">
        <v>2312</v>
      </c>
      <c r="C707" s="105" t="s">
        <v>7</v>
      </c>
      <c r="D707" s="128" t="s">
        <v>1837</v>
      </c>
      <c r="E707" s="76">
        <v>25008</v>
      </c>
      <c r="F707" s="76">
        <v>10</v>
      </c>
      <c r="G707" s="76"/>
      <c r="H707" s="75"/>
      <c r="I707" s="75"/>
      <c r="J707" s="75"/>
      <c r="K707" s="75"/>
      <c r="L707" s="76" t="s">
        <v>9</v>
      </c>
      <c r="M707" s="105"/>
    </row>
    <row r="708" spans="1:13" ht="14.25" customHeight="1" x14ac:dyDescent="0.35">
      <c r="A708" s="129" t="s">
        <v>1840</v>
      </c>
      <c r="B708" s="159" t="s">
        <v>2314</v>
      </c>
      <c r="C708" s="105" t="s">
        <v>1529</v>
      </c>
      <c r="D708" s="128" t="s">
        <v>2248</v>
      </c>
      <c r="E708" s="76">
        <v>25009</v>
      </c>
      <c r="F708" s="76">
        <v>10</v>
      </c>
      <c r="G708" s="76"/>
      <c r="H708" s="75"/>
      <c r="I708" s="75"/>
      <c r="J708" s="75"/>
      <c r="K708" s="75"/>
      <c r="L708" s="76" t="s">
        <v>9</v>
      </c>
      <c r="M708" s="105"/>
    </row>
    <row r="709" spans="1:13" ht="14.25" customHeight="1" x14ac:dyDescent="0.35">
      <c r="A709" s="129" t="s">
        <v>1842</v>
      </c>
      <c r="B709" s="159" t="s">
        <v>2315</v>
      </c>
      <c r="C709" s="105" t="s">
        <v>1530</v>
      </c>
      <c r="D709" s="128" t="s">
        <v>652</v>
      </c>
      <c r="E709" s="76">
        <v>25010</v>
      </c>
      <c r="F709" s="76">
        <v>10</v>
      </c>
      <c r="G709" s="76" t="s">
        <v>1843</v>
      </c>
      <c r="H709" s="75"/>
      <c r="I709" s="75"/>
      <c r="J709" s="75"/>
      <c r="K709" s="75"/>
      <c r="L709" s="76" t="s">
        <v>9</v>
      </c>
      <c r="M709" s="105"/>
    </row>
    <row r="710" spans="1:13" ht="14.25" customHeight="1" x14ac:dyDescent="0.35">
      <c r="A710" s="129" t="s">
        <v>1845</v>
      </c>
      <c r="B710" s="159" t="s">
        <v>2316</v>
      </c>
      <c r="C710" s="105" t="s">
        <v>1074</v>
      </c>
      <c r="D710" s="128" t="s">
        <v>1844</v>
      </c>
      <c r="E710" s="76">
        <v>25011</v>
      </c>
      <c r="F710" s="76">
        <v>10</v>
      </c>
      <c r="G710" s="76" t="s">
        <v>1846</v>
      </c>
      <c r="H710" s="75"/>
      <c r="I710" s="75"/>
      <c r="J710" s="75"/>
      <c r="K710" s="75"/>
      <c r="L710" s="76" t="s">
        <v>9</v>
      </c>
      <c r="M710" s="105"/>
    </row>
    <row r="711" spans="1:13" ht="14.25" customHeight="1" x14ac:dyDescent="0.35">
      <c r="A711" s="129" t="s">
        <v>1847</v>
      </c>
      <c r="B711" s="159" t="s">
        <v>2317</v>
      </c>
      <c r="C711" s="105" t="s">
        <v>1027</v>
      </c>
      <c r="D711" s="128" t="s">
        <v>1028</v>
      </c>
      <c r="E711" s="76">
        <v>25012</v>
      </c>
      <c r="F711" s="76">
        <v>10</v>
      </c>
      <c r="G711" s="76" t="s">
        <v>1848</v>
      </c>
      <c r="H711" s="75"/>
      <c r="I711" s="75"/>
      <c r="J711" s="75"/>
      <c r="K711" s="75"/>
      <c r="L711" s="76" t="s">
        <v>9</v>
      </c>
      <c r="M711" s="105"/>
    </row>
    <row r="712" spans="1:13" ht="14.25" customHeight="1" x14ac:dyDescent="0.35">
      <c r="A712" s="129" t="s">
        <v>2415</v>
      </c>
      <c r="B712" s="159" t="s">
        <v>2088</v>
      </c>
      <c r="C712" s="105" t="s">
        <v>379</v>
      </c>
      <c r="D712" s="125" t="s">
        <v>737</v>
      </c>
      <c r="E712" s="76">
        <v>25013</v>
      </c>
      <c r="F712" s="124">
        <v>10</v>
      </c>
      <c r="G712" s="125" t="s">
        <v>65</v>
      </c>
      <c r="H712" s="75"/>
      <c r="I712" s="75"/>
      <c r="J712" s="75"/>
      <c r="K712" s="75"/>
      <c r="L712" s="124" t="s">
        <v>9</v>
      </c>
      <c r="M712" s="105"/>
    </row>
    <row r="713" spans="1:13" ht="14.25" customHeight="1" x14ac:dyDescent="0.35">
      <c r="A713" s="129" t="s">
        <v>2416</v>
      </c>
      <c r="B713" s="159"/>
      <c r="C713" s="105" t="s">
        <v>831</v>
      </c>
      <c r="D713" s="125" t="s">
        <v>832</v>
      </c>
      <c r="E713" s="76">
        <v>25014</v>
      </c>
      <c r="F713" s="124">
        <v>10</v>
      </c>
      <c r="G713" s="105"/>
      <c r="H713" s="75"/>
      <c r="I713" s="75"/>
      <c r="J713" s="75"/>
      <c r="K713" s="75"/>
      <c r="L713" s="124" t="s">
        <v>9</v>
      </c>
      <c r="M713" s="105"/>
    </row>
    <row r="714" spans="1:13" ht="14.25" customHeight="1" x14ac:dyDescent="0.35">
      <c r="A714" s="129" t="s">
        <v>1852</v>
      </c>
      <c r="B714" s="159" t="s">
        <v>2318</v>
      </c>
      <c r="C714" s="105" t="s">
        <v>1531</v>
      </c>
      <c r="D714" s="125" t="s">
        <v>1851</v>
      </c>
      <c r="E714" s="76">
        <v>25015</v>
      </c>
      <c r="F714" s="124">
        <v>8</v>
      </c>
      <c r="G714" s="105"/>
      <c r="H714" s="75"/>
      <c r="I714" s="75"/>
      <c r="J714" s="75"/>
      <c r="K714" s="75"/>
      <c r="L714" s="124" t="s">
        <v>9</v>
      </c>
      <c r="M714" s="105"/>
    </row>
    <row r="715" spans="1:13" ht="14.25" customHeight="1" x14ac:dyDescent="0.35">
      <c r="A715" s="129" t="s">
        <v>1854</v>
      </c>
      <c r="B715" s="159" t="s">
        <v>2320</v>
      </c>
      <c r="C715" s="105" t="s">
        <v>1039</v>
      </c>
      <c r="D715" s="125" t="s">
        <v>1039</v>
      </c>
      <c r="E715" s="76">
        <v>25016</v>
      </c>
      <c r="F715" s="124">
        <v>10</v>
      </c>
      <c r="G715" s="105"/>
      <c r="H715" s="75"/>
      <c r="I715" s="75"/>
      <c r="J715" s="75"/>
      <c r="K715" s="75"/>
      <c r="L715" s="124" t="s">
        <v>9</v>
      </c>
      <c r="M715" s="105"/>
    </row>
    <row r="716" spans="1:13" ht="14.25" customHeight="1" x14ac:dyDescent="0.35">
      <c r="A716" s="129" t="s">
        <v>6</v>
      </c>
      <c r="B716" s="159"/>
      <c r="C716" s="105" t="s">
        <v>7</v>
      </c>
      <c r="D716" s="125" t="s">
        <v>8</v>
      </c>
      <c r="E716" s="76">
        <v>25017</v>
      </c>
      <c r="F716" s="75"/>
      <c r="G716" s="105"/>
      <c r="H716" s="75"/>
      <c r="I716" s="75"/>
      <c r="J716" s="75"/>
      <c r="K716" s="75"/>
      <c r="L716" s="124" t="s">
        <v>9</v>
      </c>
      <c r="M716" s="105"/>
    </row>
    <row r="717" spans="1:13" ht="14.25" customHeight="1" x14ac:dyDescent="0.35">
      <c r="A717" s="129" t="s">
        <v>1857</v>
      </c>
      <c r="B717" s="159">
        <v>4530604703</v>
      </c>
      <c r="C717" s="105" t="s">
        <v>1532</v>
      </c>
      <c r="D717" s="125" t="s">
        <v>1856</v>
      </c>
      <c r="E717" s="76">
        <v>25018</v>
      </c>
      <c r="F717" s="75"/>
      <c r="G717" s="105"/>
      <c r="H717" s="75"/>
      <c r="I717" s="75"/>
      <c r="J717" s="75"/>
      <c r="K717" s="75"/>
      <c r="L717" s="124" t="s">
        <v>9</v>
      </c>
      <c r="M717" s="105"/>
    </row>
    <row r="718" spans="1:13" ht="14.25" customHeight="1" x14ac:dyDescent="0.35">
      <c r="A718" s="75"/>
      <c r="B718" s="159" t="s">
        <v>2322</v>
      </c>
      <c r="C718" s="105" t="s">
        <v>1533</v>
      </c>
      <c r="D718" s="125" t="s">
        <v>1858</v>
      </c>
      <c r="E718" s="76">
        <v>25019</v>
      </c>
      <c r="F718" s="75"/>
      <c r="G718" s="105"/>
      <c r="H718" s="75"/>
      <c r="I718" s="75"/>
      <c r="J718" s="75"/>
      <c r="K718" s="75"/>
      <c r="L718" s="124" t="s">
        <v>9</v>
      </c>
      <c r="M718" s="105"/>
    </row>
    <row r="719" spans="1:13" ht="14.25" customHeight="1" x14ac:dyDescent="0.35">
      <c r="A719" s="75"/>
      <c r="B719" s="159" t="s">
        <v>2065</v>
      </c>
      <c r="C719" s="105" t="s">
        <v>184</v>
      </c>
      <c r="D719" s="125" t="s">
        <v>185</v>
      </c>
      <c r="E719" s="76">
        <v>25020</v>
      </c>
      <c r="F719" s="124">
        <v>15</v>
      </c>
      <c r="G719" s="125" t="s">
        <v>408</v>
      </c>
      <c r="H719" s="75"/>
      <c r="I719" s="75"/>
      <c r="J719" s="75"/>
      <c r="K719" s="75"/>
      <c r="L719" s="124" t="s">
        <v>9</v>
      </c>
      <c r="M719" s="105"/>
    </row>
    <row r="720" spans="1:13" ht="14.25" customHeight="1" x14ac:dyDescent="0.35">
      <c r="A720" s="129" t="s">
        <v>2418</v>
      </c>
      <c r="B720" s="159" t="s">
        <v>1965</v>
      </c>
      <c r="C720" s="105" t="s">
        <v>50</v>
      </c>
      <c r="D720" s="125" t="s">
        <v>51</v>
      </c>
      <c r="E720" s="76">
        <v>25021</v>
      </c>
      <c r="F720" s="75"/>
      <c r="G720" s="125" t="s">
        <v>179</v>
      </c>
      <c r="H720" s="75"/>
      <c r="I720" s="75"/>
      <c r="J720" s="75"/>
      <c r="K720" s="75"/>
      <c r="L720" s="124" t="s">
        <v>9</v>
      </c>
      <c r="M720" s="105"/>
    </row>
    <row r="721" spans="1:13" ht="14.25" customHeight="1" x14ac:dyDescent="0.35">
      <c r="A721" s="129" t="s">
        <v>1860</v>
      </c>
      <c r="B721" s="159" t="s">
        <v>2324</v>
      </c>
      <c r="C721" s="105" t="s">
        <v>125</v>
      </c>
      <c r="D721" s="125" t="s">
        <v>1859</v>
      </c>
      <c r="E721" s="76">
        <v>25022</v>
      </c>
      <c r="F721" s="75"/>
      <c r="G721" s="105"/>
      <c r="H721" s="75"/>
      <c r="I721" s="75"/>
      <c r="J721" s="75"/>
      <c r="K721" s="75"/>
      <c r="L721" s="124" t="s">
        <v>9</v>
      </c>
      <c r="M721" s="105"/>
    </row>
    <row r="722" spans="1:13" ht="14.25" customHeight="1" x14ac:dyDescent="0.35">
      <c r="A722" s="75"/>
      <c r="B722" s="159"/>
      <c r="C722" s="105" t="s">
        <v>885</v>
      </c>
      <c r="D722" s="125" t="s">
        <v>1861</v>
      </c>
      <c r="E722" s="76">
        <v>25023</v>
      </c>
      <c r="F722" s="75"/>
      <c r="G722" s="105"/>
      <c r="H722" s="75"/>
      <c r="I722" s="75"/>
      <c r="J722" s="75"/>
      <c r="K722" s="75"/>
      <c r="L722" s="124" t="s">
        <v>1862</v>
      </c>
      <c r="M722" s="105"/>
    </row>
    <row r="723" spans="1:13" ht="14.25" customHeight="1" x14ac:dyDescent="0.35">
      <c r="A723" s="129" t="s">
        <v>1863</v>
      </c>
      <c r="B723" s="159">
        <v>4551251135</v>
      </c>
      <c r="C723" s="105" t="s">
        <v>835</v>
      </c>
      <c r="D723" s="125" t="s">
        <v>1026</v>
      </c>
      <c r="E723" s="76">
        <v>25024</v>
      </c>
      <c r="F723" s="75"/>
      <c r="G723" s="105"/>
      <c r="H723" s="75"/>
      <c r="I723" s="75"/>
      <c r="J723" s="75"/>
      <c r="K723" s="75"/>
      <c r="L723" s="124" t="s">
        <v>9</v>
      </c>
      <c r="M723" s="105"/>
    </row>
    <row r="724" spans="1:13" ht="14.25" customHeight="1" x14ac:dyDescent="0.35">
      <c r="A724" s="129" t="s">
        <v>1040</v>
      </c>
      <c r="B724" s="159" t="s">
        <v>2132</v>
      </c>
      <c r="C724" s="105" t="s">
        <v>1041</v>
      </c>
      <c r="D724" s="125" t="s">
        <v>1042</v>
      </c>
      <c r="E724" s="76">
        <v>25025</v>
      </c>
      <c r="F724" s="75"/>
      <c r="G724" s="125" t="s">
        <v>1864</v>
      </c>
      <c r="H724" s="75"/>
      <c r="I724" s="75"/>
      <c r="J724" s="75"/>
      <c r="K724" s="75"/>
      <c r="L724" s="124" t="s">
        <v>9</v>
      </c>
      <c r="M724" s="105"/>
    </row>
    <row r="725" spans="1:13" ht="14.25" customHeight="1" x14ac:dyDescent="0.35">
      <c r="A725" s="75"/>
      <c r="B725" s="153" t="s">
        <v>1985</v>
      </c>
      <c r="C725" s="105"/>
      <c r="D725" s="105"/>
      <c r="E725" s="76">
        <v>25026</v>
      </c>
      <c r="F725" s="75"/>
      <c r="G725" s="105"/>
      <c r="H725" s="75"/>
      <c r="I725" s="75"/>
      <c r="J725" s="75"/>
      <c r="K725" s="75"/>
      <c r="L725" s="75"/>
      <c r="M725" s="105"/>
    </row>
    <row r="726" spans="1:13" ht="14.25" customHeight="1" x14ac:dyDescent="0.35">
      <c r="A726" s="129" t="s">
        <v>2417</v>
      </c>
      <c r="B726" s="159" t="s">
        <v>2159</v>
      </c>
      <c r="C726" s="105" t="s">
        <v>622</v>
      </c>
      <c r="D726" s="125" t="s">
        <v>623</v>
      </c>
      <c r="E726" s="76">
        <v>25027</v>
      </c>
      <c r="F726" s="124">
        <v>10</v>
      </c>
      <c r="G726" s="105"/>
      <c r="H726" s="75"/>
      <c r="I726" s="75"/>
      <c r="J726" s="75"/>
      <c r="K726" s="75"/>
      <c r="L726" s="124" t="s">
        <v>17</v>
      </c>
      <c r="M726" s="105"/>
    </row>
    <row r="727" spans="1:13" ht="14.25" customHeight="1" x14ac:dyDescent="0.35">
      <c r="A727" s="129" t="s">
        <v>1866</v>
      </c>
      <c r="B727" s="159" t="s">
        <v>2325</v>
      </c>
      <c r="C727" s="105" t="s">
        <v>973</v>
      </c>
      <c r="D727" s="125" t="s">
        <v>1079</v>
      </c>
      <c r="E727" s="76">
        <v>25028</v>
      </c>
      <c r="F727" s="124">
        <v>10</v>
      </c>
      <c r="G727" s="125" t="s">
        <v>1080</v>
      </c>
      <c r="H727" s="75"/>
      <c r="I727" s="75"/>
      <c r="J727" s="75"/>
      <c r="K727" s="75"/>
      <c r="L727" s="124" t="s">
        <v>17</v>
      </c>
      <c r="M727" s="105"/>
    </row>
    <row r="728" spans="1:13" ht="14.25" customHeight="1" x14ac:dyDescent="0.35">
      <c r="A728" s="129" t="s">
        <v>2412</v>
      </c>
      <c r="B728" s="159" t="s">
        <v>2377</v>
      </c>
      <c r="C728" s="105" t="s">
        <v>1472</v>
      </c>
      <c r="D728" s="125" t="s">
        <v>1867</v>
      </c>
      <c r="E728" s="76">
        <v>25029</v>
      </c>
      <c r="F728" s="124">
        <v>10</v>
      </c>
      <c r="G728" s="125" t="s">
        <v>708</v>
      </c>
      <c r="H728" s="75"/>
      <c r="I728" s="75"/>
      <c r="J728" s="75"/>
      <c r="K728" s="75"/>
      <c r="L728" s="124" t="s">
        <v>17</v>
      </c>
      <c r="M728" s="105"/>
    </row>
    <row r="729" spans="1:13" ht="14.25" customHeight="1" x14ac:dyDescent="0.35">
      <c r="A729" s="75"/>
      <c r="B729" s="159"/>
      <c r="C729" s="105" t="s">
        <v>1534</v>
      </c>
      <c r="D729" s="125" t="s">
        <v>1868</v>
      </c>
      <c r="E729" s="76">
        <v>25030</v>
      </c>
      <c r="F729" s="75"/>
      <c r="G729" s="105"/>
      <c r="H729" s="75"/>
      <c r="I729" s="75"/>
      <c r="J729" s="75"/>
      <c r="K729" s="75"/>
      <c r="L729" s="124" t="s">
        <v>1862</v>
      </c>
      <c r="M729" s="105"/>
    </row>
    <row r="730" spans="1:13" ht="14.25" customHeight="1" x14ac:dyDescent="0.35">
      <c r="A730" s="75"/>
      <c r="B730" s="159" t="s">
        <v>2326</v>
      </c>
      <c r="C730" s="105" t="s">
        <v>1535</v>
      </c>
      <c r="D730" s="125" t="s">
        <v>1869</v>
      </c>
      <c r="E730" s="76">
        <v>25031</v>
      </c>
      <c r="F730" s="75"/>
      <c r="G730" s="105"/>
      <c r="H730" s="75"/>
      <c r="I730" s="75"/>
      <c r="J730" s="75"/>
      <c r="K730" s="75"/>
      <c r="L730" s="124" t="s">
        <v>1862</v>
      </c>
      <c r="M730" s="105"/>
    </row>
    <row r="731" spans="1:13" ht="14.25" customHeight="1" x14ac:dyDescent="0.35">
      <c r="A731" s="75"/>
      <c r="B731" s="159"/>
      <c r="C731" s="105" t="s">
        <v>995</v>
      </c>
      <c r="D731" s="125" t="s">
        <v>996</v>
      </c>
      <c r="E731" s="76">
        <v>25032</v>
      </c>
      <c r="F731" s="75"/>
      <c r="G731" s="125" t="s">
        <v>1511</v>
      </c>
      <c r="H731" s="75"/>
      <c r="I731" s="75"/>
      <c r="J731" s="75"/>
      <c r="K731" s="75"/>
      <c r="L731" s="124" t="s">
        <v>17</v>
      </c>
      <c r="M731" s="105"/>
    </row>
    <row r="732" spans="1:13" ht="14.25" customHeight="1" x14ac:dyDescent="0.35">
      <c r="A732" s="129" t="s">
        <v>2407</v>
      </c>
      <c r="B732" s="159"/>
      <c r="C732" s="105" t="s">
        <v>15</v>
      </c>
      <c r="D732" s="125" t="s">
        <v>16</v>
      </c>
      <c r="E732" s="76">
        <v>25033</v>
      </c>
      <c r="F732" s="75"/>
      <c r="G732" s="125" t="s">
        <v>1293</v>
      </c>
      <c r="H732" s="75"/>
      <c r="I732" s="75"/>
      <c r="J732" s="75"/>
      <c r="K732" s="75"/>
      <c r="L732" s="124" t="s">
        <v>17</v>
      </c>
      <c r="M732" s="105"/>
    </row>
    <row r="733" spans="1:13" ht="14.25" customHeight="1" x14ac:dyDescent="0.35">
      <c r="A733" s="75"/>
      <c r="B733" s="159" t="s">
        <v>2328</v>
      </c>
      <c r="C733" s="105" t="s">
        <v>1536</v>
      </c>
      <c r="D733" s="125" t="s">
        <v>1871</v>
      </c>
      <c r="E733" s="76">
        <v>25034</v>
      </c>
      <c r="F733" s="75"/>
      <c r="G733" s="105"/>
      <c r="H733" s="75"/>
      <c r="I733" s="75"/>
      <c r="J733" s="75"/>
      <c r="K733" s="75"/>
      <c r="L733" s="124" t="s">
        <v>1862</v>
      </c>
      <c r="M733" s="105"/>
    </row>
    <row r="734" spans="1:13" ht="14.25" customHeight="1" x14ac:dyDescent="0.35">
      <c r="A734" s="75"/>
      <c r="B734" s="115"/>
      <c r="C734" s="105" t="s">
        <v>379</v>
      </c>
      <c r="D734" s="125" t="s">
        <v>1873</v>
      </c>
      <c r="E734" s="76">
        <v>25035</v>
      </c>
      <c r="F734" s="75"/>
      <c r="G734" s="105"/>
      <c r="H734" s="75"/>
      <c r="I734" s="75"/>
      <c r="J734" s="75"/>
      <c r="K734" s="75"/>
      <c r="L734" s="124" t="s">
        <v>1862</v>
      </c>
      <c r="M734" s="105"/>
    </row>
    <row r="735" spans="1:13" ht="14.25" customHeight="1" x14ac:dyDescent="0.35">
      <c r="A735" s="129" t="s">
        <v>1480</v>
      </c>
      <c r="B735" s="159">
        <v>4520143818</v>
      </c>
      <c r="C735" s="105" t="s">
        <v>942</v>
      </c>
      <c r="D735" s="125" t="s">
        <v>943</v>
      </c>
      <c r="E735" s="76">
        <v>25036</v>
      </c>
      <c r="F735" s="124">
        <v>10</v>
      </c>
      <c r="G735" s="105" t="s">
        <v>2164</v>
      </c>
      <c r="H735" s="75"/>
      <c r="I735" s="75"/>
      <c r="J735" s="75"/>
      <c r="K735" s="75"/>
      <c r="L735" s="124" t="s">
        <v>9</v>
      </c>
      <c r="M735" s="105"/>
    </row>
    <row r="736" spans="1:13" ht="14.25" customHeight="1" x14ac:dyDescent="0.35">
      <c r="A736" s="129"/>
      <c r="B736" s="159"/>
      <c r="C736" s="105" t="s">
        <v>1537</v>
      </c>
      <c r="D736" s="125" t="s">
        <v>1874</v>
      </c>
      <c r="E736" s="76">
        <v>25037</v>
      </c>
      <c r="F736" s="75"/>
      <c r="G736" s="105"/>
      <c r="H736" s="75"/>
      <c r="I736" s="75"/>
      <c r="J736" s="75"/>
      <c r="K736" s="75"/>
      <c r="L736" s="124" t="s">
        <v>1862</v>
      </c>
      <c r="M736" s="105"/>
    </row>
    <row r="737" spans="1:13" ht="14.25" customHeight="1" x14ac:dyDescent="0.35">
      <c r="A737" s="129" t="s">
        <v>1093</v>
      </c>
      <c r="B737" s="159">
        <v>4561792423</v>
      </c>
      <c r="C737" s="105" t="s">
        <v>189</v>
      </c>
      <c r="D737" s="125" t="s">
        <v>888</v>
      </c>
      <c r="E737" s="76">
        <v>25038</v>
      </c>
      <c r="F737" s="124">
        <v>10</v>
      </c>
      <c r="G737" s="125" t="s">
        <v>1521</v>
      </c>
      <c r="H737" s="75"/>
      <c r="I737" s="75"/>
      <c r="J737" s="75"/>
      <c r="K737" s="75"/>
      <c r="L737" s="124" t="s">
        <v>17</v>
      </c>
      <c r="M737" s="105"/>
    </row>
    <row r="738" spans="1:13" ht="14.25" customHeight="1" x14ac:dyDescent="0.35">
      <c r="A738" s="75"/>
      <c r="B738" s="159" t="s">
        <v>2330</v>
      </c>
      <c r="C738" s="105" t="s">
        <v>396</v>
      </c>
      <c r="D738" s="125" t="s">
        <v>1875</v>
      </c>
      <c r="E738" s="76">
        <v>25039</v>
      </c>
      <c r="F738" s="75"/>
      <c r="G738" s="105"/>
      <c r="H738" s="75"/>
      <c r="I738" s="75"/>
      <c r="J738" s="75"/>
      <c r="K738" s="75"/>
      <c r="L738" s="124" t="s">
        <v>1862</v>
      </c>
      <c r="M738" s="105"/>
    </row>
    <row r="739" spans="1:13" ht="14.25" customHeight="1" x14ac:dyDescent="0.35">
      <c r="A739" s="155" t="s">
        <v>1899</v>
      </c>
      <c r="B739" s="159" t="s">
        <v>2331</v>
      </c>
      <c r="C739" s="105" t="s">
        <v>107</v>
      </c>
      <c r="D739" s="105" t="s">
        <v>1898</v>
      </c>
      <c r="E739" s="76">
        <v>25040</v>
      </c>
      <c r="F739" s="75">
        <v>10</v>
      </c>
      <c r="G739" s="105" t="s">
        <v>109</v>
      </c>
      <c r="H739" s="75"/>
      <c r="I739" s="75"/>
      <c r="J739" s="75"/>
      <c r="K739" s="75"/>
      <c r="L739" s="75" t="s">
        <v>9</v>
      </c>
      <c r="M739" s="105"/>
    </row>
    <row r="740" spans="1:13" ht="14.25" customHeight="1" x14ac:dyDescent="0.35">
      <c r="A740" s="155" t="s">
        <v>1901</v>
      </c>
      <c r="B740" s="159" t="s">
        <v>2332</v>
      </c>
      <c r="C740" s="105" t="s">
        <v>489</v>
      </c>
      <c r="D740" s="105" t="s">
        <v>1900</v>
      </c>
      <c r="E740" s="76">
        <v>25041</v>
      </c>
      <c r="F740" s="75">
        <v>10</v>
      </c>
      <c r="G740" s="105" t="s">
        <v>1902</v>
      </c>
      <c r="H740" s="75"/>
      <c r="I740" s="75"/>
      <c r="J740" s="75"/>
      <c r="K740" s="75"/>
      <c r="L740" s="75" t="s">
        <v>9</v>
      </c>
      <c r="M740" s="105"/>
    </row>
    <row r="741" spans="1:13" ht="14.25" customHeight="1" x14ac:dyDescent="0.35">
      <c r="A741" s="155" t="s">
        <v>1904</v>
      </c>
      <c r="B741" s="159"/>
      <c r="C741" s="105" t="s">
        <v>879</v>
      </c>
      <c r="D741" s="105" t="s">
        <v>880</v>
      </c>
      <c r="E741" s="76">
        <v>25042</v>
      </c>
      <c r="F741" s="75">
        <v>10</v>
      </c>
      <c r="G741" s="105" t="s">
        <v>1905</v>
      </c>
      <c r="H741" s="75"/>
      <c r="I741" s="75"/>
      <c r="J741" s="75"/>
      <c r="K741" s="75"/>
      <c r="L741" s="75" t="s">
        <v>9</v>
      </c>
      <c r="M741" s="105"/>
    </row>
    <row r="742" spans="1:13" ht="14.25" customHeight="1" x14ac:dyDescent="0.35">
      <c r="A742" s="75"/>
      <c r="B742" s="159" t="s">
        <v>2333</v>
      </c>
      <c r="C742" s="105" t="s">
        <v>2249</v>
      </c>
      <c r="D742" s="105" t="s">
        <v>1907</v>
      </c>
      <c r="E742" s="76">
        <v>25043</v>
      </c>
      <c r="F742" s="75"/>
      <c r="G742" s="105"/>
      <c r="H742" s="75"/>
      <c r="I742" s="75"/>
      <c r="J742" s="75"/>
      <c r="K742" s="75"/>
      <c r="L742" s="75" t="s">
        <v>1862</v>
      </c>
      <c r="M742" s="105"/>
    </row>
    <row r="743" spans="1:13" ht="14.25" customHeight="1" x14ac:dyDescent="0.35">
      <c r="A743" s="75"/>
      <c r="B743" s="115"/>
      <c r="C743" s="105" t="s">
        <v>2250</v>
      </c>
      <c r="D743" s="105" t="s">
        <v>1908</v>
      </c>
      <c r="E743" s="76">
        <v>25044</v>
      </c>
      <c r="F743" s="75"/>
      <c r="G743" s="105"/>
      <c r="H743" s="75"/>
      <c r="I743" s="75"/>
      <c r="J743" s="75"/>
      <c r="K743" s="75"/>
      <c r="L743" s="75" t="s">
        <v>48</v>
      </c>
      <c r="M743" s="105"/>
    </row>
    <row r="744" spans="1:13" ht="14.25" customHeight="1" x14ac:dyDescent="0.35">
      <c r="A744" s="75"/>
      <c r="B744" s="159" t="s">
        <v>2334</v>
      </c>
      <c r="C744" s="105" t="s">
        <v>595</v>
      </c>
      <c r="D744" s="105" t="s">
        <v>1909</v>
      </c>
      <c r="E744" s="76">
        <v>25045</v>
      </c>
      <c r="F744" s="75"/>
      <c r="G744" s="105" t="s">
        <v>1910</v>
      </c>
      <c r="H744" s="75"/>
      <c r="I744" s="75"/>
      <c r="J744" s="75"/>
      <c r="K744" s="75"/>
      <c r="L744" s="75" t="s">
        <v>48</v>
      </c>
      <c r="M744" s="105"/>
    </row>
    <row r="745" spans="1:13" ht="14.25" customHeight="1" x14ac:dyDescent="0.35">
      <c r="A745" s="155" t="s">
        <v>2413</v>
      </c>
      <c r="B745" s="159" t="s">
        <v>2068</v>
      </c>
      <c r="C745" s="105" t="s">
        <v>726</v>
      </c>
      <c r="D745" s="105" t="s">
        <v>418</v>
      </c>
      <c r="E745" s="76">
        <v>25046</v>
      </c>
      <c r="F745" s="75">
        <v>10</v>
      </c>
      <c r="G745" s="105" t="s">
        <v>1911</v>
      </c>
      <c r="H745" s="75"/>
      <c r="I745" s="75"/>
      <c r="J745" s="75"/>
      <c r="K745" s="75"/>
      <c r="L745" s="75" t="s">
        <v>17</v>
      </c>
      <c r="M745" s="105"/>
    </row>
    <row r="746" spans="1:13" ht="14.25" customHeight="1" x14ac:dyDescent="0.35">
      <c r="A746" s="75"/>
      <c r="B746" s="159" t="s">
        <v>2335</v>
      </c>
      <c r="C746" s="105" t="s">
        <v>2251</v>
      </c>
      <c r="D746" s="105" t="s">
        <v>1912</v>
      </c>
      <c r="E746" s="76">
        <v>25047</v>
      </c>
      <c r="F746" s="75"/>
      <c r="G746" s="105"/>
      <c r="H746" s="75"/>
      <c r="I746" s="75"/>
      <c r="J746" s="75"/>
      <c r="K746" s="75"/>
      <c r="L746" s="75" t="s">
        <v>1862</v>
      </c>
      <c r="M746" s="105"/>
    </row>
    <row r="747" spans="1:13" ht="14.25" customHeight="1" x14ac:dyDescent="0.35">
      <c r="A747" s="155" t="s">
        <v>2411</v>
      </c>
      <c r="B747" s="159"/>
      <c r="C747" s="105" t="s">
        <v>632</v>
      </c>
      <c r="D747" s="105" t="s">
        <v>633</v>
      </c>
      <c r="E747" s="76">
        <v>25048</v>
      </c>
      <c r="F747" s="75">
        <v>10</v>
      </c>
      <c r="G747" s="105" t="s">
        <v>1073</v>
      </c>
      <c r="H747" s="75"/>
      <c r="I747" s="75"/>
      <c r="J747" s="75"/>
      <c r="K747" s="75"/>
      <c r="L747" s="75" t="s">
        <v>9</v>
      </c>
      <c r="M747" s="105"/>
    </row>
    <row r="748" spans="1:13" ht="14.25" customHeight="1" x14ac:dyDescent="0.35">
      <c r="A748" s="155" t="s">
        <v>1914</v>
      </c>
      <c r="B748" s="159" t="s">
        <v>2336</v>
      </c>
      <c r="C748" s="105" t="s">
        <v>220</v>
      </c>
      <c r="D748" s="105" t="s">
        <v>1913</v>
      </c>
      <c r="E748" s="76">
        <v>25049</v>
      </c>
      <c r="F748" s="75">
        <v>10</v>
      </c>
      <c r="G748" s="105"/>
      <c r="H748" s="75"/>
      <c r="I748" s="75"/>
      <c r="J748" s="75"/>
      <c r="K748" s="75"/>
      <c r="L748" s="75" t="s">
        <v>9</v>
      </c>
      <c r="M748" s="105"/>
    </row>
    <row r="749" spans="1:13" ht="14.25" customHeight="1" x14ac:dyDescent="0.35">
      <c r="A749" s="75"/>
      <c r="B749" s="159">
        <v>4529908962</v>
      </c>
      <c r="C749" s="105" t="s">
        <v>2252</v>
      </c>
      <c r="D749" s="105" t="s">
        <v>1915</v>
      </c>
      <c r="E749" s="76">
        <v>25050</v>
      </c>
      <c r="F749" s="75"/>
      <c r="G749" s="105"/>
      <c r="H749" s="75"/>
      <c r="I749" s="75"/>
      <c r="J749" s="75"/>
      <c r="K749" s="75"/>
      <c r="L749" s="75" t="s">
        <v>1862</v>
      </c>
      <c r="M749" s="105"/>
    </row>
    <row r="750" spans="1:13" ht="14.25" customHeight="1" x14ac:dyDescent="0.35">
      <c r="A750" s="155" t="s">
        <v>1916</v>
      </c>
      <c r="B750" s="159" t="s">
        <v>1963</v>
      </c>
      <c r="C750" s="105" t="s">
        <v>715</v>
      </c>
      <c r="D750" s="105" t="s">
        <v>32</v>
      </c>
      <c r="E750" s="76">
        <v>25051</v>
      </c>
      <c r="F750" s="75"/>
      <c r="G750" s="105" t="s">
        <v>1039</v>
      </c>
      <c r="H750" s="75"/>
      <c r="I750" s="75"/>
      <c r="J750" s="75"/>
      <c r="K750" s="75"/>
      <c r="L750" s="75" t="s">
        <v>9</v>
      </c>
      <c r="M750" s="105"/>
    </row>
    <row r="751" spans="1:13" ht="14.25" customHeight="1" x14ac:dyDescent="0.35">
      <c r="A751" s="155" t="s">
        <v>2408</v>
      </c>
      <c r="B751" s="159" t="s">
        <v>1961</v>
      </c>
      <c r="C751" s="105" t="s">
        <v>15</v>
      </c>
      <c r="D751" s="105" t="s">
        <v>16</v>
      </c>
      <c r="E751" s="76">
        <v>25052</v>
      </c>
      <c r="F751" s="75"/>
      <c r="G751" s="105"/>
      <c r="H751" s="75"/>
      <c r="I751" s="75"/>
      <c r="J751" s="75"/>
      <c r="K751" s="75"/>
      <c r="L751" s="75" t="s">
        <v>9</v>
      </c>
      <c r="M751" s="105"/>
    </row>
    <row r="752" spans="1:13" ht="14.25" customHeight="1" x14ac:dyDescent="0.35">
      <c r="A752" s="75"/>
      <c r="B752" s="159" t="s">
        <v>2339</v>
      </c>
      <c r="C752" s="105" t="s">
        <v>2253</v>
      </c>
      <c r="D752" s="105" t="s">
        <v>1917</v>
      </c>
      <c r="E752" s="76">
        <v>25053</v>
      </c>
      <c r="F752" s="75"/>
      <c r="G752" s="105"/>
      <c r="H752" s="75"/>
      <c r="I752" s="75"/>
      <c r="J752" s="75"/>
      <c r="K752" s="75"/>
      <c r="L752" s="75" t="s">
        <v>1862</v>
      </c>
      <c r="M752" s="105"/>
    </row>
    <row r="753" spans="1:13" ht="14.25" customHeight="1" x14ac:dyDescent="0.35">
      <c r="A753" s="155" t="s">
        <v>1918</v>
      </c>
      <c r="B753" s="159"/>
      <c r="C753" s="105" t="s">
        <v>11</v>
      </c>
      <c r="D753" s="105" t="s">
        <v>81</v>
      </c>
      <c r="E753" s="76">
        <v>25054</v>
      </c>
      <c r="F753" s="75"/>
      <c r="G753" s="105"/>
      <c r="H753" s="75"/>
      <c r="I753" s="75"/>
      <c r="J753" s="75"/>
      <c r="K753" s="75"/>
      <c r="L753" s="75" t="s">
        <v>20</v>
      </c>
      <c r="M753" s="105"/>
    </row>
    <row r="754" spans="1:13" ht="14.25" customHeight="1" x14ac:dyDescent="0.35">
      <c r="A754" s="155" t="s">
        <v>1920</v>
      </c>
      <c r="B754" s="159" t="s">
        <v>2340</v>
      </c>
      <c r="C754" s="105" t="s">
        <v>189</v>
      </c>
      <c r="D754" s="105" t="s">
        <v>1919</v>
      </c>
      <c r="E754" s="76">
        <v>25055</v>
      </c>
      <c r="F754" s="75">
        <v>5</v>
      </c>
      <c r="G754" s="105"/>
      <c r="H754" s="75"/>
      <c r="I754" s="75"/>
      <c r="J754" s="75"/>
      <c r="K754" s="75"/>
      <c r="L754" s="75" t="s">
        <v>9</v>
      </c>
      <c r="M754" s="105"/>
    </row>
    <row r="755" spans="1:13" ht="14.25" customHeight="1" x14ac:dyDescent="0.35">
      <c r="A755" s="155" t="s">
        <v>1921</v>
      </c>
      <c r="B755" s="159">
        <v>4560805642</v>
      </c>
      <c r="C755" s="105" t="s">
        <v>1099</v>
      </c>
      <c r="D755" s="105" t="s">
        <v>1100</v>
      </c>
      <c r="E755" s="76">
        <v>25056</v>
      </c>
      <c r="F755" s="75">
        <v>10</v>
      </c>
      <c r="G755" s="105"/>
      <c r="H755" s="75"/>
      <c r="I755" s="75"/>
      <c r="J755" s="75"/>
      <c r="K755" s="75"/>
      <c r="L755" s="75" t="s">
        <v>9</v>
      </c>
      <c r="M755" s="105"/>
    </row>
    <row r="756" spans="1:13" ht="14.25" customHeight="1" x14ac:dyDescent="0.35">
      <c r="A756" s="75"/>
      <c r="B756" s="115"/>
      <c r="C756" s="105" t="s">
        <v>2254</v>
      </c>
      <c r="D756" s="105" t="s">
        <v>1922</v>
      </c>
      <c r="E756" s="76">
        <v>25057</v>
      </c>
      <c r="F756" s="75"/>
      <c r="G756" s="105"/>
      <c r="H756" s="75"/>
      <c r="I756" s="75"/>
      <c r="J756" s="75"/>
      <c r="K756" s="75"/>
      <c r="L756" s="75" t="s">
        <v>1862</v>
      </c>
      <c r="M756" s="105"/>
    </row>
    <row r="757" spans="1:13" ht="14.25" customHeight="1" x14ac:dyDescent="0.35">
      <c r="A757" s="155" t="s">
        <v>1923</v>
      </c>
      <c r="B757" s="159"/>
      <c r="C757" s="105" t="s">
        <v>7</v>
      </c>
      <c r="D757" s="105" t="s">
        <v>607</v>
      </c>
      <c r="E757" s="76">
        <v>25058</v>
      </c>
      <c r="F757" s="75">
        <v>10</v>
      </c>
      <c r="G757" s="105" t="s">
        <v>1521</v>
      </c>
      <c r="H757" s="75"/>
      <c r="I757" s="75"/>
      <c r="J757" s="75"/>
      <c r="K757" s="75"/>
      <c r="L757" s="75" t="s">
        <v>9</v>
      </c>
      <c r="M757" s="105"/>
    </row>
    <row r="758" spans="1:13" ht="14.25" customHeight="1" x14ac:dyDescent="0.35">
      <c r="A758" s="155" t="s">
        <v>1118</v>
      </c>
      <c r="B758" s="159" t="s">
        <v>2122</v>
      </c>
      <c r="C758" s="105" t="s">
        <v>897</v>
      </c>
      <c r="D758" s="105" t="s">
        <v>898</v>
      </c>
      <c r="E758" s="76">
        <v>25059</v>
      </c>
      <c r="F758" s="75">
        <v>10</v>
      </c>
      <c r="G758" s="105"/>
      <c r="H758" s="75"/>
      <c r="I758" s="75"/>
      <c r="J758" s="75"/>
      <c r="K758" s="75"/>
      <c r="L758" s="75" t="s">
        <v>9</v>
      </c>
      <c r="M758" s="105"/>
    </row>
    <row r="759" spans="1:13" ht="14.25" customHeight="1" x14ac:dyDescent="0.35">
      <c r="A759" s="75"/>
      <c r="B759" s="159" t="s">
        <v>2344</v>
      </c>
      <c r="C759" s="105" t="s">
        <v>916</v>
      </c>
      <c r="D759" s="105" t="s">
        <v>1138</v>
      </c>
      <c r="E759" s="76">
        <v>25060</v>
      </c>
      <c r="F759" s="75">
        <v>10</v>
      </c>
      <c r="G759" s="105" t="s">
        <v>1925</v>
      </c>
      <c r="H759" s="75"/>
      <c r="I759" s="75"/>
      <c r="J759" s="75"/>
      <c r="K759" s="75"/>
      <c r="L759" s="75" t="s">
        <v>9</v>
      </c>
      <c r="M759" s="105"/>
    </row>
    <row r="760" spans="1:13" ht="14.25" customHeight="1" x14ac:dyDescent="0.35">
      <c r="A760" s="155" t="s">
        <v>1926</v>
      </c>
      <c r="B760" s="159">
        <v>4529701904</v>
      </c>
      <c r="C760" s="105" t="s">
        <v>1393</v>
      </c>
      <c r="D760" s="105" t="s">
        <v>1677</v>
      </c>
      <c r="E760" s="76">
        <v>25061</v>
      </c>
      <c r="F760" s="75">
        <v>10</v>
      </c>
      <c r="G760" s="105"/>
      <c r="H760" s="75"/>
      <c r="I760" s="75"/>
      <c r="J760" s="75"/>
      <c r="K760" s="75"/>
      <c r="L760" s="75" t="s">
        <v>9</v>
      </c>
      <c r="M760" s="105"/>
    </row>
    <row r="761" spans="1:13" ht="14.25" customHeight="1" x14ac:dyDescent="0.35">
      <c r="A761" s="75"/>
      <c r="B761" s="159" t="s">
        <v>2346</v>
      </c>
      <c r="C761" s="105" t="s">
        <v>2255</v>
      </c>
      <c r="D761" s="105" t="s">
        <v>1927</v>
      </c>
      <c r="E761" s="76">
        <v>25062</v>
      </c>
      <c r="F761" s="75"/>
      <c r="G761" s="105"/>
      <c r="H761" s="75"/>
      <c r="I761" s="75"/>
      <c r="J761" s="75"/>
      <c r="K761" s="75"/>
      <c r="L761" s="75" t="s">
        <v>1862</v>
      </c>
      <c r="M761" s="105"/>
    </row>
    <row r="762" spans="1:13" ht="14.25" customHeight="1" x14ac:dyDescent="0.35">
      <c r="A762" s="155" t="s">
        <v>6</v>
      </c>
      <c r="B762" s="159" t="s">
        <v>2128</v>
      </c>
      <c r="C762" s="105" t="s">
        <v>7</v>
      </c>
      <c r="D762" s="105" t="s">
        <v>8</v>
      </c>
      <c r="E762" s="76">
        <v>25063</v>
      </c>
      <c r="F762" s="75">
        <v>10</v>
      </c>
      <c r="G762" s="105"/>
      <c r="H762" s="75"/>
      <c r="I762" s="75"/>
      <c r="J762" s="75"/>
      <c r="K762" s="75"/>
      <c r="L762" s="75" t="s">
        <v>9</v>
      </c>
      <c r="M762" s="105"/>
    </row>
    <row r="763" spans="1:13" ht="14.25" customHeight="1" x14ac:dyDescent="0.35">
      <c r="A763" s="75"/>
      <c r="B763" s="159"/>
      <c r="C763" s="105" t="s">
        <v>2256</v>
      </c>
      <c r="D763" s="105" t="s">
        <v>1928</v>
      </c>
      <c r="E763" s="76">
        <v>25064</v>
      </c>
      <c r="F763" s="75"/>
      <c r="G763" s="105"/>
      <c r="H763" s="75"/>
      <c r="I763" s="75"/>
      <c r="J763" s="75"/>
      <c r="K763" s="75"/>
      <c r="L763" s="75" t="s">
        <v>48</v>
      </c>
      <c r="M763" s="105"/>
    </row>
    <row r="764" spans="1:13" ht="14.25" customHeight="1" x14ac:dyDescent="0.35">
      <c r="A764" s="75"/>
      <c r="B764" s="115"/>
      <c r="C764" s="105" t="s">
        <v>2254</v>
      </c>
      <c r="D764" s="105" t="s">
        <v>1922</v>
      </c>
      <c r="E764" s="76">
        <v>25065</v>
      </c>
      <c r="F764" s="75"/>
      <c r="G764" s="105"/>
      <c r="H764" s="75"/>
      <c r="I764" s="75"/>
      <c r="J764" s="75"/>
      <c r="K764" s="75"/>
      <c r="L764" s="75" t="s">
        <v>48</v>
      </c>
      <c r="M764" s="105"/>
    </row>
    <row r="765" spans="1:13" ht="14.25" customHeight="1" x14ac:dyDescent="0.35">
      <c r="A765" s="75"/>
      <c r="B765" s="159" t="s">
        <v>2347</v>
      </c>
      <c r="C765" s="105" t="s">
        <v>2257</v>
      </c>
      <c r="D765" s="105" t="s">
        <v>1929</v>
      </c>
      <c r="E765" s="76">
        <v>25066</v>
      </c>
      <c r="F765" s="75"/>
      <c r="G765" s="105"/>
      <c r="H765" s="75"/>
      <c r="I765" s="75"/>
      <c r="J765" s="75"/>
      <c r="K765" s="75"/>
      <c r="L765" s="75" t="s">
        <v>48</v>
      </c>
      <c r="M765" s="105"/>
    </row>
    <row r="766" spans="1:13" ht="14.25" customHeight="1" x14ac:dyDescent="0.35">
      <c r="A766" s="155" t="s">
        <v>6</v>
      </c>
      <c r="B766" s="159"/>
      <c r="C766" s="105" t="s">
        <v>7</v>
      </c>
      <c r="D766" s="105" t="s">
        <v>8</v>
      </c>
      <c r="E766" s="76">
        <v>25067</v>
      </c>
      <c r="F766" s="75">
        <v>10</v>
      </c>
      <c r="G766" s="105"/>
      <c r="H766" s="75"/>
      <c r="I766" s="75"/>
      <c r="J766" s="75"/>
      <c r="K766" s="75"/>
      <c r="L766" s="75" t="s">
        <v>9</v>
      </c>
      <c r="M766" s="105"/>
    </row>
    <row r="767" spans="1:13" ht="14.25" customHeight="1" x14ac:dyDescent="0.35">
      <c r="A767" s="75"/>
      <c r="B767" s="159">
        <v>4522801056</v>
      </c>
      <c r="C767" s="105" t="s">
        <v>338</v>
      </c>
      <c r="D767" s="105" t="s">
        <v>1930</v>
      </c>
      <c r="E767" s="76">
        <v>25068</v>
      </c>
      <c r="F767" s="75"/>
      <c r="G767" s="105"/>
      <c r="H767" s="75"/>
      <c r="I767" s="75"/>
      <c r="J767" s="75"/>
      <c r="K767" s="75"/>
      <c r="L767" s="75" t="s">
        <v>48</v>
      </c>
      <c r="M767" s="105"/>
    </row>
    <row r="768" spans="1:13" ht="14.25" customHeight="1" x14ac:dyDescent="0.35">
      <c r="A768" s="75"/>
      <c r="B768" s="159"/>
      <c r="C768" s="105" t="s">
        <v>2258</v>
      </c>
      <c r="D768" s="105" t="s">
        <v>1931</v>
      </c>
      <c r="E768" s="76">
        <v>25069</v>
      </c>
      <c r="F768" s="75"/>
      <c r="G768" s="105"/>
      <c r="H768" s="75"/>
      <c r="I768" s="75"/>
      <c r="J768" s="75"/>
      <c r="K768" s="75"/>
      <c r="L768" s="75" t="s">
        <v>20</v>
      </c>
      <c r="M768" s="105"/>
    </row>
    <row r="769" spans="1:13" ht="14.25" customHeight="1" x14ac:dyDescent="0.35">
      <c r="A769" s="75"/>
      <c r="B769" s="159"/>
      <c r="C769" s="105" t="s">
        <v>2258</v>
      </c>
      <c r="D769" s="105" t="s">
        <v>1931</v>
      </c>
      <c r="E769" s="76">
        <v>25070</v>
      </c>
      <c r="F769" s="75"/>
      <c r="G769" s="105"/>
      <c r="H769" s="75"/>
      <c r="I769" s="75"/>
      <c r="J769" s="75"/>
      <c r="K769" s="75"/>
      <c r="L769" s="75" t="s">
        <v>20</v>
      </c>
      <c r="M769" s="105"/>
    </row>
    <row r="770" spans="1:13" ht="14.25" customHeight="1" x14ac:dyDescent="0.35">
      <c r="A770" s="75"/>
      <c r="B770" s="159">
        <v>4533443360</v>
      </c>
      <c r="C770" s="105" t="s">
        <v>56</v>
      </c>
      <c r="D770" s="105" t="s">
        <v>1932</v>
      </c>
      <c r="E770" s="76">
        <v>25071</v>
      </c>
      <c r="F770" s="75"/>
      <c r="G770" s="105"/>
      <c r="H770" s="75"/>
      <c r="I770" s="75"/>
      <c r="J770" s="75"/>
      <c r="K770" s="75"/>
      <c r="L770" s="75" t="s">
        <v>48</v>
      </c>
      <c r="M770" s="105"/>
    </row>
    <row r="771" spans="1:13" ht="14.25" customHeight="1" x14ac:dyDescent="0.35">
      <c r="A771" s="75"/>
      <c r="B771" s="159" t="s">
        <v>2350</v>
      </c>
      <c r="C771" s="105" t="s">
        <v>296</v>
      </c>
      <c r="D771" s="105" t="s">
        <v>1933</v>
      </c>
      <c r="E771" s="76">
        <v>25072</v>
      </c>
      <c r="F771" s="75"/>
      <c r="G771" s="105"/>
      <c r="H771" s="75"/>
      <c r="I771" s="75"/>
      <c r="J771" s="75"/>
      <c r="K771" s="75"/>
      <c r="L771" s="75" t="s">
        <v>48</v>
      </c>
      <c r="M771" s="105"/>
    </row>
    <row r="772" spans="1:13" ht="14.25" customHeight="1" x14ac:dyDescent="0.35">
      <c r="A772" s="155" t="s">
        <v>1935</v>
      </c>
      <c r="B772" s="159" t="s">
        <v>2073</v>
      </c>
      <c r="C772" s="105" t="s">
        <v>2259</v>
      </c>
      <c r="D772" s="105" t="s">
        <v>1934</v>
      </c>
      <c r="E772" s="76">
        <v>25073</v>
      </c>
      <c r="F772" s="75">
        <v>10</v>
      </c>
      <c r="G772" s="105"/>
      <c r="H772" s="75"/>
      <c r="I772" s="75"/>
      <c r="J772" s="75"/>
      <c r="K772" s="75"/>
      <c r="L772" s="75" t="s">
        <v>9</v>
      </c>
      <c r="M772" s="105"/>
    </row>
    <row r="773" spans="1:13" ht="14.25" customHeight="1" x14ac:dyDescent="0.35">
      <c r="A773" s="75"/>
      <c r="B773" s="159" t="s">
        <v>2352</v>
      </c>
      <c r="C773" s="105" t="s">
        <v>2260</v>
      </c>
      <c r="D773" s="105" t="s">
        <v>1936</v>
      </c>
      <c r="E773" s="76">
        <v>25074</v>
      </c>
      <c r="F773" s="75"/>
      <c r="G773" s="105"/>
      <c r="H773" s="75"/>
      <c r="I773" s="75"/>
      <c r="J773" s="75"/>
      <c r="K773" s="75"/>
      <c r="L773" s="75" t="s">
        <v>48</v>
      </c>
      <c r="M773" s="105"/>
    </row>
    <row r="774" spans="1:13" ht="14.25" customHeight="1" x14ac:dyDescent="0.35">
      <c r="A774" s="75"/>
      <c r="B774" s="159" t="s">
        <v>2378</v>
      </c>
      <c r="C774" s="105" t="s">
        <v>1112</v>
      </c>
      <c r="D774" s="105" t="s">
        <v>1937</v>
      </c>
      <c r="E774" s="76">
        <v>25075</v>
      </c>
      <c r="F774" s="75"/>
      <c r="G774" s="105"/>
      <c r="H774" s="75"/>
      <c r="I774" s="75"/>
      <c r="J774" s="75"/>
      <c r="K774" s="75"/>
      <c r="L774" s="75" t="s">
        <v>48</v>
      </c>
      <c r="M774" s="105"/>
    </row>
    <row r="775" spans="1:13" ht="14.25" customHeight="1" x14ac:dyDescent="0.35">
      <c r="A775" s="75"/>
      <c r="B775" s="159" t="s">
        <v>2379</v>
      </c>
      <c r="C775" s="105" t="s">
        <v>2261</v>
      </c>
      <c r="D775" s="105" t="s">
        <v>1938</v>
      </c>
      <c r="E775" s="76">
        <v>25076</v>
      </c>
      <c r="F775" s="75"/>
      <c r="G775" s="105"/>
      <c r="H775" s="75"/>
      <c r="I775" s="75"/>
      <c r="J775" s="75"/>
      <c r="K775" s="75"/>
      <c r="L775" s="75" t="s">
        <v>20</v>
      </c>
      <c r="M775" s="105"/>
    </row>
    <row r="776" spans="1:13" ht="14.25" customHeight="1" x14ac:dyDescent="0.35">
      <c r="A776" s="155" t="s">
        <v>1940</v>
      </c>
      <c r="B776" s="159">
        <v>4526703889</v>
      </c>
      <c r="C776" s="105" t="s">
        <v>416</v>
      </c>
      <c r="D776" s="105" t="s">
        <v>1939</v>
      </c>
      <c r="E776" s="76">
        <v>25077</v>
      </c>
      <c r="F776" s="75"/>
      <c r="G776" s="105"/>
      <c r="H776" s="75"/>
      <c r="I776" s="75"/>
      <c r="J776" s="75"/>
      <c r="K776" s="75"/>
      <c r="L776" s="75" t="s">
        <v>9</v>
      </c>
      <c r="M776" s="105"/>
    </row>
    <row r="777" spans="1:13" ht="14.25" customHeight="1" x14ac:dyDescent="0.35">
      <c r="A777" s="155" t="s">
        <v>1941</v>
      </c>
      <c r="B777" s="159">
        <v>4528767572</v>
      </c>
      <c r="C777" s="105" t="s">
        <v>229</v>
      </c>
      <c r="D777" s="105" t="s">
        <v>230</v>
      </c>
      <c r="E777" s="76">
        <v>25078</v>
      </c>
      <c r="F777" s="75">
        <v>10</v>
      </c>
      <c r="G777" s="105"/>
      <c r="H777" s="75"/>
      <c r="I777" s="75"/>
      <c r="J777" s="75"/>
      <c r="K777" s="75"/>
      <c r="L777" s="75" t="s">
        <v>9</v>
      </c>
      <c r="M777" s="105"/>
    </row>
    <row r="778" spans="1:13" ht="14.25" customHeight="1" x14ac:dyDescent="0.35">
      <c r="A778" s="75"/>
      <c r="B778" s="115"/>
      <c r="C778" s="105" t="s">
        <v>27</v>
      </c>
      <c r="D778" s="105" t="s">
        <v>1942</v>
      </c>
      <c r="E778" s="76">
        <v>25079</v>
      </c>
      <c r="F778" s="75"/>
      <c r="G778" s="105"/>
      <c r="H778" s="75"/>
      <c r="I778" s="75"/>
      <c r="J778" s="75"/>
      <c r="K778" s="75"/>
      <c r="L778" s="75" t="s">
        <v>48</v>
      </c>
      <c r="M778" s="105"/>
    </row>
    <row r="779" spans="1:13" ht="14.25" customHeight="1" x14ac:dyDescent="0.35">
      <c r="A779" s="155" t="s">
        <v>1944</v>
      </c>
      <c r="B779" s="159"/>
      <c r="C779" s="105" t="s">
        <v>2262</v>
      </c>
      <c r="D779" s="105" t="s">
        <v>1943</v>
      </c>
      <c r="E779" s="76">
        <v>25080</v>
      </c>
      <c r="F779" s="75">
        <v>10</v>
      </c>
      <c r="G779" s="105"/>
      <c r="H779" s="75"/>
      <c r="I779" s="75"/>
      <c r="J779" s="75"/>
      <c r="K779" s="75"/>
      <c r="L779" s="75" t="s">
        <v>20</v>
      </c>
      <c r="M779" s="105"/>
    </row>
    <row r="780" spans="1:13" ht="14.25" customHeight="1" x14ac:dyDescent="0.35">
      <c r="A780" s="75"/>
      <c r="B780" s="159" t="s">
        <v>2356</v>
      </c>
      <c r="C780" s="105" t="s">
        <v>2263</v>
      </c>
      <c r="D780" s="105" t="s">
        <v>1945</v>
      </c>
      <c r="E780" s="76">
        <v>25081</v>
      </c>
      <c r="F780" s="75"/>
      <c r="G780" s="105"/>
      <c r="H780" s="75"/>
      <c r="I780" s="75"/>
      <c r="J780" s="75"/>
      <c r="K780" s="75"/>
      <c r="L780" s="75" t="s">
        <v>48</v>
      </c>
      <c r="M780" s="105"/>
    </row>
    <row r="781" spans="1:13" ht="14.25" customHeight="1" x14ac:dyDescent="0.35">
      <c r="A781" s="75"/>
      <c r="B781" s="159" t="s">
        <v>2358</v>
      </c>
      <c r="C781" s="105" t="s">
        <v>2264</v>
      </c>
      <c r="D781" s="105" t="s">
        <v>1946</v>
      </c>
      <c r="E781" s="76">
        <v>25082</v>
      </c>
      <c r="F781" s="75"/>
      <c r="G781" s="105" t="s">
        <v>1947</v>
      </c>
      <c r="H781" s="75"/>
      <c r="I781" s="75"/>
      <c r="J781" s="75"/>
      <c r="K781" s="75"/>
      <c r="L781" s="75" t="s">
        <v>48</v>
      </c>
      <c r="M781" s="105"/>
    </row>
    <row r="782" spans="1:13" ht="14.25" customHeight="1" x14ac:dyDescent="0.35">
      <c r="A782" s="75"/>
      <c r="B782" s="159"/>
      <c r="C782" s="105" t="s">
        <v>2258</v>
      </c>
      <c r="D782" s="105" t="s">
        <v>1931</v>
      </c>
      <c r="E782" s="76">
        <v>25083</v>
      </c>
      <c r="F782" s="75"/>
      <c r="G782" s="105"/>
      <c r="H782" s="75"/>
      <c r="I782" s="75"/>
      <c r="J782" s="75"/>
      <c r="K782" s="75"/>
      <c r="L782" s="75" t="s">
        <v>48</v>
      </c>
      <c r="M782" s="105"/>
    </row>
    <row r="783" spans="1:13" ht="14.25" customHeight="1" x14ac:dyDescent="0.35">
      <c r="A783" s="75"/>
      <c r="B783" s="159"/>
      <c r="C783" s="105" t="s">
        <v>2265</v>
      </c>
      <c r="D783" s="105" t="s">
        <v>1948</v>
      </c>
      <c r="E783" s="76">
        <v>25084</v>
      </c>
      <c r="F783" s="75"/>
      <c r="G783" s="105"/>
      <c r="H783" s="75"/>
      <c r="I783" s="75"/>
      <c r="J783" s="75"/>
      <c r="K783" s="75"/>
      <c r="L783" s="75" t="s">
        <v>48</v>
      </c>
      <c r="M783" s="105"/>
    </row>
    <row r="784" spans="1:13" ht="14.25" customHeight="1" x14ac:dyDescent="0.35">
      <c r="A784" s="75"/>
      <c r="B784" s="159"/>
      <c r="C784" s="105" t="s">
        <v>2266</v>
      </c>
      <c r="D784" s="105" t="s">
        <v>1949</v>
      </c>
      <c r="E784" s="76">
        <v>25085</v>
      </c>
      <c r="F784" s="75"/>
      <c r="G784" s="105"/>
      <c r="H784" s="75"/>
      <c r="I784" s="75"/>
      <c r="J784" s="75"/>
      <c r="K784" s="75"/>
      <c r="L784" s="75" t="s">
        <v>48</v>
      </c>
      <c r="M784" s="105"/>
    </row>
    <row r="785" spans="1:13" ht="14.25" customHeight="1" x14ac:dyDescent="0.35">
      <c r="A785" s="75"/>
      <c r="B785" s="159"/>
      <c r="C785" s="105" t="s">
        <v>2258</v>
      </c>
      <c r="D785" s="105" t="s">
        <v>1931</v>
      </c>
      <c r="E785" s="76">
        <v>25086</v>
      </c>
      <c r="F785" s="75"/>
      <c r="G785" s="105"/>
      <c r="H785" s="75"/>
      <c r="I785" s="75"/>
      <c r="J785" s="75"/>
      <c r="K785" s="75"/>
      <c r="L785" s="75" t="s">
        <v>48</v>
      </c>
      <c r="M785" s="105"/>
    </row>
    <row r="786" spans="1:13" ht="14.25" customHeight="1" x14ac:dyDescent="0.35">
      <c r="A786" s="155" t="s">
        <v>1952</v>
      </c>
      <c r="B786" s="159"/>
      <c r="C786" s="105" t="s">
        <v>1112</v>
      </c>
      <c r="D786" s="105" t="s">
        <v>1951</v>
      </c>
      <c r="E786" s="76">
        <v>25087</v>
      </c>
      <c r="F786" s="75">
        <v>5</v>
      </c>
      <c r="G786" s="105"/>
      <c r="H786" s="75"/>
      <c r="I786" s="75"/>
      <c r="J786" s="75"/>
      <c r="K786" s="75"/>
      <c r="L786" s="75" t="s">
        <v>9</v>
      </c>
      <c r="M786" s="105"/>
    </row>
    <row r="787" spans="1:13" ht="14.25" customHeight="1" x14ac:dyDescent="0.35">
      <c r="A787" s="155" t="s">
        <v>2409</v>
      </c>
      <c r="B787" s="159">
        <v>4560645846</v>
      </c>
      <c r="C787" s="105" t="s">
        <v>189</v>
      </c>
      <c r="D787" s="105" t="s">
        <v>347</v>
      </c>
      <c r="E787" s="76">
        <v>25088</v>
      </c>
      <c r="F787" s="75">
        <v>10</v>
      </c>
      <c r="G787" s="105" t="s">
        <v>1954</v>
      </c>
      <c r="H787" s="75"/>
      <c r="I787" s="75"/>
      <c r="J787" s="75"/>
      <c r="K787" s="75"/>
      <c r="L787" s="75" t="s">
        <v>9</v>
      </c>
      <c r="M787" s="105"/>
    </row>
    <row r="788" spans="1:13" ht="14.25" customHeight="1" x14ac:dyDescent="0.35">
      <c r="A788" s="75"/>
      <c r="B788" s="159">
        <v>4581918910</v>
      </c>
      <c r="C788" s="105" t="s">
        <v>2267</v>
      </c>
      <c r="D788" s="105" t="s">
        <v>1955</v>
      </c>
      <c r="E788" s="76">
        <v>25089</v>
      </c>
      <c r="F788" s="75"/>
      <c r="G788" s="105"/>
      <c r="H788" s="75"/>
      <c r="I788" s="75"/>
      <c r="J788" s="75"/>
      <c r="K788" s="75"/>
      <c r="L788" s="75" t="s">
        <v>48</v>
      </c>
      <c r="M788" s="105"/>
    </row>
    <row r="789" spans="1:13" ht="14.25" customHeight="1" x14ac:dyDescent="0.35">
      <c r="A789" s="155" t="s">
        <v>2410</v>
      </c>
      <c r="B789" s="159" t="s">
        <v>2359</v>
      </c>
      <c r="C789" s="105" t="s">
        <v>189</v>
      </c>
      <c r="D789" s="105" t="s">
        <v>1171</v>
      </c>
      <c r="E789" s="76">
        <v>25090</v>
      </c>
      <c r="F789" s="75">
        <v>10</v>
      </c>
      <c r="G789" s="105"/>
      <c r="H789" s="75"/>
      <c r="I789" s="75"/>
      <c r="J789" s="75"/>
      <c r="K789" s="75"/>
      <c r="L789" s="75" t="s">
        <v>9</v>
      </c>
      <c r="M789" s="105"/>
    </row>
    <row r="790" spans="1:13" ht="14.25" customHeight="1" x14ac:dyDescent="0.35">
      <c r="A790" s="155" t="s">
        <v>2414</v>
      </c>
      <c r="B790" s="159"/>
      <c r="C790" s="105" t="s">
        <v>576</v>
      </c>
      <c r="D790" s="105" t="s">
        <v>725</v>
      </c>
      <c r="E790" s="76">
        <v>25091</v>
      </c>
      <c r="F790" s="75">
        <v>10</v>
      </c>
      <c r="G790" s="105"/>
      <c r="H790" s="75"/>
      <c r="I790" s="75"/>
      <c r="J790" s="75"/>
      <c r="K790" s="75"/>
      <c r="L790" s="75" t="s">
        <v>9</v>
      </c>
      <c r="M790" s="105"/>
    </row>
    <row r="791" spans="1:13" ht="14.25" customHeight="1" x14ac:dyDescent="0.35">
      <c r="A791" s="75"/>
      <c r="B791" s="159"/>
      <c r="C791" s="105" t="s">
        <v>1416</v>
      </c>
      <c r="D791" s="105" t="s">
        <v>1958</v>
      </c>
      <c r="E791" s="76">
        <v>25092</v>
      </c>
      <c r="F791" s="75"/>
      <c r="G791" s="105"/>
      <c r="H791" s="75"/>
      <c r="I791" s="75"/>
      <c r="J791" s="75"/>
      <c r="K791" s="75"/>
      <c r="L791" s="75" t="s">
        <v>20</v>
      </c>
      <c r="M791" s="105"/>
    </row>
    <row r="792" spans="1:13" ht="14.25" customHeight="1" x14ac:dyDescent="0.35">
      <c r="A792" s="75"/>
      <c r="B792" s="159">
        <v>4521662703</v>
      </c>
      <c r="C792" s="105" t="s">
        <v>125</v>
      </c>
      <c r="D792" s="105" t="s">
        <v>1959</v>
      </c>
      <c r="E792" s="76">
        <v>25093</v>
      </c>
      <c r="F792" s="75"/>
      <c r="G792" s="105" t="s">
        <v>1960</v>
      </c>
      <c r="H792" s="75"/>
      <c r="I792" s="75"/>
      <c r="J792" s="75"/>
      <c r="K792" s="75"/>
      <c r="L792" s="75" t="s">
        <v>48</v>
      </c>
      <c r="M792" s="105"/>
    </row>
    <row r="793" spans="1:13" ht="14.25" customHeight="1" x14ac:dyDescent="0.35">
      <c r="A793" s="156"/>
      <c r="B793" s="159"/>
      <c r="C793" s="105" t="s">
        <v>2268</v>
      </c>
      <c r="D793" s="105" t="s">
        <v>2166</v>
      </c>
      <c r="E793" s="76">
        <v>25094</v>
      </c>
      <c r="F793" s="75"/>
      <c r="G793" s="105" t="s">
        <v>2167</v>
      </c>
      <c r="H793" s="75"/>
      <c r="I793" s="75"/>
      <c r="J793" s="75"/>
      <c r="K793" s="75"/>
      <c r="L793" s="75" t="s">
        <v>48</v>
      </c>
      <c r="M793" s="105"/>
    </row>
    <row r="794" spans="1:13" ht="14.25" customHeight="1" x14ac:dyDescent="0.35">
      <c r="A794" s="75"/>
      <c r="B794" s="159" t="s">
        <v>2360</v>
      </c>
      <c r="C794" s="105" t="s">
        <v>74</v>
      </c>
      <c r="D794" s="105" t="s">
        <v>2168</v>
      </c>
      <c r="E794" s="76">
        <v>25095</v>
      </c>
      <c r="F794" s="75"/>
      <c r="G794" s="105" t="s">
        <v>2170</v>
      </c>
      <c r="H794" s="75"/>
      <c r="I794" s="75"/>
      <c r="J794" s="75"/>
      <c r="K794" s="75"/>
      <c r="L794" s="75" t="s">
        <v>48</v>
      </c>
      <c r="M794" s="105"/>
    </row>
    <row r="795" spans="1:13" ht="14.25" customHeight="1" x14ac:dyDescent="0.35">
      <c r="A795" s="75"/>
      <c r="B795" s="159" t="s">
        <v>2361</v>
      </c>
      <c r="C795" s="105" t="s">
        <v>2269</v>
      </c>
      <c r="D795" s="105" t="s">
        <v>2171</v>
      </c>
      <c r="E795" s="76">
        <v>25096</v>
      </c>
      <c r="F795" s="75"/>
      <c r="G795" s="105"/>
      <c r="H795" s="75"/>
      <c r="I795" s="75"/>
      <c r="J795" s="75"/>
      <c r="K795" s="75"/>
      <c r="L795" s="75" t="s">
        <v>48</v>
      </c>
      <c r="M795" s="105"/>
    </row>
    <row r="796" spans="1:13" ht="14.25" customHeight="1" x14ac:dyDescent="0.35">
      <c r="A796" s="75"/>
      <c r="B796" s="159" t="s">
        <v>2362</v>
      </c>
      <c r="C796" s="105" t="s">
        <v>2270</v>
      </c>
      <c r="D796" s="105" t="s">
        <v>2172</v>
      </c>
      <c r="E796" s="76">
        <v>25097</v>
      </c>
      <c r="F796" s="75"/>
      <c r="G796" s="105" t="s">
        <v>2173</v>
      </c>
      <c r="H796" s="75"/>
      <c r="I796" s="75"/>
      <c r="J796" s="75"/>
      <c r="K796" s="75"/>
      <c r="L796" s="75" t="s">
        <v>48</v>
      </c>
      <c r="M796" s="105"/>
    </row>
    <row r="797" spans="1:13" ht="14.25" customHeight="1" x14ac:dyDescent="0.35">
      <c r="A797" s="75"/>
      <c r="B797" s="159"/>
      <c r="C797" s="105" t="s">
        <v>903</v>
      </c>
      <c r="D797" s="105" t="s">
        <v>904</v>
      </c>
      <c r="E797" s="76">
        <v>25098</v>
      </c>
      <c r="F797" s="75"/>
      <c r="G797" s="105"/>
      <c r="H797" s="75"/>
      <c r="I797" s="75"/>
      <c r="J797" s="75"/>
      <c r="K797" s="75"/>
      <c r="L797" s="75" t="s">
        <v>20</v>
      </c>
      <c r="M797" s="105"/>
    </row>
    <row r="798" spans="1:13" ht="14.25" customHeight="1" x14ac:dyDescent="0.35">
      <c r="A798" s="75"/>
      <c r="B798" s="159" t="s">
        <v>2363</v>
      </c>
      <c r="C798" s="105" t="s">
        <v>1104</v>
      </c>
      <c r="D798" s="105" t="s">
        <v>687</v>
      </c>
      <c r="E798" s="76">
        <v>25099</v>
      </c>
      <c r="F798" s="75">
        <v>10</v>
      </c>
      <c r="G798" s="105"/>
      <c r="H798" s="75"/>
      <c r="I798" s="75"/>
      <c r="J798" s="75"/>
      <c r="K798" s="75"/>
      <c r="L798" s="75" t="s">
        <v>9</v>
      </c>
      <c r="M798" s="105"/>
    </row>
    <row r="799" spans="1:13" ht="14.25" customHeight="1" x14ac:dyDescent="0.35">
      <c r="A799" s="155" t="s">
        <v>2190</v>
      </c>
      <c r="B799" s="159" t="s">
        <v>2364</v>
      </c>
      <c r="C799" s="105" t="s">
        <v>953</v>
      </c>
      <c r="D799" s="105" t="s">
        <v>954</v>
      </c>
      <c r="E799" s="76">
        <v>25100</v>
      </c>
      <c r="F799" s="75">
        <v>10</v>
      </c>
      <c r="G799" s="105"/>
      <c r="H799" s="75"/>
      <c r="I799" s="75"/>
      <c r="J799" s="75"/>
      <c r="K799" s="75"/>
      <c r="L799" s="75" t="s">
        <v>9</v>
      </c>
      <c r="M799" s="105"/>
    </row>
    <row r="800" spans="1:13" ht="14.25" customHeight="1" x14ac:dyDescent="0.35">
      <c r="A800" s="75"/>
      <c r="B800" s="159"/>
      <c r="C800" s="105" t="s">
        <v>2271</v>
      </c>
      <c r="D800" s="105" t="s">
        <v>2175</v>
      </c>
      <c r="E800" s="76">
        <v>25101</v>
      </c>
      <c r="F800" s="75"/>
      <c r="G800" s="105"/>
      <c r="H800" s="75"/>
      <c r="I800" s="75"/>
      <c r="J800" s="75"/>
      <c r="K800" s="75"/>
      <c r="L800" s="75" t="s">
        <v>20</v>
      </c>
      <c r="M800" s="105"/>
    </row>
    <row r="801" spans="1:13" ht="14.25" customHeight="1" x14ac:dyDescent="0.35">
      <c r="A801" s="75"/>
      <c r="B801" s="159"/>
      <c r="C801" s="105" t="s">
        <v>2272</v>
      </c>
      <c r="D801" s="105" t="s">
        <v>2177</v>
      </c>
      <c r="E801" s="76">
        <v>25102</v>
      </c>
      <c r="F801" s="75"/>
      <c r="G801" s="105"/>
      <c r="H801" s="75"/>
      <c r="I801" s="75"/>
      <c r="J801" s="75"/>
      <c r="K801" s="75"/>
      <c r="L801" s="75" t="s">
        <v>48</v>
      </c>
      <c r="M801" s="105"/>
    </row>
    <row r="802" spans="1:13" ht="14.25" customHeight="1" x14ac:dyDescent="0.35">
      <c r="A802" s="75"/>
      <c r="B802" s="159" t="s">
        <v>2380</v>
      </c>
      <c r="C802" s="105" t="s">
        <v>2273</v>
      </c>
      <c r="D802" s="105" t="s">
        <v>2178</v>
      </c>
      <c r="E802" s="76">
        <v>25103</v>
      </c>
      <c r="F802" s="75"/>
      <c r="G802" s="105"/>
      <c r="H802" s="75"/>
      <c r="I802" s="75"/>
      <c r="J802" s="75"/>
      <c r="K802" s="75"/>
      <c r="L802" s="75" t="s">
        <v>48</v>
      </c>
      <c r="M802" s="105"/>
    </row>
    <row r="803" spans="1:13" ht="14.25" customHeight="1" x14ac:dyDescent="0.35">
      <c r="A803" s="75"/>
      <c r="B803" s="159" t="s">
        <v>2367</v>
      </c>
      <c r="C803" s="105" t="s">
        <v>2274</v>
      </c>
      <c r="D803" s="105" t="s">
        <v>2179</v>
      </c>
      <c r="E803" s="76">
        <v>25104</v>
      </c>
      <c r="F803" s="75"/>
      <c r="G803" s="105"/>
      <c r="H803" s="75"/>
      <c r="I803" s="75"/>
      <c r="J803" s="75"/>
      <c r="K803" s="75"/>
      <c r="L803" s="75" t="s">
        <v>48</v>
      </c>
      <c r="M803" s="105"/>
    </row>
    <row r="804" spans="1:13" ht="14.25" customHeight="1" x14ac:dyDescent="0.35">
      <c r="A804" s="75"/>
      <c r="B804" s="159"/>
      <c r="C804" s="105" t="s">
        <v>2275</v>
      </c>
      <c r="D804" s="105" t="s">
        <v>2180</v>
      </c>
      <c r="E804" s="76">
        <v>25105</v>
      </c>
      <c r="F804" s="75"/>
      <c r="G804" s="105"/>
      <c r="H804" s="75"/>
      <c r="I804" s="75"/>
      <c r="J804" s="75"/>
      <c r="K804" s="75"/>
      <c r="L804" s="75" t="s">
        <v>48</v>
      </c>
      <c r="M804" s="105"/>
    </row>
    <row r="805" spans="1:13" ht="14.25" customHeight="1" x14ac:dyDescent="0.35">
      <c r="A805" s="75"/>
      <c r="B805" s="159" t="s">
        <v>2368</v>
      </c>
      <c r="C805" s="105" t="s">
        <v>2276</v>
      </c>
      <c r="D805" s="105" t="s">
        <v>2181</v>
      </c>
      <c r="E805" s="76">
        <v>25106</v>
      </c>
      <c r="F805" s="75"/>
      <c r="G805" s="105"/>
      <c r="H805" s="75"/>
      <c r="I805" s="75"/>
      <c r="J805" s="75"/>
      <c r="K805" s="75"/>
      <c r="L805" s="75" t="s">
        <v>48</v>
      </c>
      <c r="M805" s="105"/>
    </row>
    <row r="806" spans="1:13" ht="14.25" customHeight="1" x14ac:dyDescent="0.35">
      <c r="A806" s="75"/>
      <c r="B806" s="159">
        <v>46730768646</v>
      </c>
      <c r="C806" s="105" t="s">
        <v>2277</v>
      </c>
      <c r="D806" s="105" t="s">
        <v>2183</v>
      </c>
      <c r="E806" s="76">
        <v>25107</v>
      </c>
      <c r="F806" s="75"/>
      <c r="G806" s="105"/>
      <c r="H806" s="75"/>
      <c r="I806" s="75"/>
      <c r="J806" s="75"/>
      <c r="K806" s="75"/>
      <c r="L806" s="75" t="s">
        <v>48</v>
      </c>
      <c r="M806" s="105"/>
    </row>
    <row r="807" spans="1:13" ht="14.25" customHeight="1" x14ac:dyDescent="0.35">
      <c r="A807" s="75"/>
      <c r="B807" s="159"/>
      <c r="C807" s="105" t="s">
        <v>2278</v>
      </c>
      <c r="D807" s="105" t="s">
        <v>2184</v>
      </c>
      <c r="E807" s="76">
        <v>25108</v>
      </c>
      <c r="F807" s="75"/>
      <c r="G807" s="105"/>
      <c r="H807" s="75"/>
      <c r="I807" s="75"/>
      <c r="J807" s="75"/>
      <c r="K807" s="75"/>
      <c r="L807" s="75" t="s">
        <v>48</v>
      </c>
      <c r="M807" s="105"/>
    </row>
    <row r="808" spans="1:13" ht="14.25" customHeight="1" x14ac:dyDescent="0.35">
      <c r="A808" s="75"/>
      <c r="B808" s="159"/>
      <c r="C808" s="105" t="s">
        <v>189</v>
      </c>
      <c r="D808" s="105" t="s">
        <v>2185</v>
      </c>
      <c r="E808" s="76">
        <v>25109</v>
      </c>
      <c r="F808" s="75"/>
      <c r="G808" s="105"/>
      <c r="H808" s="75"/>
      <c r="I808" s="75"/>
      <c r="J808" s="75"/>
      <c r="K808" s="75"/>
      <c r="L808" s="75" t="s">
        <v>48</v>
      </c>
      <c r="M808" s="105"/>
    </row>
    <row r="809" spans="1:13" ht="14.25" customHeight="1" x14ac:dyDescent="0.35">
      <c r="A809" s="75"/>
      <c r="B809" s="159"/>
      <c r="C809" s="105" t="s">
        <v>2279</v>
      </c>
      <c r="D809" s="105" t="s">
        <v>2186</v>
      </c>
      <c r="E809" s="76">
        <v>25110</v>
      </c>
      <c r="F809" s="75"/>
      <c r="G809" s="105"/>
      <c r="H809" s="75"/>
      <c r="I809" s="75"/>
      <c r="J809" s="75"/>
      <c r="K809" s="75"/>
      <c r="L809" s="75" t="s">
        <v>48</v>
      </c>
      <c r="M809" s="105"/>
    </row>
    <row r="810" spans="1:13" ht="14.25" customHeight="1" x14ac:dyDescent="0.35">
      <c r="A810" s="155" t="s">
        <v>2191</v>
      </c>
      <c r="B810" s="159" t="s">
        <v>2369</v>
      </c>
      <c r="C810" s="105" t="s">
        <v>400</v>
      </c>
      <c r="D810" s="105" t="s">
        <v>402</v>
      </c>
      <c r="E810" s="76">
        <v>25111</v>
      </c>
      <c r="F810" s="75">
        <v>10</v>
      </c>
      <c r="G810" s="105" t="s">
        <v>2187</v>
      </c>
      <c r="H810" s="75"/>
      <c r="I810" s="75"/>
      <c r="J810" s="75"/>
      <c r="K810" s="75"/>
      <c r="L810" s="75" t="s">
        <v>9</v>
      </c>
      <c r="M810" s="105"/>
    </row>
    <row r="811" spans="1:13" ht="14.25" customHeight="1" x14ac:dyDescent="0.35">
      <c r="A811" s="75"/>
      <c r="B811" s="159" t="s">
        <v>2381</v>
      </c>
      <c r="C811" s="105" t="s">
        <v>2280</v>
      </c>
      <c r="D811" s="105" t="s">
        <v>2188</v>
      </c>
      <c r="E811" s="76">
        <v>25112</v>
      </c>
      <c r="F811" s="75"/>
      <c r="G811" s="105"/>
      <c r="H811" s="75"/>
      <c r="I811" s="75"/>
      <c r="J811" s="75"/>
      <c r="K811" s="75"/>
      <c r="L811" s="75" t="s">
        <v>48</v>
      </c>
      <c r="M811" s="105"/>
    </row>
    <row r="812" spans="1:13" ht="14.25" customHeight="1" x14ac:dyDescent="0.35">
      <c r="A812" s="155" t="s">
        <v>2413</v>
      </c>
      <c r="B812" s="159"/>
      <c r="C812" s="105" t="s">
        <v>726</v>
      </c>
      <c r="D812" s="105" t="s">
        <v>418</v>
      </c>
      <c r="E812" s="76">
        <v>25113</v>
      </c>
      <c r="F812" s="75">
        <v>10</v>
      </c>
      <c r="G812" s="105" t="s">
        <v>1911</v>
      </c>
      <c r="H812" s="75"/>
      <c r="I812" s="75"/>
      <c r="J812" s="75"/>
      <c r="K812" s="75"/>
      <c r="L812" s="75" t="s">
        <v>9</v>
      </c>
      <c r="M812" s="105"/>
    </row>
    <row r="813" spans="1:13" ht="14.25" customHeight="1" x14ac:dyDescent="0.35">
      <c r="A813" s="75"/>
      <c r="B813" s="159" t="s">
        <v>2382</v>
      </c>
      <c r="C813" s="105" t="s">
        <v>2281</v>
      </c>
      <c r="D813" s="105" t="s">
        <v>2189</v>
      </c>
      <c r="E813" s="76">
        <v>25114</v>
      </c>
      <c r="F813" s="75"/>
      <c r="G813" s="105"/>
      <c r="H813" s="75"/>
      <c r="I813" s="75"/>
      <c r="J813" s="75"/>
      <c r="K813" s="75"/>
      <c r="L813" s="75" t="s">
        <v>48</v>
      </c>
      <c r="M813" s="105"/>
    </row>
    <row r="814" spans="1:13" ht="14.25" customHeight="1" x14ac:dyDescent="0.35">
      <c r="A814" s="155" t="s">
        <v>1850</v>
      </c>
      <c r="B814" s="159" t="s">
        <v>2383</v>
      </c>
      <c r="C814" s="105" t="s">
        <v>831</v>
      </c>
      <c r="D814" s="105" t="s">
        <v>832</v>
      </c>
      <c r="E814" s="76">
        <v>25115</v>
      </c>
      <c r="F814" s="75">
        <v>10</v>
      </c>
      <c r="G814" s="105"/>
      <c r="H814" s="75"/>
      <c r="I814" s="75"/>
      <c r="J814" s="75"/>
      <c r="K814" s="75"/>
      <c r="L814" s="75" t="s">
        <v>53</v>
      </c>
      <c r="M814" s="105"/>
    </row>
    <row r="815" spans="1:13" ht="14.25" customHeight="1" x14ac:dyDescent="0.35">
      <c r="A815" s="155" t="s">
        <v>2199</v>
      </c>
      <c r="B815" s="159"/>
      <c r="C815" s="105" t="s">
        <v>1471</v>
      </c>
      <c r="D815" s="105" t="s">
        <v>704</v>
      </c>
      <c r="E815" s="76">
        <v>25116</v>
      </c>
      <c r="F815" s="75">
        <v>10</v>
      </c>
      <c r="G815" s="105"/>
      <c r="H815" s="75"/>
      <c r="I815" s="75"/>
      <c r="J815" s="75"/>
      <c r="K815" s="75"/>
      <c r="L815" s="75" t="s">
        <v>9</v>
      </c>
      <c r="M815" s="105" t="s">
        <v>2200</v>
      </c>
    </row>
    <row r="816" spans="1:13" ht="14.25" customHeight="1" x14ac:dyDescent="0.35">
      <c r="A816" s="75"/>
      <c r="B816" s="159" t="s">
        <v>2370</v>
      </c>
      <c r="C816" s="105" t="s">
        <v>2282</v>
      </c>
      <c r="D816" s="105" t="s">
        <v>2201</v>
      </c>
      <c r="E816" s="76">
        <v>25117</v>
      </c>
      <c r="F816" s="75"/>
      <c r="G816" s="105"/>
      <c r="H816" s="75"/>
      <c r="I816" s="75"/>
      <c r="J816" s="75"/>
      <c r="K816" s="75"/>
      <c r="L816" s="75" t="s">
        <v>48</v>
      </c>
      <c r="M816" s="105"/>
    </row>
    <row r="817" spans="1:13" ht="14.25" customHeight="1" x14ac:dyDescent="0.35">
      <c r="A817" s="75"/>
      <c r="B817" s="159" t="s">
        <v>2384</v>
      </c>
      <c r="C817" s="105" t="s">
        <v>2283</v>
      </c>
      <c r="D817" s="105" t="s">
        <v>2202</v>
      </c>
      <c r="E817" s="76">
        <v>25118</v>
      </c>
      <c r="F817" s="75"/>
      <c r="G817" s="105"/>
      <c r="H817" s="75"/>
      <c r="I817" s="75"/>
      <c r="J817" s="75"/>
      <c r="K817" s="75"/>
      <c r="L817" s="75" t="s">
        <v>48</v>
      </c>
      <c r="M817" s="105"/>
    </row>
    <row r="818" spans="1:13" ht="14.25" customHeight="1" x14ac:dyDescent="0.35">
      <c r="A818" s="75"/>
      <c r="B818" s="159" t="s">
        <v>2204</v>
      </c>
      <c r="C818" s="105" t="s">
        <v>11</v>
      </c>
      <c r="D818" s="105" t="s">
        <v>2203</v>
      </c>
      <c r="E818" s="76">
        <v>25119</v>
      </c>
      <c r="F818" s="75"/>
      <c r="G818" s="105"/>
      <c r="H818" s="75"/>
      <c r="I818" s="75"/>
      <c r="J818" s="75"/>
      <c r="K818" s="75"/>
      <c r="L818" s="75" t="s">
        <v>48</v>
      </c>
      <c r="M818" s="105" t="s">
        <v>2205</v>
      </c>
    </row>
    <row r="819" spans="1:13" ht="14.25" customHeight="1" x14ac:dyDescent="0.35">
      <c r="A819" s="75"/>
      <c r="B819" s="159" t="s">
        <v>2207</v>
      </c>
      <c r="C819" s="105" t="s">
        <v>1332</v>
      </c>
      <c r="D819" s="105" t="s">
        <v>2206</v>
      </c>
      <c r="E819" s="76">
        <v>25120</v>
      </c>
      <c r="F819" s="75"/>
      <c r="G819" s="105"/>
      <c r="H819" s="75"/>
      <c r="I819" s="75"/>
      <c r="J819" s="75"/>
      <c r="K819" s="75"/>
      <c r="L819" s="75" t="s">
        <v>48</v>
      </c>
      <c r="M819" s="105" t="s">
        <v>2200</v>
      </c>
    </row>
    <row r="820" spans="1:13" ht="14.25" customHeight="1" x14ac:dyDescent="0.35">
      <c r="A820" s="75"/>
      <c r="B820" s="159"/>
      <c r="C820" s="105" t="s">
        <v>2284</v>
      </c>
      <c r="D820" s="105" t="s">
        <v>2208</v>
      </c>
      <c r="E820" s="76">
        <v>25121</v>
      </c>
      <c r="F820" s="75"/>
      <c r="G820" s="105"/>
      <c r="H820" s="75"/>
      <c r="I820" s="75"/>
      <c r="J820" s="75"/>
      <c r="K820" s="75"/>
      <c r="L820" s="75" t="s">
        <v>48</v>
      </c>
      <c r="M820" s="105" t="s">
        <v>2303</v>
      </c>
    </row>
    <row r="821" spans="1:13" ht="14.25" customHeight="1" x14ac:dyDescent="0.35">
      <c r="A821" s="75"/>
      <c r="B821" s="159"/>
      <c r="C821" s="105" t="s">
        <v>2285</v>
      </c>
      <c r="D821" s="105" t="s">
        <v>2209</v>
      </c>
      <c r="E821" s="76">
        <v>25122</v>
      </c>
      <c r="F821" s="75"/>
      <c r="G821" s="105"/>
      <c r="H821" s="75"/>
      <c r="I821" s="75"/>
      <c r="J821" s="75"/>
      <c r="K821" s="75"/>
      <c r="L821" s="75" t="s">
        <v>48</v>
      </c>
      <c r="M821" s="105"/>
    </row>
    <row r="822" spans="1:13" ht="14.25" customHeight="1" x14ac:dyDescent="0.35">
      <c r="A822" s="155" t="s">
        <v>2211</v>
      </c>
      <c r="B822" s="159" t="s">
        <v>2212</v>
      </c>
      <c r="C822" s="105" t="s">
        <v>2286</v>
      </c>
      <c r="D822" s="105" t="s">
        <v>2210</v>
      </c>
      <c r="E822" s="76">
        <v>25123</v>
      </c>
      <c r="F822" s="75">
        <v>5</v>
      </c>
      <c r="G822" s="105"/>
      <c r="H822" s="75"/>
      <c r="I822" s="75"/>
      <c r="J822" s="75"/>
      <c r="K822" s="75"/>
      <c r="L822" s="75" t="s">
        <v>9</v>
      </c>
      <c r="M822" s="105"/>
    </row>
    <row r="823" spans="1:13" ht="14.25" customHeight="1" x14ac:dyDescent="0.35">
      <c r="A823" s="155"/>
      <c r="B823" s="159"/>
      <c r="C823" s="105" t="s">
        <v>2287</v>
      </c>
      <c r="D823" s="105" t="s">
        <v>2213</v>
      </c>
      <c r="E823" s="76">
        <v>25124</v>
      </c>
      <c r="F823" s="75"/>
      <c r="G823" s="105"/>
      <c r="H823" s="75"/>
      <c r="I823" s="75"/>
      <c r="J823" s="75"/>
      <c r="K823" s="75"/>
      <c r="L823" s="75" t="s">
        <v>48</v>
      </c>
      <c r="M823" s="105"/>
    </row>
    <row r="824" spans="1:13" ht="14.25" customHeight="1" x14ac:dyDescent="0.35">
      <c r="A824" s="75"/>
      <c r="B824" s="159" t="s">
        <v>2385</v>
      </c>
      <c r="C824" s="105" t="s">
        <v>296</v>
      </c>
      <c r="D824" s="105" t="s">
        <v>2214</v>
      </c>
      <c r="E824" s="76">
        <v>25125</v>
      </c>
      <c r="F824" s="75"/>
      <c r="G824" s="105"/>
      <c r="H824" s="75"/>
      <c r="I824" s="75"/>
      <c r="J824" s="75"/>
      <c r="K824" s="75"/>
      <c r="L824" s="75" t="s">
        <v>48</v>
      </c>
      <c r="M824" s="105"/>
    </row>
    <row r="825" spans="1:13" ht="14.25" customHeight="1" x14ac:dyDescent="0.35">
      <c r="A825" s="155" t="s">
        <v>2216</v>
      </c>
      <c r="B825" s="159"/>
      <c r="C825" s="105" t="s">
        <v>991</v>
      </c>
      <c r="D825" s="105" t="s">
        <v>992</v>
      </c>
      <c r="E825" s="76">
        <v>25126</v>
      </c>
      <c r="F825" s="75">
        <v>10</v>
      </c>
      <c r="G825" s="105" t="s">
        <v>2217</v>
      </c>
      <c r="H825" s="75"/>
      <c r="I825" s="75"/>
      <c r="J825" s="75"/>
      <c r="K825" s="75"/>
      <c r="L825" s="75" t="s">
        <v>9</v>
      </c>
      <c r="M825" s="105"/>
    </row>
    <row r="826" spans="1:13" ht="14.25" customHeight="1" x14ac:dyDescent="0.35">
      <c r="A826" s="75"/>
      <c r="B826" s="159" t="s">
        <v>2371</v>
      </c>
      <c r="C826" s="105" t="s">
        <v>1332</v>
      </c>
      <c r="D826" s="105" t="s">
        <v>2218</v>
      </c>
      <c r="E826" s="76">
        <v>25127</v>
      </c>
      <c r="F826" s="75"/>
      <c r="G826" s="105"/>
      <c r="H826" s="75"/>
      <c r="I826" s="75"/>
      <c r="J826" s="75"/>
      <c r="K826" s="75"/>
      <c r="L826" s="75" t="s">
        <v>48</v>
      </c>
      <c r="M826" s="105"/>
    </row>
    <row r="827" spans="1:13" ht="14.25" customHeight="1" x14ac:dyDescent="0.35">
      <c r="A827" s="75"/>
      <c r="B827" s="159" t="s">
        <v>2386</v>
      </c>
      <c r="C827" s="105" t="s">
        <v>2288</v>
      </c>
      <c r="D827" s="105" t="s">
        <v>2219</v>
      </c>
      <c r="E827" s="76">
        <v>25128</v>
      </c>
      <c r="F827" s="75"/>
      <c r="G827" s="105"/>
      <c r="H827" s="75"/>
      <c r="I827" s="75"/>
      <c r="J827" s="75"/>
      <c r="K827" s="75"/>
      <c r="L827" s="75" t="s">
        <v>48</v>
      </c>
      <c r="M827" s="105"/>
    </row>
    <row r="828" spans="1:13" ht="14.25" customHeight="1" x14ac:dyDescent="0.35">
      <c r="A828" s="75"/>
      <c r="B828" s="159" t="s">
        <v>2387</v>
      </c>
      <c r="C828" s="105" t="s">
        <v>2289</v>
      </c>
      <c r="D828" s="105" t="s">
        <v>2220</v>
      </c>
      <c r="E828" s="76">
        <v>25129</v>
      </c>
      <c r="F828" s="75"/>
      <c r="G828" s="105"/>
      <c r="H828" s="75"/>
      <c r="I828" s="75"/>
      <c r="J828" s="75"/>
      <c r="K828" s="75"/>
      <c r="L828" s="75" t="s">
        <v>48</v>
      </c>
      <c r="M828" s="105"/>
    </row>
    <row r="829" spans="1:13" ht="14.25" customHeight="1" x14ac:dyDescent="0.35">
      <c r="A829" s="75"/>
      <c r="B829" s="159" t="s">
        <v>2223</v>
      </c>
      <c r="C829" s="105" t="s">
        <v>7</v>
      </c>
      <c r="D829" s="105" t="s">
        <v>2221</v>
      </c>
      <c r="E829" s="76">
        <v>25130</v>
      </c>
      <c r="F829" s="75"/>
      <c r="G829" s="105" t="s">
        <v>2224</v>
      </c>
      <c r="H829" s="75"/>
      <c r="I829" s="75"/>
      <c r="J829" s="75"/>
      <c r="K829" s="75"/>
      <c r="L829" s="75" t="s">
        <v>48</v>
      </c>
      <c r="M829" s="105"/>
    </row>
    <row r="830" spans="1:13" ht="14.25" customHeight="1" x14ac:dyDescent="0.35">
      <c r="A830" s="155" t="s">
        <v>1914</v>
      </c>
      <c r="B830" s="159"/>
      <c r="C830" s="105" t="s">
        <v>220</v>
      </c>
      <c r="D830" s="105" t="s">
        <v>1913</v>
      </c>
      <c r="E830" s="76">
        <v>25131</v>
      </c>
      <c r="F830" s="75">
        <v>10</v>
      </c>
      <c r="G830" s="105"/>
      <c r="H830" s="75"/>
      <c r="I830" s="75"/>
      <c r="J830" s="75"/>
      <c r="K830" s="75"/>
      <c r="L830" s="75" t="s">
        <v>9</v>
      </c>
      <c r="M830" s="105"/>
    </row>
    <row r="831" spans="1:13" ht="14.25" customHeight="1" x14ac:dyDescent="0.35">
      <c r="A831" s="75"/>
      <c r="B831" s="159"/>
      <c r="C831" s="105" t="s">
        <v>457</v>
      </c>
      <c r="D831" s="105" t="s">
        <v>2225</v>
      </c>
      <c r="E831" s="76">
        <v>25132</v>
      </c>
      <c r="F831" s="75"/>
      <c r="G831" s="105"/>
      <c r="H831" s="75"/>
      <c r="I831" s="75"/>
      <c r="J831" s="75"/>
      <c r="K831" s="75"/>
      <c r="L831" s="75" t="s">
        <v>48</v>
      </c>
      <c r="M831" s="105"/>
    </row>
    <row r="832" spans="1:13" ht="14.25" customHeight="1" x14ac:dyDescent="0.35">
      <c r="A832" s="75"/>
      <c r="B832" s="115"/>
      <c r="C832" s="105" t="s">
        <v>2290</v>
      </c>
      <c r="D832" s="105" t="s">
        <v>2226</v>
      </c>
      <c r="E832" s="76">
        <v>25133</v>
      </c>
      <c r="F832" s="75"/>
      <c r="G832" s="105"/>
      <c r="H832" s="75"/>
      <c r="I832" s="75"/>
      <c r="J832" s="75"/>
      <c r="K832" s="75"/>
      <c r="L832" s="75" t="s">
        <v>48</v>
      </c>
      <c r="M832" s="105"/>
    </row>
    <row r="833" spans="1:13" ht="14.25" customHeight="1" x14ac:dyDescent="0.35">
      <c r="A833" s="75"/>
      <c r="B833" s="159" t="s">
        <v>2373</v>
      </c>
      <c r="C833" s="105" t="s">
        <v>447</v>
      </c>
      <c r="D833" s="105" t="s">
        <v>2228</v>
      </c>
      <c r="E833" s="76">
        <v>25134</v>
      </c>
      <c r="F833" s="75"/>
      <c r="G833" s="105"/>
      <c r="H833" s="75"/>
      <c r="I833" s="75"/>
      <c r="J833" s="75"/>
      <c r="K833" s="75"/>
      <c r="L833" s="75" t="s">
        <v>48</v>
      </c>
      <c r="M833" s="105"/>
    </row>
    <row r="834" spans="1:13" ht="14.25" customHeight="1" x14ac:dyDescent="0.35">
      <c r="A834" s="75"/>
      <c r="B834" s="159" t="s">
        <v>2389</v>
      </c>
      <c r="C834" s="105" t="s">
        <v>288</v>
      </c>
      <c r="D834" s="105" t="s">
        <v>2229</v>
      </c>
      <c r="E834" s="76">
        <v>25135</v>
      </c>
      <c r="F834" s="75"/>
      <c r="G834" s="105"/>
      <c r="H834" s="75"/>
      <c r="I834" s="75"/>
      <c r="J834" s="75"/>
      <c r="K834" s="75"/>
      <c r="L834" s="75" t="s">
        <v>48</v>
      </c>
      <c r="M834" s="105"/>
    </row>
    <row r="835" spans="1:13" ht="14.25" customHeight="1" x14ac:dyDescent="0.35">
      <c r="A835" s="75"/>
      <c r="B835" s="115"/>
      <c r="C835" s="105" t="s">
        <v>2291</v>
      </c>
      <c r="D835" s="105" t="s">
        <v>2231</v>
      </c>
      <c r="E835" s="76">
        <v>25136</v>
      </c>
      <c r="F835" s="75"/>
      <c r="G835" s="105"/>
      <c r="H835" s="75"/>
      <c r="I835" s="75"/>
      <c r="J835" s="75"/>
      <c r="K835" s="75"/>
      <c r="L835" s="75" t="s">
        <v>48</v>
      </c>
      <c r="M835" s="105"/>
    </row>
    <row r="836" spans="1:13" ht="14.25" customHeight="1" x14ac:dyDescent="0.35">
      <c r="A836" s="155" t="s">
        <v>2234</v>
      </c>
      <c r="B836" s="159"/>
      <c r="C836" s="105" t="s">
        <v>457</v>
      </c>
      <c r="D836" s="105" t="s">
        <v>2232</v>
      </c>
      <c r="E836" s="76">
        <v>25137</v>
      </c>
      <c r="F836" s="75">
        <v>5</v>
      </c>
      <c r="G836" s="105"/>
      <c r="H836" s="75"/>
      <c r="I836" s="75"/>
      <c r="J836" s="75"/>
      <c r="K836" s="75"/>
      <c r="L836" s="75" t="s">
        <v>9</v>
      </c>
      <c r="M836" s="105"/>
    </row>
    <row r="837" spans="1:13" ht="14.25" customHeight="1" x14ac:dyDescent="0.35">
      <c r="A837" s="75"/>
      <c r="B837" s="159" t="s">
        <v>2236</v>
      </c>
      <c r="C837" s="105" t="s">
        <v>1236</v>
      </c>
      <c r="D837" s="105" t="s">
        <v>2235</v>
      </c>
      <c r="E837" s="76">
        <v>25138</v>
      </c>
      <c r="F837" s="75"/>
      <c r="G837" s="105"/>
      <c r="H837" s="75"/>
      <c r="I837" s="75"/>
      <c r="J837" s="75"/>
      <c r="K837" s="75"/>
      <c r="L837" s="75" t="s">
        <v>48</v>
      </c>
      <c r="M837" s="105"/>
    </row>
    <row r="838" spans="1:13" ht="14.25" customHeight="1" x14ac:dyDescent="0.35">
      <c r="A838" s="75"/>
      <c r="B838" s="159"/>
      <c r="C838" s="105" t="s">
        <v>2292</v>
      </c>
      <c r="D838" s="105" t="s">
        <v>2237</v>
      </c>
      <c r="E838" s="76">
        <v>25139</v>
      </c>
      <c r="F838" s="75"/>
      <c r="G838" s="105"/>
      <c r="H838" s="75"/>
      <c r="I838" s="75"/>
      <c r="J838" s="75"/>
      <c r="K838" s="75"/>
      <c r="L838" s="75" t="s">
        <v>48</v>
      </c>
      <c r="M838" s="105"/>
    </row>
    <row r="839" spans="1:13" ht="14.25" customHeight="1" x14ac:dyDescent="0.35">
      <c r="A839" s="75"/>
      <c r="B839" s="159"/>
      <c r="C839" s="105" t="s">
        <v>2293</v>
      </c>
      <c r="D839" s="105" t="s">
        <v>2239</v>
      </c>
      <c r="E839" s="76">
        <v>25140</v>
      </c>
      <c r="F839" s="75"/>
      <c r="G839" s="105"/>
      <c r="H839" s="75"/>
      <c r="I839" s="75"/>
      <c r="J839" s="75"/>
      <c r="K839" s="75"/>
      <c r="L839" s="75" t="s">
        <v>48</v>
      </c>
      <c r="M839" s="105"/>
    </row>
    <row r="840" spans="1:13" ht="14.25" customHeight="1" x14ac:dyDescent="0.35">
      <c r="A840" s="155" t="s">
        <v>2241</v>
      </c>
      <c r="B840" s="159"/>
      <c r="C840" s="105" t="s">
        <v>2294</v>
      </c>
      <c r="D840" s="105" t="s">
        <v>2240</v>
      </c>
      <c r="E840" s="76">
        <v>25141</v>
      </c>
      <c r="F840" s="75">
        <v>10</v>
      </c>
      <c r="G840" s="105"/>
      <c r="H840" s="75"/>
      <c r="I840" s="75"/>
      <c r="J840" s="75"/>
      <c r="K840" s="75"/>
      <c r="L840" s="75" t="s">
        <v>9</v>
      </c>
      <c r="M840" s="105"/>
    </row>
    <row r="841" spans="1:13" ht="14.25" customHeight="1" x14ac:dyDescent="0.35">
      <c r="A841" s="75"/>
      <c r="B841" s="159"/>
      <c r="C841" s="105" t="s">
        <v>74</v>
      </c>
      <c r="D841" s="105" t="s">
        <v>2242</v>
      </c>
      <c r="E841" s="76">
        <v>25142</v>
      </c>
      <c r="F841" s="75"/>
      <c r="G841" s="105"/>
      <c r="H841" s="75"/>
      <c r="I841" s="75"/>
      <c r="J841" s="75"/>
      <c r="K841" s="75"/>
      <c r="L841" s="75" t="s">
        <v>48</v>
      </c>
      <c r="M841" s="105" t="s">
        <v>2243</v>
      </c>
    </row>
    <row r="842" spans="1:13" ht="14.25" customHeight="1" x14ac:dyDescent="0.35">
      <c r="A842" s="75"/>
      <c r="B842" s="159"/>
      <c r="C842" s="105" t="s">
        <v>2295</v>
      </c>
      <c r="D842" s="105" t="s">
        <v>2244</v>
      </c>
      <c r="E842" s="76">
        <v>25143</v>
      </c>
      <c r="F842" s="75"/>
      <c r="G842" s="105"/>
      <c r="H842" s="75"/>
      <c r="I842" s="75"/>
      <c r="J842" s="75"/>
      <c r="K842" s="75"/>
      <c r="L842" s="75" t="s">
        <v>48</v>
      </c>
      <c r="M842" s="105"/>
    </row>
    <row r="843" spans="1:13" ht="14.25" customHeight="1" x14ac:dyDescent="0.35">
      <c r="A843" s="120"/>
      <c r="B843" s="159" t="s">
        <v>2375</v>
      </c>
      <c r="C843" s="131" t="s">
        <v>2296</v>
      </c>
      <c r="D843" s="131" t="s">
        <v>2246</v>
      </c>
      <c r="E843" s="132">
        <v>25144</v>
      </c>
      <c r="F843" s="120"/>
      <c r="G843" s="131"/>
      <c r="H843" s="120"/>
      <c r="I843" s="120"/>
      <c r="J843" s="120"/>
      <c r="K843" s="120"/>
      <c r="L843" s="120" t="s">
        <v>48</v>
      </c>
      <c r="M843" s="105"/>
    </row>
    <row r="844" spans="1:13" ht="14.25" customHeight="1" x14ac:dyDescent="0.35">
      <c r="A844" s="75"/>
      <c r="B844" s="115"/>
      <c r="C844" s="105" t="s">
        <v>379</v>
      </c>
      <c r="D844" s="105" t="s">
        <v>1146</v>
      </c>
      <c r="E844" s="76">
        <v>25145</v>
      </c>
      <c r="F844" s="75"/>
      <c r="G844" s="105"/>
      <c r="H844" s="75"/>
      <c r="I844" s="75"/>
      <c r="J844" s="75"/>
      <c r="K844" s="75"/>
      <c r="L844" s="75" t="s">
        <v>48</v>
      </c>
      <c r="M844" s="105"/>
    </row>
    <row r="845" spans="1:13" ht="14.25" customHeight="1" x14ac:dyDescent="0.35">
      <c r="A845" s="75"/>
      <c r="B845" s="159" t="s">
        <v>2390</v>
      </c>
      <c r="C845" s="105" t="s">
        <v>2305</v>
      </c>
      <c r="D845" s="105" t="s">
        <v>2299</v>
      </c>
      <c r="E845" s="76">
        <v>25146</v>
      </c>
      <c r="F845" s="75"/>
      <c r="G845" s="105"/>
      <c r="H845" s="75"/>
      <c r="I845" s="75"/>
      <c r="J845" s="75"/>
      <c r="K845" s="75"/>
      <c r="L845" s="75" t="s">
        <v>48</v>
      </c>
      <c r="M845" s="105"/>
    </row>
    <row r="846" spans="1:13" ht="14.25" customHeight="1" x14ac:dyDescent="0.35">
      <c r="A846" s="75"/>
      <c r="B846" s="159" t="s">
        <v>2391</v>
      </c>
      <c r="C846" s="105" t="s">
        <v>2306</v>
      </c>
      <c r="D846" s="105" t="s">
        <v>2300</v>
      </c>
      <c r="E846" s="76">
        <v>25147</v>
      </c>
      <c r="F846" s="75"/>
      <c r="G846" s="105"/>
      <c r="H846" s="75"/>
      <c r="I846" s="75"/>
      <c r="J846" s="75"/>
      <c r="K846" s="75"/>
      <c r="L846" s="75" t="s">
        <v>48</v>
      </c>
      <c r="M846" s="105"/>
    </row>
    <row r="847" spans="1:13" ht="14.25" customHeight="1" x14ac:dyDescent="0.35">
      <c r="A847" s="155" t="s">
        <v>2298</v>
      </c>
      <c r="B847" s="159"/>
      <c r="C847" s="105" t="s">
        <v>134</v>
      </c>
      <c r="D847" s="105" t="s">
        <v>2301</v>
      </c>
      <c r="E847" s="76">
        <v>25148</v>
      </c>
      <c r="F847" s="75">
        <v>5</v>
      </c>
      <c r="G847" s="105"/>
      <c r="H847" s="75"/>
      <c r="I847" s="75"/>
      <c r="J847" s="75"/>
      <c r="K847" s="75"/>
      <c r="L847" s="75" t="s">
        <v>9</v>
      </c>
      <c r="M847" s="105"/>
    </row>
    <row r="848" spans="1:13" ht="14.25" customHeight="1" x14ac:dyDescent="0.35">
      <c r="A848" s="120"/>
      <c r="B848" s="154" t="s">
        <v>2392</v>
      </c>
      <c r="C848" s="131" t="s">
        <v>2307</v>
      </c>
      <c r="D848" s="131" t="s">
        <v>2302</v>
      </c>
      <c r="E848" s="132">
        <v>25149</v>
      </c>
      <c r="F848" s="120"/>
      <c r="G848" s="131"/>
      <c r="H848" s="120"/>
      <c r="I848" s="120"/>
      <c r="J848" s="120"/>
      <c r="K848" s="120"/>
      <c r="L848" s="120" t="s">
        <v>48</v>
      </c>
      <c r="M848" s="131"/>
    </row>
    <row r="849" spans="1:13" ht="14.25" customHeight="1" x14ac:dyDescent="0.35">
      <c r="A849" s="75"/>
      <c r="B849" s="130"/>
      <c r="C849" s="105" t="s">
        <v>2395</v>
      </c>
      <c r="D849" s="105" t="s">
        <v>2376</v>
      </c>
      <c r="E849" s="76">
        <v>25150</v>
      </c>
      <c r="F849" s="75"/>
      <c r="G849" s="105"/>
      <c r="H849" s="75"/>
      <c r="I849" s="75"/>
      <c r="J849" s="75"/>
      <c r="K849" s="75"/>
      <c r="L849" s="75" t="s">
        <v>48</v>
      </c>
      <c r="M849" s="105"/>
    </row>
    <row r="850" spans="1:13" ht="14.25" customHeight="1" x14ac:dyDescent="0.35">
      <c r="A850" s="75"/>
      <c r="B850" s="130"/>
      <c r="C850" s="105" t="s">
        <v>56</v>
      </c>
      <c r="D850" s="105" t="s">
        <v>2393</v>
      </c>
      <c r="E850" s="76">
        <v>25151</v>
      </c>
      <c r="F850" s="75"/>
      <c r="G850" s="105"/>
      <c r="H850" s="75"/>
      <c r="I850" s="75"/>
      <c r="J850" s="75"/>
      <c r="K850" s="75"/>
      <c r="L850" s="75" t="s">
        <v>48</v>
      </c>
      <c r="M850" s="105"/>
    </row>
    <row r="851" spans="1:13" ht="14.25" customHeight="1" x14ac:dyDescent="0.35"/>
    <row r="852" spans="1:13" ht="14.25" customHeight="1" x14ac:dyDescent="0.35"/>
    <row r="853" spans="1:13" ht="14.25" customHeight="1" x14ac:dyDescent="0.35"/>
    <row r="854" spans="1:13" ht="14.25" customHeight="1" x14ac:dyDescent="0.35"/>
    <row r="855" spans="1:13" ht="14.25" customHeight="1" x14ac:dyDescent="0.35"/>
    <row r="856" spans="1:13" ht="14.25" customHeight="1" x14ac:dyDescent="0.35"/>
    <row r="857" spans="1:13" ht="14.25" customHeight="1" x14ac:dyDescent="0.35"/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43" xr:uid="{00000000-0001-0000-0100-000000000000}">
    <sortState xmlns:xlrd2="http://schemas.microsoft.com/office/spreadsheetml/2017/richdata2" ref="A2:M843">
      <sortCondition ref="E2:E843"/>
    </sortState>
  </autoFilter>
  <sortState xmlns:xlrd2="http://schemas.microsoft.com/office/spreadsheetml/2017/richdata2" ref="A2:M850">
    <sortCondition ref="E2:E850"/>
  </sortState>
  <hyperlinks>
    <hyperlink ref="A2" r:id="rId1" xr:uid="{00000000-0004-0000-0100-000000000000}"/>
    <hyperlink ref="A3" r:id="rId2" xr:uid="{00000000-0004-0000-0100-000001000000}"/>
    <hyperlink ref="A4" r:id="rId3" display="hencom@webspeed.dk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display="hencom@webspeed.dk" xr:uid="{00000000-0004-0000-0100-00000F000000}"/>
    <hyperlink ref="A64" r:id="rId17" display="hencom@webspeed.dk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display="gubbertsen@gmail.com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display="adsrejse@gmail.com" xr:uid="{00000000-0004-0000-0100-00002D000000}"/>
    <hyperlink ref="A384" r:id="rId47" xr:uid="{00000000-0004-0000-0100-00002E000000}"/>
    <hyperlink ref="A386" r:id="rId48" display="grete_bossenmeyer@yahoo.fr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display="gubbertsen@gmail.com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display="gubbertsen@gmail.com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display="clauskaae@mail.dk" xr:uid="{00000000-0004-0000-0100-000062000000}"/>
    <hyperlink ref="A698" r:id="rId100" xr:uid="{00000000-0004-0000-0100-000063000000}"/>
    <hyperlink ref="A699" r:id="rId101" xr:uid="{00000000-0004-0000-0100-000064000000}"/>
    <hyperlink ref="A705" r:id="rId102" xr:uid="{7D0108A3-20B4-42E3-A566-D86D1D03A3C3}"/>
    <hyperlink ref="A707" r:id="rId103" xr:uid="{DAFA0001-609F-49E7-BAD7-DFB5FBF61A24}"/>
    <hyperlink ref="A708" r:id="rId104" xr:uid="{106472B7-3174-4401-9023-D12CEEFE9E7E}"/>
    <hyperlink ref="A709" r:id="rId105" xr:uid="{1D21E805-6F91-417C-9923-7251DC624155}"/>
    <hyperlink ref="A710" r:id="rId106" xr:uid="{19E39F95-0C3B-4B50-9ED6-AC8D266C8503}"/>
    <hyperlink ref="A711" r:id="rId107" xr:uid="{DD1E348D-92D2-4ACB-AD58-41FFC10F4777}"/>
    <hyperlink ref="A712" r:id="rId108" display="erpt67@gmail.com" xr:uid="{80BFEE21-A367-4FAA-BC7B-F66E2FF52E60}"/>
    <hyperlink ref="A713" r:id="rId109" display="camillalr7@gmail.com" xr:uid="{55C95B75-50D6-4EC0-A0D9-E1625BC20445}"/>
    <hyperlink ref="A714" r:id="rId110" xr:uid="{D3C2E93F-79E0-4B2D-B161-92AA48875B01}"/>
    <hyperlink ref="A715" r:id="rId111" xr:uid="{BCE203C2-8281-4686-BAA2-EEAF7982EC54}"/>
    <hyperlink ref="A716" r:id="rId112" xr:uid="{5A1C38AB-DFF7-4C78-B91B-75AE1C3297F4}"/>
    <hyperlink ref="A717" r:id="rId113" xr:uid="{D1BEBAEF-F8C1-48F6-AC2F-8CD85F4B857B}"/>
    <hyperlink ref="A720" r:id="rId114" display="gubbertsen@gmail.com" xr:uid="{51453E14-0BAA-4A81-946F-9991AB0D1BBF}"/>
    <hyperlink ref="A721" r:id="rId115" xr:uid="{785F7009-70B3-4100-A836-565B8C97A03E}"/>
    <hyperlink ref="A723" r:id="rId116" xr:uid="{2E78ED93-3117-4875-B9DC-2F8F11AEC507}"/>
    <hyperlink ref="A724" r:id="rId117" xr:uid="{C36022CC-22DF-4596-9FDF-5FDB11F8C8B8}"/>
    <hyperlink ref="A726" r:id="rId118" display="grete_bossenmeyer@yahoo.fr" xr:uid="{18F2F437-7906-49FA-AFE9-F86F1E8E4FFB}"/>
    <hyperlink ref="A727" r:id="rId119" xr:uid="{D8EAA29D-9D40-4CF3-A37F-E27486D965B9}"/>
    <hyperlink ref="A728" r:id="rId120" display="brwa60@yahoo.se" xr:uid="{CC9C3C67-D59A-4F3C-8C79-060A359DC842}"/>
    <hyperlink ref="A732" r:id="rId121" display="adrejse@gmail.com" xr:uid="{DDC36125-0EE4-42CF-8AA2-7E91108DA403}"/>
    <hyperlink ref="A735" r:id="rId122" xr:uid="{B4AB8926-93BB-4D9F-9D45-563F62A67801}"/>
    <hyperlink ref="A737" r:id="rId123" xr:uid="{DD68919B-17C7-40EC-872E-E3129D65042C}"/>
    <hyperlink ref="A747" r:id="rId124" display="arne.sahlstedt@gmail.com" xr:uid="{1987A6D8-44D8-4F05-B162-F545B16AC0A4}"/>
    <hyperlink ref="A748" r:id="rId125" xr:uid="{8A6BCFD2-EAFF-4337-BD3D-AAC1161CFF9A}"/>
    <hyperlink ref="A745" r:id="rId126" display="clauskaae@mail.dk" xr:uid="{6D3F053E-FCCC-49C6-8162-D16644B7B5F5}"/>
    <hyperlink ref="A741" r:id="rId127" xr:uid="{349FABF0-A1F2-4E10-8CEE-A933C60E56F5}"/>
    <hyperlink ref="A740" r:id="rId128" xr:uid="{74F7F769-40E9-4F31-B86D-B63E1D2F54D3}"/>
    <hyperlink ref="A739" r:id="rId129" xr:uid="{AAB64153-6DF9-4DDD-A19D-BB0DC08F83F6}"/>
    <hyperlink ref="A751" r:id="rId130" display="adsrejse@gmail.com" xr:uid="{F5B6FFA7-D617-410C-B1CD-039BE806F947}"/>
    <hyperlink ref="A753" r:id="rId131" xr:uid="{1CAB42BE-BCC7-4AA8-AC57-755578AB2CAE}"/>
    <hyperlink ref="A754" r:id="rId132" xr:uid="{CCEDED88-FE9A-43FA-A1DB-3DC1E42E345B}"/>
    <hyperlink ref="A755" r:id="rId133" xr:uid="{3B2D7F9F-B9AC-4EE7-A48F-748499BEC832}"/>
    <hyperlink ref="A750" r:id="rId134" xr:uid="{A142E47A-0D7B-4E26-A72B-6FC3F1B3379E}"/>
    <hyperlink ref="A757" r:id="rId135" xr:uid="{D1BA022F-D6B4-45DE-9FD1-F03994C9FA1B}"/>
    <hyperlink ref="A758" r:id="rId136" xr:uid="{A2B5A16D-9270-4E67-BEFD-6D7CDB316B7B}"/>
    <hyperlink ref="A760" r:id="rId137" xr:uid="{06D6DFB2-9FE6-468A-ADF2-122B6185D938}"/>
    <hyperlink ref="A762" r:id="rId138" xr:uid="{1315D7C1-D3C1-4488-8465-F8DD5F77EAE8}"/>
    <hyperlink ref="A766" r:id="rId139" xr:uid="{913D7C64-3D9B-4003-AB33-A231E312D0D4}"/>
    <hyperlink ref="A772" r:id="rId140" xr:uid="{736CD6AE-71DE-4F32-9048-D10972DECF32}"/>
    <hyperlink ref="A779" r:id="rId141" xr:uid="{305F4E58-08E3-49B7-AFAB-738D8745969F}"/>
    <hyperlink ref="A790" r:id="rId142" display="cmejer55@gmail.com" xr:uid="{84E83EAA-851A-433A-80AC-693C88DE21A8}"/>
    <hyperlink ref="A789" r:id="rId143" display="anette.holmslykke.andersen@gmail.com" xr:uid="{677482FB-08D8-4D40-89D2-91C783CF2007}"/>
    <hyperlink ref="A787" r:id="rId144" display="aliceogjoel@mail.dk" xr:uid="{D2CE4AE4-3151-4C63-915F-E221AAEFFB5E}"/>
    <hyperlink ref="A786" r:id="rId145" xr:uid="{642D3B8C-C9F0-40ED-B082-FD69A89B4FD4}"/>
    <hyperlink ref="A776" r:id="rId146" xr:uid="{73631787-796C-4DCB-86F8-27DC8CD64314}"/>
    <hyperlink ref="A777" r:id="rId147" xr:uid="{F0A9900D-A462-4526-9796-5F5BC70585F5}"/>
    <hyperlink ref="A799" r:id="rId148" xr:uid="{7286A321-ADD1-4A90-84D0-EDECA5988DAD}"/>
    <hyperlink ref="A810" r:id="rId149" xr:uid="{DDC703E1-9C02-406E-BEB6-872C9F209BE0}"/>
    <hyperlink ref="A815" r:id="rId150" xr:uid="{AAC4549B-52A6-446F-9BB0-C2C0871EEA9E}"/>
    <hyperlink ref="A814" r:id="rId151" xr:uid="{499715AE-BCE9-4553-8EDF-BE68A71C28C9}"/>
    <hyperlink ref="A812" r:id="rId152" display="clauskaae@mail.dk" xr:uid="{F9C4937F-9E77-43E9-9EF3-82AA4EA785FB}"/>
    <hyperlink ref="A825" r:id="rId153" xr:uid="{2B1252CE-E6E9-4099-BFAB-0DC86720726F}"/>
    <hyperlink ref="A822" r:id="rId154" xr:uid="{CFF94202-096A-449C-87F4-C42D2074C91C}"/>
    <hyperlink ref="A830" r:id="rId155" xr:uid="{7229757C-0781-47EB-9747-6B97D7132E1A}"/>
    <hyperlink ref="A836" r:id="rId156" xr:uid="{078DBB9C-BD30-4E15-9E1E-7E47D727D9AB}"/>
    <hyperlink ref="A840" r:id="rId157" xr:uid="{44B920DD-C91D-4762-BD71-E8058112BEDC}"/>
    <hyperlink ref="A847" r:id="rId158" xr:uid="{C53CAB70-DFC5-4171-A7BA-F1A09398F913}"/>
  </hyperlinks>
  <pageMargins left="0.7" right="0.7" top="0.75" bottom="0.75" header="0" footer="0"/>
  <pageSetup orientation="landscape"/>
  <legacyDrawing r:id="rId15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6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7" t="s">
        <v>0</v>
      </c>
      <c r="B1" s="30" t="s">
        <v>1</v>
      </c>
      <c r="C1" s="27" t="s">
        <v>1288</v>
      </c>
      <c r="D1" s="1" t="s">
        <v>1297</v>
      </c>
      <c r="E1" s="27" t="s">
        <v>5</v>
      </c>
      <c r="F1" s="27" t="s">
        <v>3</v>
      </c>
      <c r="G1" s="31" t="s">
        <v>1298</v>
      </c>
      <c r="H1" s="32" t="s">
        <v>9</v>
      </c>
      <c r="I1" s="3" t="s">
        <v>1299</v>
      </c>
      <c r="J1" s="1" t="s">
        <v>1300</v>
      </c>
    </row>
    <row r="2" spans="1:10" ht="14.25" customHeight="1" x14ac:dyDescent="0.35">
      <c r="A2" s="27"/>
      <c r="B2" s="30"/>
      <c r="C2" s="27" t="s">
        <v>188</v>
      </c>
      <c r="D2" s="1" t="str">
        <f>'2021'!B79</f>
        <v>russian</v>
      </c>
      <c r="F2" s="1">
        <f>'2021'!A79</f>
        <v>21078</v>
      </c>
      <c r="G2" s="33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7"/>
      <c r="B3" s="30"/>
      <c r="C3" s="27" t="s">
        <v>968</v>
      </c>
      <c r="D3" s="1" t="str">
        <f>'2023'!B154</f>
        <v>mgl</v>
      </c>
      <c r="F3" s="1">
        <f>'2023'!A154</f>
        <v>23153</v>
      </c>
      <c r="G3" s="33">
        <f>'2023'!C154</f>
        <v>0</v>
      </c>
      <c r="H3" s="34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6" t="s">
        <v>6</v>
      </c>
      <c r="B4" s="30"/>
      <c r="C4" s="27" t="s">
        <v>7</v>
      </c>
      <c r="D4" s="1" t="str">
        <f>'2020'!B2</f>
        <v>Henrik Sørensen</v>
      </c>
      <c r="F4" s="1">
        <f>'2020'!A2</f>
        <v>20001</v>
      </c>
      <c r="G4" s="33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6" t="s">
        <v>6</v>
      </c>
      <c r="B5" s="30"/>
      <c r="C5" s="27" t="s">
        <v>7</v>
      </c>
      <c r="D5" s="1" t="str">
        <f>'2020'!B3</f>
        <v>Henrik Sørensen</v>
      </c>
      <c r="F5" s="1">
        <f>'2020'!A3</f>
        <v>20002</v>
      </c>
      <c r="G5" s="33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7"/>
      <c r="B6" s="30"/>
      <c r="C6" s="27" t="s">
        <v>1301</v>
      </c>
      <c r="D6" s="1" t="str">
        <f>'2020'!B4</f>
        <v>Anne Schwarttzbach</v>
      </c>
      <c r="F6" s="1">
        <f>'2020'!A4</f>
        <v>20003</v>
      </c>
      <c r="G6" s="33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7"/>
      <c r="B7" s="30"/>
      <c r="C7" s="27" t="s">
        <v>11</v>
      </c>
      <c r="D7" s="1" t="str">
        <f>'2020'!B5</f>
        <v>Pia Strøm Nielsen</v>
      </c>
      <c r="F7" s="1">
        <f>'2020'!A5</f>
        <v>20004</v>
      </c>
      <c r="G7" s="33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7"/>
      <c r="B8" s="30"/>
      <c r="C8" s="27" t="s">
        <v>125</v>
      </c>
      <c r="D8" s="1" t="str">
        <f>'2020'!B6</f>
        <v>Torben Hansen</v>
      </c>
      <c r="F8" s="1">
        <f>'2020'!A6</f>
        <v>20005</v>
      </c>
      <c r="G8" s="33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7"/>
      <c r="B9" s="30"/>
      <c r="C9" s="27" t="s">
        <v>371</v>
      </c>
      <c r="D9" s="1" t="str">
        <f>'2020'!B7</f>
        <v>Marie Helene Jakobsen</v>
      </c>
      <c r="F9" s="1">
        <f>'2020'!A7</f>
        <v>20006</v>
      </c>
      <c r="G9" s="33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7"/>
      <c r="B10" s="30"/>
      <c r="C10" s="27" t="s">
        <v>933</v>
      </c>
      <c r="D10" s="1" t="str">
        <f>'2020'!B8</f>
        <v>Annette &amp; Martti Ristola</v>
      </c>
      <c r="F10" s="1">
        <f>'2020'!A8</f>
        <v>20007</v>
      </c>
      <c r="G10" s="33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7"/>
      <c r="B11" s="30"/>
      <c r="C11" s="27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3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7"/>
      <c r="B12" s="30"/>
      <c r="C12" s="27" t="s">
        <v>1303</v>
      </c>
      <c r="D12" s="1" t="str">
        <f>'2020'!B10</f>
        <v>Birgit Wienmann</v>
      </c>
      <c r="F12" s="1">
        <f>'2020'!A10</f>
        <v>20009</v>
      </c>
      <c r="G12" s="33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7"/>
      <c r="B13" s="30"/>
      <c r="C13" s="27" t="s">
        <v>25</v>
      </c>
      <c r="D13" s="1" t="str">
        <f>'2020'!B11</f>
        <v>Birgitte Poulsen</v>
      </c>
      <c r="F13" s="1">
        <f>'2020'!A11</f>
        <v>20010</v>
      </c>
      <c r="G13" s="33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7"/>
      <c r="B14" s="30"/>
      <c r="C14" s="27" t="s">
        <v>11</v>
      </c>
      <c r="D14" s="1" t="str">
        <f>'2020'!B12</f>
        <v>Brigitte Nielsen</v>
      </c>
      <c r="F14" s="1">
        <f>'2020'!A12</f>
        <v>20011</v>
      </c>
      <c r="G14" s="33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7"/>
      <c r="B15" s="30"/>
      <c r="C15" s="27" t="s">
        <v>1304</v>
      </c>
      <c r="D15" s="1" t="str">
        <f>'2020'!B13</f>
        <v>Marrianne + NE</v>
      </c>
      <c r="F15" s="1">
        <f>'2020'!A13</f>
        <v>20012</v>
      </c>
      <c r="G15" s="33">
        <f>'2020'!C13</f>
        <v>43970</v>
      </c>
      <c r="H15" s="35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7"/>
      <c r="B16" s="30"/>
      <c r="C16" s="27" t="s">
        <v>1305</v>
      </c>
      <c r="D16" s="1" t="str">
        <f>'2020'!B14</f>
        <v>Mette Kassov +</v>
      </c>
      <c r="F16" s="1">
        <f>'2020'!A14</f>
        <v>20013</v>
      </c>
      <c r="G16" s="33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7"/>
      <c r="B17" s="30"/>
      <c r="C17" s="27" t="s">
        <v>1306</v>
      </c>
      <c r="D17" s="1" t="str">
        <f>'2020'!B15</f>
        <v>Tanara Radovic</v>
      </c>
      <c r="F17" s="1">
        <f>'2020'!A15</f>
        <v>20014</v>
      </c>
      <c r="G17" s="33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7"/>
      <c r="B18" s="30"/>
      <c r="C18" s="27" t="s">
        <v>1307</v>
      </c>
      <c r="D18" s="1" t="str">
        <f>'2020'!B16</f>
        <v>Jørgen Laursen</v>
      </c>
      <c r="F18" s="1">
        <f>'2020'!A16</f>
        <v>20015</v>
      </c>
      <c r="G18" s="33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7"/>
      <c r="B19" s="30"/>
      <c r="C19" s="27" t="s">
        <v>125</v>
      </c>
      <c r="D19" s="1" t="str">
        <f>'2020'!B17</f>
        <v>Christine Hansen</v>
      </c>
      <c r="F19" s="1">
        <f>'2020'!A17</f>
        <v>20016</v>
      </c>
      <c r="G19" s="33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7"/>
      <c r="B20" s="30"/>
      <c r="C20" s="27" t="s">
        <v>1308</v>
      </c>
      <c r="D20" s="1" t="str">
        <f>'2020'!B18</f>
        <v>Joseph Ammirati</v>
      </c>
      <c r="F20" s="1">
        <f>'2020'!A18</f>
        <v>20017</v>
      </c>
      <c r="G20" s="33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7"/>
      <c r="B21" s="30"/>
      <c r="C21" s="27" t="s">
        <v>1309</v>
      </c>
      <c r="D21" s="1" t="str">
        <f>'2020'!B19</f>
        <v>Robyn McCammbridge</v>
      </c>
      <c r="F21" s="1">
        <f>'2020'!A19</f>
        <v>20018</v>
      </c>
      <c r="G21" s="33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7"/>
      <c r="B22" s="30"/>
      <c r="C22" s="27" t="s">
        <v>353</v>
      </c>
      <c r="D22" s="1" t="str">
        <f>'2020'!B20</f>
        <v>Niels Jørgensen</v>
      </c>
      <c r="F22" s="1">
        <f>'2020'!A20</f>
        <v>20019</v>
      </c>
      <c r="G22" s="33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7"/>
      <c r="B23" s="30"/>
      <c r="C23" s="27" t="s">
        <v>125</v>
      </c>
      <c r="D23" s="1" t="str">
        <f>'2020'!B21</f>
        <v>Jan Kure Hansen</v>
      </c>
      <c r="F23" s="1">
        <f>'2020'!A21</f>
        <v>20020</v>
      </c>
      <c r="G23" s="33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7"/>
      <c r="B24" s="30"/>
      <c r="C24" s="27" t="s">
        <v>1310</v>
      </c>
      <c r="D24" s="1" t="str">
        <f>'2020'!B22</f>
        <v>Mia-britt</v>
      </c>
      <c r="F24" s="1">
        <f>'2020'!A22</f>
        <v>20021</v>
      </c>
      <c r="G24" s="33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7"/>
      <c r="B25" s="30"/>
      <c r="C25" s="27" t="s">
        <v>1311</v>
      </c>
      <c r="D25" s="1" t="str">
        <f>'2020'!B23</f>
        <v>Mario Hälke</v>
      </c>
      <c r="F25" s="1">
        <f>'2020'!A23</f>
        <v>20022</v>
      </c>
      <c r="G25" s="33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7"/>
      <c r="B26" s="30"/>
      <c r="C26" s="27" t="s">
        <v>1312</v>
      </c>
      <c r="D26" s="1" t="str">
        <f>'2020'!B24</f>
        <v>Tjerk Korving</v>
      </c>
      <c r="F26" s="1">
        <f>'2020'!A24</f>
        <v>20023</v>
      </c>
      <c r="G26" s="33">
        <f>'2020'!C24</f>
        <v>44031</v>
      </c>
      <c r="H26" s="35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7"/>
      <c r="B27" s="30"/>
      <c r="C27" s="27" t="s">
        <v>1313</v>
      </c>
      <c r="D27" s="1" t="str">
        <f>'2020'!B25</f>
        <v>Richard &amp; Marina</v>
      </c>
      <c r="F27" s="1">
        <f>'2020'!A25</f>
        <v>20024</v>
      </c>
      <c r="G27" s="33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7"/>
      <c r="B28" s="30"/>
      <c r="C28" s="27" t="s">
        <v>1314</v>
      </c>
      <c r="D28" s="1" t="str">
        <f>'2020'!B26</f>
        <v>Thomas Gloy</v>
      </c>
      <c r="F28" s="1">
        <f>'2020'!A26</f>
        <v>20025</v>
      </c>
      <c r="G28" s="33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7"/>
      <c r="B29" s="30"/>
      <c r="C29" s="27" t="s">
        <v>1315</v>
      </c>
      <c r="D29" s="1" t="str">
        <f>'2020'!B27</f>
        <v>Peter Brückmann</v>
      </c>
      <c r="F29" s="1">
        <f>'2020'!A27</f>
        <v>20026</v>
      </c>
      <c r="G29" s="33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7"/>
      <c r="B30" s="30"/>
      <c r="C30" s="27" t="s">
        <v>1316</v>
      </c>
      <c r="D30" s="1" t="str">
        <f>'2020'!B28</f>
        <v>Karina Strømgart</v>
      </c>
      <c r="F30" s="1">
        <f>'2020'!A28</f>
        <v>20027</v>
      </c>
      <c r="G30" s="33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7"/>
      <c r="B31" s="30"/>
      <c r="C31" s="27" t="s">
        <v>1317</v>
      </c>
      <c r="D31" s="1" t="str">
        <f>'2020'!B29</f>
        <v>Olav Steinnes</v>
      </c>
      <c r="F31" s="1">
        <f>'2020'!A29</f>
        <v>20028</v>
      </c>
      <c r="G31" s="33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7"/>
      <c r="B32" s="30"/>
      <c r="C32" s="27" t="s">
        <v>457</v>
      </c>
      <c r="D32" s="1" t="str">
        <f>'2020'!B30</f>
        <v>Finn Mortensen</v>
      </c>
      <c r="F32" s="1">
        <f>'2020'!A30</f>
        <v>20029</v>
      </c>
      <c r="G32" s="33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7"/>
      <c r="B33" s="30"/>
      <c r="C33" s="27" t="s">
        <v>1318</v>
      </c>
      <c r="D33" s="1" t="str">
        <f>'2020'!B31</f>
        <v>Birgitte Raaschou</v>
      </c>
      <c r="F33" s="1">
        <f>'2020'!A31</f>
        <v>20030</v>
      </c>
      <c r="G33" s="33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7"/>
      <c r="B34" s="30"/>
      <c r="C34" s="27" t="s">
        <v>1319</v>
      </c>
      <c r="D34" s="1" t="str">
        <f>'2020'!B32</f>
        <v>Andreas Brüning</v>
      </c>
      <c r="F34" s="1">
        <f>'2020'!A32</f>
        <v>20031</v>
      </c>
      <c r="G34" s="33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7"/>
      <c r="B35" s="30"/>
      <c r="C35" s="27" t="s">
        <v>1320</v>
      </c>
      <c r="D35" s="1" t="str">
        <f>'2020'!B33</f>
        <v>Davis Littlewood</v>
      </c>
      <c r="F35" s="1">
        <f>'2020'!A33</f>
        <v>20032</v>
      </c>
      <c r="G35" s="33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7"/>
      <c r="B36" s="30"/>
      <c r="C36" s="27" t="s">
        <v>1321</v>
      </c>
      <c r="D36" s="1" t="str">
        <f>'2020'!B34</f>
        <v>Uwe Glöde</v>
      </c>
      <c r="F36" s="1">
        <f>'2020'!A34</f>
        <v>20033</v>
      </c>
      <c r="G36" s="33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7"/>
      <c r="B37" s="30"/>
      <c r="C37" s="27" t="s">
        <v>1322</v>
      </c>
      <c r="D37" s="1" t="str">
        <f>'2020'!B35</f>
        <v>Przemyslaw Kolodziej</v>
      </c>
      <c r="F37" s="1">
        <f>'2020'!A35</f>
        <v>20034</v>
      </c>
      <c r="G37" s="33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7"/>
      <c r="B38" s="30"/>
      <c r="C38" s="27" t="s">
        <v>1323</v>
      </c>
      <c r="D38" s="1" t="str">
        <f>'2020'!B36</f>
        <v>Edgar Kranig</v>
      </c>
      <c r="F38" s="1">
        <f>'2020'!A36</f>
        <v>20035</v>
      </c>
      <c r="G38" s="33">
        <f>'2020'!C36</f>
        <v>44002</v>
      </c>
      <c r="H38" s="35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7"/>
      <c r="B39" s="30"/>
      <c r="C39" s="27" t="s">
        <v>555</v>
      </c>
      <c r="D39" s="1" t="str">
        <f>'2020'!B37</f>
        <v>Regina &amp; Peter Baberowski</v>
      </c>
      <c r="F39" s="1">
        <f>'2020'!A37</f>
        <v>20036</v>
      </c>
      <c r="G39" s="33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7"/>
      <c r="B40" s="30"/>
      <c r="C40" s="27" t="s">
        <v>1324</v>
      </c>
      <c r="D40" s="1" t="str">
        <f>'2020'!B38</f>
        <v>Bjarte Tveranger</v>
      </c>
      <c r="F40" s="1">
        <f>'2020'!A38</f>
        <v>20037</v>
      </c>
      <c r="G40" s="33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7"/>
      <c r="B41" s="30"/>
      <c r="C41" s="27" t="s">
        <v>1325</v>
      </c>
      <c r="D41" s="1" t="str">
        <f>'2020'!B39</f>
        <v>Elias Eilertsen</v>
      </c>
      <c r="F41" s="1">
        <f>'2020'!A39</f>
        <v>20038</v>
      </c>
      <c r="G41" s="33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7"/>
      <c r="B42" s="30"/>
      <c r="C42" s="27" t="s">
        <v>1326</v>
      </c>
      <c r="D42" s="1" t="str">
        <f>'2020'!B40</f>
        <v>Roman Muzak</v>
      </c>
      <c r="F42" s="1">
        <f>'2020'!A40</f>
        <v>20039</v>
      </c>
      <c r="G42" s="33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7"/>
      <c r="B43" s="30"/>
      <c r="C43" s="27" t="s">
        <v>1327</v>
      </c>
      <c r="D43" s="1" t="str">
        <f>'2020'!B41</f>
        <v>Rolf Viiktorsson</v>
      </c>
      <c r="F43" s="1">
        <f>'2020'!A41</f>
        <v>20040</v>
      </c>
      <c r="G43" s="33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7"/>
      <c r="B44" s="30"/>
      <c r="C44" s="27" t="s">
        <v>1328</v>
      </c>
      <c r="D44" s="1" t="str">
        <f>'2020'!B42</f>
        <v>Gabi &amp; Erik</v>
      </c>
      <c r="F44" s="1">
        <f>'2020'!A42</f>
        <v>20041</v>
      </c>
      <c r="G44" s="33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7"/>
      <c r="B45" s="30"/>
      <c r="C45" s="27" t="s">
        <v>1329</v>
      </c>
      <c r="D45" s="1" t="str">
        <f>'2020'!B43</f>
        <v>Beate Nahrmann</v>
      </c>
      <c r="F45" s="1">
        <f>'2020'!A43</f>
        <v>20042</v>
      </c>
      <c r="G45" s="33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7"/>
      <c r="B46" s="30"/>
      <c r="C46" s="27" t="s">
        <v>1330</v>
      </c>
      <c r="D46" s="1" t="str">
        <f>'2020'!B44</f>
        <v>Leif Ryom</v>
      </c>
      <c r="F46" s="1">
        <f>'2020'!A44</f>
        <v>20043</v>
      </c>
      <c r="G46" s="33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7"/>
      <c r="B47" s="30"/>
      <c r="C47" s="27" t="s">
        <v>1331</v>
      </c>
      <c r="D47" s="1" t="str">
        <f>'2020'!B45</f>
        <v>Christina Davis Bonefeld</v>
      </c>
      <c r="F47" s="1">
        <f>'2020'!A45</f>
        <v>20044</v>
      </c>
      <c r="G47" s="33">
        <f>'2020'!C45</f>
        <v>43929</v>
      </c>
      <c r="H47" s="35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7"/>
      <c r="B48" s="30"/>
      <c r="C48" s="27" t="s">
        <v>1332</v>
      </c>
      <c r="D48" s="1" t="str">
        <f>'2020'!B46</f>
        <v>Katrin Nilsson</v>
      </c>
      <c r="F48" s="1">
        <f>'2020'!A46</f>
        <v>20045</v>
      </c>
      <c r="G48" s="33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7"/>
      <c r="B49" s="30"/>
      <c r="C49" s="27" t="s">
        <v>457</v>
      </c>
      <c r="D49" s="1" t="str">
        <f>'2020'!B47</f>
        <v>Majken Mortensen</v>
      </c>
      <c r="F49" s="1">
        <f>'2020'!A47</f>
        <v>20046</v>
      </c>
      <c r="G49" s="33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7"/>
      <c r="B50" s="30"/>
      <c r="C50" s="27" t="s">
        <v>1333</v>
      </c>
      <c r="D50" s="1" t="str">
        <f>'2020'!B48</f>
        <v>Grete Bossenmmeyer</v>
      </c>
      <c r="F50" s="1">
        <f>'2020'!A48</f>
        <v>20047</v>
      </c>
      <c r="G50" s="33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7"/>
      <c r="B51" s="30"/>
      <c r="C51" s="27" t="s">
        <v>1334</v>
      </c>
      <c r="D51" s="1" t="str">
        <f>'2020'!B49</f>
        <v>Mads</v>
      </c>
      <c r="F51" s="1">
        <f>'2020'!A49</f>
        <v>20048</v>
      </c>
      <c r="G51" s="33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7"/>
      <c r="B52" s="30"/>
      <c r="C52" s="27" t="s">
        <v>54</v>
      </c>
      <c r="D52" s="1" t="str">
        <f>'2020'!B50</f>
        <v>Ditte Rosschou</v>
      </c>
      <c r="F52" s="1">
        <f>'2020'!A50</f>
        <v>20049</v>
      </c>
      <c r="G52" s="33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7"/>
      <c r="B53" s="30"/>
      <c r="C53" s="27" t="s">
        <v>1335</v>
      </c>
      <c r="D53" s="1" t="str">
        <f>'2020'!B51</f>
        <v>Adriane Mielewczyk</v>
      </c>
      <c r="F53" s="1">
        <f>'2020'!A51</f>
        <v>20050</v>
      </c>
      <c r="G53" s="33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7"/>
      <c r="B54" s="30"/>
      <c r="C54" s="27" t="s">
        <v>568</v>
      </c>
      <c r="D54" s="1" t="str">
        <f>'2020'!B52</f>
        <v>Jörg Selinski</v>
      </c>
      <c r="F54" s="1">
        <f>'2020'!A52</f>
        <v>20051</v>
      </c>
      <c r="G54" s="33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7"/>
      <c r="B55" s="30"/>
      <c r="C55" s="27" t="s">
        <v>1336</v>
      </c>
      <c r="D55" s="1" t="str">
        <f>'2020'!B53</f>
        <v>Tina Himmelreich</v>
      </c>
      <c r="F55" s="1">
        <f>'2020'!A53</f>
        <v>20052</v>
      </c>
      <c r="G55" s="33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7"/>
      <c r="B56" s="30"/>
      <c r="C56" s="27" t="s">
        <v>1330</v>
      </c>
      <c r="D56" s="1" t="str">
        <f>'2020'!B54</f>
        <v>Nikolaj Moltrup-Ryom</v>
      </c>
      <c r="F56" s="1">
        <f>'2020'!A54</f>
        <v>20053</v>
      </c>
      <c r="G56" s="33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7"/>
      <c r="B57" s="30"/>
      <c r="C57" s="27" t="s">
        <v>869</v>
      </c>
      <c r="D57" s="1" t="str">
        <f>'2020'!B55</f>
        <v>Manfred Weber</v>
      </c>
      <c r="F57" s="1">
        <f>'2020'!A55</f>
        <v>20054</v>
      </c>
      <c r="G57" s="33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7"/>
      <c r="B58" s="30"/>
      <c r="C58" s="27" t="s">
        <v>303</v>
      </c>
      <c r="D58" s="1" t="str">
        <f>'2020'!B56</f>
        <v>Gun-Britt Löfgren</v>
      </c>
      <c r="F58" s="1">
        <f>'2020'!A56</f>
        <v>20055</v>
      </c>
      <c r="G58" s="33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7"/>
      <c r="B59" s="30"/>
      <c r="C59" s="27" t="s">
        <v>1337</v>
      </c>
      <c r="D59" s="1" t="str">
        <f>'2020'!B57</f>
        <v>Louise Frommelt</v>
      </c>
      <c r="F59" s="1">
        <f>'2020'!A57</f>
        <v>20056</v>
      </c>
      <c r="G59" s="33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7"/>
      <c r="B60" s="30"/>
      <c r="C60" s="27" t="s">
        <v>1338</v>
      </c>
      <c r="D60" s="1" t="str">
        <f>'2020'!B58</f>
        <v>Uwe Hummert</v>
      </c>
      <c r="F60" s="1">
        <f>'2020'!A58</f>
        <v>20057</v>
      </c>
      <c r="G60" s="33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7"/>
      <c r="B61" s="30"/>
      <c r="C61" s="27" t="s">
        <v>1339</v>
      </c>
      <c r="D61" s="1" t="str">
        <f>'2020'!B59</f>
        <v>Birthe Wilhelmsen</v>
      </c>
      <c r="F61" s="1">
        <f>'2020'!A59</f>
        <v>20058</v>
      </c>
      <c r="G61" s="33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7"/>
      <c r="B62" s="30"/>
      <c r="C62" s="27" t="s">
        <v>1340</v>
      </c>
      <c r="D62" s="1" t="str">
        <f>'2020'!B60</f>
        <v>Leif Swahn</v>
      </c>
      <c r="F62" s="1">
        <f>'2020'!A60</f>
        <v>20059</v>
      </c>
      <c r="G62" s="33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7"/>
      <c r="B63" s="30"/>
      <c r="C63" s="27" t="s">
        <v>507</v>
      </c>
      <c r="D63" s="1" t="str">
        <f>'2020'!B61</f>
        <v>Henrik</v>
      </c>
      <c r="F63" s="1">
        <f>'2020'!A61</f>
        <v>20060</v>
      </c>
      <c r="G63" s="33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7"/>
      <c r="B64" s="30"/>
      <c r="C64" s="27" t="s">
        <v>1341</v>
      </c>
      <c r="D64" s="1" t="str">
        <f>'2020'!B62</f>
        <v>Peter Roesch</v>
      </c>
      <c r="F64" s="1">
        <f>'2020'!A62</f>
        <v>20061</v>
      </c>
      <c r="G64" s="33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7"/>
      <c r="B65" s="30"/>
      <c r="C65" s="27" t="s">
        <v>125</v>
      </c>
      <c r="D65" s="1" t="str">
        <f>'2020'!B63</f>
        <v>Finn Nørby Hansen</v>
      </c>
      <c r="F65" s="1">
        <f>'2020'!A63</f>
        <v>20062</v>
      </c>
      <c r="G65" s="33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7"/>
      <c r="B66" s="30"/>
      <c r="C66" s="27" t="s">
        <v>863</v>
      </c>
      <c r="D66" s="1" t="str">
        <f>'2020'!B64</f>
        <v>Susanne Ahlmann Svensson</v>
      </c>
      <c r="F66" s="1">
        <f>'2020'!A64</f>
        <v>20063</v>
      </c>
      <c r="G66" s="33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7"/>
      <c r="B67" s="30"/>
      <c r="C67" s="27" t="s">
        <v>1342</v>
      </c>
      <c r="D67" s="1" t="str">
        <f>'2020'!B65</f>
        <v>Heidi Schattenberg</v>
      </c>
      <c r="F67" s="1">
        <f>'2020'!A65</f>
        <v>20064</v>
      </c>
      <c r="G67" s="33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7"/>
      <c r="B68" s="30"/>
      <c r="C68" s="27" t="s">
        <v>1343</v>
      </c>
      <c r="D68" s="1" t="str">
        <f>'2020'!B66</f>
        <v>Bo Bjerggaard</v>
      </c>
      <c r="F68" s="1">
        <f>'2020'!A66</f>
        <v>20065</v>
      </c>
      <c r="G68" s="33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7"/>
      <c r="B69" s="30"/>
      <c r="C69" s="27" t="s">
        <v>969</v>
      </c>
      <c r="D69" s="1" t="str">
        <f>'2020'!B67</f>
        <v>Lea &amp; Troels Carlander</v>
      </c>
      <c r="F69" s="1">
        <f>'2020'!A67</f>
        <v>20066</v>
      </c>
      <c r="G69" s="33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7"/>
      <c r="B70" s="30"/>
      <c r="C70" s="27" t="s">
        <v>1344</v>
      </c>
      <c r="D70" s="1" t="str">
        <f>'2020'!B68</f>
        <v>Pascale Neff</v>
      </c>
      <c r="F70" s="1">
        <f>'2020'!A68</f>
        <v>20067</v>
      </c>
      <c r="G70" s="33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7"/>
      <c r="B71" s="30"/>
      <c r="C71" s="27" t="s">
        <v>163</v>
      </c>
      <c r="D71" s="1" t="str">
        <f>'2020'!B69</f>
        <v>Kristoffer Grishauge</v>
      </c>
      <c r="F71" s="1">
        <f>'2020'!A69</f>
        <v>20068</v>
      </c>
      <c r="G71" s="33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7"/>
      <c r="B72" s="30"/>
      <c r="C72" s="27" t="s">
        <v>1345</v>
      </c>
      <c r="D72" s="1" t="str">
        <f>'2020'!B70</f>
        <v>Stine Haastrup</v>
      </c>
      <c r="F72" s="1">
        <f>'2020'!A70</f>
        <v>20069</v>
      </c>
      <c r="G72" s="33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7"/>
      <c r="B73" s="30"/>
      <c r="C73" s="27" t="s">
        <v>1346</v>
      </c>
      <c r="D73" s="1" t="str">
        <f>'2020'!B71</f>
        <v>Hanne Johansen</v>
      </c>
      <c r="F73" s="1">
        <f>'2020'!A71</f>
        <v>20070</v>
      </c>
      <c r="G73" s="33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7"/>
      <c r="B74" s="30"/>
      <c r="C74" s="27" t="s">
        <v>406</v>
      </c>
      <c r="D74" s="1" t="str">
        <f>'2020'!B72</f>
        <v>Else Madsen</v>
      </c>
      <c r="F74" s="1">
        <f>'2020'!A72</f>
        <v>20071</v>
      </c>
      <c r="G74" s="33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7"/>
      <c r="B75" s="30"/>
      <c r="C75" s="27" t="s">
        <v>1347</v>
      </c>
      <c r="D75" s="1" t="str">
        <f>'2020'!B73</f>
        <v>Rolf Peters</v>
      </c>
      <c r="F75" s="1">
        <f>'2020'!A73</f>
        <v>20072</v>
      </c>
      <c r="G75" s="33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7"/>
      <c r="B76" s="30"/>
      <c r="C76" s="27" t="s">
        <v>1348</v>
      </c>
      <c r="D76" s="1" t="str">
        <f>'2020'!B74</f>
        <v>Klas Kaljusaar</v>
      </c>
      <c r="F76" s="1">
        <f>'2020'!A74</f>
        <v>20073</v>
      </c>
      <c r="G76" s="33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7"/>
      <c r="B77" s="30"/>
      <c r="C77" s="27" t="s">
        <v>1349</v>
      </c>
      <c r="D77" s="1" t="str">
        <f>'2020'!B75</f>
        <v>Barbara</v>
      </c>
      <c r="F77" s="1">
        <f>'2020'!A75</f>
        <v>20074</v>
      </c>
      <c r="G77" s="33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7"/>
      <c r="B78" s="30"/>
      <c r="C78" s="27" t="s">
        <v>1350</v>
      </c>
      <c r="D78" s="1" t="str">
        <f>'2020'!B76</f>
        <v>Mareike Börner</v>
      </c>
      <c r="F78" s="1">
        <f>'2020'!A76</f>
        <v>20075</v>
      </c>
      <c r="G78" s="33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7"/>
      <c r="B79" s="30"/>
      <c r="C79" s="27" t="s">
        <v>1351</v>
      </c>
      <c r="D79" s="1" t="str">
        <f>'2020'!B77</f>
        <v>Anders Kroon</v>
      </c>
      <c r="F79" s="1">
        <f>'2020'!A77</f>
        <v>20076</v>
      </c>
      <c r="G79" s="33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7"/>
      <c r="B80" s="30"/>
      <c r="C80" s="27" t="s">
        <v>1352</v>
      </c>
      <c r="D80" s="1" t="str">
        <f>'2020'!B78</f>
        <v>Susanne Aarburg</v>
      </c>
      <c r="F80" s="1">
        <f>'2020'!A78</f>
        <v>20077</v>
      </c>
      <c r="G80" s="33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7"/>
      <c r="B81" s="30"/>
      <c r="C81" s="27" t="s">
        <v>499</v>
      </c>
      <c r="D81" s="1" t="str">
        <f>'2020'!B79</f>
        <v>Laila Steffensen</v>
      </c>
      <c r="F81" s="1">
        <f>'2020'!A79</f>
        <v>20078</v>
      </c>
      <c r="G81" s="33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7"/>
      <c r="B82" s="30"/>
      <c r="C82" s="27" t="s">
        <v>1353</v>
      </c>
      <c r="D82" s="1" t="str">
        <f>'2020'!B80</f>
        <v>Fabian Priewe</v>
      </c>
      <c r="F82" s="1">
        <f>'2020'!A80</f>
        <v>20079</v>
      </c>
      <c r="G82" s="33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7"/>
      <c r="B83" s="30"/>
      <c r="C83" s="27" t="s">
        <v>1354</v>
      </c>
      <c r="D83" s="1" t="str">
        <f>'2020'!B81</f>
        <v>Lindasofia Scheutz</v>
      </c>
      <c r="F83" s="1">
        <f>'2020'!A81</f>
        <v>20080</v>
      </c>
      <c r="G83" s="33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7"/>
      <c r="B84" s="30"/>
      <c r="C84" s="27" t="s">
        <v>1355</v>
      </c>
      <c r="D84" s="1" t="str">
        <f>'2020'!B82</f>
        <v>Jörg Goldelius</v>
      </c>
      <c r="F84" s="1">
        <f>'2020'!A82</f>
        <v>20081</v>
      </c>
      <c r="G84" s="33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7"/>
      <c r="B85" s="30"/>
      <c r="C85" s="27" t="s">
        <v>647</v>
      </c>
      <c r="D85" s="1" t="str">
        <f>'2020'!B83</f>
        <v>Tina Grovermann</v>
      </c>
      <c r="F85" s="1">
        <f>'2020'!A83</f>
        <v>20082</v>
      </c>
      <c r="G85" s="33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7"/>
      <c r="B86" s="30"/>
      <c r="C86" s="27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3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7"/>
      <c r="B87" s="30"/>
      <c r="C87" s="27" t="s">
        <v>1357</v>
      </c>
      <c r="D87" s="1" t="str">
        <f>'2020'!B85</f>
        <v>Bettina Westi</v>
      </c>
      <c r="F87" s="1">
        <f>'2020'!A85</f>
        <v>20084</v>
      </c>
      <c r="G87" s="33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7"/>
      <c r="B88" s="30"/>
      <c r="C88" s="27" t="s">
        <v>1358</v>
      </c>
      <c r="D88" s="1" t="str">
        <f>'2020'!B86</f>
        <v>Kathrin Heuer</v>
      </c>
      <c r="F88" s="1">
        <f>'2020'!A86</f>
        <v>20085</v>
      </c>
      <c r="G88" s="33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7"/>
      <c r="B89" s="30"/>
      <c r="C89" s="27" t="s">
        <v>1359</v>
      </c>
      <c r="D89" s="1" t="str">
        <f>'2020'!B87</f>
        <v>Birgitte Grønning</v>
      </c>
      <c r="F89" s="1">
        <f>'2020'!A87</f>
        <v>20086</v>
      </c>
      <c r="G89" s="33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7"/>
      <c r="B90" s="30"/>
      <c r="C90" s="27" t="s">
        <v>1360</v>
      </c>
      <c r="D90" s="1" t="str">
        <f>'2020'!B88</f>
        <v>Betty Boysen</v>
      </c>
      <c r="F90" s="1">
        <f>'2020'!A88</f>
        <v>20087</v>
      </c>
      <c r="G90" s="33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7"/>
      <c r="B91" s="30"/>
      <c r="C91" s="27" t="s">
        <v>953</v>
      </c>
      <c r="D91" s="1" t="str">
        <f>'2020'!B89</f>
        <v>Kim Teglberg</v>
      </c>
      <c r="F91" s="1">
        <f>'2020'!A89</f>
        <v>20088</v>
      </c>
      <c r="G91" s="33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7"/>
      <c r="B92" s="30"/>
      <c r="C92" s="27" t="s">
        <v>1361</v>
      </c>
      <c r="D92" s="1" t="str">
        <f>'2020'!B90</f>
        <v>Birgitta Reimers</v>
      </c>
      <c r="F92" s="1">
        <f>'2020'!A90</f>
        <v>20089</v>
      </c>
      <c r="G92" s="33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7"/>
      <c r="B93" s="30"/>
      <c r="C93" s="27" t="s">
        <v>1362</v>
      </c>
      <c r="D93" s="1" t="str">
        <f>'2020'!B91</f>
        <v>Jens Norlin</v>
      </c>
      <c r="F93" s="1">
        <f>'2020'!A91</f>
        <v>20090</v>
      </c>
      <c r="G93" s="33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7"/>
      <c r="B94" s="30"/>
      <c r="C94" s="27" t="s">
        <v>101</v>
      </c>
      <c r="D94" s="1" t="str">
        <f>'2020'!B92</f>
        <v>John Sckaletz</v>
      </c>
      <c r="F94" s="1">
        <f>'2020'!A92</f>
        <v>20091</v>
      </c>
      <c r="G94" s="33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7"/>
      <c r="B95" s="30"/>
      <c r="C95" s="27" t="s">
        <v>288</v>
      </c>
      <c r="D95" s="1" t="str">
        <f>'2020'!B93</f>
        <v>Michael Larsen</v>
      </c>
      <c r="F95" s="1">
        <f>'2020'!A93</f>
        <v>20092</v>
      </c>
      <c r="G95" s="33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7"/>
      <c r="B96" s="30"/>
      <c r="C96" s="27" t="s">
        <v>1363</v>
      </c>
      <c r="D96" s="1" t="str">
        <f>'2020'!B94</f>
        <v>Hanne &amp; Jan Frantzen</v>
      </c>
      <c r="F96" s="1">
        <f>'2020'!A94</f>
        <v>20093</v>
      </c>
      <c r="G96" s="33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7"/>
      <c r="B97" s="30"/>
      <c r="C97" s="27" t="s">
        <v>1364</v>
      </c>
      <c r="D97" s="1" t="str">
        <f>'2020'!B95</f>
        <v>Lötte Jörgensen-Unger</v>
      </c>
      <c r="F97" s="1">
        <f>'2020'!A95</f>
        <v>20094</v>
      </c>
      <c r="G97" s="33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7"/>
      <c r="B98" s="30"/>
      <c r="C98" s="27" t="s">
        <v>27</v>
      </c>
      <c r="D98" s="1" t="str">
        <f>'2020'!B96</f>
        <v>Anette Holm Møller</v>
      </c>
      <c r="F98" s="1">
        <f>'2020'!A96</f>
        <v>20095</v>
      </c>
      <c r="G98" s="33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7"/>
      <c r="B99" s="30"/>
      <c r="C99" s="27" t="s">
        <v>371</v>
      </c>
      <c r="D99" s="1" t="str">
        <f>'2020'!B97</f>
        <v>Marie Helene Jakobsen</v>
      </c>
      <c r="F99" s="1">
        <f>'2020'!A97</f>
        <v>20096</v>
      </c>
      <c r="G99" s="33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7"/>
      <c r="B100" s="30"/>
      <c r="C100" s="27" t="s">
        <v>166</v>
      </c>
      <c r="D100" s="1" t="str">
        <f>'2020'!B98</f>
        <v>Carsten Paul Walker</v>
      </c>
      <c r="F100" s="1">
        <f>'2020'!A98</f>
        <v>20097</v>
      </c>
      <c r="G100" s="33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7"/>
      <c r="B101" s="30"/>
      <c r="C101" s="27" t="s">
        <v>63</v>
      </c>
      <c r="D101" s="1" t="str">
        <f>'2020'!B99</f>
        <v>Martin Jørn Simonsen</v>
      </c>
      <c r="F101" s="1">
        <f>'2020'!A99</f>
        <v>20098</v>
      </c>
      <c r="G101" s="33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7"/>
      <c r="B102" s="30"/>
      <c r="C102" s="27" t="s">
        <v>1365</v>
      </c>
      <c r="D102" s="1" t="str">
        <f>'2020'!B100</f>
        <v>Margit Hörig</v>
      </c>
      <c r="F102" s="1">
        <f>'2020'!A100</f>
        <v>20099</v>
      </c>
      <c r="G102" s="33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7"/>
      <c r="B103" s="30"/>
      <c r="C103" s="27" t="s">
        <v>1354</v>
      </c>
      <c r="D103" s="1" t="str">
        <f>'2020'!B101</f>
        <v>Lindasofia Scheutz</v>
      </c>
      <c r="F103" s="1">
        <f>'2020'!A101</f>
        <v>20100</v>
      </c>
      <c r="G103" s="33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7"/>
      <c r="B104" s="30"/>
      <c r="C104" s="27" t="s">
        <v>1366</v>
      </c>
      <c r="D104" s="1" t="str">
        <f>'2020'!B102</f>
        <v>Mikael Nordmark</v>
      </c>
      <c r="F104" s="1">
        <f>'2020'!A102</f>
        <v>20101</v>
      </c>
      <c r="G104" s="33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7"/>
      <c r="B105" s="30"/>
      <c r="C105" s="27" t="s">
        <v>1367</v>
      </c>
      <c r="D105" s="1" t="str">
        <f>'2020'!B103</f>
        <v>Lene Borresen</v>
      </c>
      <c r="F105" s="1">
        <f>'2020'!A103</f>
        <v>20102</v>
      </c>
      <c r="G105" s="33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7"/>
      <c r="B106" s="30"/>
      <c r="C106" s="27" t="s">
        <v>1368</v>
      </c>
      <c r="D106" s="1" t="str">
        <f>'2020'!B104</f>
        <v>Mette Wauder</v>
      </c>
      <c r="F106" s="1">
        <f>'2020'!A104</f>
        <v>20103</v>
      </c>
      <c r="G106" s="33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7"/>
      <c r="B107" s="30"/>
      <c r="C107" s="27" t="s">
        <v>1369</v>
      </c>
      <c r="D107" s="1" t="str">
        <f>'2020'!B105</f>
        <v>Ulla Hadberg</v>
      </c>
      <c r="F107" s="1">
        <f>'2020'!A105</f>
        <v>20104</v>
      </c>
      <c r="G107" s="33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7"/>
      <c r="B108" s="30"/>
      <c r="C108" s="27" t="s">
        <v>499</v>
      </c>
      <c r="D108" s="1" t="str">
        <f>'2020'!B106</f>
        <v>Rudi Steffensen</v>
      </c>
      <c r="F108" s="1">
        <f>'2020'!A106</f>
        <v>20105</v>
      </c>
      <c r="G108" s="33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7"/>
      <c r="B109" s="30"/>
      <c r="C109" s="27" t="s">
        <v>1361</v>
      </c>
      <c r="D109" s="1" t="str">
        <f>'2020'!B107</f>
        <v>Birgitta Reimers</v>
      </c>
      <c r="F109" s="1">
        <f>'2020'!A107</f>
        <v>20106</v>
      </c>
      <c r="G109" s="33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7"/>
      <c r="B110" s="30"/>
      <c r="C110" s="27" t="s">
        <v>1370</v>
      </c>
      <c r="D110" s="1" t="str">
        <f>'2020'!B108</f>
        <v>Paloma Truong</v>
      </c>
      <c r="F110" s="1">
        <f>'2020'!A108</f>
        <v>20107</v>
      </c>
      <c r="G110" s="33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7"/>
      <c r="B111" s="30"/>
      <c r="C111" s="27" t="s">
        <v>125</v>
      </c>
      <c r="D111" s="1" t="str">
        <f>'2020'!B109</f>
        <v>Dennis Hansen</v>
      </c>
      <c r="F111" s="1">
        <f>'2020'!A109</f>
        <v>20108</v>
      </c>
      <c r="G111" s="33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7"/>
      <c r="B112" s="30"/>
      <c r="C112" s="27" t="s">
        <v>1371</v>
      </c>
      <c r="D112" s="1" t="str">
        <f>'2020'!B110</f>
        <v>Albane Arseguel-Sibon</v>
      </c>
      <c r="F112" s="1">
        <f>'2020'!A110</f>
        <v>20109</v>
      </c>
      <c r="G112" s="33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7"/>
      <c r="B113" s="30"/>
      <c r="C113" s="27" t="s">
        <v>416</v>
      </c>
      <c r="D113" s="1" t="str">
        <f>'2020'!B111</f>
        <v>Arne Christensen</v>
      </c>
      <c r="F113" s="1">
        <f>'2020'!A111</f>
        <v>20110</v>
      </c>
      <c r="G113" s="33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7"/>
      <c r="B114" s="30"/>
      <c r="C114" s="27" t="s">
        <v>1372</v>
      </c>
      <c r="D114" s="1" t="str">
        <f>'2020'!B112</f>
        <v>Ellinor Glesner</v>
      </c>
      <c r="F114" s="1">
        <f>'2020'!A112</f>
        <v>20111</v>
      </c>
      <c r="G114" s="33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7"/>
      <c r="B115" s="30"/>
      <c r="C115" s="27" t="s">
        <v>125</v>
      </c>
      <c r="D115" s="1" t="str">
        <f>'2020'!B113</f>
        <v>Finn Nørby Hansen</v>
      </c>
      <c r="F115" s="1">
        <f>'2020'!A113</f>
        <v>20112</v>
      </c>
      <c r="G115" s="33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7"/>
      <c r="B116" s="30"/>
      <c r="C116" s="27" t="s">
        <v>406</v>
      </c>
      <c r="D116" s="1" t="str">
        <f>'2020'!B114</f>
        <v>Grethe Madsen</v>
      </c>
      <c r="F116" s="1">
        <f>'2020'!A114</f>
        <v>20113</v>
      </c>
      <c r="G116" s="33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7"/>
      <c r="B117" s="30"/>
      <c r="C117" s="27" t="s">
        <v>1373</v>
      </c>
      <c r="D117" s="1" t="str">
        <f>'2020'!B115</f>
        <v>Thomas Faurschou</v>
      </c>
      <c r="F117" s="1">
        <f>'2020'!A115</f>
        <v>20114</v>
      </c>
      <c r="G117" s="33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7"/>
      <c r="B118" s="30"/>
      <c r="C118" s="27" t="s">
        <v>1374</v>
      </c>
      <c r="D118" s="1" t="str">
        <f>'2020'!B116</f>
        <v>Thomas Dr.Schlegel</v>
      </c>
      <c r="F118" s="1">
        <f>'2020'!A116</f>
        <v>20115</v>
      </c>
      <c r="G118" s="33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7"/>
      <c r="B119" s="30"/>
      <c r="C119" s="27" t="s">
        <v>1375</v>
      </c>
      <c r="D119" s="1" t="str">
        <f>'2020'!B117</f>
        <v>Sven Richter</v>
      </c>
      <c r="F119" s="1">
        <f>'2020'!A117</f>
        <v>20116</v>
      </c>
      <c r="G119" s="33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7"/>
      <c r="B120" s="30"/>
      <c r="C120" s="27" t="s">
        <v>1376</v>
      </c>
      <c r="D120" s="1" t="str">
        <f>'2020'!B118</f>
        <v>Heike Ermel</v>
      </c>
      <c r="F120" s="1">
        <f>'2020'!A118</f>
        <v>20117</v>
      </c>
      <c r="G120" s="33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7"/>
      <c r="B121" s="30"/>
      <c r="C121" s="27" t="s">
        <v>351</v>
      </c>
      <c r="D121" s="1" t="str">
        <f>'2020'!B119</f>
        <v>Nataha Carstens</v>
      </c>
      <c r="F121" s="1">
        <f>'2020'!A119</f>
        <v>20118</v>
      </c>
      <c r="G121" s="33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7"/>
      <c r="B122" s="30"/>
      <c r="C122" s="27" t="s">
        <v>1377</v>
      </c>
      <c r="D122" s="1" t="str">
        <f>'2020'!B120</f>
        <v>Stig Ravnkilde</v>
      </c>
      <c r="F122" s="1">
        <f>'2020'!A120</f>
        <v>20119</v>
      </c>
      <c r="G122" s="33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7"/>
      <c r="B123" s="30"/>
      <c r="C123" s="27" t="s">
        <v>74</v>
      </c>
      <c r="D123" s="1" t="str">
        <f>'2020'!B121</f>
        <v>Susanne Jensen</v>
      </c>
      <c r="F123" s="1">
        <f>'2020'!A121</f>
        <v>20120</v>
      </c>
      <c r="G123" s="33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7"/>
      <c r="B124" s="30"/>
      <c r="C124" s="27" t="s">
        <v>1378</v>
      </c>
      <c r="D124" s="1" t="str">
        <f>'2020'!B122</f>
        <v>Mikkel Kjer</v>
      </c>
      <c r="F124" s="1">
        <f>'2020'!A122</f>
        <v>20121</v>
      </c>
      <c r="G124" s="33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7"/>
      <c r="B125" s="30"/>
      <c r="C125" s="27" t="s">
        <v>1379</v>
      </c>
      <c r="D125" s="1" t="str">
        <f>'2020'!B123</f>
        <v>Sabine Hillebrecht</v>
      </c>
      <c r="F125" s="1">
        <f>'2020'!A123</f>
        <v>20122</v>
      </c>
      <c r="G125" s="33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7"/>
      <c r="B126" s="30"/>
      <c r="C126" s="27" t="s">
        <v>1380</v>
      </c>
      <c r="D126" s="1" t="str">
        <f>'2020'!B124</f>
        <v>Adreas Zilges</v>
      </c>
      <c r="F126" s="1">
        <f>'2020'!A124</f>
        <v>20123</v>
      </c>
      <c r="G126" s="33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7"/>
      <c r="B127" s="30"/>
      <c r="C127" s="27" t="s">
        <v>981</v>
      </c>
      <c r="D127" s="1" t="str">
        <f>'2020'!B125</f>
        <v>Hanne Benn</v>
      </c>
      <c r="F127" s="1">
        <f>'2020'!A125</f>
        <v>20124</v>
      </c>
      <c r="G127" s="33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7"/>
      <c r="B128" s="30"/>
      <c r="C128" s="27" t="s">
        <v>74</v>
      </c>
      <c r="D128" s="1" t="str">
        <f>'2020'!B126</f>
        <v>Jan Knudstrup Jensen</v>
      </c>
      <c r="F128" s="1">
        <f>'2020'!A126</f>
        <v>20125</v>
      </c>
      <c r="G128" s="33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7"/>
      <c r="B129" s="30"/>
      <c r="C129" s="27" t="s">
        <v>33</v>
      </c>
      <c r="D129" s="1" t="str">
        <f>'2020'!B127</f>
        <v>Ole Kjær</v>
      </c>
      <c r="F129" s="1">
        <f>'2020'!A127</f>
        <v>20126</v>
      </c>
      <c r="G129" s="33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7"/>
      <c r="B130" s="30"/>
      <c r="C130" s="27" t="s">
        <v>125</v>
      </c>
      <c r="D130" s="1" t="str">
        <f>'2020'!B128</f>
        <v>Camilla Egebjerg Hansen</v>
      </c>
      <c r="F130" s="1">
        <f>'2020'!A128</f>
        <v>20127</v>
      </c>
      <c r="G130" s="33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7"/>
      <c r="B131" s="30"/>
      <c r="C131" s="27" t="s">
        <v>229</v>
      </c>
      <c r="D131" s="1" t="str">
        <f>'2020'!B129</f>
        <v>Lars Berlau</v>
      </c>
      <c r="F131" s="1">
        <f>'2020'!A129</f>
        <v>20128</v>
      </c>
      <c r="G131" s="33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7"/>
      <c r="B132" s="30"/>
      <c r="C132" s="27" t="s">
        <v>1381</v>
      </c>
      <c r="D132" s="1" t="str">
        <f>'2020'!B130</f>
        <v>Jakob Hoff</v>
      </c>
      <c r="F132" s="1">
        <f>'2020'!A130</f>
        <v>20129</v>
      </c>
      <c r="G132" s="33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7"/>
      <c r="B133" s="30"/>
      <c r="C133" s="27" t="s">
        <v>1382</v>
      </c>
      <c r="D133" s="1" t="str">
        <f>'2020'!B131</f>
        <v>Mikkel nn</v>
      </c>
      <c r="F133" s="1">
        <f>'2020'!A131</f>
        <v>20130</v>
      </c>
      <c r="G133" s="33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7"/>
      <c r="B134" s="30"/>
      <c r="C134" s="27" t="s">
        <v>1374</v>
      </c>
      <c r="D134" s="1" t="str">
        <f>'2020'!B132</f>
        <v>Thomas Dr.Schlegel</v>
      </c>
      <c r="F134" s="1">
        <f>'2020'!A132</f>
        <v>20131</v>
      </c>
      <c r="G134" s="33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7"/>
      <c r="B135" s="30"/>
      <c r="C135" s="27" t="s">
        <v>1383</v>
      </c>
      <c r="D135" s="1" t="str">
        <f>'2020'!B133</f>
        <v>Gry Kamille Simpson</v>
      </c>
      <c r="F135" s="1">
        <f>'2020'!A133</f>
        <v>20132</v>
      </c>
      <c r="G135" s="33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7"/>
      <c r="B136" s="30"/>
      <c r="C136" s="27" t="s">
        <v>1384</v>
      </c>
      <c r="D136" s="1" t="str">
        <f>'2020'!B134</f>
        <v>Lars Held</v>
      </c>
      <c r="F136" s="1">
        <f>'2020'!A134</f>
        <v>20133</v>
      </c>
      <c r="G136" s="33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7"/>
      <c r="B137" s="30"/>
      <c r="C137" s="27" t="s">
        <v>1385</v>
      </c>
      <c r="D137" s="1" t="str">
        <f>'2020'!B135</f>
        <v>Ole Telling</v>
      </c>
      <c r="F137" s="1">
        <f>'2020'!A135</f>
        <v>20134</v>
      </c>
      <c r="G137" s="33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7"/>
      <c r="B138" s="30"/>
      <c r="C138" s="27" t="s">
        <v>1382</v>
      </c>
      <c r="D138" s="1" t="str">
        <f>'2020'!B136</f>
        <v>Ulla nn</v>
      </c>
      <c r="F138" s="1">
        <f>'2020'!A136</f>
        <v>20135</v>
      </c>
      <c r="G138" s="33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7"/>
      <c r="B139" s="30"/>
      <c r="C139" s="27" t="s">
        <v>379</v>
      </c>
      <c r="D139" s="1" t="str">
        <f>'2020'!B137</f>
        <v>Yvonne Petersen</v>
      </c>
      <c r="F139" s="1">
        <f>'2020'!A137</f>
        <v>20136</v>
      </c>
      <c r="G139" s="33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7"/>
      <c r="B140" s="30"/>
      <c r="C140" s="27" t="s">
        <v>1382</v>
      </c>
      <c r="D140" s="1" t="str">
        <f>'2020'!B138</f>
        <v>Jeppe nn</v>
      </c>
      <c r="F140" s="1">
        <f>'2020'!A138</f>
        <v>20137</v>
      </c>
      <c r="G140" s="33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7"/>
      <c r="B141" s="30"/>
      <c r="C141" s="27" t="s">
        <v>1386</v>
      </c>
      <c r="D141" s="1" t="str">
        <f>'2020'!B139</f>
        <v>Pernille Emilie Messmann</v>
      </c>
      <c r="F141" s="1">
        <f>'2020'!A139</f>
        <v>20138</v>
      </c>
      <c r="G141" s="33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7"/>
      <c r="B142" s="30"/>
      <c r="C142" s="27" t="s">
        <v>1387</v>
      </c>
      <c r="D142" s="1" t="str">
        <f>'2020'!B140</f>
        <v>Birgitte Mersing</v>
      </c>
      <c r="F142" s="1">
        <f>'2020'!A140</f>
        <v>20139</v>
      </c>
      <c r="G142" s="33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7"/>
      <c r="B143" s="30"/>
      <c r="C143" s="27" t="s">
        <v>1388</v>
      </c>
      <c r="D143" s="1" t="str">
        <f>'2020'!B141</f>
        <v>Helle &amp; Hans Kjøller</v>
      </c>
      <c r="F143" s="1">
        <f>'2020'!A141</f>
        <v>20140</v>
      </c>
      <c r="G143" s="33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7"/>
      <c r="B144" s="30"/>
      <c r="C144" s="27" t="s">
        <v>74</v>
      </c>
      <c r="D144" s="1" t="str">
        <f>'2020'!B142</f>
        <v>Jonna Morthorst Jensen</v>
      </c>
      <c r="F144" s="1">
        <f>'2020'!A142</f>
        <v>20141</v>
      </c>
      <c r="G144" s="33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7"/>
      <c r="B145" s="30"/>
      <c r="C145" s="27" t="s">
        <v>1389</v>
      </c>
      <c r="D145" s="1" t="str">
        <f>'2020'!B143</f>
        <v>Anette Nedergaard</v>
      </c>
      <c r="F145" s="1">
        <f>'2020'!A143</f>
        <v>20142</v>
      </c>
      <c r="G145" s="33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7"/>
      <c r="B146" s="30"/>
      <c r="C146" s="27" t="s">
        <v>351</v>
      </c>
      <c r="D146" s="1" t="str">
        <f>'2020'!B144</f>
        <v>Natasha Carstens</v>
      </c>
      <c r="F146" s="1">
        <f>'2020'!A144</f>
        <v>20143</v>
      </c>
      <c r="G146" s="33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7"/>
      <c r="B147" s="30"/>
      <c r="C147" s="27" t="s">
        <v>74</v>
      </c>
      <c r="D147" s="1" t="str">
        <f>'2020'!B145</f>
        <v>Niels Ingvar Jensen</v>
      </c>
      <c r="F147" s="1">
        <f>'2020'!A145</f>
        <v>20144</v>
      </c>
      <c r="G147" s="33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7"/>
      <c r="B148" s="30"/>
      <c r="C148" s="27" t="s">
        <v>1390</v>
      </c>
      <c r="D148" s="1" t="str">
        <f>'2020'!B146</f>
        <v>Claus Martin Hvenegaard</v>
      </c>
      <c r="F148" s="1">
        <f>'2020'!A146</f>
        <v>20145</v>
      </c>
      <c r="G148" s="33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7"/>
      <c r="B149" s="30"/>
      <c r="C149" s="27" t="s">
        <v>116</v>
      </c>
      <c r="D149" s="1" t="str">
        <f>'2020'!B147</f>
        <v>Henrik Pedersen</v>
      </c>
      <c r="F149" s="1">
        <f>'2020'!A147</f>
        <v>20146</v>
      </c>
      <c r="G149" s="33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7"/>
      <c r="B150" s="30"/>
      <c r="C150" s="27" t="s">
        <v>1391</v>
      </c>
      <c r="D150" s="1" t="str">
        <f>'2020'!B148</f>
        <v>Zoe Minder</v>
      </c>
      <c r="F150" s="1">
        <f>'2020'!A148</f>
        <v>20147</v>
      </c>
      <c r="G150" s="33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7"/>
      <c r="B151" s="30"/>
      <c r="C151" s="27" t="s">
        <v>1392</v>
      </c>
      <c r="D151" s="1" t="str">
        <f>'2020'!B149</f>
        <v>Winnie Magnussen</v>
      </c>
      <c r="F151" s="1">
        <f>'2020'!A149</f>
        <v>20148</v>
      </c>
      <c r="G151" s="33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7"/>
      <c r="B152" s="30"/>
      <c r="C152" s="27" t="s">
        <v>1393</v>
      </c>
      <c r="D152" s="1" t="str">
        <f>'2020'!B150</f>
        <v>Maja Sigsgaard</v>
      </c>
      <c r="F152" s="1">
        <f>'2020'!A150</f>
        <v>20149</v>
      </c>
      <c r="G152" s="33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7"/>
      <c r="B153" s="30"/>
      <c r="C153" s="27" t="s">
        <v>288</v>
      </c>
      <c r="D153" s="1" t="str">
        <f>'2020'!B151</f>
        <v>Tove Larsen</v>
      </c>
      <c r="F153" s="1">
        <f>'2020'!A151</f>
        <v>20150</v>
      </c>
      <c r="G153" s="33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7"/>
      <c r="B154" s="30"/>
      <c r="C154" s="27" t="s">
        <v>1394</v>
      </c>
      <c r="D154" s="1" t="str">
        <f>'2020'!B152</f>
        <v>Babera Herum</v>
      </c>
      <c r="F154" s="1">
        <f>'2020'!A152</f>
        <v>20151</v>
      </c>
      <c r="G154" s="33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7"/>
      <c r="B155" s="30"/>
      <c r="C155" s="27" t="s">
        <v>1332</v>
      </c>
      <c r="D155" s="1" t="str">
        <f>'2020'!B153</f>
        <v>Ulla Nilsson</v>
      </c>
      <c r="F155" s="1">
        <f>'2020'!A153</f>
        <v>20152</v>
      </c>
      <c r="G155" s="33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7"/>
      <c r="B156" s="30"/>
      <c r="C156" s="27" t="s">
        <v>1395</v>
      </c>
      <c r="D156" s="1" t="str">
        <f>'2020'!B154</f>
        <v>Magdalini Psarra</v>
      </c>
      <c r="F156" s="1">
        <f>'2020'!A154</f>
        <v>20153</v>
      </c>
      <c r="G156" s="33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7"/>
      <c r="B157" s="30"/>
      <c r="C157" s="27" t="s">
        <v>1396</v>
      </c>
      <c r="D157" s="1" t="str">
        <f>'2020'!B155</f>
        <v>Lene Højrup</v>
      </c>
      <c r="F157" s="1">
        <f>'2020'!A155</f>
        <v>20154</v>
      </c>
      <c r="G157" s="33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7"/>
      <c r="B158" s="30"/>
      <c r="C158" s="27" t="s">
        <v>1397</v>
      </c>
      <c r="D158" s="1" t="str">
        <f>'2020'!B156</f>
        <v>Karsten Blauert</v>
      </c>
      <c r="F158" s="1">
        <f>'2020'!A156</f>
        <v>20155</v>
      </c>
      <c r="G158" s="33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7"/>
      <c r="B159" s="30"/>
      <c r="C159" s="27" t="s">
        <v>1398</v>
      </c>
      <c r="D159" s="1" t="str">
        <f>'2020'!B157</f>
        <v>Torben Hess</v>
      </c>
      <c r="F159" s="1">
        <f>'2020'!A157</f>
        <v>20156</v>
      </c>
      <c r="G159" s="33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7"/>
      <c r="B160" s="30"/>
      <c r="C160" s="27" t="s">
        <v>1399</v>
      </c>
      <c r="D160" s="1" t="str">
        <f>'2020'!B158</f>
        <v>Stefan Borch Bilfeldt</v>
      </c>
      <c r="F160" s="1">
        <f>'2020'!A158</f>
        <v>20157</v>
      </c>
      <c r="G160" s="33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7"/>
      <c r="B161" s="30"/>
      <c r="C161" s="27" t="s">
        <v>134</v>
      </c>
      <c r="D161" s="1" t="str">
        <f>'2020'!B159</f>
        <v>Allan Kristensen</v>
      </c>
      <c r="F161" s="1">
        <f>'2020'!A159</f>
        <v>20158</v>
      </c>
      <c r="G161" s="33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7"/>
      <c r="B162" s="30"/>
      <c r="C162" s="27" t="s">
        <v>1400</v>
      </c>
      <c r="D162" s="1" t="str">
        <f>'2020'!B160</f>
        <v>Hanne Ellen Hagbarth</v>
      </c>
      <c r="F162" s="1">
        <f>'2020'!A160</f>
        <v>20159</v>
      </c>
      <c r="G162" s="33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7"/>
      <c r="B163" s="30"/>
      <c r="C163" s="27" t="s">
        <v>11</v>
      </c>
      <c r="D163" s="1" t="str">
        <f>'2020'!B161</f>
        <v>Pia Bech Nielsen</v>
      </c>
      <c r="F163" s="1">
        <f>'2020'!A161</f>
        <v>20160</v>
      </c>
      <c r="G163" s="33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7"/>
      <c r="B164" s="30"/>
      <c r="C164" s="27" t="s">
        <v>116</v>
      </c>
      <c r="D164" s="1" t="str">
        <f>'2020'!B162</f>
        <v>Bent Pedersen</v>
      </c>
      <c r="F164" s="1">
        <f>'2020'!A162</f>
        <v>20161</v>
      </c>
      <c r="G164" s="33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7"/>
      <c r="B165" s="30"/>
      <c r="C165" s="27" t="s">
        <v>1401</v>
      </c>
      <c r="D165" s="1" t="str">
        <f>'2020'!B163</f>
        <v>Susanne Malstrøm</v>
      </c>
      <c r="F165" s="1">
        <f>'2020'!A163</f>
        <v>20162</v>
      </c>
      <c r="G165" s="33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7"/>
      <c r="B166" s="30"/>
      <c r="C166" s="27" t="s">
        <v>125</v>
      </c>
      <c r="D166" s="1" t="str">
        <f>'2020'!B164</f>
        <v>Tommy Hansen</v>
      </c>
      <c r="F166" s="1">
        <f>'2020'!A164</f>
        <v>20163</v>
      </c>
      <c r="G166" s="33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7"/>
      <c r="B167" s="30"/>
      <c r="C167" s="27" t="s">
        <v>1402</v>
      </c>
      <c r="D167" s="1" t="str">
        <f>'2020'!B165</f>
        <v>Helena Klint</v>
      </c>
      <c r="F167" s="1">
        <f>'2020'!A165</f>
        <v>20164</v>
      </c>
      <c r="G167" s="33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7"/>
      <c r="B168" s="30"/>
      <c r="C168" s="27" t="s">
        <v>1258</v>
      </c>
      <c r="D168" s="1" t="str">
        <f>'2020'!B166</f>
        <v>Poul Christian Jespersen</v>
      </c>
      <c r="F168" s="1">
        <f>'2020'!A166</f>
        <v>20165</v>
      </c>
      <c r="G168" s="33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7"/>
      <c r="B169" s="30"/>
      <c r="C169" s="27" t="s">
        <v>74</v>
      </c>
      <c r="D169" s="1" t="str">
        <f>'2020'!B167</f>
        <v>Finn Jensen</v>
      </c>
      <c r="F169" s="1">
        <f>'2020'!A167</f>
        <v>20166</v>
      </c>
      <c r="G169" s="33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7"/>
      <c r="B170" s="30"/>
      <c r="C170" s="27" t="s">
        <v>231</v>
      </c>
      <c r="D170" s="1" t="str">
        <f>'2020'!B168</f>
        <v>Pia Holm</v>
      </c>
      <c r="F170" s="1">
        <f>'2020'!A168</f>
        <v>20167</v>
      </c>
      <c r="G170" s="33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7"/>
      <c r="B171" s="30"/>
      <c r="C171" s="27" t="s">
        <v>11</v>
      </c>
      <c r="D171" s="1" t="str">
        <f>'2020'!B169</f>
        <v>L.Nielsen</v>
      </c>
      <c r="F171" s="1">
        <f>'2020'!A169</f>
        <v>20168</v>
      </c>
      <c r="G171" s="33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7"/>
      <c r="B172" s="30"/>
      <c r="C172" s="27" t="s">
        <v>1403</v>
      </c>
      <c r="D172" s="1" t="str">
        <f>'2020'!B170</f>
        <v>Mette Kierkgaard</v>
      </c>
      <c r="F172" s="1">
        <f>'2020'!A170</f>
        <v>20169</v>
      </c>
      <c r="G172" s="33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7"/>
      <c r="B173" s="30"/>
      <c r="C173" s="27" t="s">
        <v>1404</v>
      </c>
      <c r="D173" s="1" t="str">
        <f>'2020'!B171</f>
        <v>Benjamin Kaniewski</v>
      </c>
      <c r="F173" s="1">
        <f>'2020'!A171</f>
        <v>20170</v>
      </c>
      <c r="G173" s="33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7"/>
      <c r="B174" s="30"/>
      <c r="C174" s="27" t="s">
        <v>1405</v>
      </c>
      <c r="D174" s="1" t="str">
        <f>'2020'!B172</f>
        <v>Dina Suenson</v>
      </c>
      <c r="F174" s="1">
        <f>'2020'!A172</f>
        <v>20171</v>
      </c>
      <c r="G174" s="33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7"/>
      <c r="B175" s="30"/>
      <c r="C175" s="27" t="s">
        <v>353</v>
      </c>
      <c r="D175" s="1" t="str">
        <f>'2020'!B173</f>
        <v>Niels &amp; Helle Jørgensen</v>
      </c>
      <c r="F175" s="1">
        <f>'2020'!A173</f>
        <v>20172</v>
      </c>
      <c r="G175" s="33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7"/>
      <c r="B176" s="30"/>
      <c r="C176" s="27" t="s">
        <v>1406</v>
      </c>
      <c r="D176" s="1" t="str">
        <f>'2020'!B174</f>
        <v>Evelyn Rokkjær Neumann</v>
      </c>
      <c r="F176" s="1">
        <f>'2020'!A174</f>
        <v>20173</v>
      </c>
      <c r="G176" s="33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7"/>
      <c r="B177" s="30"/>
      <c r="C177" s="27" t="s">
        <v>1150</v>
      </c>
      <c r="D177" s="1" t="str">
        <f>'2020'!B175</f>
        <v>Ann Alsted</v>
      </c>
      <c r="F177" s="1">
        <f>'2020'!A175</f>
        <v>20174</v>
      </c>
      <c r="G177" s="33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7"/>
      <c r="B178" s="30"/>
      <c r="C178" s="27" t="s">
        <v>125</v>
      </c>
      <c r="D178" s="1" t="str">
        <f>'2020'!B176</f>
        <v>Cecilie Rømer Hansen</v>
      </c>
      <c r="F178" s="1">
        <f>'2020'!A176</f>
        <v>20175</v>
      </c>
      <c r="G178" s="33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7"/>
      <c r="B179" s="30"/>
      <c r="C179" s="27" t="s">
        <v>1407</v>
      </c>
      <c r="D179" s="1" t="str">
        <f>'2020'!B177</f>
        <v>Betina Lund Drescher</v>
      </c>
      <c r="F179" s="1">
        <f>'2020'!A177</f>
        <v>20176</v>
      </c>
      <c r="G179" s="33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7"/>
      <c r="B180" s="30"/>
      <c r="C180" s="27" t="s">
        <v>74</v>
      </c>
      <c r="D180" s="1" t="str">
        <f>'2020'!B178</f>
        <v>John Jensen</v>
      </c>
      <c r="F180" s="1">
        <f>'2020'!A178</f>
        <v>20177</v>
      </c>
      <c r="G180" s="33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7"/>
      <c r="B181" s="30"/>
      <c r="C181" s="27" t="s">
        <v>323</v>
      </c>
      <c r="D181" s="1" t="str">
        <f>'2020'!B179</f>
        <v>Charlotte Funder</v>
      </c>
      <c r="F181" s="1">
        <f>'2020'!A179</f>
        <v>20178</v>
      </c>
      <c r="G181" s="33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7"/>
      <c r="B182" s="30"/>
      <c r="C182" s="27" t="s">
        <v>1112</v>
      </c>
      <c r="D182" s="1" t="str">
        <f>'2020'!B180</f>
        <v>Vivi Thomsen</v>
      </c>
      <c r="F182" s="1">
        <f>'2020'!A180</f>
        <v>20179</v>
      </c>
      <c r="G182" s="33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7"/>
      <c r="B183" s="30"/>
      <c r="C183" s="27" t="s">
        <v>1408</v>
      </c>
      <c r="D183" s="1" t="str">
        <f>'2020'!B181</f>
        <v>Cathrine Rohde Kjærsgaard</v>
      </c>
      <c r="F183" s="1">
        <f>'2020'!A181</f>
        <v>20180</v>
      </c>
      <c r="G183" s="33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7"/>
      <c r="B184" s="30"/>
      <c r="C184" s="27" t="s">
        <v>1409</v>
      </c>
      <c r="D184" s="1" t="str">
        <f>'2020'!B182</f>
        <v>Trine Misser</v>
      </c>
      <c r="F184" s="1">
        <f>'2020'!A182</f>
        <v>20181</v>
      </c>
      <c r="G184" s="33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7"/>
      <c r="B185" s="30"/>
      <c r="C185" s="27" t="s">
        <v>416</v>
      </c>
      <c r="D185" s="1" t="str">
        <f>'2020'!B183</f>
        <v>Inge &amp; Kim Christensen</v>
      </c>
      <c r="F185" s="1">
        <f>'2020'!A183</f>
        <v>20182</v>
      </c>
      <c r="G185" s="33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7"/>
      <c r="B186" s="30"/>
      <c r="C186" s="27" t="s">
        <v>1410</v>
      </c>
      <c r="D186" s="1" t="str">
        <f>'2020'!B184</f>
        <v>Tina Birkedal</v>
      </c>
      <c r="F186" s="1">
        <f>'2020'!A184</f>
        <v>20183</v>
      </c>
      <c r="G186" s="33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7"/>
      <c r="B187" s="30"/>
      <c r="C187" s="27" t="s">
        <v>1411</v>
      </c>
      <c r="D187" s="1" t="str">
        <f>'2020'!B185</f>
        <v>Jürgen Helbig</v>
      </c>
      <c r="F187" s="1">
        <f>'2020'!A185</f>
        <v>20184</v>
      </c>
      <c r="G187" s="33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7"/>
      <c r="B188" s="30"/>
      <c r="C188" s="27" t="s">
        <v>296</v>
      </c>
      <c r="D188" s="1" t="str">
        <f>'2020'!B186</f>
        <v>Lise Olsen</v>
      </c>
      <c r="F188" s="1">
        <f>'2020'!A186</f>
        <v>20185</v>
      </c>
      <c r="G188" s="33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7"/>
      <c r="B189" s="30"/>
      <c r="C189" s="27" t="s">
        <v>15</v>
      </c>
      <c r="D189" s="1" t="str">
        <f>'2020'!B187</f>
        <v>Anne-dorte Strøm</v>
      </c>
      <c r="F189" s="1">
        <f>'2020'!A187</f>
        <v>20186</v>
      </c>
      <c r="G189" s="33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7"/>
      <c r="B190" s="30"/>
      <c r="C190" s="27" t="s">
        <v>251</v>
      </c>
      <c r="D190" s="1" t="str">
        <f>'2020'!B188</f>
        <v>Mette Barfort</v>
      </c>
      <c r="F190" s="1">
        <f>'2020'!A188</f>
        <v>20187</v>
      </c>
      <c r="G190" s="33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7"/>
      <c r="B191" s="30"/>
      <c r="C191" s="27" t="s">
        <v>1332</v>
      </c>
      <c r="D191" s="1" t="str">
        <f>'2020'!B189</f>
        <v>Johnny Nilsson</v>
      </c>
      <c r="F191" s="1">
        <f>'2020'!A189</f>
        <v>20188</v>
      </c>
      <c r="G191" s="33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7"/>
      <c r="B192" s="30"/>
      <c r="C192" s="27" t="s">
        <v>1412</v>
      </c>
      <c r="D192" s="1" t="str">
        <f>'2020'!B190</f>
        <v>Klare Lyneborg Oxenberg</v>
      </c>
      <c r="F192" s="1">
        <f>'2020'!A190</f>
        <v>20189</v>
      </c>
      <c r="G192" s="33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7"/>
      <c r="B193" s="30"/>
      <c r="C193" s="27" t="s">
        <v>7</v>
      </c>
      <c r="D193" s="1" t="str">
        <f>'2020'!B191</f>
        <v>Peter Sørensen</v>
      </c>
      <c r="F193" s="1">
        <f>'2020'!A191</f>
        <v>20190</v>
      </c>
      <c r="G193" s="33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7"/>
      <c r="B194" s="30"/>
      <c r="C194" s="27" t="s">
        <v>1413</v>
      </c>
      <c r="D194" s="1" t="str">
        <f>'2020'!B192</f>
        <v>Suzu Zhang</v>
      </c>
      <c r="F194" s="1">
        <f>'2020'!A192</f>
        <v>20191</v>
      </c>
      <c r="G194" s="33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7"/>
      <c r="B195" s="30"/>
      <c r="C195" s="27" t="s">
        <v>1414</v>
      </c>
      <c r="D195" s="1" t="str">
        <f>'2020'!B193</f>
        <v>Linda Tolvstein</v>
      </c>
      <c r="F195" s="1">
        <f>'2020'!A193</f>
        <v>20192</v>
      </c>
      <c r="G195" s="33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7"/>
      <c r="B196" s="30"/>
      <c r="C196" s="27" t="s">
        <v>114</v>
      </c>
      <c r="D196" s="1" t="str">
        <f>'2020'!B194</f>
        <v>Lene Thunbo</v>
      </c>
      <c r="F196" s="1">
        <f>'2020'!A194</f>
        <v>20193</v>
      </c>
      <c r="G196" s="33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7"/>
      <c r="B197" s="30"/>
      <c r="C197" s="27" t="s">
        <v>1415</v>
      </c>
      <c r="D197" s="1" t="str">
        <f>'2020'!B195</f>
        <v>Peter Molnit</v>
      </c>
      <c r="F197" s="1">
        <f>'2020'!A195</f>
        <v>20194</v>
      </c>
      <c r="G197" s="33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7"/>
      <c r="B198" s="30"/>
      <c r="C198" s="27" t="s">
        <v>63</v>
      </c>
      <c r="D198" s="1" t="str">
        <f>'2020'!B196</f>
        <v>Claus Simonsen</v>
      </c>
      <c r="F198" s="1">
        <f>'2020'!A196</f>
        <v>20195</v>
      </c>
      <c r="G198" s="33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7"/>
      <c r="B199" s="30"/>
      <c r="C199" s="27" t="s">
        <v>1416</v>
      </c>
      <c r="D199" s="1" t="str">
        <f>'2020'!B197</f>
        <v>Lars Momme Lauritzen</v>
      </c>
      <c r="F199" s="1">
        <f>'2020'!A197</f>
        <v>20196</v>
      </c>
      <c r="G199" s="33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7"/>
      <c r="B200" s="30"/>
      <c r="C200" s="27" t="s">
        <v>1417</v>
      </c>
      <c r="D200" s="1" t="str">
        <f>'2020'!B198</f>
        <v>anette Jeppsen</v>
      </c>
      <c r="F200" s="1">
        <f>'2020'!A198</f>
        <v>20197</v>
      </c>
      <c r="G200" s="33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7"/>
      <c r="B201" s="30"/>
      <c r="C201" s="27" t="s">
        <v>353</v>
      </c>
      <c r="D201" s="1" t="str">
        <f>'2020'!B199</f>
        <v>Tom Jørgensen</v>
      </c>
      <c r="F201" s="1">
        <f>'2020'!A199</f>
        <v>20198</v>
      </c>
      <c r="G201" s="33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7"/>
      <c r="B202" s="30"/>
      <c r="C202" s="27" t="s">
        <v>1418</v>
      </c>
      <c r="D202" s="1" t="str">
        <f>'2020'!B200</f>
        <v>Mette Fagerlind</v>
      </c>
      <c r="F202" s="1">
        <f>'2020'!A200</f>
        <v>20199</v>
      </c>
      <c r="G202" s="33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7"/>
      <c r="B203" s="30"/>
      <c r="C203" s="27" t="s">
        <v>1419</v>
      </c>
      <c r="D203" s="1" t="str">
        <f>'2020'!B201</f>
        <v>Nauja Klleist</v>
      </c>
      <c r="F203" s="1">
        <f>'2020'!A201</f>
        <v>20200</v>
      </c>
      <c r="G203" s="33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7"/>
      <c r="B204" s="30"/>
      <c r="C204" s="27" t="s">
        <v>416</v>
      </c>
      <c r="D204" s="1" t="str">
        <f>'2020'!B202</f>
        <v>Joan Christensen</v>
      </c>
      <c r="F204" s="1">
        <f>'2020'!A202</f>
        <v>20201</v>
      </c>
      <c r="G204" s="33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7"/>
      <c r="B205" s="30"/>
      <c r="C205" s="27" t="s">
        <v>1420</v>
      </c>
      <c r="D205" s="1" t="str">
        <f>'2020'!B203</f>
        <v>Antje Gabelmann</v>
      </c>
      <c r="F205" s="1">
        <f>'2020'!A203</f>
        <v>20202</v>
      </c>
      <c r="G205" s="33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7"/>
      <c r="B206" s="30"/>
      <c r="C206" s="27" t="s">
        <v>400</v>
      </c>
      <c r="D206" s="1" t="str">
        <f>'2020'!B204</f>
        <v>Poul Wiborg</v>
      </c>
      <c r="F206" s="1">
        <f>'2020'!A204</f>
        <v>20203</v>
      </c>
      <c r="G206" s="33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7"/>
      <c r="B207" s="30"/>
      <c r="C207" s="27" t="s">
        <v>1421</v>
      </c>
      <c r="D207" s="1" t="str">
        <f>'2020'!B205</f>
        <v>Ditte &amp; co</v>
      </c>
      <c r="F207" s="1">
        <f>'2020'!A205</f>
        <v>20204</v>
      </c>
      <c r="G207" s="33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7"/>
      <c r="B208" s="30"/>
      <c r="C208" s="27" t="s">
        <v>1422</v>
      </c>
      <c r="D208" s="1" t="str">
        <f>'2020'!B206</f>
        <v>Maciej Kasinski</v>
      </c>
      <c r="F208" s="1">
        <f>'2020'!A206</f>
        <v>20205</v>
      </c>
      <c r="G208" s="33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7"/>
      <c r="B209" s="30"/>
      <c r="C209" s="27" t="s">
        <v>353</v>
      </c>
      <c r="D209" s="1" t="str">
        <f>'2020'!B207</f>
        <v>Grethe Jørgensen</v>
      </c>
      <c r="F209" s="1">
        <f>'2020'!A207</f>
        <v>20206</v>
      </c>
      <c r="G209" s="33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7"/>
      <c r="B210" s="30"/>
      <c r="C210" s="27" t="s">
        <v>116</v>
      </c>
      <c r="D210" s="1" t="str">
        <f>'2020'!B208</f>
        <v>Bjørn Pedersen</v>
      </c>
      <c r="F210" s="1">
        <f>'2020'!A208</f>
        <v>20207</v>
      </c>
      <c r="G210" s="33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7"/>
      <c r="B211" s="30"/>
      <c r="C211" s="27" t="s">
        <v>1423</v>
      </c>
      <c r="D211" s="1" t="str">
        <f>'2020'!B209</f>
        <v>Marrianne Fredriksen</v>
      </c>
      <c r="F211" s="1">
        <f>'2020'!A209</f>
        <v>20208</v>
      </c>
      <c r="G211" s="33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7"/>
      <c r="B212" s="30"/>
      <c r="C212" s="27" t="s">
        <v>200</v>
      </c>
      <c r="D212" s="1" t="str">
        <f>'2020'!B210</f>
        <v>Helle Aakerberg</v>
      </c>
      <c r="F212" s="1">
        <f>'2020'!A210</f>
        <v>20209</v>
      </c>
      <c r="G212" s="33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7"/>
      <c r="B213" s="30"/>
      <c r="C213" s="27" t="s">
        <v>1359</v>
      </c>
      <c r="D213" s="1" t="str">
        <f>'2020'!B211</f>
        <v>Gitte &amp; Steen Grønning</v>
      </c>
      <c r="F213" s="1">
        <f>'2020'!A211</f>
        <v>20210</v>
      </c>
      <c r="G213" s="33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7"/>
      <c r="B214" s="30"/>
      <c r="C214" s="27" t="s">
        <v>1332</v>
      </c>
      <c r="D214" s="1" t="str">
        <f>'2020'!B212</f>
        <v>Stefan Nilsson</v>
      </c>
      <c r="F214" s="1">
        <f>'2020'!A212</f>
        <v>20211</v>
      </c>
      <c r="G214" s="33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7"/>
      <c r="B215" s="30"/>
      <c r="C215" s="27" t="s">
        <v>1424</v>
      </c>
      <c r="D215" s="1" t="str">
        <f>'2020'!B213</f>
        <v>Jan Möller</v>
      </c>
      <c r="F215" s="1">
        <f>'2020'!A213</f>
        <v>20212</v>
      </c>
      <c r="G215" s="33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7"/>
      <c r="B216" s="30"/>
      <c r="C216" s="27" t="s">
        <v>1425</v>
      </c>
      <c r="D216" s="1" t="str">
        <f>'2020'!B214</f>
        <v>Marlen Dietz</v>
      </c>
      <c r="F216" s="1">
        <f>'2020'!A214</f>
        <v>20213</v>
      </c>
      <c r="G216" s="33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7"/>
      <c r="B217" s="30"/>
      <c r="C217" s="27" t="s">
        <v>155</v>
      </c>
      <c r="D217" s="1" t="str">
        <f>'2020'!B215</f>
        <v>Ralf Redlich</v>
      </c>
      <c r="F217" s="1">
        <f>'2020'!A215</f>
        <v>20214</v>
      </c>
      <c r="G217" s="33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7"/>
      <c r="B218" s="30"/>
      <c r="C218" s="27" t="s">
        <v>1426</v>
      </c>
      <c r="D218" s="1" t="str">
        <f>'2020'!B216</f>
        <v>Jesper &amp; Maria</v>
      </c>
      <c r="F218" s="1">
        <f>'2020'!A216</f>
        <v>20215</v>
      </c>
      <c r="G218" s="33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7"/>
      <c r="B219" s="30"/>
      <c r="C219" s="27" t="s">
        <v>1346</v>
      </c>
      <c r="D219" s="1" t="str">
        <f>'2020'!B217</f>
        <v>Carsten Ingemann Johansen</v>
      </c>
      <c r="F219" s="1">
        <f>'2020'!A217</f>
        <v>20216</v>
      </c>
      <c r="G219" s="33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7"/>
      <c r="B220" s="30"/>
      <c r="C220" s="27" t="s">
        <v>1427</v>
      </c>
      <c r="D220" s="1" t="str">
        <f>'2020'!B218</f>
        <v>Marko Wessolowski Marko</v>
      </c>
      <c r="F220" s="1">
        <f>'2020'!A218</f>
        <v>20217</v>
      </c>
      <c r="G220" s="33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7"/>
      <c r="B221" s="30"/>
      <c r="C221" s="27" t="s">
        <v>158</v>
      </c>
      <c r="D221" s="1" t="str">
        <f>'2020'!B219</f>
        <v>Janne Malberg</v>
      </c>
      <c r="F221" s="1">
        <f>'2020'!A219</f>
        <v>20218</v>
      </c>
      <c r="G221" s="33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7"/>
      <c r="B222" s="30"/>
      <c r="C222" s="27" t="s">
        <v>1428</v>
      </c>
      <c r="D222" s="1" t="str">
        <f>'2020'!B220</f>
        <v>John Sckalez - Inger</v>
      </c>
      <c r="F222" s="1">
        <f>'2020'!A220</f>
        <v>20219</v>
      </c>
      <c r="G222" s="33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7"/>
      <c r="B223" s="30"/>
      <c r="C223" s="27" t="s">
        <v>1429</v>
      </c>
      <c r="D223" s="1" t="str">
        <f>'2020'!B221</f>
        <v>Manuela Hoffmann</v>
      </c>
      <c r="F223" s="1">
        <f>'2020'!A221</f>
        <v>20220</v>
      </c>
      <c r="G223" s="33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7"/>
      <c r="B224" s="30"/>
      <c r="C224" s="27" t="s">
        <v>507</v>
      </c>
      <c r="D224" s="1" t="str">
        <f>'2020'!B222</f>
        <v>Henrik</v>
      </c>
      <c r="F224" s="1">
        <f>'2020'!A222</f>
        <v>20221</v>
      </c>
      <c r="G224" s="33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7"/>
      <c r="B225" s="30"/>
      <c r="C225" s="27" t="s">
        <v>1430</v>
      </c>
      <c r="D225" s="1" t="str">
        <f>'2020'!B223</f>
        <v>Gitte Grønager</v>
      </c>
      <c r="F225" s="1">
        <f>'2020'!A223</f>
        <v>20222</v>
      </c>
      <c r="G225" s="33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7"/>
      <c r="B226" s="30"/>
      <c r="C226" s="27" t="s">
        <v>353</v>
      </c>
      <c r="D226" s="1" t="str">
        <f>'2020'!B224</f>
        <v>Bella Lise Pitzner-Jørgensen</v>
      </c>
      <c r="F226" s="1">
        <f>'2020'!A224</f>
        <v>20223</v>
      </c>
      <c r="G226" s="33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7"/>
      <c r="B227" s="30"/>
      <c r="C227" s="27" t="s">
        <v>1431</v>
      </c>
      <c r="D227" s="1" t="str">
        <f>'2020'!B225</f>
        <v>Janne Vestergård</v>
      </c>
      <c r="F227" s="1">
        <f>'2020'!A225</f>
        <v>20224</v>
      </c>
      <c r="G227" s="33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7"/>
      <c r="B228" s="30"/>
      <c r="C228" s="27" t="s">
        <v>1432</v>
      </c>
      <c r="D228" s="1" t="str">
        <f>'2020'!B226</f>
        <v>Vibeke Ejlertsen</v>
      </c>
      <c r="F228" s="1">
        <f>'2020'!A226</f>
        <v>20225</v>
      </c>
      <c r="G228" s="33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7"/>
      <c r="B229" s="30"/>
      <c r="C229" s="27" t="s">
        <v>1433</v>
      </c>
      <c r="D229" s="1" t="str">
        <f>'2020'!B227</f>
        <v>Miryam Spångrud</v>
      </c>
      <c r="F229" s="1">
        <f>'2020'!A227</f>
        <v>20226</v>
      </c>
      <c r="G229" s="33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7"/>
      <c r="B230" s="30"/>
      <c r="C230" s="27" t="s">
        <v>11</v>
      </c>
      <c r="D230" s="1" t="str">
        <f>'2020'!B228</f>
        <v>Hanne Møller-Nielsen</v>
      </c>
      <c r="F230" s="1">
        <f>'2020'!A228</f>
        <v>20227</v>
      </c>
      <c r="G230" s="33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7"/>
      <c r="B231" s="30"/>
      <c r="C231" s="27" t="s">
        <v>1434</v>
      </c>
      <c r="D231" s="1" t="str">
        <f>'2020'!B229</f>
        <v>Mika Kristine Vesterholt</v>
      </c>
      <c r="F231" s="1">
        <f>'2020'!A229</f>
        <v>20228</v>
      </c>
      <c r="G231" s="33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7"/>
      <c r="B232" s="30"/>
      <c r="C232" s="27" t="s">
        <v>1435</v>
      </c>
      <c r="D232" s="1" t="str">
        <f>'2020'!B230</f>
        <v>Michal Iwasiow</v>
      </c>
      <c r="F232" s="1">
        <f>'2020'!A230</f>
        <v>20229</v>
      </c>
      <c r="G232" s="33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7"/>
      <c r="B233" s="30"/>
      <c r="C233" s="27" t="s">
        <v>1436</v>
      </c>
      <c r="D233" s="1" t="str">
        <f>'2020'!B231</f>
        <v>Jakob Johannsen</v>
      </c>
      <c r="F233" s="1">
        <f>'2020'!A231</f>
        <v>20230</v>
      </c>
      <c r="G233" s="33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7"/>
      <c r="B234" s="30"/>
      <c r="C234" s="27" t="s">
        <v>1437</v>
      </c>
      <c r="D234" s="1" t="str">
        <f>'2020'!B232</f>
        <v>Ida Sofie Minke Anderson</v>
      </c>
      <c r="F234" s="1">
        <f>'2020'!A232</f>
        <v>20231</v>
      </c>
      <c r="G234" s="33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7"/>
      <c r="B235" s="30"/>
      <c r="C235" s="27" t="s">
        <v>1438</v>
      </c>
      <c r="D235" s="1" t="str">
        <f>'2020'!B233</f>
        <v>Knud Perdersen</v>
      </c>
      <c r="F235" s="1">
        <f>'2020'!A233</f>
        <v>20232</v>
      </c>
      <c r="G235" s="33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7"/>
      <c r="B236" s="30"/>
      <c r="C236" s="27" t="s">
        <v>189</v>
      </c>
      <c r="D236" s="1" t="str">
        <f>'2020'!B234</f>
        <v>Karsten Andersen</v>
      </c>
      <c r="F236" s="1">
        <f>'2020'!A234</f>
        <v>20233</v>
      </c>
      <c r="G236" s="33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7"/>
      <c r="B237" s="30"/>
      <c r="C237" s="27" t="s">
        <v>1439</v>
      </c>
      <c r="D237" s="1" t="str">
        <f>'2020'!B235</f>
        <v>Ugur Cayoglu</v>
      </c>
      <c r="F237" s="1">
        <f>'2020'!A235</f>
        <v>20234</v>
      </c>
      <c r="G237" s="33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6" t="s">
        <v>6</v>
      </c>
      <c r="B238" s="30"/>
      <c r="C238" s="27" t="s">
        <v>507</v>
      </c>
      <c r="D238" s="1" t="str">
        <f>'2021'!B2</f>
        <v>Henrik Sørensen</v>
      </c>
      <c r="F238" s="1">
        <f>'2021'!A2</f>
        <v>21001</v>
      </c>
      <c r="G238" s="33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6" t="s">
        <v>10</v>
      </c>
      <c r="B239" s="30"/>
      <c r="C239" s="27" t="s">
        <v>1440</v>
      </c>
      <c r="D239" s="1" t="str">
        <f>'2021'!B3</f>
        <v>Hans Nielsen</v>
      </c>
      <c r="F239" s="1">
        <f>'2021'!A3</f>
        <v>21002</v>
      </c>
      <c r="G239" s="33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6" t="s">
        <v>6</v>
      </c>
      <c r="B240" s="30"/>
      <c r="C240" s="27" t="s">
        <v>507</v>
      </c>
      <c r="D240" s="1" t="str">
        <f>'2021'!B4</f>
        <v>Henrik Sørensen</v>
      </c>
      <c r="F240" s="1">
        <f>'2021'!A4</f>
        <v>21003</v>
      </c>
      <c r="G240" s="33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6" t="s">
        <v>14</v>
      </c>
      <c r="B241" s="30">
        <v>31909358</v>
      </c>
      <c r="C241" s="27" t="s">
        <v>15</v>
      </c>
      <c r="D241" s="1" t="str">
        <f>'2021'!B5</f>
        <v>Dorte Strøm</v>
      </c>
      <c r="F241" s="1">
        <f>'2021'!A5</f>
        <v>21004</v>
      </c>
      <c r="G241" s="33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7"/>
      <c r="B242" s="30"/>
      <c r="C242" s="27" t="s">
        <v>18</v>
      </c>
      <c r="D242" s="1" t="str">
        <f>'2021'!B6</f>
        <v>Marianne Burchall</v>
      </c>
      <c r="F242" s="1">
        <f>'2021'!A6</f>
        <v>21005</v>
      </c>
      <c r="G242" s="33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6" t="s">
        <v>1441</v>
      </c>
      <c r="B243" s="30">
        <v>5441773</v>
      </c>
      <c r="C243" s="27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3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6" t="s">
        <v>24</v>
      </c>
      <c r="B244" s="30">
        <v>24259787</v>
      </c>
      <c r="C244" s="27" t="s">
        <v>25</v>
      </c>
      <c r="D244" s="1" t="str">
        <f>'2021'!B8</f>
        <v>Birgitte Poulsen</v>
      </c>
      <c r="F244" s="1">
        <f>'2021'!A8</f>
        <v>21007</v>
      </c>
      <c r="G244" s="33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7"/>
      <c r="B245" s="30"/>
      <c r="C245" s="27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3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6" t="s">
        <v>29</v>
      </c>
      <c r="B246" s="30">
        <v>21667343</v>
      </c>
      <c r="C246" s="27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3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7"/>
      <c r="B247" s="30"/>
      <c r="C247" s="27" t="s">
        <v>33</v>
      </c>
      <c r="D247" s="1" t="str">
        <f>'2021'!B11</f>
        <v>Mads Aarup Kjær</v>
      </c>
      <c r="F247" s="1">
        <f>'2021'!A11</f>
        <v>21010</v>
      </c>
      <c r="G247" s="33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7"/>
      <c r="B248" s="30">
        <v>20346484</v>
      </c>
      <c r="C248" s="27" t="s">
        <v>35</v>
      </c>
      <c r="D248" s="1" t="str">
        <f>'2021'!B12</f>
        <v>Anette Dahl</v>
      </c>
      <c r="F248" s="1">
        <f>'2021'!A12</f>
        <v>21011</v>
      </c>
      <c r="G248" s="33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7"/>
      <c r="B249" s="30"/>
      <c r="C249" s="27" t="s">
        <v>37</v>
      </c>
      <c r="D249" s="1" t="str">
        <f>'2021'!B13</f>
        <v>Ole Käler</v>
      </c>
      <c r="F249" s="1">
        <f>'2021'!A13</f>
        <v>21012</v>
      </c>
      <c r="G249" s="33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6" t="s">
        <v>39</v>
      </c>
      <c r="B250" s="30">
        <v>1713690779</v>
      </c>
      <c r="C250" s="27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3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7"/>
      <c r="B251" s="30"/>
      <c r="C251" s="27" t="s">
        <v>43</v>
      </c>
      <c r="D251" s="1" t="str">
        <f>'2021'!B15</f>
        <v>Anke Eickhoff</v>
      </c>
      <c r="F251" s="1">
        <f>'2021'!A15</f>
        <v>21014</v>
      </c>
      <c r="G251" s="33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7"/>
      <c r="B252" s="30">
        <v>1749873799</v>
      </c>
      <c r="C252" s="27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3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6" t="s">
        <v>49</v>
      </c>
      <c r="B253" s="30">
        <v>25582842</v>
      </c>
      <c r="C253" s="27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3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7"/>
      <c r="B254" s="30"/>
      <c r="C254" s="27" t="s">
        <v>1444</v>
      </c>
      <c r="D254" s="1" t="str">
        <f>'2021'!B18</f>
        <v>Ditte Rosschou</v>
      </c>
      <c r="F254" s="1">
        <f>'2021'!A18</f>
        <v>21017</v>
      </c>
      <c r="G254" s="33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7"/>
      <c r="B255" s="30"/>
      <c r="C255" s="27" t="s">
        <v>56</v>
      </c>
      <c r="D255" s="1" t="str">
        <f>'2021'!B19</f>
        <v>Michael Jacobsen</v>
      </c>
      <c r="F255" s="1">
        <f>'2021'!A19</f>
        <v>21018</v>
      </c>
      <c r="G255" s="33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7"/>
      <c r="B256" s="30"/>
      <c r="C256" s="27" t="s">
        <v>58</v>
      </c>
      <c r="D256" s="1" t="str">
        <f>'2021'!B20</f>
        <v>Jeff Craven</v>
      </c>
      <c r="F256" s="1">
        <f>'2021'!A20</f>
        <v>21019</v>
      </c>
      <c r="G256" s="33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7"/>
      <c r="B257" s="30">
        <v>28743891</v>
      </c>
      <c r="C257" s="27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3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7"/>
      <c r="B258" s="30">
        <v>21261488</v>
      </c>
      <c r="C258" s="27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3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7"/>
      <c r="B259" s="30">
        <v>21401270</v>
      </c>
      <c r="C259" s="27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3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7"/>
      <c r="B260" s="30"/>
      <c r="C260" s="27" t="s">
        <v>69</v>
      </c>
      <c r="D260" s="1" t="str">
        <f>'2021'!B24</f>
        <v>Bjoern Liebig</v>
      </c>
      <c r="F260" s="1">
        <f>'2021'!A24</f>
        <v>21023</v>
      </c>
      <c r="G260" s="33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7"/>
      <c r="B261" s="30">
        <v>15114912039</v>
      </c>
      <c r="C261" s="27" t="s">
        <v>71</v>
      </c>
      <c r="D261" s="1" t="str">
        <f>'2021'!B25</f>
        <v>Steffen Schubert</v>
      </c>
      <c r="F261" s="1">
        <f>'2021'!A25</f>
        <v>21024</v>
      </c>
      <c r="G261" s="33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6" t="s">
        <v>1445</v>
      </c>
      <c r="B262" s="30">
        <v>23241853</v>
      </c>
      <c r="C262" s="27" t="s">
        <v>1446</v>
      </c>
      <c r="D262" s="1" t="str">
        <f>'2021'!B26</f>
        <v>Birgitte Fruerlund Jensen</v>
      </c>
      <c r="F262" s="1">
        <f>'2021'!A26</f>
        <v>21025</v>
      </c>
      <c r="G262" s="33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7"/>
      <c r="B263" s="30">
        <v>61353512</v>
      </c>
      <c r="C263" s="27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3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7"/>
      <c r="B264" s="30"/>
      <c r="C264" s="27" t="s">
        <v>79</v>
      </c>
      <c r="D264" s="1" t="str">
        <f>'2021'!B28</f>
        <v>Anette Ladegaard</v>
      </c>
      <c r="F264" s="1">
        <f>'2021'!A28</f>
        <v>21027</v>
      </c>
      <c r="G264" s="33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7"/>
      <c r="B265" s="30">
        <v>28311856</v>
      </c>
      <c r="C265" s="27" t="s">
        <v>11</v>
      </c>
      <c r="D265" s="1" t="str">
        <f>'2021'!B29</f>
        <v>Pia Nielsen</v>
      </c>
      <c r="F265" s="1">
        <f>'2021'!A29</f>
        <v>21028</v>
      </c>
      <c r="G265" s="33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6" t="s">
        <v>82</v>
      </c>
      <c r="B266" s="30">
        <v>26197759</v>
      </c>
      <c r="C266" s="27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3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7"/>
      <c r="B267" s="30"/>
      <c r="C267" s="27" t="s">
        <v>86</v>
      </c>
      <c r="D267" s="1" t="str">
        <f>'2021'!B31</f>
        <v>Evelyn Zocher</v>
      </c>
      <c r="F267" s="1">
        <f>'2021'!A31</f>
        <v>21030</v>
      </c>
      <c r="G267" s="33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7"/>
      <c r="B268" s="30"/>
      <c r="C268" s="27" t="s">
        <v>88</v>
      </c>
      <c r="D268" s="1" t="str">
        <f>'2021'!B32</f>
        <v>Steffi Fleck</v>
      </c>
      <c r="F268" s="1">
        <f>'2021'!A32</f>
        <v>21031</v>
      </c>
      <c r="G268" s="33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6" t="s">
        <v>90</v>
      </c>
      <c r="B269" s="30">
        <v>40253136</v>
      </c>
      <c r="C269" s="27" t="s">
        <v>91</v>
      </c>
      <c r="D269" s="1" t="str">
        <f>'2021'!B33</f>
        <v>Karen Brimnes Damholt</v>
      </c>
      <c r="F269" s="1">
        <f>'2021'!A33</f>
        <v>21032</v>
      </c>
      <c r="G269" s="33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7"/>
      <c r="B270" s="30"/>
      <c r="C270" s="27" t="s">
        <v>93</v>
      </c>
      <c r="D270" s="1" t="str">
        <f>'2021'!B34</f>
        <v>Merethe Eckhardt</v>
      </c>
      <c r="F270" s="1">
        <f>'2021'!A34</f>
        <v>21033</v>
      </c>
      <c r="G270" s="33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7"/>
      <c r="B271" s="30"/>
      <c r="C271" s="27" t="s">
        <v>95</v>
      </c>
      <c r="D271" s="1" t="str">
        <f>'2021'!B35</f>
        <v>Silva Cucchi</v>
      </c>
      <c r="F271" s="1">
        <f>'2021'!A35</f>
        <v>21034</v>
      </c>
      <c r="G271" s="33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7"/>
      <c r="B272" s="30">
        <v>30740881</v>
      </c>
      <c r="C272" s="27" t="s">
        <v>97</v>
      </c>
      <c r="D272" s="1" t="str">
        <f>'2021'!B36</f>
        <v>Irene Raagaard</v>
      </c>
      <c r="F272" s="1">
        <f>'2021'!A36</f>
        <v>21035</v>
      </c>
      <c r="G272" s="33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7"/>
      <c r="B273" s="30">
        <v>20967489</v>
      </c>
      <c r="C273" s="27" t="s">
        <v>7</v>
      </c>
      <c r="D273" s="1" t="str">
        <f>'2021'!B37</f>
        <v>Lars Pfeiffer Sørensen</v>
      </c>
      <c r="F273" s="1">
        <f>'2021'!A37</f>
        <v>21036</v>
      </c>
      <c r="G273" s="33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6" t="s">
        <v>100</v>
      </c>
      <c r="B274" s="30">
        <v>40733226</v>
      </c>
      <c r="C274" s="27" t="s">
        <v>101</v>
      </c>
      <c r="D274" s="1" t="str">
        <f>'2021'!B38</f>
        <v>John Sckaletz</v>
      </c>
      <c r="F274" s="1">
        <f>'2021'!A38</f>
        <v>21037</v>
      </c>
      <c r="G274" s="33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7"/>
      <c r="B275" s="30">
        <v>22110700</v>
      </c>
      <c r="C275" s="27" t="s">
        <v>103</v>
      </c>
      <c r="D275" s="1" t="str">
        <f>'2021'!B39</f>
        <v>Charlotte Børglum</v>
      </c>
      <c r="F275" s="1">
        <f>'2021'!A39</f>
        <v>21038</v>
      </c>
      <c r="G275" s="33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7"/>
      <c r="B276" s="30">
        <v>26858440</v>
      </c>
      <c r="C276" s="27" t="s">
        <v>105</v>
      </c>
      <c r="D276" s="1" t="str">
        <f>'2021'!B40</f>
        <v>Nauja Kleist</v>
      </c>
      <c r="F276" s="1">
        <f>'2021'!A40</f>
        <v>21039</v>
      </c>
      <c r="G276" s="33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7" t="s">
        <v>1447</v>
      </c>
      <c r="B277" s="30">
        <v>25245007</v>
      </c>
      <c r="C277" s="27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3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7"/>
      <c r="B278" s="30">
        <v>21431008</v>
      </c>
      <c r="C278" s="27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3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6" t="s">
        <v>113</v>
      </c>
      <c r="B279" s="30">
        <v>28905712</v>
      </c>
      <c r="C279" s="27" t="s">
        <v>114</v>
      </c>
      <c r="D279" s="1" t="str">
        <f>'2021'!B43</f>
        <v>Lena Thunbo</v>
      </c>
      <c r="F279" s="1">
        <f>'2021'!A43</f>
        <v>21042</v>
      </c>
      <c r="G279" s="33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7"/>
      <c r="B280" s="30">
        <v>20235677</v>
      </c>
      <c r="C280" s="27" t="s">
        <v>116</v>
      </c>
      <c r="D280" s="1" t="str">
        <f>'2021'!B44</f>
        <v>Henrik Pedersen</v>
      </c>
      <c r="F280" s="1">
        <f>'2021'!A44</f>
        <v>21043</v>
      </c>
      <c r="G280" s="33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7"/>
      <c r="B281" s="30">
        <v>26791444</v>
      </c>
      <c r="C281" s="27" t="s">
        <v>119</v>
      </c>
      <c r="D281" s="1" t="str">
        <f>'2021'!B45</f>
        <v>Pernille Pals</v>
      </c>
      <c r="F281" s="1">
        <f>'2021'!A45</f>
        <v>21044</v>
      </c>
      <c r="G281" s="33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6" t="s">
        <v>121</v>
      </c>
      <c r="B282" s="30">
        <v>31220122</v>
      </c>
      <c r="C282" s="27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3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7"/>
      <c r="B283" s="30">
        <v>40401575</v>
      </c>
      <c r="C283" s="27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3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7"/>
      <c r="B284" s="30">
        <v>30936957</v>
      </c>
      <c r="C284" s="27" t="s">
        <v>128</v>
      </c>
      <c r="D284" s="1" t="str">
        <f>'2021'!B48</f>
        <v>Trine Baun</v>
      </c>
      <c r="F284" s="1">
        <f>'2021'!A48</f>
        <v>21047</v>
      </c>
      <c r="G284" s="33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7"/>
      <c r="B285" s="30"/>
      <c r="C285" s="27" t="s">
        <v>130</v>
      </c>
      <c r="D285" s="1" t="str">
        <f>'2021'!B49</f>
        <v>Conelia Fricke</v>
      </c>
      <c r="F285" s="1">
        <f>'2021'!A49</f>
        <v>21048</v>
      </c>
      <c r="G285" s="33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7"/>
      <c r="B286" s="30">
        <v>29613802</v>
      </c>
      <c r="C286" s="27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3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7"/>
      <c r="B287" s="30">
        <v>26448601</v>
      </c>
      <c r="C287" s="27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3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7"/>
      <c r="B288" s="30"/>
      <c r="C288" s="27" t="s">
        <v>137</v>
      </c>
      <c r="D288" s="1" t="str">
        <f>'2021'!B52</f>
        <v>Pia Wittenborn</v>
      </c>
      <c r="F288" s="1">
        <f>'2021'!A52</f>
        <v>21051</v>
      </c>
      <c r="G288" s="33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7"/>
      <c r="B289" s="30"/>
      <c r="C289" s="27" t="s">
        <v>125</v>
      </c>
      <c r="D289" s="1" t="str">
        <f>'2021'!B53</f>
        <v>Robert Steen Hansen</v>
      </c>
      <c r="F289" s="1">
        <f>'2021'!A53</f>
        <v>21052</v>
      </c>
      <c r="G289" s="33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7"/>
      <c r="B290" s="30">
        <v>1711439296</v>
      </c>
      <c r="C290" s="27" t="s">
        <v>140</v>
      </c>
      <c r="D290" s="1" t="str">
        <f>'2021'!B54</f>
        <v>Andreas Klemm</v>
      </c>
      <c r="F290" s="1">
        <f>'2021'!A54</f>
        <v>21053</v>
      </c>
      <c r="G290" s="33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7"/>
      <c r="B291" s="30">
        <v>28490305</v>
      </c>
      <c r="C291" s="27" t="s">
        <v>11</v>
      </c>
      <c r="D291" s="1" t="str">
        <f>'2021'!B55</f>
        <v>Susanne Nielsen</v>
      </c>
      <c r="F291" s="1">
        <f>'2021'!A55</f>
        <v>21054</v>
      </c>
      <c r="G291" s="33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7"/>
      <c r="B292" s="30"/>
      <c r="C292" s="27" t="s">
        <v>143</v>
      </c>
      <c r="D292" s="1" t="str">
        <f>'2021'!B56</f>
        <v>Helle Mathiesen</v>
      </c>
      <c r="F292" s="1">
        <f>'2021'!A56</f>
        <v>21055</v>
      </c>
      <c r="G292" s="33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7"/>
      <c r="B293" s="30">
        <v>61283743</v>
      </c>
      <c r="C293" s="27" t="s">
        <v>11</v>
      </c>
      <c r="D293" s="1" t="str">
        <f>'2021'!B57</f>
        <v>Eigil Holm Nielsen</v>
      </c>
      <c r="F293" s="1">
        <f>'2021'!A57</f>
        <v>21056</v>
      </c>
      <c r="G293" s="33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7"/>
      <c r="B294" s="30">
        <v>60688589</v>
      </c>
      <c r="C294" s="27" t="s">
        <v>146</v>
      </c>
      <c r="D294" s="1" t="str">
        <f>'2021'!B58</f>
        <v>Rene Thestrup</v>
      </c>
      <c r="F294" s="1">
        <f>'2021'!A58</f>
        <v>21057</v>
      </c>
      <c r="G294" s="33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7"/>
      <c r="B295" s="30"/>
      <c r="C295" s="27" t="s">
        <v>148</v>
      </c>
      <c r="D295" s="1" t="str">
        <f>'2021'!B59</f>
        <v>Dan Aagaard</v>
      </c>
      <c r="F295" s="1">
        <f>'2021'!A59</f>
        <v>21058</v>
      </c>
      <c r="G295" s="33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7"/>
      <c r="B296" s="30"/>
      <c r="C296" s="27" t="s">
        <v>150</v>
      </c>
      <c r="D296" s="1" t="str">
        <f>'2021'!B60</f>
        <v>Vibeke Eriksen</v>
      </c>
      <c r="F296" s="1">
        <f>'2021'!A60</f>
        <v>21059</v>
      </c>
      <c r="G296" s="33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6" t="s">
        <v>152</v>
      </c>
      <c r="B297" s="30">
        <v>30299080</v>
      </c>
      <c r="C297" s="27" t="s">
        <v>153</v>
      </c>
      <c r="D297" s="1" t="str">
        <f>'2021'!B61</f>
        <v>Sarah Wahlgreen</v>
      </c>
      <c r="F297" s="1">
        <f>'2021'!A61</f>
        <v>21060</v>
      </c>
      <c r="G297" s="33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7"/>
      <c r="B298" s="30">
        <v>1757043209</v>
      </c>
      <c r="C298" s="27" t="s">
        <v>155</v>
      </c>
      <c r="D298" s="1" t="str">
        <f>'2021'!B62</f>
        <v>Ralf Redlich</v>
      </c>
      <c r="F298" s="1">
        <f>'2021'!A62</f>
        <v>21061</v>
      </c>
      <c r="G298" s="33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6" t="s">
        <v>6</v>
      </c>
      <c r="B299" s="30"/>
      <c r="C299" s="27" t="s">
        <v>7</v>
      </c>
      <c r="D299" s="1" t="str">
        <f>'2021'!B63</f>
        <v>Henrik  Sørensen</v>
      </c>
      <c r="F299" s="1">
        <f>'2021'!A63</f>
        <v>21062</v>
      </c>
      <c r="G299" s="33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6" t="s">
        <v>6</v>
      </c>
      <c r="B300" s="30"/>
      <c r="C300" s="27" t="s">
        <v>7</v>
      </c>
      <c r="D300" s="1" t="str">
        <f>'2021'!B64</f>
        <v>Henrik Sørensen</v>
      </c>
      <c r="F300" s="1">
        <f>'2021'!A64</f>
        <v>21063</v>
      </c>
      <c r="G300" s="33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7"/>
      <c r="B301" s="30"/>
      <c r="C301" s="27" t="s">
        <v>158</v>
      </c>
      <c r="D301" s="1" t="str">
        <f>'2021'!B65</f>
        <v>Janne Malberg</v>
      </c>
      <c r="F301" s="1">
        <f>'2021'!A65</f>
        <v>21064</v>
      </c>
      <c r="G301" s="33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7"/>
      <c r="B302" s="30">
        <v>21772797</v>
      </c>
      <c r="C302" s="27" t="s">
        <v>160</v>
      </c>
      <c r="D302" s="1" t="str">
        <f>'2021'!B66</f>
        <v>Ivar Albæk</v>
      </c>
      <c r="F302" s="1">
        <f>'2021'!A66</f>
        <v>21065</v>
      </c>
      <c r="G302" s="33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6" t="s">
        <v>1448</v>
      </c>
      <c r="B303" s="30">
        <v>22310309</v>
      </c>
      <c r="C303" s="27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3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7"/>
      <c r="B304" s="30">
        <v>31164387</v>
      </c>
      <c r="C304" s="27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3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7"/>
      <c r="B305" s="30"/>
      <c r="C305" s="27" t="s">
        <v>169</v>
      </c>
      <c r="D305" s="1" t="str">
        <f>'2021'!B69</f>
        <v>Lisa Rosengren</v>
      </c>
      <c r="F305" s="1">
        <f>'2021'!A69</f>
        <v>21068</v>
      </c>
      <c r="G305" s="33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7"/>
      <c r="B306" s="30">
        <v>31325579</v>
      </c>
      <c r="C306" s="27" t="s">
        <v>1450</v>
      </c>
      <c r="D306" s="1" t="str">
        <f>'2021'!B70</f>
        <v>Niclas Nordenstrom</v>
      </c>
      <c r="F306" s="1">
        <f>'2021'!A70</f>
        <v>21069</v>
      </c>
      <c r="G306" s="33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7"/>
      <c r="B307" s="30">
        <v>23801355</v>
      </c>
      <c r="C307" s="27" t="s">
        <v>173</v>
      </c>
      <c r="D307" s="1" t="str">
        <f>'2021'!B71</f>
        <v>Elisabeth Røjtburg</v>
      </c>
      <c r="F307" s="1">
        <f>'2021'!A71</f>
        <v>21070</v>
      </c>
      <c r="G307" s="33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7"/>
      <c r="B308" s="30"/>
      <c r="C308" s="27" t="s">
        <v>175</v>
      </c>
      <c r="D308" s="1" t="str">
        <f>'2021'!B72</f>
        <v>Saare Mare</v>
      </c>
      <c r="F308" s="1">
        <f>'2021'!A72</f>
        <v>21071</v>
      </c>
      <c r="G308" s="33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7"/>
      <c r="B309" s="30">
        <v>21461262</v>
      </c>
      <c r="C309" s="27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3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7"/>
      <c r="B310" s="30"/>
      <c r="C310" s="27" t="s">
        <v>179</v>
      </c>
      <c r="D310" s="1" t="str">
        <f>'2021'!B74</f>
        <v xml:space="preserve">Mette </v>
      </c>
      <c r="F310" s="1">
        <f>'2021'!A74</f>
        <v>21073</v>
      </c>
      <c r="G310" s="33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7"/>
      <c r="B311" s="30"/>
      <c r="C311" s="27" t="s">
        <v>181</v>
      </c>
      <c r="D311" s="1" t="str">
        <f>'2021'!B75</f>
        <v>Charlotte Boeg</v>
      </c>
      <c r="F311" s="1">
        <f>'2021'!A75</f>
        <v>21074</v>
      </c>
      <c r="G311" s="33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7"/>
      <c r="B312" s="30"/>
      <c r="C312" s="27" t="s">
        <v>134</v>
      </c>
      <c r="D312" s="1" t="str">
        <f>'2021'!B76</f>
        <v>Svend Kristensen</v>
      </c>
      <c r="F312" s="1">
        <f>'2021'!A76</f>
        <v>21075</v>
      </c>
      <c r="G312" s="33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7"/>
      <c r="B313" s="30"/>
      <c r="C313" s="27" t="s">
        <v>184</v>
      </c>
      <c r="D313" s="1" t="str">
        <f>'2021'!B77</f>
        <v>Niels Erik Rasmussen</v>
      </c>
      <c r="F313" s="1">
        <f>'2021'!A77</f>
        <v>21076</v>
      </c>
      <c r="G313" s="33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7"/>
      <c r="B314" s="30">
        <v>28802428</v>
      </c>
      <c r="C314" s="27" t="s">
        <v>186</v>
      </c>
      <c r="D314" s="1" t="str">
        <f>'2021'!B78</f>
        <v>Louise Rolsner</v>
      </c>
      <c r="F314" s="1">
        <f>'2021'!A78</f>
        <v>21077</v>
      </c>
      <c r="G314" s="33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7"/>
      <c r="B315" s="30">
        <v>21273634</v>
      </c>
      <c r="C315" s="27" t="s">
        <v>189</v>
      </c>
      <c r="D315" s="1" t="str">
        <f>'2021'!B80</f>
        <v>Mary-ann Andersen</v>
      </c>
      <c r="F315" s="1">
        <f>'2021'!A80</f>
        <v>21079</v>
      </c>
      <c r="G315" s="33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7"/>
      <c r="B316" s="30">
        <v>42529597</v>
      </c>
      <c r="C316" s="27" t="s">
        <v>116</v>
      </c>
      <c r="D316" s="1" t="str">
        <f>'2021'!B81</f>
        <v>Keld Pedersen</v>
      </c>
      <c r="F316" s="1">
        <f>'2021'!A81</f>
        <v>21080</v>
      </c>
      <c r="G316" s="33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7"/>
      <c r="B317" s="30">
        <v>25361226</v>
      </c>
      <c r="C317" s="27" t="s">
        <v>192</v>
      </c>
      <c r="D317" s="1" t="str">
        <f>'2021'!B82</f>
        <v>Euki Hirano</v>
      </c>
      <c r="F317" s="1">
        <f>'2021'!A82</f>
        <v>21081</v>
      </c>
      <c r="G317" s="33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7"/>
      <c r="B318" s="30">
        <v>51311439</v>
      </c>
      <c r="C318" s="27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3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7"/>
      <c r="B319" s="30">
        <v>23965956</v>
      </c>
      <c r="C319" s="27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3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7"/>
      <c r="B320" s="30">
        <v>23421530</v>
      </c>
      <c r="C320" s="27" t="s">
        <v>200</v>
      </c>
      <c r="D320" s="1" t="str">
        <f>'2021'!B85</f>
        <v>Helle Aakerberg</v>
      </c>
      <c r="F320" s="1">
        <f>'2021'!A85</f>
        <v>21084</v>
      </c>
      <c r="G320" s="33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7"/>
      <c r="B321" s="30">
        <v>20142916</v>
      </c>
      <c r="C321" s="27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3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7"/>
      <c r="B322" s="30">
        <v>22276830</v>
      </c>
      <c r="C322" s="27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3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7"/>
      <c r="B323" s="30">
        <v>27123374</v>
      </c>
      <c r="C323" s="27" t="s">
        <v>207</v>
      </c>
      <c r="D323" s="1" t="str">
        <f>'2021'!B88</f>
        <v>Trine Baun Daniels</v>
      </c>
      <c r="F323" s="1">
        <f>'2021'!A88</f>
        <v>21087</v>
      </c>
      <c r="G323" s="33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7"/>
      <c r="B324" s="30"/>
      <c r="C324" s="27" t="s">
        <v>209</v>
      </c>
      <c r="D324" s="1" t="str">
        <f>'2021'!B89</f>
        <v>Oyewolo Olayemi Anthonia</v>
      </c>
      <c r="F324" s="1">
        <f>'2021'!A89</f>
        <v>21088</v>
      </c>
      <c r="G324" s="33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6" t="s">
        <v>211</v>
      </c>
      <c r="B325" s="30">
        <v>30507581</v>
      </c>
      <c r="C325" s="27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3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6" t="s">
        <v>215</v>
      </c>
      <c r="B326" s="30">
        <v>20785791</v>
      </c>
      <c r="C326" s="27" t="s">
        <v>216</v>
      </c>
      <c r="D326" s="1" t="str">
        <f>'2021'!B91</f>
        <v>Kim Kjærgaard</v>
      </c>
      <c r="F326" s="1">
        <f>'2021'!A91</f>
        <v>21090</v>
      </c>
      <c r="G326" s="33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7"/>
      <c r="B327" s="30">
        <v>21704819</v>
      </c>
      <c r="C327" s="27" t="s">
        <v>406</v>
      </c>
      <c r="D327" s="1" t="str">
        <f>'2021'!B92</f>
        <v>Frank madsen</v>
      </c>
      <c r="F327" s="1">
        <f>'2021'!A92</f>
        <v>21091</v>
      </c>
      <c r="G327" s="33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7"/>
      <c r="B328" s="30"/>
      <c r="C328" s="27" t="s">
        <v>220</v>
      </c>
      <c r="D328" s="1" t="str">
        <f>'2021'!B93</f>
        <v>Annette Rydder Henriksen</v>
      </c>
      <c r="F328" s="1">
        <f>'2021'!A93</f>
        <v>21092</v>
      </c>
      <c r="G328" s="33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6" t="s">
        <v>222</v>
      </c>
      <c r="B329" s="30">
        <v>22852061</v>
      </c>
      <c r="C329" s="27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3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7"/>
      <c r="B330" s="30"/>
      <c r="C330" s="27" t="s">
        <v>226</v>
      </c>
      <c r="D330" s="1" t="str">
        <f>'2021'!B95</f>
        <v>Marianne Stjernholm</v>
      </c>
      <c r="F330" s="1">
        <f>'2021'!A95</f>
        <v>21094</v>
      </c>
      <c r="G330" s="33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7"/>
      <c r="B331" s="30"/>
      <c r="C331" s="27" t="s">
        <v>507</v>
      </c>
      <c r="D331" s="1" t="str">
        <f>'2021'!B96</f>
        <v>Henrik Sørensen</v>
      </c>
      <c r="F331" s="1">
        <f>'2021'!A96</f>
        <v>21095</v>
      </c>
      <c r="G331" s="33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7"/>
      <c r="B332" s="30">
        <v>267002879</v>
      </c>
      <c r="C332" s="27" t="s">
        <v>125</v>
      </c>
      <c r="D332" s="1" t="str">
        <f>'2021'!B97</f>
        <v>Rigmor Hansen</v>
      </c>
      <c r="F332" s="1">
        <f>'2021'!A97</f>
        <v>21096</v>
      </c>
      <c r="G332" s="33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7"/>
      <c r="B333" s="30">
        <v>28767572</v>
      </c>
      <c r="C333" s="27" t="s">
        <v>229</v>
      </c>
      <c r="D333" s="1" t="str">
        <f>'2021'!B98</f>
        <v>Lars Berlau</v>
      </c>
      <c r="F333" s="1">
        <f>'2021'!A98</f>
        <v>21097</v>
      </c>
      <c r="G333" s="33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7"/>
      <c r="B334" s="30"/>
      <c r="C334" s="27" t="s">
        <v>231</v>
      </c>
      <c r="D334" s="1" t="str">
        <f>'2021'!B99</f>
        <v>Anette Holm</v>
      </c>
      <c r="F334" s="1">
        <f>'2021'!A99</f>
        <v>21098</v>
      </c>
      <c r="G334" s="33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7"/>
      <c r="B335" s="30">
        <v>42963710</v>
      </c>
      <c r="C335" s="27" t="s">
        <v>233</v>
      </c>
      <c r="D335" s="1" t="str">
        <f>'2021'!B100</f>
        <v>Else Korsgaard</v>
      </c>
      <c r="F335" s="1">
        <f>'2021'!A100</f>
        <v>21099</v>
      </c>
      <c r="G335" s="33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7"/>
      <c r="B336" s="30"/>
      <c r="C336" s="27" t="s">
        <v>235</v>
      </c>
      <c r="D336" s="1" t="str">
        <f>'2021'!B101</f>
        <v>Bente Bruun</v>
      </c>
      <c r="F336" s="1">
        <f>'2021'!A101</f>
        <v>21100</v>
      </c>
      <c r="G336" s="33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7"/>
      <c r="B337" s="30">
        <v>22185066</v>
      </c>
      <c r="C337" s="27" t="s">
        <v>134</v>
      </c>
      <c r="D337" s="1" t="str">
        <f>'2021'!B102</f>
        <v>Niels Kristensen</v>
      </c>
      <c r="F337" s="1">
        <f>'2021'!A102</f>
        <v>21101</v>
      </c>
      <c r="G337" s="33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7"/>
      <c r="B338" s="30">
        <v>22341184</v>
      </c>
      <c r="C338" s="27" t="s">
        <v>238</v>
      </c>
      <c r="D338" s="1" t="str">
        <f>'2021'!B103</f>
        <v>Linda Juliussen</v>
      </c>
      <c r="F338" s="1">
        <f>'2021'!A103</f>
        <v>21102</v>
      </c>
      <c r="G338" s="33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7"/>
      <c r="B339" s="30">
        <v>26221889</v>
      </c>
      <c r="C339" s="27" t="s">
        <v>240</v>
      </c>
      <c r="D339" s="1" t="str">
        <f>'2021'!B104</f>
        <v>Birgitte Staffe</v>
      </c>
      <c r="F339" s="1">
        <f>'2021'!A104</f>
        <v>21103</v>
      </c>
      <c r="G339" s="33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7"/>
      <c r="B340" s="30">
        <v>61686044</v>
      </c>
      <c r="C340" s="27" t="s">
        <v>242</v>
      </c>
      <c r="D340" s="1" t="str">
        <f>'2021'!B105</f>
        <v>Maria Krogh</v>
      </c>
      <c r="F340" s="1">
        <f>'2021'!A105</f>
        <v>21104</v>
      </c>
      <c r="G340" s="33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7"/>
      <c r="B341" s="30">
        <v>22423627</v>
      </c>
      <c r="C341" s="27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3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7"/>
      <c r="B342" s="30"/>
      <c r="C342" s="27" t="s">
        <v>246</v>
      </c>
      <c r="D342" s="1" t="str">
        <f>'2021'!B107</f>
        <v>Marlene Salmansen</v>
      </c>
      <c r="F342" s="1">
        <f>'2021'!A107</f>
        <v>21106</v>
      </c>
      <c r="G342" s="33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7"/>
      <c r="B343" s="30"/>
      <c r="C343" s="27" t="s">
        <v>248</v>
      </c>
      <c r="D343" s="1" t="str">
        <f>'2021'!B108</f>
        <v>Karina Find</v>
      </c>
      <c r="F343" s="1">
        <f>'2021'!A108</f>
        <v>21107</v>
      </c>
      <c r="G343" s="33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7"/>
      <c r="B344" s="30">
        <v>20769191</v>
      </c>
      <c r="C344" s="27" t="s">
        <v>158</v>
      </c>
      <c r="D344" s="1" t="str">
        <f>'2021'!B109</f>
        <v>Jane Malberg</v>
      </c>
      <c r="F344" s="1">
        <f>'2021'!A109</f>
        <v>21108</v>
      </c>
      <c r="G344" s="33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7"/>
      <c r="B345" s="30">
        <v>20928892</v>
      </c>
      <c r="C345" s="27" t="s">
        <v>251</v>
      </c>
      <c r="D345" s="1" t="str">
        <f>'2021'!B110</f>
        <v>Mette Barfort</v>
      </c>
      <c r="F345" s="1">
        <f>'2021'!A110</f>
        <v>21109</v>
      </c>
      <c r="G345" s="33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7"/>
      <c r="B346" s="30"/>
      <c r="C346" s="27" t="s">
        <v>253</v>
      </c>
      <c r="D346" s="1" t="str">
        <f>'2021'!B111</f>
        <v>Prabhakar Tunuguntla</v>
      </c>
      <c r="F346" s="1">
        <f>'2021'!A111</f>
        <v>21110</v>
      </c>
      <c r="G346" s="33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7"/>
      <c r="B347" s="30">
        <v>21602737</v>
      </c>
      <c r="C347" s="27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3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7"/>
      <c r="B348" s="30"/>
      <c r="C348" s="27" t="s">
        <v>258</v>
      </c>
      <c r="D348" s="1" t="str">
        <f>'2021'!B113</f>
        <v>Jesper Nonbo</v>
      </c>
      <c r="F348" s="1">
        <f>'2021'!A113</f>
        <v>21112</v>
      </c>
      <c r="G348" s="33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7"/>
      <c r="B349" s="30">
        <v>40111747</v>
      </c>
      <c r="C349" s="27" t="s">
        <v>260</v>
      </c>
      <c r="D349" s="1" t="str">
        <f>'2021'!B114</f>
        <v>Jens Rimhoff</v>
      </c>
      <c r="F349" s="1">
        <f>'2021'!A114</f>
        <v>21113</v>
      </c>
      <c r="G349" s="33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7"/>
      <c r="B350" s="30">
        <v>24610802</v>
      </c>
      <c r="C350" s="27" t="s">
        <v>262</v>
      </c>
      <c r="D350" s="1" t="str">
        <f>'2021'!B115</f>
        <v>Torben Pech</v>
      </c>
      <c r="F350" s="1">
        <f>'2021'!A115</f>
        <v>21114</v>
      </c>
      <c r="G350" s="33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7"/>
      <c r="B351" s="30">
        <v>23234169</v>
      </c>
      <c r="C351" s="27" t="s">
        <v>1453</v>
      </c>
      <c r="D351" s="1" t="str">
        <f>'2021'!B116</f>
        <v>Leonardo Midolo</v>
      </c>
      <c r="F351" s="1">
        <f>'2021'!A116</f>
        <v>21115</v>
      </c>
      <c r="G351" s="33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7"/>
      <c r="B352" s="30">
        <v>23263038</v>
      </c>
      <c r="C352" s="27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3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7"/>
      <c r="B353" s="30"/>
      <c r="C353" s="27" t="s">
        <v>268</v>
      </c>
      <c r="D353" s="1" t="str">
        <f>'2021'!B118</f>
        <v>Anna-Lena Delgård</v>
      </c>
      <c r="F353" s="1">
        <f>'2021'!A118</f>
        <v>21117</v>
      </c>
      <c r="G353" s="33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7"/>
      <c r="B354" s="30">
        <v>40800488</v>
      </c>
      <c r="C354" s="27" t="s">
        <v>74</v>
      </c>
      <c r="D354" s="1" t="str">
        <f>'2021'!B119</f>
        <v>Katja-Lill Jensen</v>
      </c>
      <c r="F354" s="1">
        <f>'2021'!A119</f>
        <v>21118</v>
      </c>
      <c r="G354" s="33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7"/>
      <c r="B355" s="30">
        <v>53141333</v>
      </c>
      <c r="C355" s="27" t="s">
        <v>271</v>
      </c>
      <c r="D355" s="1" t="str">
        <f>'2021'!B120</f>
        <v>Birgitte Saxild</v>
      </c>
      <c r="F355" s="1">
        <f>'2021'!A120</f>
        <v>21119</v>
      </c>
      <c r="G355" s="33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7"/>
      <c r="B356" s="30"/>
      <c r="C356" s="27" t="s">
        <v>273</v>
      </c>
      <c r="D356" s="1" t="str">
        <f>'2021'!B121</f>
        <v>Chungyon Park</v>
      </c>
      <c r="F356" s="1">
        <f>'2021'!A121</f>
        <v>21120</v>
      </c>
      <c r="G356" s="33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7"/>
      <c r="B357" s="30">
        <v>21452671</v>
      </c>
      <c r="C357" s="27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3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7"/>
      <c r="B358" s="30"/>
      <c r="C358" s="27" t="s">
        <v>278</v>
      </c>
      <c r="D358" s="1" t="str">
        <f>'2021'!B123</f>
        <v>Lotte Westphael</v>
      </c>
      <c r="F358" s="1">
        <f>'2021'!A123</f>
        <v>21122</v>
      </c>
      <c r="G358" s="33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7"/>
      <c r="B359" s="30"/>
      <c r="C359" s="27" t="s">
        <v>184</v>
      </c>
      <c r="D359" s="1" t="str">
        <f>'2021'!B124</f>
        <v>Karsten Rasmussen</v>
      </c>
      <c r="F359" s="1">
        <f>'2021'!A124</f>
        <v>21123</v>
      </c>
      <c r="G359" s="33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7"/>
      <c r="B360" s="30">
        <v>61681785</v>
      </c>
      <c r="C360" s="27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3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7"/>
      <c r="B361" s="30"/>
      <c r="C361" s="27" t="s">
        <v>284</v>
      </c>
      <c r="D361" s="1" t="str">
        <f>'2021'!B126</f>
        <v>Louise Ahrensbach</v>
      </c>
      <c r="F361" s="1">
        <f>'2021'!A126</f>
        <v>21125</v>
      </c>
      <c r="G361" s="33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7"/>
      <c r="B362" s="30">
        <v>61608068</v>
      </c>
      <c r="C362" s="27" t="s">
        <v>286</v>
      </c>
      <c r="D362" s="1" t="str">
        <f>'2021'!B127</f>
        <v>Velena Popovic</v>
      </c>
      <c r="F362" s="1">
        <f>'2021'!A127</f>
        <v>21126</v>
      </c>
      <c r="G362" s="33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7"/>
      <c r="B363" s="30"/>
      <c r="C363" s="27" t="s">
        <v>288</v>
      </c>
      <c r="D363" s="1" t="str">
        <f>'2021'!B128</f>
        <v>Alex Larsen</v>
      </c>
      <c r="F363" s="1">
        <f>'2021'!A128</f>
        <v>21127</v>
      </c>
      <c r="G363" s="33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7"/>
      <c r="B364" s="30">
        <v>26549654</v>
      </c>
      <c r="C364" s="27" t="s">
        <v>290</v>
      </c>
      <c r="D364" s="1" t="str">
        <f>'2021'!B129</f>
        <v>Britt-Mari Eildal</v>
      </c>
      <c r="F364" s="1">
        <f>'2021'!A129</f>
        <v>21128</v>
      </c>
      <c r="G364" s="33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7"/>
      <c r="B365" s="30">
        <v>20876567</v>
      </c>
      <c r="C365" s="27" t="s">
        <v>292</v>
      </c>
      <c r="D365" s="1" t="str">
        <f>'2021'!B130</f>
        <v>Marina Birgitte Lund</v>
      </c>
      <c r="F365" s="1">
        <f>'2021'!A130</f>
        <v>21129</v>
      </c>
      <c r="G365" s="33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7"/>
      <c r="B366" s="30"/>
      <c r="C366" s="27" t="s">
        <v>294</v>
      </c>
      <c r="D366" s="1" t="str">
        <f>'2021'!B131</f>
        <v>Charlotte Guldbrandt</v>
      </c>
      <c r="F366" s="1">
        <f>'2021'!A131</f>
        <v>21130</v>
      </c>
      <c r="G366" s="33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7" t="s">
        <v>1447</v>
      </c>
      <c r="B367" s="30">
        <v>31909358</v>
      </c>
      <c r="C367" s="27" t="s">
        <v>15</v>
      </c>
      <c r="D367" s="1" t="str">
        <f>'2021'!B132</f>
        <v>Dorte Strøm</v>
      </c>
      <c r="F367" s="1">
        <f>'2021'!A132</f>
        <v>21131</v>
      </c>
      <c r="G367" s="33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7"/>
      <c r="B368" s="30">
        <v>21484920</v>
      </c>
      <c r="C368" s="27" t="s">
        <v>296</v>
      </c>
      <c r="D368" s="1" t="str">
        <f>'2021'!B133</f>
        <v>Lena Olsen</v>
      </c>
      <c r="F368" s="1">
        <f>'2021'!A133</f>
        <v>21132</v>
      </c>
      <c r="G368" s="33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7"/>
      <c r="B369" s="30">
        <v>1713133697</v>
      </c>
      <c r="C369" s="27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3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7"/>
      <c r="B370" s="30"/>
      <c r="C370" s="27" t="s">
        <v>301</v>
      </c>
      <c r="D370" s="1" t="str">
        <f>'2021'!B135</f>
        <v>Maria Honnens</v>
      </c>
      <c r="F370" s="1">
        <f>'2021'!A135</f>
        <v>21134</v>
      </c>
      <c r="G370" s="33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7"/>
      <c r="B371" s="30">
        <v>6700686</v>
      </c>
      <c r="C371" s="27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3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7"/>
      <c r="B372" s="30"/>
      <c r="C372" s="27" t="s">
        <v>153</v>
      </c>
      <c r="D372" s="1" t="str">
        <f>'2021'!B137</f>
        <v>Sarah Wahlgreen</v>
      </c>
      <c r="F372" s="1">
        <f>'2021'!A137</f>
        <v>21136</v>
      </c>
      <c r="G372" s="33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7"/>
      <c r="B373" s="30"/>
      <c r="C373" s="27" t="s">
        <v>306</v>
      </c>
      <c r="D373" s="1" t="str">
        <f>'2021'!B138</f>
        <v>Aura Botorog</v>
      </c>
      <c r="F373" s="1">
        <f>'2021'!A138</f>
        <v>21137</v>
      </c>
      <c r="G373" s="33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7"/>
      <c r="B374" s="30">
        <v>22959209</v>
      </c>
      <c r="C374" s="27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3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7"/>
      <c r="B375" s="30"/>
      <c r="C375" s="27" t="s">
        <v>310</v>
      </c>
      <c r="D375" s="1" t="str">
        <f>'2021'!B140</f>
        <v>Camilla " B K"</v>
      </c>
      <c r="F375" s="1">
        <f>'2021'!A140</f>
        <v>21139</v>
      </c>
      <c r="G375" s="33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7"/>
      <c r="B376" s="30">
        <v>53508470</v>
      </c>
      <c r="C376" s="27" t="s">
        <v>312</v>
      </c>
      <c r="D376" s="1" t="str">
        <f>'2021'!B141</f>
        <v>Jan Agerup</v>
      </c>
      <c r="F376" s="1">
        <f>'2021'!A141</f>
        <v>21140</v>
      </c>
      <c r="G376" s="33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7"/>
      <c r="B377" s="30">
        <v>29115531</v>
      </c>
      <c r="C377" s="27" t="s">
        <v>273</v>
      </c>
      <c r="D377" s="1" t="str">
        <f>'2021'!B142</f>
        <v>Chungyon Park</v>
      </c>
      <c r="F377" s="1">
        <f>'2021'!A142</f>
        <v>21141</v>
      </c>
      <c r="G377" s="33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7"/>
      <c r="B378" s="30"/>
      <c r="C378" s="27" t="s">
        <v>314</v>
      </c>
      <c r="D378" s="1" t="str">
        <f>'2021'!B143</f>
        <v>Lilli Schou</v>
      </c>
      <c r="F378" s="1">
        <f>'2021'!A143</f>
        <v>21142</v>
      </c>
      <c r="G378" s="33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7"/>
      <c r="B379" s="30">
        <v>21513656</v>
      </c>
      <c r="C379" s="27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3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7"/>
      <c r="B380" s="30"/>
      <c r="C380" s="27" t="s">
        <v>319</v>
      </c>
      <c r="D380" s="1" t="str">
        <f>'2021'!B145</f>
        <v>Gitte Løwenstein</v>
      </c>
      <c r="F380" s="1">
        <f>'2021'!A145</f>
        <v>21144</v>
      </c>
      <c r="G380" s="33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7"/>
      <c r="B381" s="30"/>
      <c r="C381" s="27" t="s">
        <v>74</v>
      </c>
      <c r="D381" s="1" t="str">
        <f>'2021'!B146</f>
        <v>Katja-Lill Jensen</v>
      </c>
      <c r="F381" s="1">
        <f>'2021'!A146</f>
        <v>21145</v>
      </c>
      <c r="G381" s="33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7"/>
      <c r="B382" s="30"/>
      <c r="C382" s="27" t="s">
        <v>125</v>
      </c>
      <c r="D382" s="1" t="str">
        <f>'2021'!B147</f>
        <v>Georges Hansen</v>
      </c>
      <c r="F382" s="1">
        <f>'2021'!A147</f>
        <v>21146</v>
      </c>
      <c r="G382" s="33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7"/>
      <c r="B383" s="30">
        <v>28920018</v>
      </c>
      <c r="C383" s="27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3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7"/>
      <c r="B384" s="30"/>
      <c r="C384" s="27" t="s">
        <v>323</v>
      </c>
      <c r="D384" s="1" t="str">
        <f>'2021'!B149</f>
        <v>Charlotte Funder</v>
      </c>
      <c r="F384" s="1">
        <f>'2021'!A149</f>
        <v>21148</v>
      </c>
      <c r="G384" s="33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7"/>
      <c r="B385" s="30"/>
      <c r="C385" s="27" t="s">
        <v>189</v>
      </c>
      <c r="D385" s="1" t="str">
        <f>'2021'!B150</f>
        <v>Andreas D Andersen</v>
      </c>
      <c r="F385" s="1">
        <f>'2021'!A150</f>
        <v>21149</v>
      </c>
      <c r="G385" s="33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7"/>
      <c r="B386" s="30">
        <v>40819249</v>
      </c>
      <c r="C386" s="27" t="s">
        <v>326</v>
      </c>
      <c r="D386" s="1" t="str">
        <f>'2021'!B151</f>
        <v>Claus Solhøj</v>
      </c>
      <c r="F386" s="1">
        <f>'2021'!A151</f>
        <v>21150</v>
      </c>
      <c r="G386" s="33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7"/>
      <c r="B387" s="30">
        <v>60571190</v>
      </c>
      <c r="C387" s="27" t="s">
        <v>328</v>
      </c>
      <c r="D387" s="1" t="str">
        <f>'2021'!B152</f>
        <v>Benjamin Sillassen</v>
      </c>
      <c r="F387" s="1">
        <f>'2021'!A152</f>
        <v>21151</v>
      </c>
      <c r="G387" s="33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7"/>
      <c r="B388" s="30">
        <v>691115144</v>
      </c>
      <c r="C388" s="27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3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7"/>
      <c r="B389" s="30">
        <v>28553270</v>
      </c>
      <c r="C389" s="27" t="s">
        <v>56</v>
      </c>
      <c r="D389" s="1" t="str">
        <f>'2021'!B154</f>
        <v>Cecilie Gry Jacobsen</v>
      </c>
      <c r="F389" s="1">
        <f>'2021'!A154</f>
        <v>21153</v>
      </c>
      <c r="G389" s="33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6" t="s">
        <v>333</v>
      </c>
      <c r="B390" s="30">
        <v>697841925</v>
      </c>
      <c r="C390" s="27" t="s">
        <v>334</v>
      </c>
      <c r="D390" s="1" t="str">
        <f>'2021'!B155</f>
        <v>Teresa Soley</v>
      </c>
      <c r="F390" s="1">
        <f>'2021'!A155</f>
        <v>21154</v>
      </c>
      <c r="G390" s="33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7"/>
      <c r="B391" s="30">
        <v>26790432</v>
      </c>
      <c r="C391" s="27" t="s">
        <v>336</v>
      </c>
      <c r="D391" s="1" t="str">
        <f>'2021'!B156</f>
        <v>Mariannes Dithmar</v>
      </c>
      <c r="F391" s="1">
        <f>'2021'!A156</f>
        <v>21155</v>
      </c>
      <c r="G391" s="33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7"/>
      <c r="B392" s="30">
        <v>60642010</v>
      </c>
      <c r="C392" s="27" t="s">
        <v>338</v>
      </c>
      <c r="D392" s="1" t="str">
        <f>'2021'!B157</f>
        <v>Nadja Kristiansen</v>
      </c>
      <c r="F392" s="1">
        <f>'2021'!A157</f>
        <v>21156</v>
      </c>
      <c r="G392" s="33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7"/>
      <c r="B393" s="30"/>
      <c r="C393" s="27" t="s">
        <v>340</v>
      </c>
      <c r="D393" s="1" t="str">
        <f>'2021'!B158</f>
        <v>Candida Cruger</v>
      </c>
      <c r="F393" s="1">
        <f>'2021'!A158</f>
        <v>21157</v>
      </c>
      <c r="G393" s="33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7"/>
      <c r="B394" s="30"/>
      <c r="C394" s="27" t="s">
        <v>74</v>
      </c>
      <c r="D394" s="1" t="str">
        <f>'2021'!B159</f>
        <v>Ivar Jensen</v>
      </c>
      <c r="F394" s="1">
        <f>'2021'!A159</f>
        <v>21158</v>
      </c>
      <c r="G394" s="33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7"/>
      <c r="B395" s="30"/>
      <c r="C395" s="27" t="s">
        <v>343</v>
      </c>
      <c r="D395" s="1" t="str">
        <f>'2021'!B160</f>
        <v>Philip Hallenberg</v>
      </c>
      <c r="F395" s="1">
        <f>'2021'!A160</f>
        <v>21159</v>
      </c>
      <c r="G395" s="33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6" t="s">
        <v>345</v>
      </c>
      <c r="B396" s="30">
        <v>51378200</v>
      </c>
      <c r="C396" s="27" t="s">
        <v>125</v>
      </c>
      <c r="D396" s="1" t="str">
        <f>'2021'!B161</f>
        <v>Lili Hansen</v>
      </c>
      <c r="F396" s="1">
        <f>'2021'!A161</f>
        <v>21160</v>
      </c>
      <c r="G396" s="33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7"/>
      <c r="B397" s="30">
        <v>60645846</v>
      </c>
      <c r="C397" s="27" t="s">
        <v>189</v>
      </c>
      <c r="D397" s="1" t="str">
        <f>'2021'!B162</f>
        <v>Alice Andersen</v>
      </c>
      <c r="F397" s="1">
        <f>'2021'!A162</f>
        <v>21161</v>
      </c>
      <c r="G397" s="33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7"/>
      <c r="B398" s="30"/>
      <c r="C398" s="27" t="s">
        <v>1457</v>
      </c>
      <c r="D398" s="1" t="str">
        <f>'2021'!B163</f>
        <v>v/ lindesdahl</v>
      </c>
      <c r="F398" s="1">
        <f>'2021'!A163</f>
        <v>21162</v>
      </c>
      <c r="G398" s="33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6" t="s">
        <v>1458</v>
      </c>
      <c r="B399" s="30">
        <v>28392889</v>
      </c>
      <c r="C399" s="27" t="s">
        <v>351</v>
      </c>
      <c r="D399" s="1" t="str">
        <f>'2021'!B164</f>
        <v>Natasha  Carstens</v>
      </c>
      <c r="F399" s="1">
        <f>'2021'!A164</f>
        <v>21163</v>
      </c>
      <c r="G399" s="33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7"/>
      <c r="B400" s="30">
        <v>24988010</v>
      </c>
      <c r="C400" s="27" t="s">
        <v>353</v>
      </c>
      <c r="D400" s="1" t="str">
        <f>'2021'!B165</f>
        <v>Jannie Jørgensen</v>
      </c>
      <c r="F400" s="1">
        <f>'2021'!A165</f>
        <v>21164</v>
      </c>
      <c r="G400" s="33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6" t="s">
        <v>355</v>
      </c>
      <c r="B401" s="30">
        <v>40131045</v>
      </c>
      <c r="C401" s="27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3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7"/>
      <c r="B402" s="30"/>
      <c r="C402" s="27" t="s">
        <v>359</v>
      </c>
      <c r="D402" s="1" t="str">
        <f>'2021'!B167</f>
        <v>Anne Sølvsten</v>
      </c>
      <c r="F402" s="1">
        <f>'2021'!A167</f>
        <v>21166</v>
      </c>
      <c r="G402" s="33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7"/>
      <c r="B403" s="30">
        <v>23656948</v>
      </c>
      <c r="C403" s="27" t="s">
        <v>361</v>
      </c>
      <c r="D403" s="1" t="str">
        <f>'2021'!B168</f>
        <v>Sebastian Torp</v>
      </c>
      <c r="F403" s="1">
        <f>'2021'!A168</f>
        <v>21167</v>
      </c>
      <c r="G403" s="33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7"/>
      <c r="B404" s="30">
        <v>61711211</v>
      </c>
      <c r="C404" s="27" t="s">
        <v>11</v>
      </c>
      <c r="D404" s="1" t="str">
        <f>'2021'!B169</f>
        <v>Søren Nielsen</v>
      </c>
      <c r="F404" s="1">
        <f>'2021'!A169</f>
        <v>21168</v>
      </c>
      <c r="G404" s="33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7"/>
      <c r="B405" s="30"/>
      <c r="C405" s="27" t="s">
        <v>364</v>
      </c>
      <c r="D405" s="1" t="str">
        <f>'2021'!B170</f>
        <v>Susanne Skovlund</v>
      </c>
      <c r="F405" s="1">
        <f>'2021'!A170</f>
        <v>21169</v>
      </c>
      <c r="G405" s="33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7"/>
      <c r="B406" s="30">
        <v>21124109</v>
      </c>
      <c r="C406" s="27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3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7"/>
      <c r="B407" s="30">
        <v>20998864</v>
      </c>
      <c r="C407" s="27" t="s">
        <v>369</v>
      </c>
      <c r="D407" s="1" t="str">
        <f>'2021'!B172</f>
        <v>Janne Lassen</v>
      </c>
      <c r="F407" s="1">
        <f>'2021'!A172</f>
        <v>21171</v>
      </c>
      <c r="G407" s="33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7"/>
      <c r="B408" s="30">
        <v>23307148</v>
      </c>
      <c r="C408" s="27" t="s">
        <v>371</v>
      </c>
      <c r="D408" s="1" t="str">
        <f>'2021'!B173</f>
        <v>Lone Neumann Jakobsen</v>
      </c>
      <c r="F408" s="1">
        <f>'2021'!A173</f>
        <v>21172</v>
      </c>
      <c r="G408" s="33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7"/>
      <c r="B409" s="30"/>
      <c r="C409" s="27" t="s">
        <v>373</v>
      </c>
      <c r="D409" s="1" t="str">
        <f>'2021'!B174</f>
        <v>Birgit Tiedke</v>
      </c>
      <c r="F409" s="1">
        <f>'2021'!A174</f>
        <v>21173</v>
      </c>
      <c r="G409" s="33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7"/>
      <c r="B410" s="30">
        <v>20313342</v>
      </c>
      <c r="C410" s="27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3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6" t="s">
        <v>378</v>
      </c>
      <c r="B411" s="30">
        <v>51761832</v>
      </c>
      <c r="C411" s="27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3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7"/>
      <c r="B412" s="30">
        <v>28595444</v>
      </c>
      <c r="C412" s="27" t="s">
        <v>382</v>
      </c>
      <c r="D412" s="1" t="str">
        <f>'2021'!B177</f>
        <v>Steen Ørnvig</v>
      </c>
      <c r="F412" s="1">
        <f>'2021'!A177</f>
        <v>21176</v>
      </c>
      <c r="G412" s="33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7"/>
      <c r="B413" s="30">
        <v>23201577</v>
      </c>
      <c r="C413" s="27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3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7"/>
      <c r="B414" s="30"/>
      <c r="C414" s="27" t="s">
        <v>1069</v>
      </c>
      <c r="D414" s="1" t="str">
        <f>'2021'!B179</f>
        <v>Jytte Larsen og Gitte</v>
      </c>
      <c r="F414" s="1">
        <f>'2021'!A179</f>
        <v>21178</v>
      </c>
      <c r="G414" s="33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7"/>
      <c r="B415" s="30"/>
      <c r="C415" s="27" t="s">
        <v>388</v>
      </c>
      <c r="D415" s="1" t="str">
        <f>'2021'!B180</f>
        <v>Anne Brustad</v>
      </c>
      <c r="F415" s="1">
        <f>'2021'!A180</f>
        <v>21179</v>
      </c>
      <c r="G415" s="33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7"/>
      <c r="B416" s="30"/>
      <c r="C416" s="27" t="s">
        <v>11</v>
      </c>
      <c r="D416" s="1" t="str">
        <f>'2021'!B181</f>
        <v>Per Nielsen</v>
      </c>
      <c r="F416" s="1">
        <f>'2021'!A181</f>
        <v>21180</v>
      </c>
      <c r="G416" s="33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7"/>
      <c r="B417" s="30">
        <v>1755981852</v>
      </c>
      <c r="C417" s="27" t="s">
        <v>391</v>
      </c>
      <c r="D417" s="1" t="str">
        <f>'2021'!B182</f>
        <v>Dierk Hebbeln</v>
      </c>
      <c r="F417" s="1">
        <f>'2021'!A182</f>
        <v>21181</v>
      </c>
      <c r="G417" s="33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7"/>
      <c r="B418" s="30">
        <v>30968929</v>
      </c>
      <c r="C418" s="27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3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7"/>
      <c r="B419" s="30">
        <v>31315993</v>
      </c>
      <c r="C419" s="27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3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7"/>
      <c r="B420" s="30">
        <v>51897666</v>
      </c>
      <c r="C420" s="27" t="s">
        <v>189</v>
      </c>
      <c r="D420" s="1" t="str">
        <f>'2021'!B185</f>
        <v>Anne Marie Andersen</v>
      </c>
      <c r="F420" s="1">
        <f>'2021'!A185</f>
        <v>21184</v>
      </c>
      <c r="G420" s="33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7"/>
      <c r="B421" s="30">
        <v>51908452</v>
      </c>
      <c r="C421" s="27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3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7"/>
      <c r="B422" s="30"/>
      <c r="C422" s="27" t="s">
        <v>403</v>
      </c>
      <c r="D422" s="1" t="str">
        <f>'2021'!B187</f>
        <v>Maria Skoglund</v>
      </c>
      <c r="F422" s="1">
        <f>'2021'!A187</f>
        <v>21186</v>
      </c>
      <c r="G422" s="33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6" t="s">
        <v>405</v>
      </c>
      <c r="B423" s="30">
        <v>20859914</v>
      </c>
      <c r="C423" s="27" t="s">
        <v>406</v>
      </c>
      <c r="D423" s="1" t="str">
        <f>'2021'!B188</f>
        <v>Eva Madsen</v>
      </c>
      <c r="F423" s="1">
        <f>'2021'!A188</f>
        <v>21187</v>
      </c>
      <c r="G423" s="33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7" t="s">
        <v>1447</v>
      </c>
      <c r="B424" s="30">
        <v>20322398</v>
      </c>
      <c r="C424" s="27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3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7"/>
      <c r="B425" s="30">
        <v>1722312508</v>
      </c>
      <c r="C425" s="27" t="s">
        <v>409</v>
      </c>
      <c r="D425" s="1" t="str">
        <f>'2021'!B190</f>
        <v>Christian Däullary</v>
      </c>
      <c r="F425" s="1">
        <f>'2021'!A190</f>
        <v>21189</v>
      </c>
      <c r="G425" s="33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7"/>
      <c r="B426" s="30">
        <v>60773122</v>
      </c>
      <c r="C426" s="27" t="s">
        <v>361</v>
      </c>
      <c r="D426" s="1" t="str">
        <f>'2021'!B191</f>
        <v>Ingelise Torp</v>
      </c>
      <c r="F426" s="1">
        <f>'2021'!A191</f>
        <v>21190</v>
      </c>
      <c r="G426" s="33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6" t="s">
        <v>1459</v>
      </c>
      <c r="B427" s="30">
        <v>22130044</v>
      </c>
      <c r="C427" s="27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3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7"/>
      <c r="B428" s="30">
        <v>20646004</v>
      </c>
      <c r="C428" s="27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3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7"/>
      <c r="B429" s="30">
        <v>707911110</v>
      </c>
      <c r="C429" s="27" t="s">
        <v>419</v>
      </c>
      <c r="D429" s="1" t="str">
        <f>'2021'!B194</f>
        <v>Emma Bengtsson</v>
      </c>
      <c r="F429" s="1">
        <f>'2021'!A194</f>
        <v>21193</v>
      </c>
      <c r="G429" s="33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7"/>
      <c r="B430" s="30">
        <v>40424493</v>
      </c>
      <c r="C430" s="27" t="s">
        <v>116</v>
      </c>
      <c r="D430" s="1" t="str">
        <f>'2021'!B195</f>
        <v>Vagn Pedersen</v>
      </c>
      <c r="F430" s="1">
        <f>'2021'!A195</f>
        <v>21194</v>
      </c>
      <c r="G430" s="33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7"/>
      <c r="B431" s="30">
        <v>15226393980</v>
      </c>
      <c r="C431" s="27" t="s">
        <v>422</v>
      </c>
      <c r="D431" s="1" t="str">
        <f>'2021'!B196</f>
        <v>Eberhard Kunert</v>
      </c>
      <c r="F431" s="1">
        <f>'2021'!A196</f>
        <v>21195</v>
      </c>
      <c r="G431" s="33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7"/>
      <c r="B432" s="30">
        <v>42689099</v>
      </c>
      <c r="C432" s="27" t="s">
        <v>424</v>
      </c>
      <c r="D432" s="1" t="str">
        <f>'2021'!B197</f>
        <v>Kim Träger</v>
      </c>
      <c r="F432" s="1">
        <f>'2021'!A197</f>
        <v>21196</v>
      </c>
      <c r="G432" s="33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7"/>
      <c r="B433" s="30">
        <v>25715787</v>
      </c>
      <c r="C433" s="27" t="s">
        <v>125</v>
      </c>
      <c r="D433" s="1" t="str">
        <f>'2021'!B198</f>
        <v>Finn Kanstrup Hansen</v>
      </c>
      <c r="F433" s="1">
        <f>'2021'!A198</f>
        <v>21197</v>
      </c>
      <c r="G433" s="33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7"/>
      <c r="B434" s="30">
        <v>30317377</v>
      </c>
      <c r="C434" s="27" t="s">
        <v>116</v>
      </c>
      <c r="D434" s="1" t="str">
        <f>'2021'!B199</f>
        <v>Katrine Willens Pedersen</v>
      </c>
      <c r="F434" s="1">
        <f>'2021'!A199</f>
        <v>21198</v>
      </c>
      <c r="G434" s="33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7"/>
      <c r="B435" s="30">
        <v>42984761</v>
      </c>
      <c r="C435" s="27" t="s">
        <v>428</v>
      </c>
      <c r="D435" s="1" t="str">
        <f>'2021'!B200</f>
        <v>Carl Bernhardt</v>
      </c>
      <c r="F435" s="1">
        <f>'2021'!A200</f>
        <v>21199</v>
      </c>
      <c r="G435" s="33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7"/>
      <c r="B436" s="30">
        <v>25920744</v>
      </c>
      <c r="C436" s="27" t="s">
        <v>184</v>
      </c>
      <c r="D436" s="1" t="str">
        <f>'2021'!B201</f>
        <v>Nina Rasmussen</v>
      </c>
      <c r="F436" s="1">
        <f>'2021'!A201</f>
        <v>21200</v>
      </c>
      <c r="G436" s="33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7"/>
      <c r="B437" s="30">
        <f>'2021'!O202</f>
        <v>15112751594</v>
      </c>
      <c r="C437" s="27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3">
        <f>'2021'!C202</f>
        <v>44470</v>
      </c>
      <c r="H437" s="36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7"/>
      <c r="B438" s="30">
        <f>'2021'!O203</f>
        <v>24444512</v>
      </c>
      <c r="C438" s="27" t="s">
        <v>434</v>
      </c>
      <c r="D438" s="1" t="str">
        <f>'2021'!B203</f>
        <v>Susanne Pontoppidan</v>
      </c>
      <c r="F438" s="1">
        <f>'2021'!A203</f>
        <v>21202</v>
      </c>
      <c r="G438" s="33">
        <f>'2021'!C203</f>
        <v>44456</v>
      </c>
      <c r="H438" s="36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7"/>
      <c r="B439" s="30">
        <f>'2021'!O204</f>
        <v>71649921</v>
      </c>
      <c r="C439" s="27" t="s">
        <v>125</v>
      </c>
      <c r="D439" s="1" t="str">
        <f>'2021'!B204</f>
        <v>Carsten Hansen</v>
      </c>
      <c r="F439" s="1">
        <f>'2021'!A204</f>
        <v>21203</v>
      </c>
      <c r="G439" s="33">
        <f>'2021'!C204</f>
        <v>44475</v>
      </c>
      <c r="H439" s="36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7"/>
      <c r="B440" s="30">
        <f>'2021'!O205</f>
        <v>23264712</v>
      </c>
      <c r="C440" s="27" t="s">
        <v>437</v>
      </c>
      <c r="D440" s="1" t="str">
        <f>'2021'!B205</f>
        <v>Rikke Bille</v>
      </c>
      <c r="F440" s="1">
        <f>'2021'!A205</f>
        <v>21204</v>
      </c>
      <c r="G440" s="33">
        <f>'2021'!C205</f>
        <v>44480</v>
      </c>
      <c r="H440" s="36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7"/>
      <c r="B441" s="30">
        <f>'2021'!O206</f>
        <v>61281116</v>
      </c>
      <c r="C441" s="27" t="s">
        <v>439</v>
      </c>
      <c r="D441" s="1" t="str">
        <f>'2021'!B206</f>
        <v>Trunte Pallesen</v>
      </c>
      <c r="F441" s="1">
        <f>'2021'!A206</f>
        <v>21205</v>
      </c>
      <c r="G441" s="33">
        <f>'2021'!C206</f>
        <v>44459</v>
      </c>
      <c r="H441" s="36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7">
        <f>'2021'!K207</f>
        <v>0</v>
      </c>
      <c r="B442" s="30">
        <f>'2021'!O207</f>
        <v>42366776</v>
      </c>
      <c r="C442" s="27" t="s">
        <v>442</v>
      </c>
      <c r="D442" s="1" t="str">
        <f>'2021'!B207</f>
        <v>Diana Klara Kawa</v>
      </c>
      <c r="F442" s="1">
        <f>'2021'!A207</f>
        <v>21206</v>
      </c>
      <c r="G442" s="33">
        <f>'2021'!C207</f>
        <v>44486</v>
      </c>
      <c r="H442" s="36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7">
        <f>'2021'!K208</f>
        <v>0</v>
      </c>
      <c r="B443" s="30">
        <f>'2021'!O208</f>
        <v>40733226</v>
      </c>
      <c r="C443" s="27" t="s">
        <v>101</v>
      </c>
      <c r="D443" s="1" t="str">
        <f>'2021'!B208</f>
        <v>John Sckaletz</v>
      </c>
      <c r="F443" s="1">
        <f>'2021'!A208</f>
        <v>21207</v>
      </c>
      <c r="G443" s="33">
        <f>'2021'!C208</f>
        <v>44481</v>
      </c>
      <c r="H443" s="36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7">
        <f>'2021'!K209</f>
        <v>0</v>
      </c>
      <c r="B444" s="30">
        <f>'2021'!O209</f>
        <v>40552357</v>
      </c>
      <c r="C444" s="27" t="s">
        <v>445</v>
      </c>
      <c r="D444" s="1" t="str">
        <f>'2021'!B209</f>
        <v>Ingjalt just</v>
      </c>
      <c r="F444" s="1">
        <f>'2021'!A209</f>
        <v>21208</v>
      </c>
      <c r="G444" s="33">
        <f>'2021'!C209</f>
        <v>44483</v>
      </c>
      <c r="H444" s="36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7"/>
      <c r="B445" s="30">
        <v>60799011</v>
      </c>
      <c r="C445" s="27" t="s">
        <v>296</v>
      </c>
      <c r="D445" s="1" t="s">
        <v>1461</v>
      </c>
      <c r="F445" s="1">
        <v>10143</v>
      </c>
      <c r="G445" s="33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7"/>
      <c r="B446" s="30"/>
      <c r="C446" s="27" t="s">
        <v>406</v>
      </c>
      <c r="D446" s="1" t="s">
        <v>1462</v>
      </c>
      <c r="F446" s="1">
        <v>10184</v>
      </c>
      <c r="G446" s="33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7"/>
      <c r="B447" s="30">
        <v>27265801</v>
      </c>
      <c r="C447" s="27" t="s">
        <v>1346</v>
      </c>
      <c r="D447" s="1" t="s">
        <v>1463</v>
      </c>
      <c r="E447" s="1" t="s">
        <v>1464</v>
      </c>
      <c r="F447" s="1">
        <v>10185</v>
      </c>
      <c r="G447" s="33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6"/>
      <c r="B448" s="30">
        <v>1707245783</v>
      </c>
      <c r="C448" s="27" t="s">
        <v>1465</v>
      </c>
      <c r="D448" s="1" t="s">
        <v>1466</v>
      </c>
      <c r="F448" s="1">
        <v>10191</v>
      </c>
      <c r="G448" s="33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7"/>
      <c r="B449" s="30"/>
      <c r="C449" s="27" t="s">
        <v>7</v>
      </c>
      <c r="D449" s="1" t="str">
        <f>'2022'!B2</f>
        <v>Henrik Sørensen</v>
      </c>
      <c r="F449" s="1">
        <f>'2022'!A2</f>
        <v>22001</v>
      </c>
      <c r="G449" s="33">
        <f>'2022'!C2</f>
        <v>44759</v>
      </c>
      <c r="H449" s="34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7"/>
      <c r="B450" s="30"/>
      <c r="C450" s="27" t="s">
        <v>242</v>
      </c>
      <c r="D450" s="1" t="str">
        <f>'2022'!B3</f>
        <v>Vinnie Krogh</v>
      </c>
      <c r="F450" s="1">
        <f>'2022'!A3</f>
        <v>22002</v>
      </c>
      <c r="G450" s="33">
        <f>'2022'!C3</f>
        <v>44718</v>
      </c>
      <c r="H450" s="34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7"/>
      <c r="B451" s="30"/>
      <c r="C451" s="27" t="s">
        <v>125</v>
      </c>
      <c r="D451" s="1" t="str">
        <f>'2022'!B4</f>
        <v>Kaj Hansen</v>
      </c>
      <c r="F451" s="1">
        <f>'2022'!A4</f>
        <v>22003</v>
      </c>
      <c r="G451" s="33">
        <f>'2022'!C4</f>
        <v>44726</v>
      </c>
      <c r="H451" s="34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7"/>
      <c r="B452" s="30"/>
      <c r="C452" s="27" t="s">
        <v>353</v>
      </c>
      <c r="D452" s="1" t="str">
        <f>'2022'!B5</f>
        <v>Gunner Jørgensen</v>
      </c>
      <c r="F452" s="1">
        <f>'2022'!A5</f>
        <v>22004</v>
      </c>
      <c r="G452" s="33">
        <f>'2022'!C5</f>
        <v>44789</v>
      </c>
      <c r="H452" s="34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7"/>
      <c r="B453" s="30"/>
      <c r="C453" s="27" t="s">
        <v>189</v>
      </c>
      <c r="D453" s="1" t="str">
        <f>'2022'!B6</f>
        <v>Christina Andersen</v>
      </c>
      <c r="F453" s="1">
        <f>'2022'!A6</f>
        <v>22005</v>
      </c>
      <c r="G453" s="33">
        <f>'2022'!C6</f>
        <v>44707</v>
      </c>
      <c r="H453" s="34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7"/>
      <c r="B454" s="30"/>
      <c r="C454" s="27" t="s">
        <v>463</v>
      </c>
      <c r="D454" s="1" t="str">
        <f>'2022'!B7</f>
        <v>Lisbeth Grube</v>
      </c>
      <c r="F454" s="1">
        <f>'2022'!A7</f>
        <v>22006</v>
      </c>
      <c r="G454" s="33">
        <f>'2022'!C7</f>
        <v>44788</v>
      </c>
      <c r="H454" s="34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7"/>
      <c r="B455" s="30"/>
      <c r="C455" s="27" t="s">
        <v>465</v>
      </c>
      <c r="D455" s="1" t="str">
        <f>'2022'!B8</f>
        <v xml:space="preserve">Tamara </v>
      </c>
      <c r="F455" s="1">
        <f>'2022'!A8</f>
        <v>22007</v>
      </c>
      <c r="G455" s="33">
        <f>'2022'!C8</f>
        <v>44687</v>
      </c>
      <c r="H455" s="34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7"/>
      <c r="B456" s="30"/>
      <c r="C456" s="27" t="s">
        <v>467</v>
      </c>
      <c r="D456" s="1" t="str">
        <f>'2022'!B9</f>
        <v>Sarah Wahlgren</v>
      </c>
      <c r="F456" s="1">
        <f>'2022'!A9</f>
        <v>22008</v>
      </c>
      <c r="G456" s="33">
        <f>'2022'!C9</f>
        <v>44679</v>
      </c>
      <c r="H456" s="34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7"/>
      <c r="B457" s="30"/>
      <c r="C457" s="27" t="s">
        <v>76</v>
      </c>
      <c r="D457" s="1" t="str">
        <f>'2022'!B10</f>
        <v>Mie Riis</v>
      </c>
      <c r="F457" s="1">
        <f>'2022'!A10</f>
        <v>22009</v>
      </c>
      <c r="G457" s="33">
        <f>'2022'!C10</f>
        <v>44768</v>
      </c>
      <c r="H457" s="34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7"/>
      <c r="B458" s="30"/>
      <c r="C458" s="27" t="s">
        <v>11</v>
      </c>
      <c r="D458" s="1" t="str">
        <f>'2022'!B11</f>
        <v>Pia Nielsen</v>
      </c>
      <c r="F458" s="1">
        <f>'2022'!A11</f>
        <v>22010</v>
      </c>
      <c r="G458" s="33">
        <f>'2022'!C11</f>
        <v>44789</v>
      </c>
      <c r="H458" s="34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7"/>
      <c r="B459" s="30"/>
      <c r="C459" s="27" t="s">
        <v>469</v>
      </c>
      <c r="D459" s="1" t="str">
        <f>'2022'!B12</f>
        <v>Iben Dalhus</v>
      </c>
      <c r="F459" s="1">
        <f>'2022'!A12</f>
        <v>22011</v>
      </c>
      <c r="G459" s="33">
        <f>'2022'!C12</f>
        <v>44820</v>
      </c>
      <c r="H459" s="34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7"/>
      <c r="B460" s="30"/>
      <c r="C460" s="27" t="s">
        <v>288</v>
      </c>
      <c r="D460" s="1" t="str">
        <f>'2022'!B13</f>
        <v>Lars Larsen</v>
      </c>
      <c r="F460" s="1">
        <f>'2022'!A13</f>
        <v>22012</v>
      </c>
      <c r="G460" s="33">
        <f>'2022'!C13</f>
        <v>44779</v>
      </c>
      <c r="H460" s="34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7"/>
      <c r="B461" s="30"/>
      <c r="C461" s="27" t="s">
        <v>472</v>
      </c>
      <c r="D461" s="1" t="str">
        <f>'2022'!B14</f>
        <v>Jürgen Tennigkeit</v>
      </c>
      <c r="F461" s="1">
        <f>'2022'!A14</f>
        <v>22013</v>
      </c>
      <c r="G461" s="33">
        <f>'2022'!C14</f>
        <v>44706</v>
      </c>
      <c r="H461" s="34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7"/>
      <c r="B462" s="30"/>
      <c r="C462" s="27" t="s">
        <v>63</v>
      </c>
      <c r="D462" s="1" t="str">
        <f>'2022'!B15</f>
        <v>Susanne Simonsen</v>
      </c>
      <c r="F462" s="1">
        <f>'2022'!A15</f>
        <v>22014</v>
      </c>
      <c r="G462" s="33">
        <f>'2022'!C15</f>
        <v>44759</v>
      </c>
      <c r="H462" s="34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7"/>
      <c r="B463" s="30"/>
      <c r="C463" s="27" t="s">
        <v>475</v>
      </c>
      <c r="D463" s="1" t="str">
        <f>'2022'!B16</f>
        <v>Ole Knudsen &amp; Lars</v>
      </c>
      <c r="F463" s="1">
        <f>'2022'!A16</f>
        <v>22015</v>
      </c>
      <c r="G463" s="33">
        <f>'2022'!C16</f>
        <v>44725</v>
      </c>
      <c r="H463" s="34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7"/>
      <c r="B464" s="30"/>
      <c r="C464" s="27" t="s">
        <v>477</v>
      </c>
      <c r="D464" s="1" t="str">
        <f>'2022'!B17</f>
        <v>Kelly Antonini</v>
      </c>
      <c r="F464" s="1">
        <f>'2022'!A17</f>
        <v>22016</v>
      </c>
      <c r="G464" s="33">
        <f>'2022'!C17</f>
        <v>44762</v>
      </c>
      <c r="H464" s="34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7"/>
      <c r="B465" s="30"/>
      <c r="C465" s="27" t="s">
        <v>479</v>
      </c>
      <c r="D465" s="1" t="str">
        <f>'2022'!B18</f>
        <v xml:space="preserve">Preben </v>
      </c>
      <c r="F465" s="1">
        <f>'2022'!A18</f>
        <v>22017</v>
      </c>
      <c r="G465" s="33">
        <f>'2022'!C18</f>
        <v>44718</v>
      </c>
      <c r="H465" s="34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7"/>
      <c r="B466" s="30"/>
      <c r="C466" s="27" t="s">
        <v>481</v>
      </c>
      <c r="D466" s="1" t="str">
        <f>'2022'!B19</f>
        <v>Kirsten Lange</v>
      </c>
      <c r="F466" s="1">
        <f>'2022'!A19</f>
        <v>22018</v>
      </c>
      <c r="G466" s="33">
        <f>'2022'!C19</f>
        <v>44686</v>
      </c>
      <c r="H466" s="34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7"/>
      <c r="B467" s="30"/>
      <c r="C467" s="27" t="s">
        <v>483</v>
      </c>
      <c r="D467" s="1" t="str">
        <f>'2022'!B20</f>
        <v>Nanna Christiansen</v>
      </c>
      <c r="F467" s="1">
        <f>'2022'!A20</f>
        <v>22019</v>
      </c>
      <c r="G467" s="33">
        <f>'2022'!C20</f>
        <v>44741</v>
      </c>
      <c r="H467" s="34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7"/>
      <c r="B468" s="30"/>
      <c r="C468" s="27" t="s">
        <v>485</v>
      </c>
      <c r="D468" s="1" t="str">
        <f>'2022'!B21</f>
        <v>Wolfgang Niemann</v>
      </c>
      <c r="F468" s="1">
        <f>'2022'!A21</f>
        <v>22020</v>
      </c>
      <c r="G468" s="33">
        <f>'2022'!C21</f>
        <v>44718</v>
      </c>
      <c r="H468" s="34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7"/>
      <c r="B469" s="30"/>
      <c r="C469" s="27" t="s">
        <v>487</v>
      </c>
      <c r="D469" s="1" t="str">
        <f>'2022'!B22</f>
        <v>Tommy B Vestergaard N</v>
      </c>
      <c r="F469" s="1">
        <f>'2022'!A22</f>
        <v>22021</v>
      </c>
      <c r="G469" s="33">
        <f>'2022'!C22</f>
        <v>44768</v>
      </c>
      <c r="H469" s="34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7"/>
      <c r="B470" s="30"/>
      <c r="C470" s="27" t="s">
        <v>489</v>
      </c>
      <c r="D470" s="1" t="str">
        <f>'2022'!B23</f>
        <v>Katja Krabbe</v>
      </c>
      <c r="F470" s="1">
        <f>'2022'!A23</f>
        <v>22022</v>
      </c>
      <c r="G470" s="33">
        <f>'2022'!C23</f>
        <v>44762</v>
      </c>
      <c r="H470" s="34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7"/>
      <c r="B471" s="30"/>
      <c r="C471" s="27" t="s">
        <v>184</v>
      </c>
      <c r="D471" s="1" t="str">
        <f>'2022'!B24</f>
        <v>Sussie Rasmussen</v>
      </c>
      <c r="F471" s="1">
        <f>'2022'!A24</f>
        <v>22023</v>
      </c>
      <c r="G471" s="33">
        <f>'2022'!C24</f>
        <v>44686</v>
      </c>
      <c r="H471" s="34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7"/>
      <c r="B472" s="30"/>
      <c r="C472" s="27" t="s">
        <v>492</v>
      </c>
      <c r="D472" s="1" t="str">
        <f>'2022'!B25</f>
        <v>Ella Darling</v>
      </c>
      <c r="F472" s="1">
        <f>'2022'!A25</f>
        <v>22024</v>
      </c>
      <c r="G472" s="33">
        <f>'2022'!C25</f>
        <v>44767</v>
      </c>
      <c r="H472" s="34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7"/>
      <c r="B473" s="30"/>
      <c r="C473" s="27" t="s">
        <v>15</v>
      </c>
      <c r="D473" s="1" t="str">
        <f>'2022'!B26</f>
        <v>Dorte Strøm</v>
      </c>
      <c r="F473" s="1">
        <f>'2022'!A26</f>
        <v>22025</v>
      </c>
      <c r="G473" s="33">
        <f>'2022'!C26</f>
        <v>44826</v>
      </c>
      <c r="H473" s="34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7"/>
      <c r="B474" s="30"/>
      <c r="C474" s="27" t="s">
        <v>494</v>
      </c>
      <c r="D474" s="1" t="str">
        <f>'2022'!B27</f>
        <v>Roland Winkler</v>
      </c>
      <c r="F474" s="1">
        <f>'2022'!A27</f>
        <v>22026</v>
      </c>
      <c r="G474" s="33">
        <f>'2022'!C27</f>
        <v>44775</v>
      </c>
      <c r="H474" s="34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7"/>
      <c r="B475" s="30"/>
      <c r="C475" s="27" t="s">
        <v>74</v>
      </c>
      <c r="D475" s="1" t="str">
        <f>'2022'!B28</f>
        <v>Tage Jensen</v>
      </c>
      <c r="F475" s="1">
        <f>'2022'!A28</f>
        <v>22027</v>
      </c>
      <c r="G475" s="33">
        <f>'2022'!C28</f>
        <v>44772</v>
      </c>
      <c r="H475" s="34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7"/>
      <c r="B476" s="30"/>
      <c r="C476" s="27" t="s">
        <v>497</v>
      </c>
      <c r="D476" s="1" t="str">
        <f>'2022'!B29</f>
        <v>Lise Lotte Askjær</v>
      </c>
      <c r="F476" s="1">
        <f>'2022'!A29</f>
        <v>22028</v>
      </c>
      <c r="G476" s="33">
        <f>'2022'!C29</f>
        <v>44665</v>
      </c>
      <c r="H476" s="34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7"/>
      <c r="B477" s="30"/>
      <c r="C477" s="27" t="s">
        <v>499</v>
      </c>
      <c r="D477" s="1" t="str">
        <f>'2022'!B30</f>
        <v>Line Steffensen</v>
      </c>
      <c r="F477" s="1">
        <f>'2022'!A30</f>
        <v>22029</v>
      </c>
      <c r="G477" s="33">
        <f>'2022'!C30</f>
        <v>44759</v>
      </c>
      <c r="H477" s="34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7"/>
      <c r="B478" s="30"/>
      <c r="C478" s="27" t="s">
        <v>501</v>
      </c>
      <c r="D478" s="1" t="str">
        <f>'2022'!B31</f>
        <v>Lene Djernæs</v>
      </c>
      <c r="F478" s="1">
        <f>'2022'!A31</f>
        <v>22030</v>
      </c>
      <c r="G478" s="33">
        <f>'2022'!C31</f>
        <v>44728</v>
      </c>
      <c r="H478" s="34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7"/>
      <c r="B479" s="30"/>
      <c r="C479" s="27" t="s">
        <v>503</v>
      </c>
      <c r="D479" s="1" t="str">
        <f>'2022'!B32</f>
        <v>Marianne Moesgaard Leth</v>
      </c>
      <c r="F479" s="1">
        <f>'2022'!A32</f>
        <v>22031</v>
      </c>
      <c r="G479" s="33">
        <f>'2022'!C32</f>
        <v>44697</v>
      </c>
      <c r="H479" s="34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7"/>
      <c r="B480" s="30"/>
      <c r="C480" s="27" t="s">
        <v>505</v>
      </c>
      <c r="D480" s="1" t="str">
        <f>'2022'!B33</f>
        <v>Helga Otersen</v>
      </c>
      <c r="F480" s="1">
        <f>'2022'!A33</f>
        <v>22032</v>
      </c>
      <c r="G480" s="33">
        <f>'2022'!C33</f>
        <v>44785</v>
      </c>
      <c r="H480" s="34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7"/>
      <c r="B481" s="30"/>
      <c r="C481" s="27" t="s">
        <v>507</v>
      </c>
      <c r="D481" s="1" t="str">
        <f>'2022'!B34</f>
        <v>Henrik</v>
      </c>
      <c r="F481" s="1">
        <f>'2022'!A34</f>
        <v>22033</v>
      </c>
      <c r="G481" s="33">
        <f>'2022'!C34</f>
        <v>44661</v>
      </c>
      <c r="H481" s="34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7"/>
      <c r="B482" s="30"/>
      <c r="C482" s="27" t="s">
        <v>508</v>
      </c>
      <c r="D482" s="1" t="str">
        <f>'2022'!B35</f>
        <v>Eva Bækdahl</v>
      </c>
      <c r="F482" s="1">
        <f>'2022'!A35</f>
        <v>22034</v>
      </c>
      <c r="G482" s="33">
        <f>'2022'!C35</f>
        <v>44795</v>
      </c>
      <c r="H482" s="34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7"/>
      <c r="B483" s="30"/>
      <c r="C483" s="27" t="s">
        <v>510</v>
      </c>
      <c r="D483" s="1" t="str">
        <f>'2022'!B36</f>
        <v>Jette Kirketerp</v>
      </c>
      <c r="F483" s="1">
        <f>'2022'!A36</f>
        <v>22035</v>
      </c>
      <c r="G483" s="33">
        <f>'2022'!C36</f>
        <v>44746</v>
      </c>
      <c r="H483" s="34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7"/>
      <c r="B484" s="30"/>
      <c r="C484" s="27" t="s">
        <v>512</v>
      </c>
      <c r="D484" s="1" t="str">
        <f>'2022'!B37</f>
        <v>Lea Witzell</v>
      </c>
      <c r="F484" s="1">
        <f>'2022'!A37</f>
        <v>22036</v>
      </c>
      <c r="G484" s="33">
        <f>'2022'!C37</f>
        <v>44767</v>
      </c>
      <c r="H484" s="34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7"/>
      <c r="B485" s="30"/>
      <c r="C485" s="27" t="s">
        <v>11</v>
      </c>
      <c r="D485" s="1" t="str">
        <f>'2022'!B38</f>
        <v>Pia Strøm Nielsen</v>
      </c>
      <c r="F485" s="1">
        <f>'2022'!A38</f>
        <v>22037</v>
      </c>
      <c r="G485" s="33">
        <f>'2022'!C38</f>
        <v>44717</v>
      </c>
      <c r="H485" s="34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7"/>
      <c r="B486" s="30"/>
      <c r="C486" s="27" t="s">
        <v>11</v>
      </c>
      <c r="D486" s="1" t="str">
        <f>'2022'!B39</f>
        <v>Anne-marie Nielsen</v>
      </c>
      <c r="F486" s="1">
        <f>'2022'!A39</f>
        <v>22038</v>
      </c>
      <c r="G486" s="33">
        <f>'2022'!C39</f>
        <v>44802</v>
      </c>
      <c r="H486" s="34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7"/>
      <c r="B487" s="30"/>
      <c r="C487" s="27" t="s">
        <v>184</v>
      </c>
      <c r="D487" s="1" t="str">
        <f>'2022'!B40</f>
        <v>Johanna Rasmussen</v>
      </c>
      <c r="F487" s="1">
        <f>'2022'!A40</f>
        <v>22039</v>
      </c>
      <c r="G487" s="33">
        <f>'2022'!C40</f>
        <v>44782</v>
      </c>
      <c r="H487" s="34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7"/>
      <c r="B488" s="30"/>
      <c r="C488" s="27" t="s">
        <v>517</v>
      </c>
      <c r="D488" s="1" t="str">
        <f>'2022'!B41</f>
        <v>Vibeke Thide</v>
      </c>
      <c r="F488" s="1">
        <f>'2022'!A41</f>
        <v>22040</v>
      </c>
      <c r="G488" s="33">
        <f>'2022'!C41</f>
        <v>44774</v>
      </c>
      <c r="H488" s="34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7"/>
      <c r="B489" s="30"/>
      <c r="C489" s="27" t="s">
        <v>11</v>
      </c>
      <c r="D489" s="1" t="str">
        <f>'2022'!B42</f>
        <v>Gitte Ourø Nielsen</v>
      </c>
      <c r="F489" s="1">
        <f>'2022'!A42</f>
        <v>22041</v>
      </c>
      <c r="G489" s="33">
        <f>'2022'!C42</f>
        <v>44759</v>
      </c>
      <c r="H489" s="34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7"/>
      <c r="B490" s="30"/>
      <c r="C490" s="27" t="s">
        <v>110</v>
      </c>
      <c r="D490" s="1" t="str">
        <f>'2022'!B43</f>
        <v>Berith Bie</v>
      </c>
      <c r="F490" s="1">
        <f>'2022'!A43</f>
        <v>22042</v>
      </c>
      <c r="G490" s="33">
        <f>'2022'!C43</f>
        <v>44750</v>
      </c>
      <c r="H490" s="34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7"/>
      <c r="B491" s="30"/>
      <c r="C491" s="27" t="s">
        <v>520</v>
      </c>
      <c r="D491" s="1" t="str">
        <f>'2022'!B44</f>
        <v>Ingeborg Brandl</v>
      </c>
      <c r="F491" s="1">
        <f>'2022'!A44</f>
        <v>22043</v>
      </c>
      <c r="G491" s="33">
        <f>'2022'!C44</f>
        <v>44794</v>
      </c>
      <c r="H491" s="34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7"/>
      <c r="B492" s="30"/>
      <c r="C492" s="27" t="s">
        <v>74</v>
      </c>
      <c r="D492" s="1" t="str">
        <f>'2022'!B45</f>
        <v>Jan Jensen</v>
      </c>
      <c r="F492" s="1">
        <f>'2022'!A45</f>
        <v>22044</v>
      </c>
      <c r="G492" s="33">
        <f>'2022'!C45</f>
        <v>44740</v>
      </c>
      <c r="H492" s="34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6" t="s">
        <v>49</v>
      </c>
      <c r="B493" s="30" t="s">
        <v>1037</v>
      </c>
      <c r="C493" s="27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3">
        <f>'2022'!C46</f>
        <v>44752</v>
      </c>
      <c r="H493" s="34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7"/>
      <c r="B494" s="30"/>
      <c r="C494" s="27" t="s">
        <v>125</v>
      </c>
      <c r="D494" s="1" t="str">
        <f>'2022'!B47</f>
        <v>Mariann Jørn Hansen</v>
      </c>
      <c r="F494" s="1">
        <f>'2022'!A47</f>
        <v>22046</v>
      </c>
      <c r="G494" s="33">
        <f>'2022'!C47</f>
        <v>44755</v>
      </c>
      <c r="H494" s="34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7"/>
      <c r="B495" s="30"/>
      <c r="C495" s="27" t="s">
        <v>524</v>
      </c>
      <c r="D495" s="1" t="str">
        <f>'2022'!B48</f>
        <v>Axel Bistrup</v>
      </c>
      <c r="F495" s="1">
        <f>'2022'!A48</f>
        <v>22047</v>
      </c>
      <c r="G495" s="33">
        <f>'2022'!C48</f>
        <v>44693</v>
      </c>
      <c r="H495" s="34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7"/>
      <c r="B496" s="30"/>
      <c r="C496" s="27" t="s">
        <v>379</v>
      </c>
      <c r="D496" s="1" t="str">
        <f>'2022'!B49</f>
        <v>Lilian Petersen</v>
      </c>
      <c r="F496" s="1">
        <f>'2022'!A49</f>
        <v>22048</v>
      </c>
      <c r="G496" s="33">
        <f>'2022'!C49</f>
        <v>44713</v>
      </c>
      <c r="H496" s="34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7"/>
      <c r="B497" s="30"/>
      <c r="C497" s="27" t="s">
        <v>527</v>
      </c>
      <c r="D497" s="1" t="str">
        <f>'2022'!B50</f>
        <v>Ilona Bischoff</v>
      </c>
      <c r="F497" s="1">
        <f>'2022'!A50</f>
        <v>22049</v>
      </c>
      <c r="G497" s="33">
        <f>'2022'!C50</f>
        <v>44752</v>
      </c>
      <c r="H497" s="34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7"/>
      <c r="B498" s="30"/>
      <c r="C498" s="27" t="s">
        <v>529</v>
      </c>
      <c r="D498" s="1" t="str">
        <f>'2022'!B51</f>
        <v>Gitte Bernhard</v>
      </c>
      <c r="F498" s="1">
        <f>'2022'!A51</f>
        <v>22050</v>
      </c>
      <c r="G498" s="33">
        <f>'2022'!C51</f>
        <v>44774</v>
      </c>
      <c r="H498" s="34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7"/>
      <c r="B499" s="30"/>
      <c r="C499" s="27" t="s">
        <v>531</v>
      </c>
      <c r="D499" s="1" t="str">
        <f>'2022'!B52</f>
        <v>Helene Dubois</v>
      </c>
      <c r="F499" s="1">
        <f>'2022'!A52</f>
        <v>22051</v>
      </c>
      <c r="G499" s="33">
        <f>'2022'!C52</f>
        <v>44665</v>
      </c>
      <c r="H499" s="34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7"/>
      <c r="B500" s="30"/>
      <c r="C500" s="27" t="s">
        <v>533</v>
      </c>
      <c r="D500" s="1" t="str">
        <f>'2022'!B53</f>
        <v>Jeanette Balkan</v>
      </c>
      <c r="F500" s="1">
        <f>'2022'!A53</f>
        <v>22052</v>
      </c>
      <c r="G500" s="33">
        <f>'2022'!C53</f>
        <v>44784</v>
      </c>
      <c r="H500" s="34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7"/>
      <c r="B501" s="30"/>
      <c r="C501" s="27" t="s">
        <v>416</v>
      </c>
      <c r="D501" s="1" t="str">
        <f>'2022'!B54</f>
        <v>Jorun Christensen</v>
      </c>
      <c r="F501" s="1">
        <f>'2022'!A54</f>
        <v>22053</v>
      </c>
      <c r="G501" s="33">
        <f>'2022'!C54</f>
        <v>44745</v>
      </c>
      <c r="H501" s="34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7"/>
      <c r="B502" s="30"/>
      <c r="C502" s="27" t="s">
        <v>536</v>
      </c>
      <c r="D502" s="1" t="str">
        <f>'2022'!B55</f>
        <v>Nini Hastig</v>
      </c>
      <c r="F502" s="1">
        <f>'2022'!A55</f>
        <v>22054</v>
      </c>
      <c r="G502" s="33">
        <f>'2022'!C55</f>
        <v>44707</v>
      </c>
      <c r="H502" s="34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7"/>
      <c r="B503" s="30"/>
      <c r="C503" s="27" t="s">
        <v>538</v>
      </c>
      <c r="D503" s="1" t="str">
        <f>'2022'!B56</f>
        <v>Gert Kalsson</v>
      </c>
      <c r="F503" s="1">
        <f>'2022'!A56</f>
        <v>22055</v>
      </c>
      <c r="G503" s="33">
        <f>'2022'!C56</f>
        <v>44739</v>
      </c>
      <c r="H503" s="34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7"/>
      <c r="B504" s="30"/>
      <c r="C504" s="27" t="s">
        <v>540</v>
      </c>
      <c r="D504" s="1" t="str">
        <f>'2022'!B57</f>
        <v>Heike Bauer</v>
      </c>
      <c r="F504" s="1">
        <f>'2022'!A57</f>
        <v>22056</v>
      </c>
      <c r="G504" s="33">
        <f>'2022'!C57</f>
        <v>44731</v>
      </c>
      <c r="H504" s="34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7"/>
      <c r="B505" s="30"/>
      <c r="C505" s="27" t="s">
        <v>60</v>
      </c>
      <c r="D505" s="1" t="str">
        <f>'2022'!B58</f>
        <v>Tonny &amp; Kirsten Bjerrum</v>
      </c>
      <c r="F505" s="1">
        <f>'2022'!A58</f>
        <v>22057</v>
      </c>
      <c r="G505" s="33">
        <f>'2022'!C58</f>
        <v>44744</v>
      </c>
      <c r="H505" s="34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7"/>
      <c r="B506" s="30"/>
      <c r="C506" s="27" t="s">
        <v>543</v>
      </c>
      <c r="D506" s="1" t="str">
        <f>'2022'!B59</f>
        <v>Catalina Ewe-Ericson</v>
      </c>
      <c r="F506" s="1">
        <f>'2022'!A59</f>
        <v>22058</v>
      </c>
      <c r="G506" s="33">
        <f>'2022'!C59</f>
        <v>44750</v>
      </c>
      <c r="H506" s="34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7"/>
      <c r="B507" s="30"/>
      <c r="C507" s="27" t="s">
        <v>158</v>
      </c>
      <c r="D507" s="1" t="str">
        <f>'2022'!B60</f>
        <v>Janne Malberg</v>
      </c>
      <c r="F507" s="1">
        <f>'2022'!A60</f>
        <v>22059</v>
      </c>
      <c r="G507" s="33">
        <f>'2022'!C60</f>
        <v>44679</v>
      </c>
      <c r="H507" s="34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7"/>
      <c r="B508" s="30"/>
      <c r="C508" s="27" t="s">
        <v>545</v>
      </c>
      <c r="D508" s="1" t="str">
        <f>'2022'!B61</f>
        <v>Wolfgang Tobergte</v>
      </c>
      <c r="F508" s="1">
        <f>'2022'!A61</f>
        <v>22060</v>
      </c>
      <c r="G508" s="33">
        <f>'2022'!C61</f>
        <v>44783</v>
      </c>
      <c r="H508" s="34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7"/>
      <c r="B509" s="30"/>
      <c r="C509" s="27" t="s">
        <v>184</v>
      </c>
      <c r="D509" s="1" t="str">
        <f>'2022'!B62</f>
        <v>Bjarne Rasmussen</v>
      </c>
      <c r="F509" s="1">
        <f>'2022'!A62</f>
        <v>22061</v>
      </c>
      <c r="G509" s="33">
        <f>'2022'!C62</f>
        <v>44731</v>
      </c>
      <c r="H509" s="34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7"/>
      <c r="B510" s="30"/>
      <c r="C510" s="27" t="s">
        <v>548</v>
      </c>
      <c r="D510" s="1" t="str">
        <f>'2022'!B63</f>
        <v>Agneta Börjesson</v>
      </c>
      <c r="F510" s="1">
        <f>'2022'!A63</f>
        <v>22062</v>
      </c>
      <c r="G510" s="33">
        <f>'2022'!C63</f>
        <v>44720</v>
      </c>
      <c r="H510" s="34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7"/>
      <c r="B511" s="30"/>
      <c r="C511" s="27" t="s">
        <v>11</v>
      </c>
      <c r="D511" s="1" t="str">
        <f>'2022'!B64</f>
        <v>John Bøgelund Nielsen</v>
      </c>
      <c r="F511" s="1">
        <f>'2022'!A64</f>
        <v>22063</v>
      </c>
      <c r="G511" s="33">
        <f>'2022'!C64</f>
        <v>44735</v>
      </c>
      <c r="H511" s="34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7"/>
      <c r="B512" s="30"/>
      <c r="C512" s="27" t="s">
        <v>551</v>
      </c>
      <c r="D512" s="1" t="str">
        <f>'2022'!B65</f>
        <v>Steen Knoop</v>
      </c>
      <c r="F512" s="1">
        <f>'2022'!A65</f>
        <v>22064</v>
      </c>
      <c r="G512" s="33">
        <f>'2022'!C65</f>
        <v>44765</v>
      </c>
      <c r="H512" s="34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7"/>
      <c r="B513" s="30"/>
      <c r="C513" s="27" t="s">
        <v>553</v>
      </c>
      <c r="D513" s="1" t="str">
        <f>'2022'!B66</f>
        <v>Wolfgang Knck</v>
      </c>
      <c r="F513" s="1">
        <f>'2022'!A66</f>
        <v>22065</v>
      </c>
      <c r="G513" s="33">
        <f>'2022'!C66</f>
        <v>44737</v>
      </c>
      <c r="H513" s="34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7"/>
      <c r="B514" s="30"/>
      <c r="C514" s="27" t="s">
        <v>555</v>
      </c>
      <c r="D514" s="1" t="str">
        <f>'2022'!B67</f>
        <v>Regina &amp; Peter Baberowski</v>
      </c>
      <c r="F514" s="1">
        <f>'2022'!A67</f>
        <v>22066</v>
      </c>
      <c r="G514" s="33">
        <f>'2022'!C67</f>
        <v>44732</v>
      </c>
      <c r="H514" s="34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7"/>
      <c r="B515" s="30"/>
      <c r="C515" s="27" t="s">
        <v>557</v>
      </c>
      <c r="D515" s="1" t="str">
        <f>'2022'!B68</f>
        <v>Siegmar Aschrich</v>
      </c>
      <c r="F515" s="1">
        <f>'2022'!A68</f>
        <v>22067</v>
      </c>
      <c r="G515" s="33">
        <f>'2022'!C68</f>
        <v>44801</v>
      </c>
      <c r="H515" s="34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7"/>
      <c r="B516" s="30"/>
      <c r="C516" s="27" t="s">
        <v>184</v>
      </c>
      <c r="D516" s="1" t="str">
        <f>'2022'!B69</f>
        <v>Niels Erik Rasmussen</v>
      </c>
      <c r="F516" s="1">
        <f>'2022'!A69</f>
        <v>22068</v>
      </c>
      <c r="G516" s="33">
        <f>'2022'!C69</f>
        <v>44683</v>
      </c>
      <c r="H516" s="34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7"/>
      <c r="B517" s="30"/>
      <c r="C517" s="27" t="s">
        <v>25</v>
      </c>
      <c r="D517" s="1" t="str">
        <f>'2022'!B70</f>
        <v>Birgitte Poulsen</v>
      </c>
      <c r="F517" s="1">
        <f>'2022'!A70</f>
        <v>22069</v>
      </c>
      <c r="G517" s="33">
        <f>'2022'!C70</f>
        <v>44682</v>
      </c>
      <c r="H517" s="34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7"/>
      <c r="B518" s="30"/>
      <c r="C518" s="27" t="s">
        <v>559</v>
      </c>
      <c r="D518" s="1" t="str">
        <f>'2022'!B71</f>
        <v>Jytte Hviid</v>
      </c>
      <c r="F518" s="1">
        <f>'2022'!A71</f>
        <v>22070</v>
      </c>
      <c r="G518" s="33">
        <f>'2022'!C71</f>
        <v>44777</v>
      </c>
      <c r="H518" s="34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7"/>
      <c r="B519" s="30"/>
      <c r="C519" s="27" t="s">
        <v>561</v>
      </c>
      <c r="D519" s="1" t="str">
        <f>'2022'!B72</f>
        <v>Ralf Kohlrusch</v>
      </c>
      <c r="F519" s="1">
        <f>'2022'!A72</f>
        <v>22071</v>
      </c>
      <c r="G519" s="33">
        <f>'2022'!C72</f>
        <v>44795</v>
      </c>
      <c r="H519" s="34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7"/>
      <c r="B520" s="30"/>
      <c r="C520" s="27" t="s">
        <v>563</v>
      </c>
      <c r="D520" s="1" t="str">
        <f>'2022'!B73</f>
        <v>Björn Hjelm</v>
      </c>
      <c r="F520" s="1">
        <f>'2022'!A73</f>
        <v>22072</v>
      </c>
      <c r="G520" s="33">
        <f>'2022'!C73</f>
        <v>44783</v>
      </c>
      <c r="H520" s="34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7"/>
      <c r="B521" s="30"/>
      <c r="C521" s="27" t="s">
        <v>565</v>
      </c>
      <c r="D521" s="1" t="str">
        <f>'2022'!B74</f>
        <v>Ulla Johansson</v>
      </c>
      <c r="F521" s="1">
        <f>'2022'!A74</f>
        <v>22073</v>
      </c>
      <c r="G521" s="33">
        <f>'2022'!C74</f>
        <v>44774</v>
      </c>
      <c r="H521" s="34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7"/>
      <c r="B522" s="30"/>
      <c r="C522" s="27" t="s">
        <v>548</v>
      </c>
      <c r="D522" s="1" t="str">
        <f>'2022'!B75</f>
        <v>Agnete Börjesson</v>
      </c>
      <c r="F522" s="1">
        <f>'2022'!A75</f>
        <v>22074</v>
      </c>
      <c r="G522" s="33">
        <f>'2022'!C75</f>
        <v>44711</v>
      </c>
      <c r="H522" s="34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7"/>
      <c r="B523" s="30"/>
      <c r="C523" s="27" t="s">
        <v>568</v>
      </c>
      <c r="D523" s="1" t="str">
        <f>'2022'!B76</f>
        <v>Jörg Selinski</v>
      </c>
      <c r="F523" s="1">
        <f>'2022'!A76</f>
        <v>22075</v>
      </c>
      <c r="G523" s="33">
        <f>'2022'!C76</f>
        <v>44661</v>
      </c>
      <c r="H523" s="34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7"/>
      <c r="B524" s="30"/>
      <c r="C524" s="27" t="s">
        <v>74</v>
      </c>
      <c r="D524" s="1" t="str">
        <f>'2022'!B77</f>
        <v>Karsten Jensen</v>
      </c>
      <c r="F524" s="1">
        <f>'2022'!A77</f>
        <v>22076</v>
      </c>
      <c r="G524" s="33">
        <f>'2022'!C77</f>
        <v>44743</v>
      </c>
      <c r="H524" s="34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7"/>
      <c r="B525" s="30"/>
      <c r="C525" s="27" t="s">
        <v>571</v>
      </c>
      <c r="D525" s="1" t="str">
        <f>'2022'!B78</f>
        <v>Malin Heurlen</v>
      </c>
      <c r="F525" s="1">
        <f>'2022'!A78</f>
        <v>22077</v>
      </c>
      <c r="G525" s="33">
        <f>'2022'!C78</f>
        <v>44748</v>
      </c>
      <c r="H525" s="34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7"/>
      <c r="B526" s="30"/>
      <c r="C526" s="27" t="s">
        <v>288</v>
      </c>
      <c r="D526" s="1" t="str">
        <f>'2022'!B79</f>
        <v>Jacob Larsen</v>
      </c>
      <c r="F526" s="1">
        <f>'2022'!A79</f>
        <v>22078</v>
      </c>
      <c r="G526" s="33">
        <f>'2022'!C79</f>
        <v>44662</v>
      </c>
      <c r="H526" s="34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7"/>
      <c r="B527" s="30"/>
      <c r="C527" s="27" t="s">
        <v>11</v>
      </c>
      <c r="D527" s="1" t="str">
        <f>'2022'!B80</f>
        <v>Susanne Nielsen</v>
      </c>
      <c r="F527" s="1">
        <f>'2022'!A80</f>
        <v>22079</v>
      </c>
      <c r="G527" s="33">
        <f>'2022'!C80</f>
        <v>44795</v>
      </c>
      <c r="H527" s="34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7"/>
      <c r="B528" s="30"/>
      <c r="C528" s="27" t="s">
        <v>574</v>
      </c>
      <c r="D528" s="1" t="str">
        <f>'2022'!B81</f>
        <v>Christian Stark</v>
      </c>
      <c r="F528" s="1">
        <f>'2022'!A81</f>
        <v>22080</v>
      </c>
      <c r="G528" s="33">
        <f>'2022'!C81</f>
        <v>44661</v>
      </c>
      <c r="H528" s="34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7"/>
      <c r="B529" s="30"/>
      <c r="C529" s="27" t="s">
        <v>576</v>
      </c>
      <c r="D529" s="1" t="str">
        <f>'2022'!B82</f>
        <v>Carsten M Mejer</v>
      </c>
      <c r="F529" s="1">
        <f>'2022'!A82</f>
        <v>22081</v>
      </c>
      <c r="G529" s="33">
        <f>'2022'!C82</f>
        <v>44809</v>
      </c>
      <c r="H529" s="34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7"/>
      <c r="B530" s="30"/>
      <c r="C530" s="27" t="s">
        <v>578</v>
      </c>
      <c r="D530" s="1" t="str">
        <f>'2022'!B83</f>
        <v>Jan Kock</v>
      </c>
      <c r="F530" s="1">
        <f>'2022'!A83</f>
        <v>22082</v>
      </c>
      <c r="G530" s="33">
        <f>'2022'!C83</f>
        <v>44721</v>
      </c>
      <c r="H530" s="34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7"/>
      <c r="B531" s="30"/>
      <c r="C531" s="27" t="s">
        <v>11</v>
      </c>
      <c r="D531" s="1" t="str">
        <f>'2022'!B84</f>
        <v>Eigil &amp; Marianne Nielsen</v>
      </c>
      <c r="F531" s="1">
        <f>'2022'!A84</f>
        <v>22083</v>
      </c>
      <c r="G531" s="33">
        <f>'2022'!C84</f>
        <v>44725</v>
      </c>
      <c r="H531" s="34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7"/>
      <c r="B532" s="30"/>
      <c r="C532" s="27" t="s">
        <v>581</v>
      </c>
      <c r="D532" s="1" t="str">
        <f>'2022'!B85</f>
        <v>Line Vinther</v>
      </c>
      <c r="F532" s="1">
        <f>'2022'!A85</f>
        <v>22084</v>
      </c>
      <c r="G532" s="33">
        <f>'2022'!C85</f>
        <v>44693</v>
      </c>
      <c r="H532" s="34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7"/>
      <c r="B533" s="30"/>
      <c r="C533" s="27" t="s">
        <v>583</v>
      </c>
      <c r="D533" s="1" t="str">
        <f>'2022'!B86</f>
        <v>Bonnie Knudsen</v>
      </c>
      <c r="F533" s="1">
        <f>'2022'!A86</f>
        <v>22085</v>
      </c>
      <c r="G533" s="33">
        <f>'2022'!C86</f>
        <v>44748</v>
      </c>
      <c r="H533" s="34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7"/>
      <c r="B534" s="30"/>
      <c r="C534" s="27" t="s">
        <v>125</v>
      </c>
      <c r="D534" s="1" t="str">
        <f>'2022'!B87</f>
        <v>Mariann Jørn Hansen</v>
      </c>
      <c r="F534" s="1">
        <f>'2022'!A87</f>
        <v>22086</v>
      </c>
      <c r="G534" s="33">
        <f>'2022'!C87</f>
        <v>44665</v>
      </c>
      <c r="H534" s="34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7"/>
      <c r="B535" s="30"/>
      <c r="C535" s="27" t="s">
        <v>585</v>
      </c>
      <c r="D535" s="1" t="str">
        <f>'2022'!B88</f>
        <v>Rolf Ingemansson</v>
      </c>
      <c r="F535" s="1">
        <f>'2022'!A88</f>
        <v>22087</v>
      </c>
      <c r="G535" s="33">
        <f>'2022'!C88</f>
        <v>44797</v>
      </c>
      <c r="H535" s="34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7"/>
      <c r="B536" s="30"/>
      <c r="C536" s="27" t="s">
        <v>587</v>
      </c>
      <c r="D536" s="1" t="str">
        <f>'2022'!B89</f>
        <v>Magnus Thor Nancke</v>
      </c>
      <c r="F536" s="1">
        <f>'2022'!A89</f>
        <v>22088</v>
      </c>
      <c r="G536" s="33">
        <f>'2022'!C89</f>
        <v>44758</v>
      </c>
      <c r="H536" s="34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7"/>
      <c r="B537" s="30"/>
      <c r="C537" s="27" t="s">
        <v>122</v>
      </c>
      <c r="D537" s="1" t="str">
        <f>'2022'!B90</f>
        <v>Børge Clausen</v>
      </c>
      <c r="F537" s="1">
        <f>'2022'!A90</f>
        <v>22089</v>
      </c>
      <c r="G537" s="33">
        <f>'2022'!C90</f>
        <v>44700</v>
      </c>
      <c r="H537" s="34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7"/>
      <c r="B538" s="30"/>
      <c r="C538" s="27" t="s">
        <v>590</v>
      </c>
      <c r="D538" s="1" t="str">
        <f>'2022'!B91</f>
        <v>Jørgen Hyldgaard Svendsen</v>
      </c>
      <c r="F538" s="1">
        <f>'2022'!A91</f>
        <v>22090</v>
      </c>
      <c r="G538" s="33">
        <f>'2022'!C91</f>
        <v>44733</v>
      </c>
      <c r="H538" s="34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7"/>
      <c r="B539" s="30"/>
      <c r="C539" s="27" t="s">
        <v>592</v>
      </c>
      <c r="D539" s="1" t="str">
        <f>'2022'!B92</f>
        <v>Philipp Schorrer</v>
      </c>
      <c r="F539" s="1">
        <f>'2022'!A92</f>
        <v>22091</v>
      </c>
      <c r="G539" s="33">
        <f>'2022'!C92</f>
        <v>44807</v>
      </c>
      <c r="H539" s="34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7"/>
      <c r="B540" s="30"/>
      <c r="C540" s="27" t="s">
        <v>184</v>
      </c>
      <c r="D540" s="1" t="str">
        <f>'2022'!B93</f>
        <v>Jens Rasmussen</v>
      </c>
      <c r="F540" s="1">
        <f>'2022'!A93</f>
        <v>22092</v>
      </c>
      <c r="G540" s="33">
        <f>'2022'!C93</f>
        <v>44634</v>
      </c>
      <c r="H540" s="34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7"/>
      <c r="B541" s="30"/>
      <c r="C541" s="27" t="s">
        <v>595</v>
      </c>
      <c r="D541" s="1" t="str">
        <f>'2022'!B94</f>
        <v>Jana Schmidt</v>
      </c>
      <c r="F541" s="1">
        <f>'2022'!A94</f>
        <v>22093</v>
      </c>
      <c r="G541" s="33">
        <f>'2022'!C94</f>
        <v>44732</v>
      </c>
      <c r="H541" s="34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7"/>
      <c r="B542" s="30"/>
      <c r="C542" s="27" t="s">
        <v>597</v>
      </c>
      <c r="D542" s="1" t="str">
        <f>'2022'!B95</f>
        <v>Lutz Brösicke</v>
      </c>
      <c r="F542" s="1">
        <f>'2022'!A95</f>
        <v>22094</v>
      </c>
      <c r="G542" s="33">
        <f>'2022'!C95</f>
        <v>44700</v>
      </c>
      <c r="H542" s="34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7"/>
      <c r="B543" s="30"/>
      <c r="C543" s="27" t="s">
        <v>599</v>
      </c>
      <c r="D543" s="1" t="str">
        <f>'2022'!B96</f>
        <v>Horst Neger</v>
      </c>
      <c r="F543" s="1">
        <f>'2022'!A96</f>
        <v>22095</v>
      </c>
      <c r="G543" s="33">
        <f>'2022'!C96</f>
        <v>44710</v>
      </c>
      <c r="H543" s="34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7"/>
      <c r="B544" s="30"/>
      <c r="C544" s="27" t="s">
        <v>601</v>
      </c>
      <c r="D544" s="1" t="str">
        <f>'2022'!B97</f>
        <v>Bente Rambæk</v>
      </c>
      <c r="F544" s="1">
        <f>'2022'!A97</f>
        <v>22096</v>
      </c>
      <c r="G544" s="33">
        <f>'2022'!C97</f>
        <v>44751</v>
      </c>
      <c r="H544" s="34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7"/>
      <c r="B545" s="30"/>
      <c r="C545" s="27" t="s">
        <v>603</v>
      </c>
      <c r="D545" s="1" t="str">
        <f>'2022'!B98</f>
        <v>Ole Fuglbjerg</v>
      </c>
      <c r="F545" s="1">
        <f>'2022'!A98</f>
        <v>22097</v>
      </c>
      <c r="G545" s="33">
        <f>'2022'!C98</f>
        <v>44765</v>
      </c>
      <c r="H545" s="34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7"/>
      <c r="B546" s="30"/>
      <c r="C546" s="27" t="s">
        <v>605</v>
      </c>
      <c r="D546" s="1" t="str">
        <f>'2022'!B99</f>
        <v>Oriol Garcia Antunez</v>
      </c>
      <c r="F546" s="1">
        <f>'2022'!A99</f>
        <v>22098</v>
      </c>
      <c r="G546" s="33">
        <f>'2022'!C99</f>
        <v>44715</v>
      </c>
      <c r="H546" s="34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7"/>
      <c r="B547" s="30"/>
      <c r="C547" s="27" t="s">
        <v>7</v>
      </c>
      <c r="D547" s="1" t="str">
        <f>'2022'!B100</f>
        <v>Lars Sørensen</v>
      </c>
      <c r="F547" s="1">
        <f>'2022'!A100</f>
        <v>22099</v>
      </c>
      <c r="G547" s="33">
        <f>'2022'!C100</f>
        <v>44812</v>
      </c>
      <c r="H547" s="34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7"/>
      <c r="B548" s="30"/>
      <c r="C548" s="27" t="s">
        <v>608</v>
      </c>
      <c r="D548" s="1" t="str">
        <f>'2022'!B101</f>
        <v>Hanne Carlsen</v>
      </c>
      <c r="F548" s="1">
        <f>'2022'!A101</f>
        <v>22100</v>
      </c>
      <c r="G548" s="33">
        <f>'2022'!C101</f>
        <v>44742</v>
      </c>
      <c r="H548" s="34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7"/>
      <c r="B549" s="30"/>
      <c r="C549" s="27" t="s">
        <v>610</v>
      </c>
      <c r="D549" s="1" t="str">
        <f>'2022'!B102</f>
        <v>Camilla Boney</v>
      </c>
      <c r="F549" s="1">
        <f>'2022'!A102</f>
        <v>22101</v>
      </c>
      <c r="G549" s="33">
        <f>'2022'!C102</f>
        <v>44781</v>
      </c>
      <c r="H549" s="34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7"/>
      <c r="B550" s="30"/>
      <c r="C550" s="27" t="s">
        <v>612</v>
      </c>
      <c r="D550" s="1" t="str">
        <f>'2022'!B103</f>
        <v>Fanny Jähne</v>
      </c>
      <c r="F550" s="1">
        <f>'2022'!A103</f>
        <v>22102</v>
      </c>
      <c r="G550" s="33">
        <f>'2022'!C103</f>
        <v>44703</v>
      </c>
      <c r="H550" s="34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7"/>
      <c r="B551" s="30"/>
      <c r="C551" s="27" t="s">
        <v>296</v>
      </c>
      <c r="D551" s="1" t="str">
        <f>'2022'!B104</f>
        <v>Mette Willermoes Olsen</v>
      </c>
      <c r="F551" s="1">
        <f>'2022'!A104</f>
        <v>22103</v>
      </c>
      <c r="G551" s="33">
        <f>'2022'!C104</f>
        <v>44669</v>
      </c>
      <c r="H551" s="34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7"/>
      <c r="B552" s="30"/>
      <c r="C552" s="27" t="s">
        <v>615</v>
      </c>
      <c r="D552" s="1" t="str">
        <f>'2022'!B105</f>
        <v>Flemming Grandal</v>
      </c>
      <c r="F552" s="1">
        <f>'2022'!A105</f>
        <v>22104</v>
      </c>
      <c r="G552" s="33">
        <f>'2022'!C105</f>
        <v>44778</v>
      </c>
      <c r="H552" s="34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7"/>
      <c r="B553" s="30"/>
      <c r="C553" s="27" t="s">
        <v>617</v>
      </c>
      <c r="D553" s="1" t="str">
        <f>'2022'!B106</f>
        <v>Tina Julin</v>
      </c>
      <c r="F553" s="1">
        <f>'2022'!A106</f>
        <v>22105</v>
      </c>
      <c r="G553" s="33">
        <f>'2022'!C106</f>
        <v>44827</v>
      </c>
      <c r="H553" s="34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7"/>
      <c r="B554" s="30"/>
      <c r="C554" s="27" t="s">
        <v>619</v>
      </c>
      <c r="D554" s="1" t="str">
        <f>'2022'!B107</f>
        <v>Lars-Gunner Nyqvist</v>
      </c>
      <c r="F554" s="1">
        <f>'2022'!A107</f>
        <v>22106</v>
      </c>
      <c r="G554" s="33">
        <f>'2022'!C107</f>
        <v>44815</v>
      </c>
      <c r="H554" s="34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7"/>
      <c r="B555" s="30"/>
      <c r="C555" s="27" t="s">
        <v>622</v>
      </c>
      <c r="D555" s="1" t="str">
        <f>'2022'!B108</f>
        <v>Grete Bossenmeyer</v>
      </c>
      <c r="F555" s="1">
        <f>'2022'!A108</f>
        <v>22107</v>
      </c>
      <c r="G555" s="33">
        <f>'2022'!C108</f>
        <v>44766</v>
      </c>
      <c r="H555" s="34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7"/>
      <c r="B556" s="30"/>
      <c r="C556" s="27" t="s">
        <v>624</v>
      </c>
      <c r="D556" s="1" t="str">
        <f>'2022'!B109</f>
        <v>Janine Maegaard</v>
      </c>
      <c r="F556" s="1">
        <f>'2022'!A109</f>
        <v>22108</v>
      </c>
      <c r="G556" s="33">
        <f>'2022'!C109</f>
        <v>44695</v>
      </c>
      <c r="H556" s="34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7"/>
      <c r="B557" s="30"/>
      <c r="C557" s="27" t="s">
        <v>626</v>
      </c>
      <c r="D557" s="1" t="str">
        <f>'2022'!B110</f>
        <v>Vincianne Radarmecker</v>
      </c>
      <c r="F557" s="1">
        <f>'2022'!A110</f>
        <v>22109</v>
      </c>
      <c r="G557" s="33">
        <f>'2022'!C110</f>
        <v>44776</v>
      </c>
      <c r="H557" s="34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7"/>
      <c r="B558" s="30"/>
      <c r="C558" s="27" t="s">
        <v>628</v>
      </c>
      <c r="D558" s="1" t="str">
        <f>'2022'!B111</f>
        <v>Charlotte Hooge Børup</v>
      </c>
      <c r="F558" s="1">
        <f>'2022'!A111</f>
        <v>22110</v>
      </c>
      <c r="G558" s="33">
        <f>'2022'!C111</f>
        <v>44687</v>
      </c>
      <c r="H558" s="34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7"/>
      <c r="B559" s="30"/>
      <c r="C559" s="27" t="s">
        <v>630</v>
      </c>
      <c r="D559" s="1" t="str">
        <f>'2022'!B112</f>
        <v>Niels Regnersgaard</v>
      </c>
      <c r="F559" s="1">
        <f>'2022'!A112</f>
        <v>22111</v>
      </c>
      <c r="G559" s="33">
        <f>'2022'!C112</f>
        <v>44683</v>
      </c>
      <c r="H559" s="34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7"/>
      <c r="B560" s="30"/>
      <c r="C560" s="27" t="s">
        <v>632</v>
      </c>
      <c r="D560" s="1" t="str">
        <f>'2022'!B113</f>
        <v>Arne Sahlstedt</v>
      </c>
      <c r="F560" s="1">
        <f>'2022'!A113</f>
        <v>22112</v>
      </c>
      <c r="G560" s="33">
        <f>'2022'!C113</f>
        <v>44772</v>
      </c>
      <c r="H560" s="34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7"/>
      <c r="B561" s="30"/>
      <c r="C561" s="27" t="s">
        <v>105</v>
      </c>
      <c r="D561" s="1" t="str">
        <f>'2022'!B114</f>
        <v>Nauja Kleist</v>
      </c>
      <c r="F561" s="1">
        <f>'2022'!A114</f>
        <v>22113</v>
      </c>
      <c r="G561" s="33">
        <f>'2022'!C114</f>
        <v>44750</v>
      </c>
      <c r="H561" s="34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7"/>
      <c r="B562" s="30"/>
      <c r="C562" s="27" t="s">
        <v>155</v>
      </c>
      <c r="D562" s="1" t="str">
        <f>'2022'!B115</f>
        <v>Ralf Redlich</v>
      </c>
      <c r="F562" s="1">
        <f>'2022'!A115</f>
        <v>22114</v>
      </c>
      <c r="G562" s="33">
        <f>'2022'!C115</f>
        <v>44805</v>
      </c>
      <c r="H562" s="34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7"/>
      <c r="B563" s="30"/>
      <c r="C563" s="27" t="s">
        <v>507</v>
      </c>
      <c r="D563" s="1" t="str">
        <f>'2022'!B116</f>
        <v>Henrik</v>
      </c>
      <c r="F563" s="1">
        <f>'2022'!A116</f>
        <v>22115</v>
      </c>
      <c r="G563" s="33">
        <f>'2022'!C116</f>
        <v>44703</v>
      </c>
      <c r="H563" s="34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7"/>
      <c r="B564" s="30"/>
      <c r="C564" s="27" t="s">
        <v>507</v>
      </c>
      <c r="D564" s="1" t="str">
        <f>'2022'!B117</f>
        <v>Henrik</v>
      </c>
      <c r="F564" s="1">
        <f>'2022'!A117</f>
        <v>22116</v>
      </c>
      <c r="G564" s="33">
        <f>'2022'!C117</f>
        <v>44854</v>
      </c>
      <c r="H564" s="34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7"/>
      <c r="B565" s="30"/>
      <c r="C565" s="27" t="s">
        <v>590</v>
      </c>
      <c r="D565" s="1" t="str">
        <f>'2022'!B118</f>
        <v>Christoffer Riis Svendsen</v>
      </c>
      <c r="F565" s="1">
        <f>'2022'!A118</f>
        <v>22117</v>
      </c>
      <c r="G565" s="33">
        <f>'2022'!C118</f>
        <v>44679</v>
      </c>
      <c r="H565" s="34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7"/>
      <c r="B566" s="30"/>
      <c r="C566" s="27" t="s">
        <v>353</v>
      </c>
      <c r="D566" s="1" t="str">
        <f>'2022'!B119</f>
        <v>Poul Jørgensen</v>
      </c>
      <c r="F566" s="1">
        <f>'2022'!A119</f>
        <v>22118</v>
      </c>
      <c r="G566" s="33">
        <f>'2022'!C119</f>
        <v>44674</v>
      </c>
      <c r="H566" s="34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7"/>
      <c r="B567" s="30"/>
      <c r="C567" s="27" t="s">
        <v>125</v>
      </c>
      <c r="D567" s="1" t="str">
        <f>'2022'!B120</f>
        <v>Rigmor Hansen</v>
      </c>
      <c r="F567" s="1">
        <f>'2022'!A120</f>
        <v>22119</v>
      </c>
      <c r="G567" s="33">
        <f>'2022'!C120</f>
        <v>44710</v>
      </c>
      <c r="H567" s="34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7"/>
      <c r="B568" s="30"/>
      <c r="C568" s="27" t="s">
        <v>636</v>
      </c>
      <c r="D568" s="1" t="str">
        <f>'2022'!B121</f>
        <v>Rudiger Düsing</v>
      </c>
      <c r="F568" s="1">
        <f>'2022'!A121</f>
        <v>22120</v>
      </c>
      <c r="G568" s="33">
        <f>'2022'!C121</f>
        <v>44696</v>
      </c>
      <c r="H568" s="34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7"/>
      <c r="B569" s="30"/>
      <c r="C569" s="27" t="s">
        <v>638</v>
      </c>
      <c r="D569" s="1" t="str">
        <f>'2022'!B122</f>
        <v>Rasmus Skou Nano</v>
      </c>
      <c r="F569" s="1">
        <f>'2022'!A122</f>
        <v>22121</v>
      </c>
      <c r="G569" s="33">
        <f>'2022'!C122</f>
        <v>44682</v>
      </c>
      <c r="H569" s="34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7"/>
      <c r="B570" s="30"/>
      <c r="C570" s="27" t="s">
        <v>640</v>
      </c>
      <c r="D570" s="1" t="str">
        <f>'2022'!B123</f>
        <v>Tina lau</v>
      </c>
      <c r="F570" s="1">
        <f>'2022'!A123</f>
        <v>22122</v>
      </c>
      <c r="G570" s="33">
        <f>'2022'!C123</f>
        <v>44694</v>
      </c>
      <c r="H570" s="34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7"/>
      <c r="B571" s="30"/>
      <c r="C571" s="27" t="s">
        <v>296</v>
      </c>
      <c r="D571" s="1" t="str">
        <f>'2022'!B124</f>
        <v>Hans Anton Olsen</v>
      </c>
      <c r="F571" s="1">
        <f>'2022'!A124</f>
        <v>22123</v>
      </c>
      <c r="G571" s="33">
        <f>'2022'!C124</f>
        <v>44795</v>
      </c>
      <c r="H571" s="34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7"/>
      <c r="B572" s="30"/>
      <c r="C572" s="27" t="s">
        <v>643</v>
      </c>
      <c r="D572" s="1" t="str">
        <f>'2022'!B125</f>
        <v>Michael Ksieniewicz</v>
      </c>
      <c r="F572" s="1">
        <f>'2022'!A125</f>
        <v>22124</v>
      </c>
      <c r="G572" s="33">
        <f>'2022'!C125</f>
        <v>44809</v>
      </c>
      <c r="H572" s="34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7"/>
      <c r="B573" s="30"/>
      <c r="C573" s="27" t="s">
        <v>645</v>
      </c>
      <c r="D573" s="1" t="str">
        <f>'2022'!B126</f>
        <v>Joel Holmen</v>
      </c>
      <c r="F573" s="1">
        <f>'2022'!A126</f>
        <v>22125</v>
      </c>
      <c r="G573" s="33">
        <f>'2022'!C126</f>
        <v>44700</v>
      </c>
      <c r="H573" s="34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7"/>
      <c r="B574" s="30"/>
      <c r="C574" s="27" t="s">
        <v>647</v>
      </c>
      <c r="D574" s="1" t="str">
        <f>'2022'!B127</f>
        <v>Tina &amp; Kristian Grovermann</v>
      </c>
      <c r="F574" s="1">
        <f>'2022'!A127</f>
        <v>22126</v>
      </c>
      <c r="G574" s="33">
        <f>'2022'!C127</f>
        <v>44757</v>
      </c>
      <c r="H574" s="34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7"/>
      <c r="B575" s="30"/>
      <c r="C575" s="27" t="s">
        <v>649</v>
      </c>
      <c r="D575" s="1" t="str">
        <f>'2022'!B128</f>
        <v>Birgitte Gøtske</v>
      </c>
      <c r="F575" s="1">
        <f>'2022'!A128</f>
        <v>22127</v>
      </c>
      <c r="G575" s="33">
        <f>'2022'!C128</f>
        <v>44701</v>
      </c>
      <c r="H575" s="34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7"/>
      <c r="B576" s="30"/>
      <c r="C576" s="27" t="s">
        <v>296</v>
      </c>
      <c r="D576" s="1" t="str">
        <f>'2022'!B129</f>
        <v>Thomas Olsen</v>
      </c>
      <c r="F576" s="1">
        <f>'2022'!A129</f>
        <v>22128</v>
      </c>
      <c r="G576" s="33">
        <f>'2022'!C129</f>
        <v>44693</v>
      </c>
      <c r="H576" s="34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7"/>
      <c r="B577" s="30"/>
      <c r="C577" s="27" t="s">
        <v>238</v>
      </c>
      <c r="D577" s="1" t="str">
        <f>'2022'!B130</f>
        <v>Peter Juliussen</v>
      </c>
      <c r="F577" s="1">
        <f>'2022'!A130</f>
        <v>22129</v>
      </c>
      <c r="G577" s="33">
        <f>'2022'!C130</f>
        <v>44780</v>
      </c>
      <c r="H577" s="34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7"/>
      <c r="B578" s="30"/>
      <c r="C578" s="27" t="s">
        <v>653</v>
      </c>
      <c r="D578" s="1" t="str">
        <f>'2022'!B131</f>
        <v>NANO Rasmus</v>
      </c>
      <c r="F578" s="1">
        <f>'2022'!A131</f>
        <v>22130</v>
      </c>
      <c r="G578" s="33">
        <f>'2022'!C131</f>
        <v>44733</v>
      </c>
      <c r="H578" s="34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7"/>
      <c r="B579" s="30"/>
      <c r="C579" s="27" t="s">
        <v>71</v>
      </c>
      <c r="D579" s="1" t="str">
        <f>'2022'!B132</f>
        <v>Heidi Schubert</v>
      </c>
      <c r="F579" s="1">
        <f>'2022'!A132</f>
        <v>22131</v>
      </c>
      <c r="G579" s="33">
        <f>'2022'!C132</f>
        <v>44782</v>
      </c>
      <c r="H579" s="34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7"/>
      <c r="B580" s="30"/>
      <c r="C580" s="27" t="s">
        <v>656</v>
      </c>
      <c r="D580" s="1" t="str">
        <f>'2022'!B133</f>
        <v>Jonas Miller</v>
      </c>
      <c r="F580" s="1">
        <f>'2022'!A133</f>
        <v>22132</v>
      </c>
      <c r="G580" s="33">
        <f>'2022'!C133</f>
        <v>44733</v>
      </c>
      <c r="H580" s="34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7"/>
      <c r="B581" s="30"/>
      <c r="C581" s="27" t="s">
        <v>658</v>
      </c>
      <c r="D581" s="1" t="str">
        <f>'2022'!B134</f>
        <v>Anja Kaufmann</v>
      </c>
      <c r="F581" s="1">
        <f>'2022'!A134</f>
        <v>22133</v>
      </c>
      <c r="G581" s="33">
        <f>'2022'!C134</f>
        <v>44802</v>
      </c>
      <c r="H581" s="34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7"/>
      <c r="B582" s="30"/>
      <c r="C582" s="27" t="s">
        <v>660</v>
      </c>
      <c r="D582" s="1" t="str">
        <f>'2022'!B135</f>
        <v>Elsebet Tjalve</v>
      </c>
      <c r="F582" s="1">
        <f>'2022'!A135</f>
        <v>22134</v>
      </c>
      <c r="G582" s="33">
        <f>'2022'!C135</f>
        <v>44823</v>
      </c>
      <c r="H582" s="34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7"/>
      <c r="B583" s="30"/>
      <c r="C583" s="27" t="s">
        <v>662</v>
      </c>
      <c r="D583" s="1" t="str">
        <f>'2022'!B136</f>
        <v>Lisbeth Stuart</v>
      </c>
      <c r="F583" s="1">
        <f>'2022'!A136</f>
        <v>22135</v>
      </c>
      <c r="G583" s="33">
        <f>'2022'!C136</f>
        <v>44786</v>
      </c>
      <c r="H583" s="34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7"/>
      <c r="B584" s="30"/>
      <c r="C584" s="27" t="s">
        <v>664</v>
      </c>
      <c r="D584" s="1" t="str">
        <f>'2022'!B137</f>
        <v>Lene Uhd</v>
      </c>
      <c r="F584" s="1">
        <f>'2022'!A137</f>
        <v>22136</v>
      </c>
      <c r="G584" s="33">
        <f>'2022'!C137</f>
        <v>44812</v>
      </c>
      <c r="H584" s="34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7"/>
      <c r="B585" s="30"/>
      <c r="C585" s="27" t="s">
        <v>666</v>
      </c>
      <c r="D585" s="1" t="str">
        <f>'2022'!B138</f>
        <v>Jørgen Thiesen</v>
      </c>
      <c r="F585" s="1">
        <f>'2022'!A138</f>
        <v>22137</v>
      </c>
      <c r="G585" s="33">
        <f>'2022'!C138</f>
        <v>44816</v>
      </c>
      <c r="H585" s="34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7"/>
      <c r="B586" s="30"/>
      <c r="C586" s="27" t="s">
        <v>27</v>
      </c>
      <c r="D586" s="1" t="str">
        <f>'2022'!B139</f>
        <v>Jørn Møller</v>
      </c>
      <c r="F586" s="1">
        <f>'2022'!A139</f>
        <v>22138</v>
      </c>
      <c r="G586" s="33">
        <f>'2022'!C139</f>
        <v>44815</v>
      </c>
      <c r="H586" s="34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7"/>
      <c r="B587" s="30"/>
      <c r="C587" s="27" t="s">
        <v>669</v>
      </c>
      <c r="D587" s="1" t="str">
        <f>'2022'!B140</f>
        <v>Jens og Mary ….</v>
      </c>
      <c r="F587" s="1">
        <f>'2022'!A140</f>
        <v>22139</v>
      </c>
      <c r="G587" s="33">
        <f>'2022'!C140</f>
        <v>44784</v>
      </c>
      <c r="H587" s="34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7"/>
      <c r="B588" s="30"/>
      <c r="C588" s="27" t="s">
        <v>416</v>
      </c>
      <c r="D588" s="1" t="str">
        <f>'2022'!B141</f>
        <v>Klaus Kaae Ruth Christensen</v>
      </c>
      <c r="F588" s="1">
        <f>'2022'!A141</f>
        <v>22140</v>
      </c>
      <c r="G588" s="33">
        <f>'2022'!C141</f>
        <v>44829</v>
      </c>
      <c r="H588" s="34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7"/>
      <c r="B589" s="30"/>
      <c r="C589" s="27" t="s">
        <v>672</v>
      </c>
      <c r="D589" s="1" t="str">
        <f>'2022'!B142</f>
        <v>Marie Louise Sigtenborg</v>
      </c>
      <c r="F589" s="1">
        <f>'2022'!A142</f>
        <v>22141</v>
      </c>
      <c r="G589" s="33">
        <f>'2022'!C142</f>
        <v>44816</v>
      </c>
      <c r="H589" s="34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7"/>
      <c r="B590" s="30"/>
      <c r="C590" s="27" t="s">
        <v>674</v>
      </c>
      <c r="D590" s="1" t="str">
        <f>'2022'!B143</f>
        <v>Greve Lisbet</v>
      </c>
      <c r="F590" s="1">
        <f>'2022'!A143</f>
        <v>22142</v>
      </c>
      <c r="G590" s="33">
        <f>'2022'!C143</f>
        <v>44801</v>
      </c>
      <c r="H590" s="34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7"/>
      <c r="B591" s="30"/>
      <c r="C591" s="27" t="s">
        <v>676</v>
      </c>
      <c r="D591" s="1" t="str">
        <f>'2022'!B144</f>
        <v>Ove Splittotff</v>
      </c>
      <c r="F591" s="1">
        <f>'2022'!A144</f>
        <v>22143</v>
      </c>
      <c r="G591" s="33">
        <f>'2022'!C144</f>
        <v>44813</v>
      </c>
      <c r="H591" s="34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7"/>
      <c r="B592" s="30"/>
      <c r="C592" s="27" t="s">
        <v>678</v>
      </c>
      <c r="D592" s="1" t="str">
        <f>'2022'!B145</f>
        <v>Jeanette Oredsson</v>
      </c>
      <c r="F592" s="1">
        <f>'2022'!A145</f>
        <v>22144</v>
      </c>
      <c r="G592" s="33">
        <f>'2022'!C145</f>
        <v>44786</v>
      </c>
      <c r="H592" s="34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7"/>
      <c r="B593" s="30"/>
      <c r="C593" s="27" t="s">
        <v>680</v>
      </c>
      <c r="D593" s="1" t="str">
        <f>'2022'!B146</f>
        <v>Karl-Heinz Book</v>
      </c>
      <c r="F593" s="1">
        <f>'2022'!A146</f>
        <v>22145</v>
      </c>
      <c r="G593" s="33">
        <f>'2022'!C146</f>
        <v>44800</v>
      </c>
      <c r="H593" s="34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7"/>
      <c r="B594" s="30"/>
      <c r="C594" s="27" t="s">
        <v>682</v>
      </c>
      <c r="D594" s="1" t="str">
        <f>'2022'!B147</f>
        <v>Anett Klopsch</v>
      </c>
      <c r="F594" s="1">
        <f>'2022'!A147</f>
        <v>22146</v>
      </c>
      <c r="G594" s="33">
        <f>'2022'!C147</f>
        <v>44821</v>
      </c>
      <c r="H594" s="34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7"/>
      <c r="B595" s="30"/>
      <c r="C595" s="27" t="s">
        <v>1467</v>
      </c>
      <c r="D595" s="1" t="str">
        <f>'2022'!B149</f>
        <v>Sune Burhkal</v>
      </c>
      <c r="F595" s="1">
        <f>'2022'!A149</f>
        <v>22148</v>
      </c>
      <c r="G595" s="33">
        <f>'2022'!C149</f>
        <v>44791</v>
      </c>
      <c r="H595" s="34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7"/>
      <c r="B596" s="30"/>
      <c r="C596" s="27" t="s">
        <v>1104</v>
      </c>
      <c r="D596" s="1" t="str">
        <f>'2022'!B150</f>
        <v>Lene Bysted</v>
      </c>
      <c r="F596" s="1">
        <f>'2022'!A150</f>
        <v>22149</v>
      </c>
      <c r="G596" s="33">
        <f>'2022'!C150</f>
        <v>44787</v>
      </c>
      <c r="H596" s="34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7"/>
      <c r="B597" s="30"/>
      <c r="C597" s="27" t="s">
        <v>1468</v>
      </c>
      <c r="D597" s="1" t="str">
        <f>'2022'!B151</f>
        <v>Wilfred Andreas</v>
      </c>
      <c r="F597" s="1">
        <f>'2022'!A151</f>
        <v>22150</v>
      </c>
      <c r="G597" s="33">
        <f>'2022'!C151</f>
        <v>44819</v>
      </c>
      <c r="H597" s="34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7"/>
      <c r="B598" s="30"/>
      <c r="C598" s="27" t="s">
        <v>125</v>
      </c>
      <c r="D598" s="1" t="str">
        <f>'2022'!B152</f>
        <v>erling Hansen</v>
      </c>
      <c r="F598" s="1">
        <f>'2022'!A152</f>
        <v>22151</v>
      </c>
      <c r="G598" s="33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7"/>
      <c r="B599" s="30"/>
      <c r="C599" s="27" t="s">
        <v>826</v>
      </c>
      <c r="D599" s="1" t="str">
        <f>'2022'!B153</f>
        <v>Tina Kisbye</v>
      </c>
      <c r="F599" s="1">
        <f>'2022'!A153</f>
        <v>22152</v>
      </c>
      <c r="G599" s="33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7"/>
      <c r="B600" s="30"/>
      <c r="C600" s="27" t="s">
        <v>1469</v>
      </c>
      <c r="D600" s="1" t="str">
        <f>'2022'!B154</f>
        <v>Mary-Ann Gramstrup</v>
      </c>
      <c r="F600" s="1">
        <f>'2022'!A154</f>
        <v>22153</v>
      </c>
      <c r="G600" s="33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7"/>
      <c r="B601" s="30"/>
      <c r="C601" s="27" t="s">
        <v>25</v>
      </c>
      <c r="D601" s="1" t="str">
        <f>'2022'!B155</f>
        <v>Anne Hastrup Poulsen</v>
      </c>
      <c r="F601" s="1">
        <f>'2022'!A155</f>
        <v>22154</v>
      </c>
      <c r="G601" s="33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7"/>
      <c r="B602" s="30"/>
      <c r="C602" s="27" t="s">
        <v>699</v>
      </c>
      <c r="D602" s="1" t="str">
        <f>'2022'!B156</f>
        <v>Chung</v>
      </c>
      <c r="F602" s="1">
        <f>'2022'!A156</f>
        <v>22155</v>
      </c>
      <c r="G602" s="33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7"/>
      <c r="B603" s="30"/>
      <c r="C603" s="27" t="s">
        <v>125</v>
      </c>
      <c r="D603" s="1" t="str">
        <f>'2022'!B157</f>
        <v>Helle Frimand Hansen</v>
      </c>
      <c r="F603" s="1">
        <f>'2022'!A157</f>
        <v>22156</v>
      </c>
      <c r="G603" s="33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7"/>
      <c r="B604" s="30"/>
      <c r="C604" s="27" t="s">
        <v>1470</v>
      </c>
      <c r="D604" s="1" t="str">
        <f>'2022'!B158</f>
        <v>Poul Vandenbril</v>
      </c>
      <c r="F604" s="1">
        <f>'2022'!A158</f>
        <v>22157</v>
      </c>
      <c r="G604" s="33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7"/>
      <c r="B605" s="30"/>
      <c r="C605" s="27" t="s">
        <v>1471</v>
      </c>
      <c r="D605" s="1" t="str">
        <f>'2022'!B159</f>
        <v>Anette Arleth</v>
      </c>
      <c r="F605" s="1">
        <f>'2022'!A159</f>
        <v>22158</v>
      </c>
      <c r="G605" s="33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6" t="s">
        <v>1441</v>
      </c>
      <c r="B606" s="30">
        <v>705441773</v>
      </c>
      <c r="C606" s="27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3">
        <f>'2023'!C2</f>
        <v>45166</v>
      </c>
      <c r="H606" s="34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7"/>
      <c r="B607" s="30">
        <v>40956376</v>
      </c>
      <c r="C607" s="27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3">
        <f>'2023'!C3</f>
        <v>45152</v>
      </c>
      <c r="H607" s="34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6" t="s">
        <v>710</v>
      </c>
      <c r="B608" s="30">
        <v>25145967</v>
      </c>
      <c r="C608" s="27" t="s">
        <v>711</v>
      </c>
      <c r="D608" s="1" t="str">
        <f>'2023'!B4</f>
        <v xml:space="preserve"> Hanne  Wagenblast</v>
      </c>
      <c r="F608" s="1">
        <f>'2023'!A4</f>
        <v>23003</v>
      </c>
      <c r="G608" s="33">
        <f>'2023'!C4</f>
        <v>45110</v>
      </c>
      <c r="H608" s="34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6" t="s">
        <v>714</v>
      </c>
      <c r="B609" s="30">
        <v>24617258</v>
      </c>
      <c r="C609" s="27" t="s">
        <v>529</v>
      </c>
      <c r="D609" s="1" t="str">
        <f>'2023'!B5</f>
        <v>Gitte Bernhard</v>
      </c>
      <c r="F609" s="1">
        <f>'2023'!A5</f>
        <v>23004</v>
      </c>
      <c r="G609" s="33">
        <f>'2023'!C5</f>
        <v>45138</v>
      </c>
      <c r="H609" s="34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7"/>
      <c r="B610" s="30">
        <v>24669843</v>
      </c>
      <c r="C610" s="27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3">
        <f>'2023'!C6</f>
        <v>45089</v>
      </c>
      <c r="H610" s="34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6" t="s">
        <v>6</v>
      </c>
      <c r="B611" s="30"/>
      <c r="C611" s="27" t="s">
        <v>7</v>
      </c>
      <c r="D611" s="1" t="str">
        <f>'2023'!B7</f>
        <v>Henrik Sørensen</v>
      </c>
      <c r="F611" s="1">
        <f>'2023'!A7</f>
        <v>23006</v>
      </c>
      <c r="G611" s="33">
        <f>'2023'!C7</f>
        <v>45019</v>
      </c>
      <c r="H611" s="34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6" t="s">
        <v>6</v>
      </c>
      <c r="B612" s="30"/>
      <c r="C612" s="27" t="s">
        <v>1290</v>
      </c>
      <c r="D612" s="1" t="str">
        <f>'2023'!B8</f>
        <v>Henrik Sørensen</v>
      </c>
      <c r="F612" s="1">
        <f>'2023'!A8</f>
        <v>23007</v>
      </c>
      <c r="G612" s="33">
        <f>'2023'!C8</f>
        <v>45061</v>
      </c>
      <c r="H612" s="34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6" t="s">
        <v>717</v>
      </c>
      <c r="B613" s="30">
        <v>51525122</v>
      </c>
      <c r="C613" s="27" t="s">
        <v>718</v>
      </c>
      <c r="D613" s="1" t="str">
        <f>'2023'!B9</f>
        <v>Julie Olsson</v>
      </c>
      <c r="F613" s="1">
        <f>'2023'!A9</f>
        <v>23008</v>
      </c>
      <c r="G613" s="33">
        <f>'2023'!C9</f>
        <v>45154</v>
      </c>
      <c r="H613" s="34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7"/>
      <c r="B614" s="30">
        <v>20322398</v>
      </c>
      <c r="C614" s="27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3">
        <f>'2023'!C10</f>
        <v>45060</v>
      </c>
      <c r="H614" s="34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6" t="s">
        <v>721</v>
      </c>
      <c r="B615" s="30">
        <v>25456388</v>
      </c>
      <c r="C615" s="27" t="s">
        <v>722</v>
      </c>
      <c r="D615" s="1" t="str">
        <f>'2023'!B11</f>
        <v>Daniel Nolan</v>
      </c>
      <c r="F615" s="1">
        <f>'2023'!A11</f>
        <v>23010</v>
      </c>
      <c r="G615" s="33">
        <f>'2023'!C11</f>
        <v>45153</v>
      </c>
      <c r="H615" s="34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7"/>
      <c r="B616" s="30"/>
      <c r="C616" s="27" t="s">
        <v>134</v>
      </c>
      <c r="D616" s="1" t="str">
        <f>'2023'!B12</f>
        <v>Niels Kristensen</v>
      </c>
      <c r="F616" s="1">
        <f>'2023'!A12</f>
        <v>23011</v>
      </c>
      <c r="G616" s="33">
        <f>'2023'!C12</f>
        <v>45079</v>
      </c>
      <c r="H616" s="34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6" t="s">
        <v>14</v>
      </c>
      <c r="B617" s="30">
        <v>31909358</v>
      </c>
      <c r="C617" s="27" t="s">
        <v>15</v>
      </c>
      <c r="D617" s="1" t="str">
        <f>'2023'!B13</f>
        <v>Dorte Strøm</v>
      </c>
      <c r="F617" s="1">
        <f>'2023'!A13</f>
        <v>23012</v>
      </c>
      <c r="G617" s="33">
        <f>'2023'!C13</f>
        <v>45020</v>
      </c>
      <c r="H617" s="34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6" t="s">
        <v>724</v>
      </c>
      <c r="B618" s="30">
        <v>29424380</v>
      </c>
      <c r="C618" s="27" t="s">
        <v>576</v>
      </c>
      <c r="D618" s="1" t="str">
        <f>'2023'!B14</f>
        <v>Carsten Mejer</v>
      </c>
      <c r="F618" s="1">
        <f>'2023'!A14</f>
        <v>23013</v>
      </c>
      <c r="G618" s="33">
        <f>'2023'!C14</f>
        <v>45159</v>
      </c>
      <c r="H618" s="34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7"/>
      <c r="B619" s="30">
        <v>20646004</v>
      </c>
      <c r="C619" s="27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3">
        <f>'2023'!C15</f>
        <v>45090</v>
      </c>
      <c r="H619" s="34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7"/>
      <c r="B620" s="30">
        <v>91191885</v>
      </c>
      <c r="C620" s="27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3">
        <f>'2023'!C16</f>
        <v>45090</v>
      </c>
      <c r="H620" s="34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6" t="s">
        <v>6</v>
      </c>
      <c r="B621" s="30"/>
      <c r="C621" s="27" t="s">
        <v>7</v>
      </c>
      <c r="D621" s="1" t="str">
        <f>'2023'!B17</f>
        <v>Henrik Sørensen</v>
      </c>
      <c r="F621" s="1">
        <f>'2023'!A17</f>
        <v>23016</v>
      </c>
      <c r="G621" s="33">
        <f>'2023'!C17</f>
        <v>45123</v>
      </c>
      <c r="H621" s="34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6" t="s">
        <v>6</v>
      </c>
      <c r="B622" s="30"/>
      <c r="C622" s="27" t="s">
        <v>729</v>
      </c>
      <c r="D622" s="1" t="s">
        <v>1473</v>
      </c>
      <c r="F622" s="1">
        <f>'2023'!A18</f>
        <v>23017</v>
      </c>
      <c r="G622" s="33">
        <f>'2023'!C18</f>
        <v>45123</v>
      </c>
      <c r="H622" s="34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7"/>
      <c r="B623" s="30">
        <v>1713133697</v>
      </c>
      <c r="C623" s="27" t="s">
        <v>731</v>
      </c>
      <c r="D623" s="1" t="str">
        <f>'2023'!B19</f>
        <v>Yvonne Delakowwitz</v>
      </c>
      <c r="F623" s="1">
        <f>'2023'!A19</f>
        <v>23018</v>
      </c>
      <c r="G623" s="33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7"/>
      <c r="B624" s="30"/>
      <c r="C624" s="27" t="s">
        <v>479</v>
      </c>
      <c r="D624" s="1" t="str">
        <f>'2023'!B20</f>
        <v>Preben</v>
      </c>
      <c r="F624" s="1">
        <f>'2023'!A20</f>
        <v>23019</v>
      </c>
      <c r="G624" s="33">
        <f>'2023'!C20</f>
        <v>45152</v>
      </c>
      <c r="H624" s="34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6" t="s">
        <v>733</v>
      </c>
      <c r="B625" s="30"/>
      <c r="C625" s="27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3">
        <f>'2023'!C21</f>
        <v>45064</v>
      </c>
      <c r="H625" s="34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7"/>
      <c r="B626" s="30"/>
      <c r="C626" s="27" t="s">
        <v>711</v>
      </c>
      <c r="D626" s="1" t="str">
        <f>'2023'!B22</f>
        <v>Dorrit Wagenblast</v>
      </c>
      <c r="F626" s="1">
        <f>'2023'!A22</f>
        <v>23021</v>
      </c>
      <c r="G626" s="33">
        <f>'2023'!C22</f>
        <v>45110</v>
      </c>
      <c r="H626" s="34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7"/>
      <c r="B627" s="30">
        <v>22701312</v>
      </c>
      <c r="C627" s="27" t="s">
        <v>379</v>
      </c>
      <c r="D627" s="1" t="str">
        <f>'2023'!B23</f>
        <v>Erik Petersen</v>
      </c>
      <c r="F627" s="1">
        <f>'2023'!A23</f>
        <v>23022</v>
      </c>
      <c r="G627" s="33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7"/>
      <c r="B628" s="30"/>
      <c r="C628" s="27" t="s">
        <v>738</v>
      </c>
      <c r="D628" s="1" t="str">
        <f>'2023'!B24</f>
        <v>Birgitte Landskron</v>
      </c>
      <c r="F628" s="1">
        <f>'2023'!A24</f>
        <v>23023</v>
      </c>
      <c r="G628" s="33">
        <f>'2023'!C24</f>
        <v>45127</v>
      </c>
      <c r="H628" s="34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7"/>
      <c r="B629" s="30">
        <v>3855507802</v>
      </c>
      <c r="C629" s="27" t="s">
        <v>740</v>
      </c>
      <c r="D629" s="1" t="str">
        <f>'2023'!B25</f>
        <v>Reinhard Musialczyk</v>
      </c>
      <c r="F629" s="1">
        <f>'2023'!A25</f>
        <v>23024</v>
      </c>
      <c r="G629" s="33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7"/>
      <c r="B630" s="30"/>
      <c r="C630" s="27" t="s">
        <v>742</v>
      </c>
      <c r="D630" s="1" t="str">
        <f>'2023'!B26</f>
        <v>Alfred Albers</v>
      </c>
      <c r="F630" s="1">
        <f>'2023'!A26</f>
        <v>23025</v>
      </c>
      <c r="G630" s="33">
        <f>'2023'!C26</f>
        <v>45158</v>
      </c>
      <c r="H630" s="34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6" t="s">
        <v>744</v>
      </c>
      <c r="B631" s="30">
        <v>705125490</v>
      </c>
      <c r="C631" s="27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3">
        <f>'2023'!C27</f>
        <v>45105</v>
      </c>
      <c r="H631" s="34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7"/>
      <c r="B632" s="30">
        <v>29938241</v>
      </c>
      <c r="C632" s="27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3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7"/>
      <c r="B633" s="30">
        <v>727327160</v>
      </c>
      <c r="C633" s="27" t="s">
        <v>748</v>
      </c>
      <c r="D633" s="1" t="str">
        <f>'2023'!B29</f>
        <v>Johan Moden</v>
      </c>
      <c r="F633" s="1">
        <f>'2023'!A29</f>
        <v>23028</v>
      </c>
      <c r="G633" s="33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7"/>
      <c r="B634" s="30">
        <v>15777298948</v>
      </c>
      <c r="C634" s="27" t="s">
        <v>750</v>
      </c>
      <c r="D634" s="1" t="str">
        <f>'2023'!B30</f>
        <v>Susanne Hourmouzis-Gorecki</v>
      </c>
      <c r="F634" s="1">
        <f>'2023'!A30</f>
        <v>23029</v>
      </c>
      <c r="G634" s="33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7"/>
      <c r="B635" s="30">
        <v>40474386</v>
      </c>
      <c r="C635" s="27" t="s">
        <v>752</v>
      </c>
      <c r="D635" s="1" t="str">
        <f>'2023'!B31</f>
        <v>Mikael Holst</v>
      </c>
      <c r="F635" s="1">
        <f>'2023'!A31</f>
        <v>23030</v>
      </c>
      <c r="G635" s="33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7"/>
      <c r="B636" s="30">
        <v>28113094</v>
      </c>
      <c r="C636" s="27" t="s">
        <v>754</v>
      </c>
      <c r="D636" s="1" t="str">
        <f>'2023'!B32</f>
        <v>Søren Fauerskov</v>
      </c>
      <c r="F636" s="1">
        <f>'2023'!A32</f>
        <v>23031</v>
      </c>
      <c r="G636" s="33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7"/>
      <c r="B637" s="30"/>
      <c r="C637" s="27" t="s">
        <v>7</v>
      </c>
      <c r="D637" s="1" t="str">
        <f>'2023'!B33</f>
        <v>Pia Højgård Sørensen</v>
      </c>
      <c r="F637" s="1">
        <f>'2023'!A33</f>
        <v>23032</v>
      </c>
      <c r="G637" s="33">
        <f>'2023'!C33</f>
        <v>45145</v>
      </c>
      <c r="H637" s="34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7"/>
      <c r="B638" s="30">
        <v>31224513</v>
      </c>
      <c r="C638" s="27" t="s">
        <v>757</v>
      </c>
      <c r="D638" s="1" t="str">
        <f>'2023'!B34</f>
        <v>Eva Mosegaard</v>
      </c>
      <c r="F638" s="1">
        <f>'2023'!A34</f>
        <v>23033</v>
      </c>
      <c r="G638" s="33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7"/>
      <c r="B639" s="30">
        <v>61372628</v>
      </c>
      <c r="C639" s="27" t="s">
        <v>759</v>
      </c>
      <c r="D639" s="1" t="str">
        <f>'2023'!B35</f>
        <v>Jette Kirketero</v>
      </c>
      <c r="F639" s="1">
        <f>'2023'!A35</f>
        <v>23034</v>
      </c>
      <c r="G639" s="33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7"/>
      <c r="B640" s="30"/>
      <c r="C640" s="27" t="s">
        <v>761</v>
      </c>
      <c r="D640" s="1" t="str">
        <f>'2023'!B36</f>
        <v>Andreas Kraemer</v>
      </c>
      <c r="F640" s="1">
        <f>'2023'!A36</f>
        <v>23035</v>
      </c>
      <c r="G640" s="33">
        <f>'2023'!C36</f>
        <v>45124</v>
      </c>
      <c r="H640" s="34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7"/>
      <c r="B641" s="30"/>
      <c r="C641" s="27" t="s">
        <v>763</v>
      </c>
      <c r="D641" s="1" t="str">
        <f>'2023'!B37</f>
        <v>Kirstin Kaul</v>
      </c>
      <c r="F641" s="1">
        <f>'2023'!A37</f>
        <v>23036</v>
      </c>
      <c r="G641" s="33">
        <f>'2023'!C37</f>
        <v>45123</v>
      </c>
      <c r="H641" s="34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7"/>
      <c r="B642" s="30"/>
      <c r="C642" s="27" t="s">
        <v>765</v>
      </c>
      <c r="D642" s="1" t="str">
        <f>'2023'!B38</f>
        <v>Stefan Aronsson</v>
      </c>
      <c r="F642" s="1">
        <f>'2023'!A38</f>
        <v>23037</v>
      </c>
      <c r="G642" s="33">
        <f>'2023'!C38</f>
        <v>45100</v>
      </c>
      <c r="H642" s="34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7"/>
      <c r="B643" s="30"/>
      <c r="C643" s="27" t="s">
        <v>767</v>
      </c>
      <c r="D643" s="1" t="str">
        <f>'2023'!B39</f>
        <v>Mette Palbo</v>
      </c>
      <c r="F643" s="1">
        <f>'2023'!A39</f>
        <v>23038</v>
      </c>
      <c r="G643" s="33">
        <f>'2023'!C39</f>
        <v>45066</v>
      </c>
      <c r="H643" s="34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7"/>
      <c r="B644" s="30">
        <v>704353898</v>
      </c>
      <c r="C644" s="27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3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7"/>
      <c r="B645" s="30">
        <v>17620296529</v>
      </c>
      <c r="C645" s="27" t="s">
        <v>772</v>
      </c>
      <c r="D645" s="1" t="str">
        <f>'2023'!B41</f>
        <v>Marion Morgenstern</v>
      </c>
      <c r="F645" s="1">
        <f>'2023'!A41</f>
        <v>23040</v>
      </c>
      <c r="G645" s="33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7"/>
      <c r="B646" s="30">
        <v>1708113782</v>
      </c>
      <c r="C646" s="27" t="s">
        <v>774</v>
      </c>
      <c r="D646" s="1" t="str">
        <f>'2023'!B42</f>
        <v>Tobias Steber</v>
      </c>
      <c r="F646" s="1">
        <f>'2023'!A42</f>
        <v>23041</v>
      </c>
      <c r="G646" s="33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7"/>
      <c r="B647" s="30"/>
      <c r="C647" s="27" t="s">
        <v>776</v>
      </c>
      <c r="D647" s="1" t="str">
        <f>'2023'!B43</f>
        <v>louise sternbæk</v>
      </c>
      <c r="F647" s="1">
        <f>'2023'!A43</f>
        <v>23042</v>
      </c>
      <c r="G647" s="33">
        <f>'2023'!C43</f>
        <v>45058</v>
      </c>
      <c r="H647" s="34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7"/>
      <c r="B648" s="30">
        <v>708142032</v>
      </c>
      <c r="C648" s="27" t="s">
        <v>778</v>
      </c>
      <c r="D648" s="1" t="str">
        <f>'2023'!B44</f>
        <v>Chritina Andersen Skog</v>
      </c>
      <c r="F648" s="1">
        <f>'2023'!A44</f>
        <v>23043</v>
      </c>
      <c r="G648" s="33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7"/>
      <c r="B649" s="30">
        <v>48046793</v>
      </c>
      <c r="C649" s="27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3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6" t="s">
        <v>783</v>
      </c>
      <c r="B650" s="30">
        <v>26213304</v>
      </c>
      <c r="C650" s="27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3">
        <f>'2023'!C46</f>
        <v>45066</v>
      </c>
      <c r="H650" s="34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6" t="s">
        <v>786</v>
      </c>
      <c r="B651" s="30">
        <v>30936857</v>
      </c>
      <c r="C651" s="27" t="s">
        <v>128</v>
      </c>
      <c r="D651" s="1" t="str">
        <f>'2023'!B47</f>
        <v>Trine Baun</v>
      </c>
      <c r="F651" s="1">
        <f>'2023'!A47</f>
        <v>23046</v>
      </c>
      <c r="G651" s="33">
        <f>'2023'!C47</f>
        <v>45154</v>
      </c>
      <c r="H651" s="34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7"/>
      <c r="B652" s="30">
        <v>738253697</v>
      </c>
      <c r="C652" s="27" t="s">
        <v>787</v>
      </c>
      <c r="D652" s="1" t="str">
        <f>'2023'!B48</f>
        <v>Inga Hofmann</v>
      </c>
      <c r="F652" s="1">
        <f>'2023'!A48</f>
        <v>23047</v>
      </c>
      <c r="G652" s="33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7"/>
      <c r="B653" s="30"/>
      <c r="C653" s="27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3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7"/>
      <c r="B654" s="30"/>
      <c r="C654" s="27" t="s">
        <v>792</v>
      </c>
      <c r="D654" s="1" t="str">
        <f>'2023'!B50</f>
        <v>Heino Landt</v>
      </c>
      <c r="F654" s="1">
        <f>'2023'!A50</f>
        <v>23049</v>
      </c>
      <c r="G654" s="33">
        <f>'2023'!C50</f>
        <v>45104</v>
      </c>
      <c r="H654" s="34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6" t="s">
        <v>794</v>
      </c>
      <c r="B655" s="30">
        <v>27633224</v>
      </c>
      <c r="C655" s="27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3">
        <f>'2023'!C51</f>
        <v>45057</v>
      </c>
      <c r="H655" s="34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7"/>
      <c r="B656" s="30">
        <v>26251564</v>
      </c>
      <c r="C656" s="27" t="s">
        <v>797</v>
      </c>
      <c r="D656" s="1" t="str">
        <f>'2023'!B52</f>
        <v>Bjarne List Nissen</v>
      </c>
      <c r="F656" s="1">
        <f>'2023'!A52</f>
        <v>23051</v>
      </c>
      <c r="G656" s="33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7"/>
      <c r="B657" s="30"/>
      <c r="C657" s="27" t="s">
        <v>799</v>
      </c>
      <c r="D657" s="1" t="str">
        <f>'2023'!B53</f>
        <v>Sofie Bromert</v>
      </c>
      <c r="F657" s="1">
        <f>'2023'!A53</f>
        <v>23052</v>
      </c>
      <c r="G657" s="33">
        <f>'2023'!C53</f>
        <v>45117</v>
      </c>
      <c r="H657" s="34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7"/>
      <c r="B658" s="30"/>
      <c r="C658" s="27" t="s">
        <v>359</v>
      </c>
      <c r="D658" s="1" t="str">
        <f>'2023'!B54</f>
        <v>Jørn Sølvsten</v>
      </c>
      <c r="F658" s="1">
        <f>'2023'!A54</f>
        <v>23053</v>
      </c>
      <c r="G658" s="33">
        <f>'2023'!C54</f>
        <v>45096</v>
      </c>
      <c r="H658" s="34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6" t="s">
        <v>802</v>
      </c>
      <c r="B659" s="30">
        <v>41815282</v>
      </c>
      <c r="C659" s="27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3">
        <f>'2023'!C55</f>
        <v>45117</v>
      </c>
      <c r="H659" s="34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6" t="s">
        <v>49</v>
      </c>
      <c r="B660" s="30">
        <v>25582842</v>
      </c>
      <c r="C660" s="27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3">
        <f>'2023'!C56</f>
        <v>45130</v>
      </c>
      <c r="H660" s="34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7"/>
      <c r="B661" s="30">
        <v>15158140306</v>
      </c>
      <c r="C661" s="27" t="s">
        <v>806</v>
      </c>
      <c r="D661" s="1" t="str">
        <f>'2023'!B57</f>
        <v>Jürgen Betzold</v>
      </c>
      <c r="F661" s="1">
        <f>'2023'!A57</f>
        <v>23056</v>
      </c>
      <c r="G661" s="33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6" t="s">
        <v>808</v>
      </c>
      <c r="B662" s="30">
        <v>26819730</v>
      </c>
      <c r="C662" s="27" t="s">
        <v>288</v>
      </c>
      <c r="D662" s="1" t="str">
        <f>'2023'!B58</f>
        <v>Hanne Kaae Larsen</v>
      </c>
      <c r="F662" s="1">
        <f>'2023'!A58</f>
        <v>23057</v>
      </c>
      <c r="G662" s="33">
        <f>'2023'!C58</f>
        <v>45106</v>
      </c>
      <c r="H662" s="34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7"/>
      <c r="B663" s="30"/>
      <c r="C663" s="27" t="s">
        <v>810</v>
      </c>
      <c r="D663" s="1" t="str">
        <f>'2023'!B59</f>
        <v>Pär Sundell</v>
      </c>
      <c r="F663" s="1">
        <f>'2023'!A59</f>
        <v>23058</v>
      </c>
      <c r="G663" s="33">
        <f>'2023'!C59</f>
        <v>45077</v>
      </c>
      <c r="H663" s="34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7"/>
      <c r="B664" s="30"/>
      <c r="C664" s="27" t="s">
        <v>812</v>
      </c>
      <c r="D664" s="1" t="str">
        <f>'2023'!B60</f>
        <v>Petra Kosert</v>
      </c>
      <c r="F664" s="1">
        <f>'2023'!A60</f>
        <v>23059</v>
      </c>
      <c r="G664" s="33">
        <f>'2023'!C60</f>
        <v>45144</v>
      </c>
      <c r="H664" s="34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7"/>
      <c r="B665" s="30"/>
      <c r="C665" s="27" t="s">
        <v>814</v>
      </c>
      <c r="D665" s="1" t="str">
        <f>'2023'!B61</f>
        <v>Markos Merkouris</v>
      </c>
      <c r="F665" s="1">
        <f>'2023'!A61</f>
        <v>23060</v>
      </c>
      <c r="G665" s="33">
        <f>'2023'!C61</f>
        <v>45106</v>
      </c>
      <c r="H665" s="34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6" t="s">
        <v>816</v>
      </c>
      <c r="B666" s="30">
        <v>20660556</v>
      </c>
      <c r="C666" s="27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3">
        <f>'2023'!C62</f>
        <v>45151</v>
      </c>
      <c r="H666" s="34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7"/>
      <c r="B667" s="30"/>
      <c r="C667" s="27" t="s">
        <v>818</v>
      </c>
      <c r="D667" s="1" t="str">
        <f>'2023'!B63</f>
        <v>Martin Abbadie</v>
      </c>
      <c r="F667" s="1">
        <f>'2023'!A63</f>
        <v>23062</v>
      </c>
      <c r="G667" s="33">
        <f>'2023'!C63</f>
        <v>45175</v>
      </c>
      <c r="H667" s="34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7"/>
      <c r="B668" s="30"/>
      <c r="C668" s="27" t="s">
        <v>820</v>
      </c>
      <c r="D668" s="1" t="str">
        <f>'2023'!B64</f>
        <v>Gunner joergensen</v>
      </c>
      <c r="F668" s="1">
        <f>'2023'!A64</f>
        <v>23063</v>
      </c>
      <c r="G668" s="33">
        <f>'2023'!C64</f>
        <v>45089</v>
      </c>
      <c r="H668" s="34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7"/>
      <c r="B669" s="30">
        <v>26837292</v>
      </c>
      <c r="C669" s="27" t="s">
        <v>125</v>
      </c>
      <c r="D669" s="1" t="str">
        <f>'2023'!B65</f>
        <v>Frede Askov Hansen</v>
      </c>
      <c r="F669" s="1">
        <f>'2023'!A65</f>
        <v>23064</v>
      </c>
      <c r="G669" s="33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7"/>
      <c r="B670" s="30">
        <v>21631052</v>
      </c>
      <c r="C670" s="27" t="s">
        <v>823</v>
      </c>
      <c r="D670" s="1" t="str">
        <f>'2023'!B66</f>
        <v>Niel Eric Garner</v>
      </c>
      <c r="F670" s="1">
        <f>'2023'!A66</f>
        <v>23065</v>
      </c>
      <c r="G670" s="33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6" t="s">
        <v>825</v>
      </c>
      <c r="B671" s="30">
        <v>53295457</v>
      </c>
      <c r="C671" s="27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3">
        <f>'2023'!C67</f>
        <v>45018</v>
      </c>
      <c r="H671" s="34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7"/>
      <c r="B672" s="30">
        <v>15757598425</v>
      </c>
      <c r="C672" s="27" t="s">
        <v>658</v>
      </c>
      <c r="D672" s="1" t="str">
        <f>'2023'!B68</f>
        <v>Sabine Kaufmann</v>
      </c>
      <c r="F672" s="1">
        <f>'2023'!A68</f>
        <v>23067</v>
      </c>
      <c r="G672" s="33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7"/>
      <c r="B673" s="30">
        <v>61308275</v>
      </c>
      <c r="C673" s="27" t="s">
        <v>829</v>
      </c>
      <c r="D673" s="1" t="str">
        <f>'2023'!B69</f>
        <v>Alice Lundbøl Vestergaard</v>
      </c>
      <c r="F673" s="1">
        <f>'2023'!A69</f>
        <v>23068</v>
      </c>
      <c r="G673" s="33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7"/>
      <c r="B674" s="30">
        <v>737767397</v>
      </c>
      <c r="C674" s="27" t="s">
        <v>831</v>
      </c>
      <c r="D674" s="1" t="str">
        <f>'2023'!B70</f>
        <v>Camilla Lörqvist</v>
      </c>
      <c r="F674" s="1">
        <f>'2023'!A70</f>
        <v>23069</v>
      </c>
      <c r="G674" s="33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7"/>
      <c r="B675" s="30">
        <v>22401311</v>
      </c>
      <c r="C675" s="27" t="s">
        <v>125</v>
      </c>
      <c r="D675" s="1" t="str">
        <f>'2023'!B71</f>
        <v>Jette Hansen</v>
      </c>
      <c r="F675" s="1">
        <f>'2023'!A71</f>
        <v>23070</v>
      </c>
      <c r="G675" s="33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7"/>
      <c r="B676" s="30"/>
      <c r="C676" s="27" t="s">
        <v>833</v>
      </c>
      <c r="D676" s="1" t="str">
        <f>'2023'!B72</f>
        <v>Laura Valentina Zamfira</v>
      </c>
      <c r="F676" s="1">
        <f>'2023'!A72</f>
        <v>23071</v>
      </c>
      <c r="G676" s="33">
        <f>'2023'!C72</f>
        <v>45084</v>
      </c>
      <c r="H676" s="34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7"/>
      <c r="B677" s="30">
        <v>51251135</v>
      </c>
      <c r="C677" s="27" t="s">
        <v>835</v>
      </c>
      <c r="D677" s="1" t="str">
        <f>'2023'!B73</f>
        <v>Maria Løvenstrøm</v>
      </c>
      <c r="F677" s="1">
        <f>'2023'!A73</f>
        <v>23072</v>
      </c>
      <c r="G677" s="33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7"/>
      <c r="B678" s="30"/>
      <c r="C678" s="27" t="s">
        <v>837</v>
      </c>
      <c r="D678" s="1" t="str">
        <f>'2023'!B74</f>
        <v>Marianne Østergaard</v>
      </c>
      <c r="F678" s="1">
        <f>'2023'!A74</f>
        <v>23073</v>
      </c>
      <c r="G678" s="33">
        <f>'2023'!C74</f>
        <v>45073</v>
      </c>
      <c r="H678" s="34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7"/>
      <c r="B679" s="30"/>
      <c r="C679" s="27" t="s">
        <v>839</v>
      </c>
      <c r="D679" s="1" t="str">
        <f>'2023'!B75</f>
        <v>Thomas Schettler</v>
      </c>
      <c r="F679" s="1">
        <f>'2023'!A75</f>
        <v>23074</v>
      </c>
      <c r="G679" s="33">
        <f>'2023'!C75</f>
        <v>45057</v>
      </c>
      <c r="H679" s="34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7"/>
      <c r="B680" s="30"/>
      <c r="C680" s="27" t="s">
        <v>841</v>
      </c>
      <c r="D680" s="1" t="str">
        <f>'2023'!B76</f>
        <v>Martine Opreel</v>
      </c>
      <c r="F680" s="1">
        <f>'2023'!A76</f>
        <v>23075</v>
      </c>
      <c r="G680" s="33">
        <f>'2023'!C76</f>
        <v>45083</v>
      </c>
      <c r="H680" s="34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7"/>
      <c r="B681" s="30">
        <v>41777733</v>
      </c>
      <c r="C681" s="27" t="s">
        <v>843</v>
      </c>
      <c r="D681" s="1" t="str">
        <f>'2023'!B77</f>
        <v>Merete Solon</v>
      </c>
      <c r="F681" s="1">
        <f>'2023'!A77</f>
        <v>23076</v>
      </c>
      <c r="G681" s="33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7"/>
      <c r="B682" s="30">
        <v>90621678</v>
      </c>
      <c r="C682" s="27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3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7"/>
      <c r="B683" s="30">
        <v>705652873</v>
      </c>
      <c r="C683" s="27" t="s">
        <v>848</v>
      </c>
      <c r="D683" s="1" t="str">
        <f>'2023'!B79</f>
        <v>Peter Rehnblom</v>
      </c>
      <c r="F683" s="1">
        <f>'2023'!A79</f>
        <v>23078</v>
      </c>
      <c r="G683" s="33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6" t="s">
        <v>850</v>
      </c>
      <c r="B684" s="30">
        <v>21707188</v>
      </c>
      <c r="C684" s="27" t="s">
        <v>281</v>
      </c>
      <c r="D684" s="1" t="str">
        <f>'2023'!B80</f>
        <v>Bente Jessen</v>
      </c>
      <c r="F684" s="1">
        <f>'2023'!A80</f>
        <v>23079</v>
      </c>
      <c r="G684" s="33">
        <f>'2023'!C80</f>
        <v>45019</v>
      </c>
      <c r="H684" s="34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7"/>
      <c r="B685" s="30"/>
      <c r="C685" s="27" t="s">
        <v>852</v>
      </c>
      <c r="D685" s="1" t="str">
        <f>'2023'!B81</f>
        <v>Eva Persson</v>
      </c>
      <c r="F685" s="1">
        <f>'2023'!A81</f>
        <v>23080</v>
      </c>
      <c r="G685" s="33">
        <f>'2023'!C81</f>
        <v>45084</v>
      </c>
      <c r="H685" s="34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7"/>
      <c r="B686" s="30"/>
      <c r="C686" s="27" t="s">
        <v>220</v>
      </c>
      <c r="D686" s="1" t="str">
        <f>'2023'!B82</f>
        <v>Yvonne Henriksen</v>
      </c>
      <c r="F686" s="1">
        <f>'2023'!A82</f>
        <v>23081</v>
      </c>
      <c r="G686" s="33">
        <f>'2023'!C82</f>
        <v>45072</v>
      </c>
      <c r="H686" s="34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7"/>
      <c r="B687" s="30">
        <v>40299599</v>
      </c>
      <c r="C687" s="27" t="s">
        <v>855</v>
      </c>
      <c r="D687" s="1" t="str">
        <f>'2023'!B83</f>
        <v>Jørgen Friisgaard</v>
      </c>
      <c r="F687" s="1">
        <f>'2023'!A83</f>
        <v>23082</v>
      </c>
      <c r="G687" s="33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7"/>
      <c r="B688" s="30">
        <v>51282316</v>
      </c>
      <c r="C688" s="27" t="s">
        <v>857</v>
      </c>
      <c r="D688" s="1" t="str">
        <f>'2023'!B84</f>
        <v>Karin stabel</v>
      </c>
      <c r="F688" s="1">
        <f>'2023'!A84</f>
        <v>23083</v>
      </c>
      <c r="G688" s="33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7"/>
      <c r="B689" s="30">
        <v>40115850</v>
      </c>
      <c r="C689" s="27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3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7"/>
      <c r="B690" s="30">
        <v>61782638</v>
      </c>
      <c r="C690" s="27" t="s">
        <v>288</v>
      </c>
      <c r="D690" s="1" t="str">
        <f>'2023'!B86</f>
        <v>Stine Kromann-Larsen</v>
      </c>
      <c r="F690" s="1">
        <f>'2023'!A86</f>
        <v>23085</v>
      </c>
      <c r="G690" s="33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7"/>
      <c r="B691" s="30">
        <v>51532647</v>
      </c>
      <c r="C691" s="27" t="s">
        <v>863</v>
      </c>
      <c r="D691" s="1" t="str">
        <f>'2023'!B87</f>
        <v>Susanne Ahlmann Svensson</v>
      </c>
      <c r="F691" s="1">
        <f>'2023'!A87</f>
        <v>23086</v>
      </c>
      <c r="G691" s="33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7"/>
      <c r="B692" s="30">
        <v>531343511</v>
      </c>
      <c r="C692" s="27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3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7"/>
      <c r="B693" s="30">
        <v>39547437</v>
      </c>
      <c r="C693" s="27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3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7"/>
      <c r="B694" s="30"/>
      <c r="C694" s="27" t="s">
        <v>158</v>
      </c>
      <c r="D694" s="1" t="str">
        <f>'2023'!B90</f>
        <v>Janne Malberg</v>
      </c>
      <c r="F694" s="1">
        <f>'2023'!A90</f>
        <v>23089</v>
      </c>
      <c r="G694" s="33">
        <f>'2023'!C90</f>
        <v>45102</v>
      </c>
      <c r="H694" s="34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7"/>
      <c r="B695" s="30"/>
      <c r="C695" s="27" t="s">
        <v>869</v>
      </c>
      <c r="D695" s="1" t="str">
        <f>'2023'!B91</f>
        <v>Kordula Weber</v>
      </c>
      <c r="F695" s="1">
        <f>'2023'!A91</f>
        <v>23090</v>
      </c>
      <c r="G695" s="33">
        <f>'2023'!C91</f>
        <v>45172</v>
      </c>
      <c r="H695" s="34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7"/>
      <c r="B696" s="30">
        <v>24620541</v>
      </c>
      <c r="C696" s="27" t="s">
        <v>11</v>
      </c>
      <c r="D696" s="1" t="str">
        <f>'2023'!B92</f>
        <v>Minna Nielsen</v>
      </c>
      <c r="F696" s="1">
        <f>'2023'!A92</f>
        <v>23091</v>
      </c>
      <c r="G696" s="33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7"/>
      <c r="B697" s="30">
        <v>627349466</v>
      </c>
      <c r="C697" s="27" t="s">
        <v>872</v>
      </c>
      <c r="D697" s="1" t="str">
        <f>'2023'!B93</f>
        <v>Jan Heidemans</v>
      </c>
      <c r="F697" s="1">
        <f>'2023'!A93</f>
        <v>23092</v>
      </c>
      <c r="G697" s="33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7"/>
      <c r="B698" s="30">
        <v>17643882286</v>
      </c>
      <c r="C698" s="27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3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7"/>
      <c r="B699" s="30">
        <v>22701704</v>
      </c>
      <c r="C699" s="27" t="s">
        <v>63</v>
      </c>
      <c r="D699" s="1" t="str">
        <f>'2023'!B95</f>
        <v>Max Simonsen</v>
      </c>
      <c r="F699" s="1">
        <f>'2023'!A95</f>
        <v>23094</v>
      </c>
      <c r="G699" s="33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7"/>
      <c r="B700" s="30"/>
      <c r="C700" s="27" t="s">
        <v>877</v>
      </c>
      <c r="D700" s="1" t="str">
        <f>'2023'!B96</f>
        <v>Jan Borup</v>
      </c>
      <c r="F700" s="1">
        <f>'2023'!A96</f>
        <v>23095</v>
      </c>
      <c r="G700" s="33">
        <f>'2023'!C96</f>
        <v>45069</v>
      </c>
      <c r="H700" s="34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7"/>
      <c r="B701" s="30">
        <v>733448215</v>
      </c>
      <c r="C701" s="27" t="s">
        <v>879</v>
      </c>
      <c r="D701" s="1" t="str">
        <f>'2023'!B97</f>
        <v>Ken Lentonsson</v>
      </c>
      <c r="F701" s="1">
        <f>'2023'!A97</f>
        <v>23096</v>
      </c>
      <c r="G701" s="33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7"/>
      <c r="B702" s="30">
        <v>28841246</v>
      </c>
      <c r="C702" s="27" t="s">
        <v>881</v>
      </c>
      <c r="D702" s="1" t="str">
        <f>'2023'!B98</f>
        <v>Erwin Øhman</v>
      </c>
      <c r="F702" s="1">
        <f>'2023'!A98</f>
        <v>23097</v>
      </c>
      <c r="G702" s="33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7"/>
      <c r="B703" s="30">
        <v>735733308</v>
      </c>
      <c r="C703" s="27" t="s">
        <v>883</v>
      </c>
      <c r="D703" s="1" t="str">
        <f>'2023'!B99</f>
        <v>Karin Winblad</v>
      </c>
      <c r="F703" s="1">
        <f>'2023'!A99</f>
        <v>23098</v>
      </c>
      <c r="G703" s="33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7"/>
      <c r="B704" s="30">
        <v>50277175</v>
      </c>
      <c r="C704" s="27" t="s">
        <v>885</v>
      </c>
      <c r="D704" s="1" t="str">
        <f>'2023'!B100</f>
        <v>Yann Lie</v>
      </c>
      <c r="F704" s="1">
        <f>'2023'!A100</f>
        <v>23099</v>
      </c>
      <c r="G704" s="33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7"/>
      <c r="B705" s="30">
        <v>30283094</v>
      </c>
      <c r="C705" s="27" t="s">
        <v>353</v>
      </c>
      <c r="D705" s="1" t="str">
        <f>'2023'!B101</f>
        <v>Pernille Bøgh Jørgensen</v>
      </c>
      <c r="F705" s="1">
        <f>'2023'!A101</f>
        <v>23100</v>
      </c>
      <c r="G705" s="33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7"/>
      <c r="B706" s="30">
        <v>61793423</v>
      </c>
      <c r="C706" s="27" t="s">
        <v>189</v>
      </c>
      <c r="D706" s="1" t="str">
        <f>'2023'!B102</f>
        <v>Jan Andersen</v>
      </c>
      <c r="F706" s="1">
        <f>'2023'!A102</f>
        <v>23101</v>
      </c>
      <c r="G706" s="33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7"/>
      <c r="B707" s="30"/>
      <c r="C707" s="27" t="s">
        <v>752</v>
      </c>
      <c r="D707" s="1" t="str">
        <f>'2023'!B103</f>
        <v>Christer Holst</v>
      </c>
      <c r="F707" s="1">
        <f>'2023'!A103</f>
        <v>23102</v>
      </c>
      <c r="G707" s="33">
        <f>'2023'!C103</f>
        <v>45141</v>
      </c>
      <c r="H707" s="34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7"/>
      <c r="B708" s="30">
        <v>17678221189</v>
      </c>
      <c r="C708" s="27" t="s">
        <v>890</v>
      </c>
      <c r="D708" s="1" t="str">
        <f>'2023'!B104</f>
        <v>Andreas Moller</v>
      </c>
      <c r="F708" s="1">
        <f>'2023'!A104</f>
        <v>23103</v>
      </c>
      <c r="G708" s="33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7"/>
      <c r="B709" s="30"/>
      <c r="C709" s="27" t="s">
        <v>892</v>
      </c>
      <c r="D709" s="1" t="str">
        <f>'2023'!B105</f>
        <v>Anett Pfluger</v>
      </c>
      <c r="F709" s="1">
        <f>'2023'!A105</f>
        <v>23104</v>
      </c>
      <c r="G709" s="33">
        <f>'2023'!C105</f>
        <v>45164</v>
      </c>
      <c r="H709" s="34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7"/>
      <c r="B710" s="30">
        <v>51446674796</v>
      </c>
      <c r="C710" s="27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3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7"/>
      <c r="B711" s="30">
        <v>27570750</v>
      </c>
      <c r="C711" s="27" t="s">
        <v>897</v>
      </c>
      <c r="D711" s="1" t="str">
        <f>'2023'!B107</f>
        <v>Maria Bendixen</v>
      </c>
      <c r="F711" s="1">
        <f>'2023'!A107</f>
        <v>23106</v>
      </c>
      <c r="G711" s="33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7"/>
      <c r="B712" s="30"/>
      <c r="C712" s="27" t="s">
        <v>899</v>
      </c>
      <c r="D712" s="1" t="str">
        <f>'2023'!B108</f>
        <v>Coni Jo Andresen</v>
      </c>
      <c r="F712" s="1">
        <f>'2023'!A108</f>
        <v>23107</v>
      </c>
      <c r="G712" s="33">
        <f>'2023'!C108</f>
        <v>45197</v>
      </c>
      <c r="H712" s="34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7"/>
      <c r="B713" s="30">
        <v>20203509</v>
      </c>
      <c r="C713" s="27" t="s">
        <v>901</v>
      </c>
      <c r="D713" s="1" t="str">
        <f>'2023'!B109</f>
        <v>Maj-Britt Ross</v>
      </c>
      <c r="F713" s="1">
        <f>'2023'!A109</f>
        <v>23108</v>
      </c>
      <c r="G713" s="33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7"/>
      <c r="B714" s="30"/>
      <c r="C714" s="27" t="s">
        <v>903</v>
      </c>
      <c r="D714" s="1" t="str">
        <f>'2023'!B110</f>
        <v>Anne Hastrup</v>
      </c>
      <c r="F714" s="1">
        <f>'2023'!A110</f>
        <v>23109</v>
      </c>
      <c r="G714" s="33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7"/>
      <c r="B715" s="30">
        <v>20154496</v>
      </c>
      <c r="C715" s="27" t="s">
        <v>905</v>
      </c>
      <c r="D715" s="1" t="str">
        <f>'2023'!B111</f>
        <v>Søren Kjærsgård</v>
      </c>
      <c r="F715" s="1">
        <f>'2023'!A111</f>
        <v>23110</v>
      </c>
      <c r="G715" s="33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7"/>
      <c r="B716" s="30">
        <v>603509941</v>
      </c>
      <c r="C716" s="27" t="s">
        <v>907</v>
      </c>
      <c r="D716" s="1" t="str">
        <f>'2023'!B112</f>
        <v>Francisco  J Vara Carbonell</v>
      </c>
      <c r="F716" s="1">
        <f>'2023'!A112</f>
        <v>23111</v>
      </c>
      <c r="G716" s="33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6" t="s">
        <v>909</v>
      </c>
      <c r="B717" s="30">
        <v>24987093</v>
      </c>
      <c r="C717" s="27" t="s">
        <v>361</v>
      </c>
      <c r="D717" s="1" t="str">
        <f>'2023'!B113</f>
        <v>Annette Hove Torp</v>
      </c>
      <c r="F717" s="1">
        <f>'2023'!A113</f>
        <v>23112</v>
      </c>
      <c r="G717" s="33">
        <f>'2023'!C113</f>
        <v>45122</v>
      </c>
      <c r="H717" s="34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6" t="s">
        <v>911</v>
      </c>
      <c r="B718" s="30">
        <v>20967489</v>
      </c>
      <c r="C718" s="27" t="s">
        <v>7</v>
      </c>
      <c r="D718" s="1" t="str">
        <f>'2023'!B114</f>
        <v>Lars Sørensen</v>
      </c>
      <c r="F718" s="1">
        <f>'2023'!A114</f>
        <v>23113</v>
      </c>
      <c r="G718" s="33">
        <f>'2023'!C114</f>
        <v>45176</v>
      </c>
      <c r="H718" s="34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6" t="s">
        <v>912</v>
      </c>
      <c r="B719" s="30">
        <v>42650415</v>
      </c>
      <c r="C719" s="27" t="s">
        <v>54</v>
      </c>
      <c r="D719" s="1" t="str">
        <f>'2023'!B115</f>
        <v>Bo Rosschou</v>
      </c>
      <c r="F719" s="1">
        <f>'2023'!A115</f>
        <v>23114</v>
      </c>
      <c r="G719" s="33">
        <f>'2023'!C115</f>
        <v>45090</v>
      </c>
      <c r="H719" s="34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7"/>
      <c r="B720" s="30">
        <v>1727879613</v>
      </c>
      <c r="C720" s="27" t="s">
        <v>914</v>
      </c>
      <c r="D720" s="1" t="str">
        <f>'2023'!B116</f>
        <v>Birgitta Meerbach</v>
      </c>
      <c r="F720" s="1">
        <f>'2023'!A116</f>
        <v>23115</v>
      </c>
      <c r="G720" s="33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7"/>
      <c r="B721" s="30"/>
      <c r="C721" s="27" t="s">
        <v>916</v>
      </c>
      <c r="D721" s="1" t="str">
        <f>'2023'!B117</f>
        <v>Torben &amp; Bente Sømberg</v>
      </c>
      <c r="F721" s="1">
        <f>'2023'!A117</f>
        <v>23116</v>
      </c>
      <c r="G721" s="33">
        <f>'2023'!C117</f>
        <v>45087</v>
      </c>
      <c r="H721" s="34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7"/>
      <c r="B722" s="30"/>
      <c r="C722" s="27" t="s">
        <v>11</v>
      </c>
      <c r="D722" s="1" t="str">
        <f>'2023'!B118</f>
        <v>Søren Nielsen</v>
      </c>
      <c r="F722" s="1">
        <f>'2023'!A118</f>
        <v>23117</v>
      </c>
      <c r="G722" s="33">
        <f>'2023'!C118</f>
        <v>45102</v>
      </c>
      <c r="H722" s="34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7"/>
      <c r="B723" s="30">
        <v>29269643</v>
      </c>
      <c r="C723" s="27" t="s">
        <v>918</v>
      </c>
      <c r="D723" s="1" t="str">
        <f>'2023'!B119</f>
        <v>Anja Koustrup</v>
      </c>
      <c r="F723" s="1">
        <f>'2023'!A119</f>
        <v>23118</v>
      </c>
      <c r="G723" s="33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7"/>
      <c r="B724" s="30"/>
      <c r="C724" s="27" t="s">
        <v>920</v>
      </c>
      <c r="D724" s="1" t="str">
        <f>'2023'!B120</f>
        <v>Mikael &amp; Buenadette Graabæk</v>
      </c>
      <c r="F724" s="1">
        <f>'2023'!A120</f>
        <v>23119</v>
      </c>
      <c r="G724" s="33">
        <f>'2023'!C120</f>
        <v>45124</v>
      </c>
      <c r="H724" s="34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7"/>
      <c r="B725" s="30">
        <v>23259730</v>
      </c>
      <c r="C725" s="27" t="s">
        <v>922</v>
      </c>
      <c r="D725" s="1" t="str">
        <f>'2023'!B121</f>
        <v>Berit Wiese</v>
      </c>
      <c r="F725" s="1">
        <f>'2023'!A121</f>
        <v>23120</v>
      </c>
      <c r="G725" s="33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7"/>
      <c r="B726" s="30"/>
      <c r="C726" s="27" t="s">
        <v>924</v>
      </c>
      <c r="D726" s="1" t="str">
        <f>'2023'!B122</f>
        <v>Nandita Singh</v>
      </c>
      <c r="F726" s="1">
        <f>'2023'!A122</f>
        <v>23121</v>
      </c>
      <c r="G726" s="33">
        <f>'2023'!C122</f>
        <v>45072</v>
      </c>
      <c r="H726" s="34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7"/>
      <c r="B727" s="30">
        <v>703378414</v>
      </c>
      <c r="C727" s="27" t="s">
        <v>926</v>
      </c>
      <c r="D727" s="1" t="str">
        <f>'2023'!B123</f>
        <v>Jeanette Andersson</v>
      </c>
      <c r="F727" s="1">
        <f>'2023'!A123</f>
        <v>23122</v>
      </c>
      <c r="G727" s="33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7"/>
      <c r="B728" s="30">
        <v>31909358</v>
      </c>
      <c r="C728" s="27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3">
        <f>'2023'!C124</f>
        <v>45189</v>
      </c>
      <c r="H728" s="34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7"/>
      <c r="B729" s="30"/>
      <c r="C729" s="27" t="s">
        <v>903</v>
      </c>
      <c r="D729" s="1" t="str">
        <f>'2023'!B125</f>
        <v>Anne Hastrup</v>
      </c>
      <c r="F729" s="1">
        <f>'2023'!A125</f>
        <v>23124</v>
      </c>
      <c r="G729" s="33">
        <f>'2023'!C125</f>
        <v>45170</v>
      </c>
      <c r="H729" s="34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7"/>
      <c r="B730" s="30">
        <v>72214246</v>
      </c>
      <c r="C730" s="27" t="s">
        <v>929</v>
      </c>
      <c r="D730" s="1" t="str">
        <f>'2023'!B126</f>
        <v>Ann-Cathrine Magito</v>
      </c>
      <c r="F730" s="1">
        <f>'2023'!A126</f>
        <v>23125</v>
      </c>
      <c r="G730" s="33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7"/>
      <c r="B731" s="30"/>
      <c r="C731" s="27" t="s">
        <v>931</v>
      </c>
      <c r="D731" s="1" t="str">
        <f>'2023'!B127</f>
        <v>Helga Wagner</v>
      </c>
      <c r="F731" s="1">
        <f>'2023'!A127</f>
        <v>23126</v>
      </c>
      <c r="G731" s="33">
        <f>'2023'!C127</f>
        <v>45147</v>
      </c>
      <c r="H731" s="34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7"/>
      <c r="B732" s="30">
        <v>768942730</v>
      </c>
      <c r="C732" s="27" t="s">
        <v>933</v>
      </c>
      <c r="D732" s="1" t="str">
        <f>'2023'!B128</f>
        <v>Annette Ristola</v>
      </c>
      <c r="F732" s="1">
        <f>'2023'!A128</f>
        <v>23127</v>
      </c>
      <c r="G732" s="33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6" t="s">
        <v>1478</v>
      </c>
      <c r="B733" s="30">
        <v>2425987</v>
      </c>
      <c r="C733" s="27" t="s">
        <v>25</v>
      </c>
      <c r="D733" s="1" t="str">
        <f>'2023'!B129</f>
        <v>Karen Birgitte Poulsen</v>
      </c>
      <c r="F733" s="1">
        <f>'2023'!A129</f>
        <v>23128</v>
      </c>
      <c r="G733" s="33">
        <f>'2023'!C129</f>
        <v>45181</v>
      </c>
      <c r="H733" s="34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7"/>
      <c r="B734" s="30">
        <v>724244949</v>
      </c>
      <c r="C734" s="27" t="s">
        <v>936</v>
      </c>
      <c r="D734" s="1" t="str">
        <f>'2023'!B130</f>
        <v>Imrich Lozsi</v>
      </c>
      <c r="F734" s="1">
        <f>'2023'!A130</f>
        <v>23129</v>
      </c>
      <c r="G734" s="33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7"/>
      <c r="B735" s="30">
        <v>29789031</v>
      </c>
      <c r="C735" s="27" t="s">
        <v>273</v>
      </c>
      <c r="D735" s="1" t="str">
        <f>'2023'!B131</f>
        <v>Chungyon Park</v>
      </c>
      <c r="F735" s="1">
        <f>'2023'!A131</f>
        <v>23130</v>
      </c>
      <c r="G735" s="33">
        <f>'2023'!C131</f>
        <v>45073</v>
      </c>
      <c r="H735" s="34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6" t="s">
        <v>1479</v>
      </c>
      <c r="B736" s="30">
        <v>1634823069</v>
      </c>
      <c r="C736" s="27" t="s">
        <v>938</v>
      </c>
      <c r="D736" s="1" t="str">
        <f>'2023'!B132</f>
        <v>Silke Bastert-Zaghloul</v>
      </c>
      <c r="F736" s="1">
        <f>'2023'!A132</f>
        <v>23131</v>
      </c>
      <c r="G736" s="33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7"/>
      <c r="B737" s="30"/>
      <c r="C737" s="27" t="s">
        <v>11</v>
      </c>
      <c r="D737" s="1" t="str">
        <f>'2023'!B133</f>
        <v>Søren Nielsen</v>
      </c>
      <c r="F737" s="1">
        <f>'2023'!A133</f>
        <v>23132</v>
      </c>
      <c r="G737" s="33">
        <f>'2023'!C133</f>
        <v>45104</v>
      </c>
      <c r="H737" s="34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7"/>
      <c r="B738" s="30">
        <v>1626975213</v>
      </c>
      <c r="C738" s="27" t="s">
        <v>940</v>
      </c>
      <c r="D738" s="1" t="str">
        <f>'2023'!B134</f>
        <v>Mitesh Daftardar</v>
      </c>
      <c r="F738" s="1">
        <f>'2023'!A134</f>
        <v>23133</v>
      </c>
      <c r="G738" s="33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6" t="s">
        <v>1480</v>
      </c>
      <c r="B739" s="30">
        <v>20143818</v>
      </c>
      <c r="C739" s="27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3">
        <f>'2023'!C135</f>
        <v>45058</v>
      </c>
      <c r="H739" s="34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7"/>
      <c r="B740" s="30"/>
      <c r="C740" s="27" t="s">
        <v>944</v>
      </c>
      <c r="D740" s="1" t="str">
        <f>'2023'!B136</f>
        <v>Barbera</v>
      </c>
      <c r="F740" s="1">
        <f>'2023'!A136</f>
        <v>23135</v>
      </c>
      <c r="G740" s="33">
        <f>'2023'!C136</f>
        <v>45096</v>
      </c>
      <c r="H740" s="34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7"/>
      <c r="B741" s="30">
        <v>21786679</v>
      </c>
      <c r="C741" s="27" t="s">
        <v>945</v>
      </c>
      <c r="D741" s="1" t="str">
        <f>'2023'!B137</f>
        <v>Tobias Lange-Ernden</v>
      </c>
      <c r="F741" s="1">
        <f>'2023'!A137</f>
        <v>23136</v>
      </c>
      <c r="G741" s="33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7"/>
      <c r="B742" s="30"/>
      <c r="C742" s="27" t="s">
        <v>945</v>
      </c>
      <c r="D742" s="1" t="str">
        <f>'2023'!B138</f>
        <v>Tobias Lange-Ernden</v>
      </c>
      <c r="F742" s="1">
        <f>'2023'!A138</f>
        <v>23137</v>
      </c>
      <c r="G742" s="33">
        <f>'2023'!C138</f>
        <v>45148</v>
      </c>
      <c r="H742" s="34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7"/>
      <c r="B743" s="30"/>
      <c r="C743" s="27" t="s">
        <v>947</v>
      </c>
      <c r="D743" s="1" t="str">
        <f>'2023'!B139</f>
        <v>Mark Danneberg Jepsen</v>
      </c>
      <c r="F743" s="1">
        <f>'2023'!A139</f>
        <v>23138</v>
      </c>
      <c r="G743" s="33">
        <f>'2023'!C139</f>
        <v>45163</v>
      </c>
      <c r="H743" s="34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7"/>
      <c r="B744" s="30">
        <v>301621541</v>
      </c>
      <c r="C744" s="27" t="s">
        <v>949</v>
      </c>
      <c r="D744" s="1" t="str">
        <f>'2023'!B140</f>
        <v>Peter Weisz</v>
      </c>
      <c r="F744" s="1">
        <f>'2023'!A140</f>
        <v>23139</v>
      </c>
      <c r="G744" s="33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7"/>
      <c r="B745" s="30">
        <v>1718241750</v>
      </c>
      <c r="C745" s="27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3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7"/>
      <c r="B746" s="30">
        <v>29701904</v>
      </c>
      <c r="C746" s="27" t="s">
        <v>814</v>
      </c>
      <c r="D746" s="1" t="str">
        <f>'2023'!B142</f>
        <v>Markos Merkouris</v>
      </c>
      <c r="F746" s="1">
        <f>'2023'!A142</f>
        <v>23141</v>
      </c>
      <c r="G746" s="33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6" t="s">
        <v>1223</v>
      </c>
      <c r="B747" s="30">
        <v>22331608</v>
      </c>
      <c r="C747" s="27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3">
        <f>'2023'!C143</f>
        <v>45104</v>
      </c>
      <c r="H747" s="34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7"/>
      <c r="B748" s="30">
        <v>723337067</v>
      </c>
      <c r="C748" s="27" t="s">
        <v>926</v>
      </c>
      <c r="D748" s="1" t="str">
        <f>'2023'!B144</f>
        <v>Siv Andersson</v>
      </c>
      <c r="F748" s="1">
        <f>'2023'!A144</f>
        <v>23143</v>
      </c>
      <c r="G748" s="33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6" t="s">
        <v>1484</v>
      </c>
      <c r="B749" s="30"/>
      <c r="C749" s="27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3">
        <f>'2023'!C145</f>
        <v>45091</v>
      </c>
      <c r="H749" s="34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7"/>
      <c r="B750" s="30">
        <v>42272444</v>
      </c>
      <c r="C750" s="27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3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7"/>
      <c r="B751" s="30">
        <v>26277293</v>
      </c>
      <c r="C751" s="27" t="s">
        <v>852</v>
      </c>
      <c r="D751" s="1" t="str">
        <f>'2023'!B147</f>
        <v>Ulla Persson</v>
      </c>
      <c r="F751" s="1">
        <f>'2023'!A147</f>
        <v>23146</v>
      </c>
      <c r="G751" s="33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7"/>
      <c r="B752" s="30">
        <v>40749292</v>
      </c>
      <c r="C752" s="27" t="s">
        <v>852</v>
      </c>
      <c r="D752" s="1" t="str">
        <f>'2023'!B148</f>
        <v>Heidi Persson</v>
      </c>
      <c r="F752" s="1">
        <f>'2023'!A148</f>
        <v>23147</v>
      </c>
      <c r="G752" s="33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6" t="s">
        <v>1217</v>
      </c>
      <c r="B753" s="30">
        <v>40193542</v>
      </c>
      <c r="C753" s="27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3">
        <f>'2023'!C149</f>
        <v>45078</v>
      </c>
      <c r="H753" s="34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7"/>
      <c r="B754" s="30"/>
      <c r="C754" s="27" t="s">
        <v>962</v>
      </c>
      <c r="D754" s="1" t="str">
        <f>'2023'!B150</f>
        <v>Sylke Gierer</v>
      </c>
      <c r="F754" s="1">
        <f>'2023'!A150</f>
        <v>23149</v>
      </c>
      <c r="G754" s="33">
        <f>'2023'!C150</f>
        <v>45168</v>
      </c>
      <c r="H754" s="34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7"/>
      <c r="B755" s="30">
        <v>40446954</v>
      </c>
      <c r="C755" s="27" t="s">
        <v>416</v>
      </c>
      <c r="D755" s="1" t="str">
        <f>'2023'!B151</f>
        <v>Peter Christensen</v>
      </c>
      <c r="F755" s="1">
        <f>'2023'!A151</f>
        <v>23150</v>
      </c>
      <c r="G755" s="33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7"/>
      <c r="B756" s="30">
        <v>26153215</v>
      </c>
      <c r="C756" s="27" t="s">
        <v>184</v>
      </c>
      <c r="D756" s="1" t="str">
        <f>'2023'!B152</f>
        <v>Ida Rasmussen</v>
      </c>
      <c r="F756" s="1">
        <f>'2023'!A152</f>
        <v>23151</v>
      </c>
      <c r="G756" s="33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7"/>
      <c r="B757" s="30"/>
      <c r="C757" s="27" t="s">
        <v>966</v>
      </c>
      <c r="D757" s="1" t="str">
        <f>'2023'!B153</f>
        <v>Nicolle Degner</v>
      </c>
      <c r="F757" s="1">
        <f>'2023'!A153</f>
        <v>23152</v>
      </c>
      <c r="G757" s="33">
        <f>'2023'!C153</f>
        <v>45180</v>
      </c>
      <c r="H757" s="34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6" t="s">
        <v>1486</v>
      </c>
      <c r="B758" s="30"/>
      <c r="C758" s="27" t="s">
        <v>969</v>
      </c>
      <c r="D758" s="1" t="str">
        <f>'2023'!B155</f>
        <v>Lea Carlander</v>
      </c>
      <c r="F758" s="1">
        <f>'2023'!A155</f>
        <v>23154</v>
      </c>
      <c r="G758" s="33">
        <f>'2023'!C155</f>
        <v>45205</v>
      </c>
      <c r="H758" s="34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7"/>
      <c r="B759" s="30">
        <v>707426652</v>
      </c>
      <c r="C759" s="27" t="s">
        <v>971</v>
      </c>
      <c r="D759" s="1" t="str">
        <f>'2023'!B156</f>
        <v>Niclas Ohman</v>
      </c>
      <c r="F759" s="1">
        <f>'2023'!A156</f>
        <v>23155</v>
      </c>
      <c r="G759" s="33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7"/>
      <c r="B760" s="30">
        <v>44841703</v>
      </c>
      <c r="C760" s="27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3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6" t="s">
        <v>1487</v>
      </c>
      <c r="B761" s="30">
        <v>1796992819</v>
      </c>
      <c r="C761" s="27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3">
        <f>'2023'!C158</f>
        <v>45156</v>
      </c>
      <c r="H761" s="34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7"/>
      <c r="B762" s="30"/>
      <c r="C762" s="27" t="s">
        <v>976</v>
      </c>
      <c r="D762" s="1" t="str">
        <f>'2023'!B159</f>
        <v>Lee Mcmeekin</v>
      </c>
      <c r="F762" s="1">
        <f>'2023'!A159</f>
        <v>23158</v>
      </c>
      <c r="G762" s="33">
        <f>'2023'!C159</f>
        <v>45170</v>
      </c>
      <c r="H762" s="34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7"/>
      <c r="B763" s="30"/>
      <c r="C763" s="27" t="s">
        <v>976</v>
      </c>
      <c r="D763" s="1" t="str">
        <f>'2023'!B160</f>
        <v>Paula Mcmeekin</v>
      </c>
      <c r="F763" s="1">
        <f>'2023'!A160</f>
        <v>23159</v>
      </c>
      <c r="G763" s="33">
        <f>'2023'!C160</f>
        <v>45169</v>
      </c>
      <c r="H763" s="34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7"/>
      <c r="B764" s="30">
        <v>60645846</v>
      </c>
      <c r="C764" s="27" t="s">
        <v>189</v>
      </c>
      <c r="D764" s="1" t="str">
        <f>'2023'!B161</f>
        <v>Alice Andersen</v>
      </c>
      <c r="F764" s="1">
        <f>'2023'!A161</f>
        <v>23160</v>
      </c>
      <c r="G764" s="33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7"/>
      <c r="B765" s="30"/>
      <c r="C765" s="27" t="s">
        <v>323</v>
      </c>
      <c r="D765" s="1" t="str">
        <f>'2023'!B162</f>
        <v>Charlotte Funder</v>
      </c>
      <c r="F765" s="1">
        <f>'2023'!A162</f>
        <v>23161</v>
      </c>
      <c r="G765" s="33">
        <f>'2023'!C162</f>
        <v>45099</v>
      </c>
      <c r="H765" s="34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7"/>
      <c r="B766" s="30"/>
      <c r="C766" s="27" t="s">
        <v>979</v>
      </c>
      <c r="D766" s="1" t="str">
        <f>'2023'!B163</f>
        <v>Axel Schwab</v>
      </c>
      <c r="F766" s="1">
        <f>'2023'!A163</f>
        <v>23162</v>
      </c>
      <c r="G766" s="33">
        <f>'2023'!C163</f>
        <v>45149</v>
      </c>
      <c r="H766" s="34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7"/>
      <c r="B767" s="30"/>
      <c r="C767" s="27" t="s">
        <v>981</v>
      </c>
      <c r="D767" s="1" t="str">
        <f>'2023'!B164</f>
        <v>Hanne Benn</v>
      </c>
      <c r="F767" s="1">
        <f>'2023'!A164</f>
        <v>23163</v>
      </c>
      <c r="G767" s="33">
        <f>'2023'!C164</f>
        <v>45166</v>
      </c>
      <c r="H767" s="34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6" t="s">
        <v>1489</v>
      </c>
      <c r="B768" s="30">
        <v>20646004</v>
      </c>
      <c r="C768" s="27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3">
        <f>'2023'!C165</f>
        <v>45201</v>
      </c>
      <c r="H768" s="34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7"/>
      <c r="B769" s="30">
        <v>60247885</v>
      </c>
      <c r="C769" s="27" t="s">
        <v>983</v>
      </c>
      <c r="D769" s="1" t="str">
        <f>'2023'!B166</f>
        <v>Steen Birketoft</v>
      </c>
      <c r="F769" s="1">
        <f>'2023'!A166</f>
        <v>23165</v>
      </c>
      <c r="G769" s="33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7"/>
      <c r="B770" s="30">
        <v>1704848986</v>
      </c>
      <c r="C770" s="27" t="s">
        <v>985</v>
      </c>
      <c r="D770" s="1" t="str">
        <f>'2023'!B167</f>
        <v>Veit Bastian</v>
      </c>
      <c r="F770" s="1">
        <f>'2023'!A167</f>
        <v>23166</v>
      </c>
      <c r="G770" s="33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7"/>
      <c r="B771" s="30">
        <v>40929312</v>
      </c>
      <c r="C771" s="27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3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7"/>
      <c r="B772" s="30"/>
      <c r="C772" s="27" t="s">
        <v>988</v>
      </c>
      <c r="D772" s="1" t="str">
        <f>'2023'!B169</f>
        <v>Ronak Almass</v>
      </c>
      <c r="F772" s="1">
        <f>'2023'!A169</f>
        <v>23168</v>
      </c>
      <c r="G772" s="33">
        <f>'2023'!C169</f>
        <v>45180</v>
      </c>
      <c r="H772" s="34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7"/>
      <c r="B773" s="30">
        <v>42260945</v>
      </c>
      <c r="C773" s="27" t="s">
        <v>74</v>
      </c>
      <c r="D773" s="1" t="str">
        <f>'2023'!B170</f>
        <v>Tine Jensen</v>
      </c>
      <c r="F773" s="1">
        <f>'2023'!A170</f>
        <v>23169</v>
      </c>
      <c r="G773" s="33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7"/>
      <c r="B774" s="30">
        <v>40924609</v>
      </c>
      <c r="C774" s="27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3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7"/>
      <c r="B775" s="30"/>
      <c r="C775" s="27" t="s">
        <v>993</v>
      </c>
      <c r="D775" s="1" t="str">
        <f>'2023'!B172</f>
        <v>Bryan Saul</v>
      </c>
      <c r="F775" s="1">
        <f>'2023'!A172</f>
        <v>23171</v>
      </c>
      <c r="G775" s="33">
        <f>'2023'!C172</f>
        <v>45196</v>
      </c>
      <c r="H775" s="34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7"/>
      <c r="B776" s="30">
        <v>51172451</v>
      </c>
      <c r="C776" s="27" t="s">
        <v>995</v>
      </c>
      <c r="D776" s="1" t="str">
        <f>'2023'!B173</f>
        <v>Erik Friis</v>
      </c>
      <c r="F776" s="1">
        <f>'2023'!A173</f>
        <v>23172</v>
      </c>
      <c r="G776" s="33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7"/>
      <c r="B777" s="30">
        <v>40551985</v>
      </c>
      <c r="C777" s="27" t="s">
        <v>997</v>
      </c>
      <c r="D777" s="1" t="str">
        <f>'2023'!B174</f>
        <v>Peter Dessau</v>
      </c>
      <c r="F777" s="1">
        <f>'2023'!A174</f>
        <v>23173</v>
      </c>
      <c r="G777" s="33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7"/>
      <c r="B778" s="30">
        <v>507016258</v>
      </c>
      <c r="C778" s="27" t="s">
        <v>999</v>
      </c>
      <c r="D778" s="1" t="str">
        <f>'2023'!B175</f>
        <v>Marzenna Mazur</v>
      </c>
      <c r="F778" s="1">
        <f>'2023'!A175</f>
        <v>23174</v>
      </c>
      <c r="G778" s="33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7"/>
      <c r="B779" s="30">
        <v>23699409</v>
      </c>
      <c r="C779" s="27" t="s">
        <v>1001</v>
      </c>
      <c r="D779" s="1" t="str">
        <f>'2023'!B176</f>
        <v>Vibeke Dilling Hermansen</v>
      </c>
      <c r="F779" s="1">
        <f>'2023'!A176</f>
        <v>23175</v>
      </c>
      <c r="G779" s="33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6" t="s">
        <v>1212</v>
      </c>
      <c r="B780" s="30">
        <v>15774477815</v>
      </c>
      <c r="C780" s="27" t="s">
        <v>1003</v>
      </c>
      <c r="D780" s="1" t="str">
        <f>'2023'!B177</f>
        <v>Ulli Rettenmaier</v>
      </c>
      <c r="F780" s="1">
        <f>'2023'!A177</f>
        <v>23176</v>
      </c>
      <c r="G780" s="33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6" t="s">
        <v>6</v>
      </c>
      <c r="B781" s="30">
        <v>41515960</v>
      </c>
      <c r="C781" s="27" t="s">
        <v>7</v>
      </c>
      <c r="D781" s="1" t="str">
        <f>'2023'!B178</f>
        <v>Henrik Sørensen</v>
      </c>
      <c r="F781" s="1">
        <f>'2023'!A178</f>
        <v>23177</v>
      </c>
      <c r="G781" s="33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7"/>
      <c r="B782" s="30">
        <v>3603069075</v>
      </c>
      <c r="C782" s="27" t="s">
        <v>1005</v>
      </c>
      <c r="D782" s="1" t="str">
        <f>'2023'!B179</f>
        <v>Hanna Holly</v>
      </c>
      <c r="F782" s="1">
        <f>'2023'!A179</f>
        <v>23178</v>
      </c>
      <c r="G782" s="33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7"/>
      <c r="B783" s="30">
        <v>26323525</v>
      </c>
      <c r="C783" s="27" t="s">
        <v>1007</v>
      </c>
      <c r="D783" s="1" t="str">
        <f>'2023'!B180</f>
        <v>Claire Dixen</v>
      </c>
      <c r="F783" s="1">
        <f>'2023'!A180</f>
        <v>23179</v>
      </c>
      <c r="G783" s="33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7"/>
      <c r="B784" s="30">
        <v>28950207</v>
      </c>
      <c r="C784" s="27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3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7"/>
      <c r="B785" s="30"/>
      <c r="C785" s="27" t="s">
        <v>1010</v>
      </c>
      <c r="D785" s="1" t="str">
        <f>'2023'!B182</f>
        <v>Peter Bælum</v>
      </c>
      <c r="F785" s="1">
        <f>'2023'!A182</f>
        <v>23181</v>
      </c>
      <c r="G785" s="33">
        <f>'2023'!C182</f>
        <v>45219</v>
      </c>
      <c r="H785" s="34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7"/>
      <c r="B786" s="30">
        <v>42466464</v>
      </c>
      <c r="C786" s="27" t="s">
        <v>1493</v>
      </c>
      <c r="D786" s="1" t="s">
        <v>1494</v>
      </c>
      <c r="F786" s="1">
        <v>1175</v>
      </c>
      <c r="G786" s="33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6"/>
      <c r="B787" s="30">
        <v>71213799</v>
      </c>
      <c r="C787" s="27" t="s">
        <v>1495</v>
      </c>
      <c r="D787" s="1" t="s">
        <v>1496</v>
      </c>
      <c r="F787" s="1">
        <v>1176</v>
      </c>
      <c r="G787" s="33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6"/>
      <c r="B788" s="30">
        <v>23343068</v>
      </c>
      <c r="C788" s="27" t="s">
        <v>1497</v>
      </c>
      <c r="D788" s="1" t="s">
        <v>1498</v>
      </c>
      <c r="E788" s="1" t="s">
        <v>1499</v>
      </c>
      <c r="F788" s="1">
        <v>1177</v>
      </c>
      <c r="G788" s="33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6"/>
      <c r="B789" s="30">
        <v>20866251</v>
      </c>
      <c r="C789" s="27" t="s">
        <v>1500</v>
      </c>
      <c r="D789" s="1" t="s">
        <v>1501</v>
      </c>
      <c r="F789" s="1">
        <v>2176</v>
      </c>
      <c r="G789" s="33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7">
        <f>'2024'!M2</f>
        <v>0</v>
      </c>
      <c r="B790" s="30">
        <f>'2024'!N2</f>
        <v>0</v>
      </c>
      <c r="C790" s="27" t="s">
        <v>529</v>
      </c>
      <c r="D790" s="1" t="str">
        <f>'2024'!B2</f>
        <v>Gitte Bernhard</v>
      </c>
      <c r="F790" s="1">
        <f>'2024'!A2</f>
        <v>24001</v>
      </c>
      <c r="G790" s="33">
        <f>'2024'!C2</f>
        <v>45502</v>
      </c>
      <c r="H790" s="34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6" t="s">
        <v>6</v>
      </c>
      <c r="B791" s="30" t="str">
        <f>'2024'!N3</f>
        <v>41515960</v>
      </c>
      <c r="C791" s="27" t="s">
        <v>507</v>
      </c>
      <c r="D791" s="1" t="str">
        <f>'2024'!B3</f>
        <v>Henrik Sørensen</v>
      </c>
      <c r="F791" s="1">
        <f>'2024'!A3</f>
        <v>24002</v>
      </c>
      <c r="G791" s="33">
        <f>'2024'!C3</f>
        <v>45417</v>
      </c>
      <c r="H791" s="34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6" t="s">
        <v>6</v>
      </c>
      <c r="B792" s="30" t="str">
        <f>'2024'!N4</f>
        <v>41515960</v>
      </c>
      <c r="C792" s="27" t="s">
        <v>507</v>
      </c>
      <c r="D792" s="1" t="str">
        <f>'2024'!B4</f>
        <v>Henrik Sørensen</v>
      </c>
      <c r="F792" s="1">
        <f>'2024'!A4</f>
        <v>24003</v>
      </c>
      <c r="G792" s="33">
        <f>'2024'!C4</f>
        <v>45487</v>
      </c>
      <c r="H792" s="34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7" t="str">
        <f>'2024'!M5</f>
        <v>erpe67@gmail.com</v>
      </c>
      <c r="B793" s="30" t="str">
        <f>'2024'!N5</f>
        <v>22701312</v>
      </c>
      <c r="C793" s="27" t="s">
        <v>1502</v>
      </c>
      <c r="D793" s="1" t="str">
        <f>'2024'!B5</f>
        <v>Erik Petersen</v>
      </c>
      <c r="F793" s="1">
        <f>'2024'!A5</f>
        <v>24004</v>
      </c>
      <c r="G793" s="33">
        <f>'2024'!C5</f>
        <v>45479</v>
      </c>
      <c r="H793" s="34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7">
        <f>'2024'!M6</f>
        <v>0</v>
      </c>
      <c r="B794" s="30">
        <f>'2024'!N6</f>
        <v>0</v>
      </c>
      <c r="C794" s="27" t="s">
        <v>1016</v>
      </c>
      <c r="D794" s="1" t="str">
        <f>'2024'!B6</f>
        <v>Sonja Schulz</v>
      </c>
      <c r="F794" s="1">
        <f>'2024'!A6</f>
        <v>24005</v>
      </c>
      <c r="G794" s="33">
        <f>'2024'!C6</f>
        <v>45563</v>
      </c>
      <c r="H794" s="34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7">
        <f>'2024'!M7</f>
        <v>0</v>
      </c>
      <c r="B795" s="30" t="s">
        <v>1503</v>
      </c>
      <c r="C795" s="27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3">
        <f>'2024'!C7</f>
        <v>45461</v>
      </c>
      <c r="H795" s="34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7">
        <f>'2024'!M8</f>
        <v>0</v>
      </c>
      <c r="B796" s="30">
        <f>'2024'!N8</f>
        <v>0</v>
      </c>
      <c r="C796" s="27" t="s">
        <v>1421</v>
      </c>
      <c r="D796" s="1" t="str">
        <f>'2024'!B8</f>
        <v>Ralf Redlich</v>
      </c>
      <c r="F796" s="1">
        <f>'2024'!A8</f>
        <v>24007</v>
      </c>
      <c r="G796" s="33">
        <f>'2024'!C8</f>
        <v>45460</v>
      </c>
      <c r="H796" s="34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7" t="str">
        <f>'2024'!M9</f>
        <v>louisehjelmar@hotmail.com</v>
      </c>
      <c r="B797" s="30" t="str">
        <f>'2024'!N9</f>
        <v>20639517</v>
      </c>
      <c r="C797" s="27" t="s">
        <v>1023</v>
      </c>
      <c r="D797" s="1" t="str">
        <f>'2024'!B9</f>
        <v>Louise Hj Krøjgaard</v>
      </c>
      <c r="F797" s="1">
        <f>'2024'!A9</f>
        <v>24008</v>
      </c>
      <c r="G797" s="33">
        <f>'2024'!C9</f>
        <v>45480</v>
      </c>
      <c r="H797" s="34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7">
        <f>'2024'!M10</f>
        <v>0</v>
      </c>
      <c r="B798" s="30">
        <f>'2024'!N10</f>
        <v>0</v>
      </c>
      <c r="C798" s="27" t="s">
        <v>835</v>
      </c>
      <c r="D798" s="1" t="str">
        <f>'2024'!B10</f>
        <v>Maria Aa Løvenstrøm</v>
      </c>
      <c r="F798" s="1">
        <f>'2024'!A10</f>
        <v>24009</v>
      </c>
      <c r="G798" s="33">
        <f>'2024'!C10</f>
        <v>45519</v>
      </c>
      <c r="H798" s="34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7">
        <f>'2024'!M11</f>
        <v>0</v>
      </c>
      <c r="B799" s="30">
        <f>'2024'!N11</f>
        <v>0</v>
      </c>
      <c r="C799" s="27" t="s">
        <v>1027</v>
      </c>
      <c r="D799" s="1" t="str">
        <f>'2024'!B11</f>
        <v>Anette Jeppesen</v>
      </c>
      <c r="F799" s="1">
        <f>'2024'!A11</f>
        <v>24010</v>
      </c>
      <c r="G799" s="33">
        <f>'2024'!C11</f>
        <v>45427</v>
      </c>
      <c r="H799" s="34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7" t="str">
        <f>'2024'!M12</f>
        <v>cille7140@gmail.com</v>
      </c>
      <c r="B800" s="30">
        <f>'2024'!N12</f>
        <v>42272444</v>
      </c>
      <c r="C800" s="27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3">
        <f>'2024'!C12</f>
        <v>45473</v>
      </c>
      <c r="H800" s="34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7">
        <f>'2024'!M13</f>
        <v>0</v>
      </c>
      <c r="B801" s="30">
        <f>'2024'!N13</f>
        <v>0</v>
      </c>
      <c r="C801" s="27" t="s">
        <v>15</v>
      </c>
      <c r="D801" s="1" t="str">
        <f>'2024'!B13</f>
        <v>Dorte Strøm</v>
      </c>
      <c r="F801" s="1">
        <f>'2024'!A13</f>
        <v>24012</v>
      </c>
      <c r="G801" s="33">
        <f>'2024'!C13</f>
        <v>45553</v>
      </c>
      <c r="H801" s="34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7">
        <f>'2024'!M14</f>
        <v>0</v>
      </c>
      <c r="B802" s="30">
        <f>'2024'!N14</f>
        <v>0</v>
      </c>
      <c r="C802" s="27" t="s">
        <v>184</v>
      </c>
      <c r="D802" s="1" t="str">
        <f>'2024'!B14</f>
        <v>Niels E Rasmussen</v>
      </c>
      <c r="F802" s="1">
        <f>'2024'!A14</f>
        <v>24013</v>
      </c>
      <c r="G802" s="33">
        <f>'2024'!C14</f>
        <v>45423</v>
      </c>
      <c r="H802" s="34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7" t="str">
        <f>'2024'!M15</f>
        <v>ingo.krug@gmail.com</v>
      </c>
      <c r="B803" s="30" t="str">
        <f>'2024'!N15</f>
        <v>491794119596</v>
      </c>
      <c r="C803" s="27" t="s">
        <v>1506</v>
      </c>
      <c r="D803" s="1" t="str">
        <f>'2024'!B15</f>
        <v xml:space="preserve">Ingo Krug </v>
      </c>
      <c r="F803" s="1">
        <f>'2024'!A15</f>
        <v>24014</v>
      </c>
      <c r="G803" s="33">
        <f>'2024'!C15</f>
        <v>45486</v>
      </c>
      <c r="H803" s="34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7" t="str">
        <f>'2024'!M16</f>
        <v>gubbertsen@gmail.com</v>
      </c>
      <c r="B804" s="30" t="str">
        <f>'2024'!N16</f>
        <v>25582842</v>
      </c>
      <c r="C804" s="27" t="s">
        <v>50</v>
      </c>
      <c r="D804" s="1" t="str">
        <f>'2024'!B16</f>
        <v>Jan Gubbertsen</v>
      </c>
      <c r="F804" s="1">
        <f>'2024'!A16</f>
        <v>24015</v>
      </c>
      <c r="G804" s="33">
        <f>'2024'!C16</f>
        <v>45483</v>
      </c>
      <c r="H804" s="34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6" t="s">
        <v>1038</v>
      </c>
      <c r="B805" s="30">
        <f>'2024'!N17</f>
        <v>0</v>
      </c>
      <c r="C805" s="27" t="s">
        <v>726</v>
      </c>
      <c r="D805" s="1" t="s">
        <v>418</v>
      </c>
      <c r="E805" s="1" t="s">
        <v>417</v>
      </c>
      <c r="F805" s="1">
        <f>'2024'!A17</f>
        <v>24016</v>
      </c>
      <c r="G805" s="33">
        <f>'2024'!C17</f>
        <v>45454</v>
      </c>
      <c r="H805" s="34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7">
        <f>'2024'!M18</f>
        <v>0</v>
      </c>
      <c r="B806" s="30" t="s">
        <v>1507</v>
      </c>
      <c r="C806" s="27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3">
        <f>'2024'!C18</f>
        <v>45453</v>
      </c>
      <c r="H806" s="34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7">
        <f>'2024'!M19</f>
        <v>0</v>
      </c>
      <c r="B807" s="30">
        <f>'2024'!N19</f>
        <v>0</v>
      </c>
      <c r="C807" s="27" t="s">
        <v>128</v>
      </c>
      <c r="D807" s="1" t="str">
        <f>'2024'!B19</f>
        <v>Trine Baun</v>
      </c>
      <c r="F807" s="1">
        <f>'2024'!A19</f>
        <v>24018</v>
      </c>
      <c r="G807" s="33">
        <f>'2024'!C19</f>
        <v>45519</v>
      </c>
      <c r="H807" s="34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6" t="s">
        <v>1040</v>
      </c>
      <c r="B808" s="30">
        <v>22280789</v>
      </c>
      <c r="C808" s="27" t="s">
        <v>1041</v>
      </c>
      <c r="D808" s="1" t="str">
        <f>'2024'!B20</f>
        <v>Hanne Rene</v>
      </c>
      <c r="F808" s="1">
        <f>'2024'!A20</f>
        <v>24019</v>
      </c>
      <c r="G808" s="33">
        <f>'2024'!C20</f>
        <v>45454</v>
      </c>
      <c r="H808" s="34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7">
        <f>'2024'!M21</f>
        <v>0</v>
      </c>
      <c r="B809" s="30">
        <f>'2024'!N21</f>
        <v>0</v>
      </c>
      <c r="C809" s="27" t="s">
        <v>622</v>
      </c>
      <c r="D809" s="1" t="str">
        <f>'2024'!B21</f>
        <v>Grete Bossenmeyer</v>
      </c>
      <c r="F809" s="1">
        <f>'2024'!A21</f>
        <v>24020</v>
      </c>
      <c r="G809" s="33">
        <f>'2024'!C21</f>
        <v>45452</v>
      </c>
      <c r="H809" s="34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7">
        <f>'2024'!M22</f>
        <v>0</v>
      </c>
      <c r="B810" s="30">
        <f>'2024'!N22</f>
        <v>0</v>
      </c>
      <c r="C810" s="27" t="s">
        <v>54</v>
      </c>
      <c r="D810" s="1" t="str">
        <f>'2024'!B22</f>
        <v>Bo Rosschou</v>
      </c>
      <c r="F810" s="1">
        <f>'2024'!A22</f>
        <v>24021</v>
      </c>
      <c r="G810" s="33">
        <f>'2024'!C22</f>
        <v>45454</v>
      </c>
      <c r="H810" s="34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7">
        <f>'2024'!M23</f>
        <v>0</v>
      </c>
      <c r="B811" s="30">
        <f>'2024'!N23</f>
        <v>0</v>
      </c>
      <c r="C811" s="27" t="s">
        <v>1044</v>
      </c>
      <c r="D811" s="1" t="str">
        <f>'2024'!B23</f>
        <v>Peter Rademacher</v>
      </c>
      <c r="F811" s="1">
        <f>'2024'!A23</f>
        <v>24022</v>
      </c>
      <c r="G811" s="33">
        <f>'2024'!C23</f>
        <v>45435</v>
      </c>
      <c r="H811" s="34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7">
        <f>'2024'!M24</f>
        <v>0</v>
      </c>
      <c r="B812" s="30" t="str">
        <f>'2024'!N24</f>
        <v>736700686</v>
      </c>
      <c r="C812" s="27" t="s">
        <v>1047</v>
      </c>
      <c r="D812" s="1" t="str">
        <f>'2024'!B24</f>
        <v>Cecilia B. lofgren</v>
      </c>
      <c r="F812" s="1">
        <f>'2024'!A24</f>
        <v>24023</v>
      </c>
      <c r="G812" s="33">
        <f>'2024'!C24</f>
        <v>45495</v>
      </c>
      <c r="H812" s="34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7">
        <f>'2024'!M25</f>
        <v>0</v>
      </c>
      <c r="B813" s="30" t="str">
        <f>'2024'!N25</f>
        <v>705648220</v>
      </c>
      <c r="C813" s="27" t="s">
        <v>1050</v>
      </c>
      <c r="D813" s="1" t="str">
        <f>'2024'!B25</f>
        <v>Patrik Widstrand</v>
      </c>
      <c r="F813" s="1">
        <f>'2024'!A25</f>
        <v>24024</v>
      </c>
      <c r="G813" s="33">
        <f>'2024'!C25</f>
        <v>45500</v>
      </c>
      <c r="H813" s="34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7">
        <f>'2024'!M26</f>
        <v>0</v>
      </c>
      <c r="B814" s="30">
        <f>'2024'!N26</f>
        <v>0</v>
      </c>
      <c r="C814" s="27" t="s">
        <v>158</v>
      </c>
      <c r="D814" s="1" t="str">
        <f>'2024'!B26</f>
        <v>Janne Malberg</v>
      </c>
      <c r="F814" s="1">
        <f>'2024'!A26</f>
        <v>24025</v>
      </c>
      <c r="G814" s="33">
        <f>'2024'!C26</f>
        <v>45421</v>
      </c>
      <c r="H814" s="34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7">
        <f>'2024'!M27</f>
        <v>0</v>
      </c>
      <c r="B815" s="30">
        <f>'2024'!N27</f>
        <v>0</v>
      </c>
      <c r="C815" s="27" t="s">
        <v>1052</v>
      </c>
      <c r="D815" s="1" t="str">
        <f>'2024'!B27</f>
        <v>Jonasen Maibrith</v>
      </c>
      <c r="F815" s="1">
        <f>'2024'!A27</f>
        <v>24026</v>
      </c>
      <c r="G815" s="33">
        <f>'2024'!C27</f>
        <v>45446</v>
      </c>
      <c r="H815" s="34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7">
        <f>'2024'!M28</f>
        <v>0</v>
      </c>
      <c r="B816" s="30">
        <f>'2024'!N28</f>
        <v>0</v>
      </c>
      <c r="C816" s="27" t="s">
        <v>826</v>
      </c>
      <c r="D816" s="1" t="str">
        <f>'2024'!B28</f>
        <v>Tina Kisbye</v>
      </c>
      <c r="F816" s="1">
        <f>'2024'!A28</f>
        <v>24027</v>
      </c>
      <c r="G816" s="33">
        <f>'2024'!C28</f>
        <v>45421</v>
      </c>
      <c r="H816" s="34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7">
        <f>'2024'!M29</f>
        <v>0</v>
      </c>
      <c r="B817" s="30">
        <f>'2024'!N29</f>
        <v>0</v>
      </c>
      <c r="C817" s="27" t="s">
        <v>845</v>
      </c>
      <c r="D817" s="1" t="str">
        <f>'2024'!B29</f>
        <v>Yngvar Helvik</v>
      </c>
      <c r="F817" s="1">
        <f>'2024'!A29</f>
        <v>24028</v>
      </c>
      <c r="G817" s="33">
        <f>'2024'!C29</f>
        <v>45434</v>
      </c>
      <c r="H817" s="34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7">
        <f>'2024'!M30</f>
        <v>0</v>
      </c>
      <c r="B818" s="30">
        <f>'2024'!N30</f>
        <v>0</v>
      </c>
      <c r="C818" s="27" t="s">
        <v>1056</v>
      </c>
      <c r="D818" s="1" t="str">
        <f>'2024'!B30</f>
        <v>Stine Brehmer</v>
      </c>
      <c r="F818" s="1">
        <f>'2024'!A30</f>
        <v>24029</v>
      </c>
      <c r="G818" s="33">
        <f>'2024'!C30</f>
        <v>45519</v>
      </c>
      <c r="H818" s="34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7">
        <f>'2024'!M31</f>
        <v>0</v>
      </c>
      <c r="B819" s="30">
        <f>'2024'!N31</f>
        <v>29646590</v>
      </c>
      <c r="C819" s="27" t="s">
        <v>125</v>
      </c>
      <c r="D819" s="1" t="str">
        <f>'2024'!B31</f>
        <v>Claus Brunings-Hansen</v>
      </c>
      <c r="F819" s="1">
        <f>'2024'!A31</f>
        <v>24030</v>
      </c>
      <c r="G819" s="33">
        <f>'2024'!C31</f>
        <v>45475</v>
      </c>
      <c r="H819" s="34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7">
        <f>'2024'!M32</f>
        <v>0</v>
      </c>
      <c r="B820" s="30">
        <f>'2024'!N32</f>
        <v>0</v>
      </c>
      <c r="C820" s="27" t="s">
        <v>1059</v>
      </c>
      <c r="D820" s="1" t="str">
        <f>'2024'!B32</f>
        <v>Camilla Lorqvist</v>
      </c>
      <c r="F820" s="1">
        <f>'2024'!A32</f>
        <v>24031</v>
      </c>
      <c r="G820" s="33">
        <f>'2024'!C32</f>
        <v>45462</v>
      </c>
      <c r="H820" s="34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7">
        <f>'2024'!M33</f>
        <v>0</v>
      </c>
      <c r="B821" s="30">
        <f>'2024'!N33</f>
        <v>17649774638</v>
      </c>
      <c r="C821" s="27" t="s">
        <v>1061</v>
      </c>
      <c r="D821" s="1" t="str">
        <f>'2024'!B33</f>
        <v>Jutta Kugler</v>
      </c>
      <c r="F821" s="1">
        <f>'2024'!A33</f>
        <v>24032</v>
      </c>
      <c r="G821" s="33">
        <f>'2024'!C33</f>
        <v>45465</v>
      </c>
      <c r="H821" s="34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7">
        <f>'2024'!M34</f>
        <v>0</v>
      </c>
      <c r="B822" s="30">
        <f>'2024'!N34</f>
        <v>0</v>
      </c>
      <c r="C822" s="27" t="s">
        <v>1063</v>
      </c>
      <c r="D822" s="1" t="str">
        <f>'2024'!B34</f>
        <v>Slawomir Zacharek</v>
      </c>
      <c r="F822" s="1">
        <f>'2024'!A34</f>
        <v>24033</v>
      </c>
      <c r="G822" s="33">
        <f>'2024'!C34</f>
        <v>45474</v>
      </c>
      <c r="H822" s="34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7" t="str">
        <f>'2024'!M35</f>
        <v>mikaelholst@newmail.dk</v>
      </c>
      <c r="B823" s="30" t="str">
        <f>'2024'!N35</f>
        <v>40474386</v>
      </c>
      <c r="C823" s="27" t="s">
        <v>1508</v>
      </c>
      <c r="D823" s="1" t="str">
        <f>'2024'!B35</f>
        <v>Mikael Holst</v>
      </c>
      <c r="F823" s="1">
        <f>'2024'!A35</f>
        <v>24034</v>
      </c>
      <c r="G823" s="33">
        <f>'2024'!C35</f>
        <v>45513</v>
      </c>
      <c r="H823" s="34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6" t="s">
        <v>1068</v>
      </c>
      <c r="B824" s="30" t="s">
        <v>1509</v>
      </c>
      <c r="C824" s="27" t="s">
        <v>1502</v>
      </c>
      <c r="D824" s="1" t="s">
        <v>126</v>
      </c>
      <c r="E824" s="1" t="s">
        <v>1069</v>
      </c>
      <c r="F824" s="1">
        <f>'2024'!A36</f>
        <v>24035</v>
      </c>
      <c r="G824" s="33">
        <f>'2024'!C36</f>
        <v>45454</v>
      </c>
      <c r="H824" s="34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7">
        <f>'2024'!M37</f>
        <v>0</v>
      </c>
      <c r="B825" s="30">
        <f>'2024'!N37</f>
        <v>0</v>
      </c>
      <c r="C825" s="27" t="s">
        <v>1070</v>
      </c>
      <c r="D825" s="1" t="str">
        <f>'2024'!B37</f>
        <v>camilla Hertz Dalsjø</v>
      </c>
      <c r="F825" s="1">
        <f>'2024'!A37</f>
        <v>24036</v>
      </c>
      <c r="G825" s="33">
        <f>'2024'!C37</f>
        <v>45516</v>
      </c>
      <c r="H825" s="34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7">
        <f>'2024'!M38</f>
        <v>0</v>
      </c>
      <c r="B826" s="30">
        <f>'2024'!N38</f>
        <v>0</v>
      </c>
      <c r="C826" s="27" t="s">
        <v>1510</v>
      </c>
      <c r="D826" s="1" t="str">
        <f>'2024'!B38</f>
        <v>Ken</v>
      </c>
      <c r="F826" s="1">
        <f>'2024'!A38</f>
        <v>24037</v>
      </c>
      <c r="G826" s="33">
        <f>'2024'!C38</f>
        <v>45529</v>
      </c>
      <c r="H826" s="34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7">
        <f>'2024'!M39</f>
        <v>0</v>
      </c>
      <c r="B827" s="30">
        <f>'2024'!N39</f>
        <v>0</v>
      </c>
      <c r="C827" s="27" t="s">
        <v>632</v>
      </c>
      <c r="D827" s="1" t="str">
        <f>'2024'!B39</f>
        <v>Arne Sahlstedt</v>
      </c>
      <c r="F827" s="1">
        <f>'2024'!A39</f>
        <v>24038</v>
      </c>
      <c r="G827" s="33">
        <f>'2024'!C39</f>
        <v>45446</v>
      </c>
      <c r="H827" s="34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7">
        <f>'2024'!M40</f>
        <v>0</v>
      </c>
      <c r="B828" s="30">
        <f>'2024'!N40</f>
        <v>0</v>
      </c>
      <c r="C828" s="27" t="s">
        <v>1074</v>
      </c>
      <c r="D828" s="1" t="str">
        <f>'2024'!B40</f>
        <v>Silvia-Elke Knaack</v>
      </c>
      <c r="F828" s="1">
        <f>'2024'!A40</f>
        <v>24039</v>
      </c>
      <c r="G828" s="33">
        <f>'2024'!C40</f>
        <v>45442</v>
      </c>
      <c r="H828" s="34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7">
        <f>'2024'!M41</f>
        <v>0</v>
      </c>
      <c r="B829" s="30" t="str">
        <f>'2024'!N41</f>
        <v>01637615160</v>
      </c>
      <c r="C829" s="27" t="s">
        <v>1077</v>
      </c>
      <c r="D829" s="1" t="str">
        <f>'2024'!B41</f>
        <v>Petra Wiesmann-Trawny</v>
      </c>
      <c r="F829" s="1">
        <f>'2024'!A41</f>
        <v>24040</v>
      </c>
      <c r="G829" s="33">
        <f>'2024'!C41</f>
        <v>45488</v>
      </c>
      <c r="H829" s="34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7">
        <f>'2024'!M42</f>
        <v>0</v>
      </c>
      <c r="B830" s="30">
        <f>'2024'!N42</f>
        <v>0</v>
      </c>
      <c r="C830" s="27" t="s">
        <v>973</v>
      </c>
      <c r="D830" s="1" t="str">
        <f>'2024'!B42</f>
        <v>Stig Prehn</v>
      </c>
      <c r="F830" s="1">
        <f>'2024'!A42</f>
        <v>24041</v>
      </c>
      <c r="G830" s="33">
        <f>'2024'!C42</f>
        <v>45448</v>
      </c>
      <c r="H830" s="34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7">
        <f>'2024'!M43</f>
        <v>0</v>
      </c>
      <c r="B831" s="30" t="str">
        <f>'2024'!N43</f>
        <v>60150136</v>
      </c>
      <c r="C831" s="27" t="s">
        <v>1082</v>
      </c>
      <c r="D831" s="1" t="str">
        <f>'2024'!B43</f>
        <v>Klaus Høybye</v>
      </c>
      <c r="F831" s="1">
        <f>'2024'!A43</f>
        <v>24042</v>
      </c>
      <c r="G831" s="33">
        <f>'2024'!C43</f>
        <v>45486</v>
      </c>
      <c r="H831" s="34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7">
        <f>'2024'!M44</f>
        <v>0</v>
      </c>
      <c r="B832" s="30">
        <f>'2024'!N44</f>
        <v>0</v>
      </c>
      <c r="C832" s="27" t="s">
        <v>1084</v>
      </c>
      <c r="D832" s="1" t="str">
        <f>'2024'!B44</f>
        <v>Tina Degn</v>
      </c>
      <c r="F832" s="1">
        <f>'2024'!A44</f>
        <v>24043</v>
      </c>
      <c r="G832" s="33">
        <f>'2024'!C44</f>
        <v>45472</v>
      </c>
      <c r="H832" s="34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7">
        <f>'2024'!M45</f>
        <v>0</v>
      </c>
      <c r="B833" s="30">
        <f>'2024'!N45</f>
        <v>0</v>
      </c>
      <c r="C833" s="27" t="s">
        <v>242</v>
      </c>
      <c r="D833" s="1" t="str">
        <f>'2024'!B45</f>
        <v>Vinnie Krogh</v>
      </c>
      <c r="F833" s="1">
        <f>'2024'!A45</f>
        <v>24044</v>
      </c>
      <c r="G833" s="33">
        <f>'2024'!C45</f>
        <v>45446</v>
      </c>
      <c r="H833" s="34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7">
        <f>'2024'!M46</f>
        <v>0</v>
      </c>
      <c r="B834" s="30">
        <f>'2024'!N46</f>
        <v>1705647547</v>
      </c>
      <c r="C834" s="27" t="s">
        <v>1086</v>
      </c>
      <c r="D834" s="1" t="str">
        <f>'2024'!B46</f>
        <v>Karin Meixner</v>
      </c>
      <c r="F834" s="1">
        <f>'2024'!A46</f>
        <v>24045</v>
      </c>
      <c r="G834" s="33">
        <f>'2024'!C46</f>
        <v>45439</v>
      </c>
      <c r="H834" s="34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7">
        <f>'2024'!M47</f>
        <v>0</v>
      </c>
      <c r="B835" s="30" t="str">
        <f>'2024'!N47</f>
        <v>21261488</v>
      </c>
      <c r="C835" s="27" t="s">
        <v>63</v>
      </c>
      <c r="D835" s="1" t="str">
        <f>'2024'!B47</f>
        <v>Martin Simonsen</v>
      </c>
      <c r="F835" s="1">
        <f>'2024'!A47</f>
        <v>24046</v>
      </c>
      <c r="G835" s="33">
        <f>'2024'!C47</f>
        <v>45495</v>
      </c>
      <c r="H835" s="34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7">
        <f>'2024'!M48</f>
        <v>0</v>
      </c>
      <c r="B836" s="30">
        <f>'2024'!N48</f>
        <v>0</v>
      </c>
      <c r="C836" s="27" t="s">
        <v>1091</v>
      </c>
      <c r="D836" s="1" t="str">
        <f>'2024'!B48</f>
        <v>Anne Braad</v>
      </c>
      <c r="F836" s="1">
        <f>'2024'!A48</f>
        <v>24047</v>
      </c>
      <c r="G836" s="33">
        <f>'2024'!C48</f>
        <v>45495</v>
      </c>
      <c r="H836" s="34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7" t="str">
        <f>'2024'!M49</f>
        <v>pija@mail.tele.dk</v>
      </c>
      <c r="B837" s="30">
        <f>'2024'!N49</f>
        <v>61793423</v>
      </c>
      <c r="C837" s="27" t="s">
        <v>189</v>
      </c>
      <c r="D837" s="1" t="str">
        <f>'2024'!B49</f>
        <v>Jan Andersen</v>
      </c>
      <c r="F837" s="1">
        <f>'2024'!A49</f>
        <v>24048</v>
      </c>
      <c r="G837" s="33">
        <f>'2024'!C49</f>
        <v>45467</v>
      </c>
      <c r="H837" s="34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7">
        <f>'2024'!M50</f>
        <v>0</v>
      </c>
      <c r="B838" s="30">
        <f>'2024'!N50</f>
        <v>0</v>
      </c>
      <c r="C838" s="27" t="s">
        <v>1095</v>
      </c>
      <c r="D838" s="1" t="str">
        <f>'2024'!B50</f>
        <v>Lars Diderrichsen</v>
      </c>
      <c r="F838" s="1">
        <f>'2024'!A50</f>
        <v>24049</v>
      </c>
      <c r="G838" s="33">
        <f>'2024'!C50</f>
        <v>45494</v>
      </c>
      <c r="H838" s="34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7">
        <f>'2024'!M51</f>
        <v>0</v>
      </c>
      <c r="B839" s="30">
        <f>'2024'!N51</f>
        <v>0</v>
      </c>
      <c r="C839" s="27" t="s">
        <v>1097</v>
      </c>
      <c r="D839" s="1" t="str">
        <f>'2024'!B51</f>
        <v>Haye Westendorp</v>
      </c>
      <c r="F839" s="1">
        <f>'2024'!A51</f>
        <v>24050</v>
      </c>
      <c r="G839" s="33">
        <f>'2024'!C51</f>
        <v>45511</v>
      </c>
      <c r="H839" s="34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7">
        <f>'2024'!M52</f>
        <v>0</v>
      </c>
      <c r="B840" s="30">
        <f>'2024'!N52</f>
        <v>0</v>
      </c>
      <c r="C840" s="27" t="s">
        <v>1099</v>
      </c>
      <c r="D840" s="1" t="str">
        <f>'2024'!B52</f>
        <v>Thibaut Mouly</v>
      </c>
      <c r="F840" s="1">
        <f>'2024'!A52</f>
        <v>24051</v>
      </c>
      <c r="G840" s="33">
        <f>'2024'!C52</f>
        <v>45414</v>
      </c>
      <c r="H840" s="34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7">
        <f>'2024'!M53</f>
        <v>0</v>
      </c>
      <c r="B841" s="30">
        <f>'2024'!N53</f>
        <v>0</v>
      </c>
      <c r="C841" s="27" t="s">
        <v>481</v>
      </c>
      <c r="D841" s="1" t="str">
        <f>'2024'!B53</f>
        <v>Hans-Dieter Lange</v>
      </c>
      <c r="F841" s="1">
        <f>'2024'!A53</f>
        <v>24052</v>
      </c>
      <c r="G841" s="33">
        <f>'2024'!C53</f>
        <v>45442</v>
      </c>
      <c r="H841" s="34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7">
        <f>'2024'!M54</f>
        <v>0</v>
      </c>
      <c r="B842" s="30">
        <f>'2024'!N54</f>
        <v>0</v>
      </c>
      <c r="C842" s="27" t="s">
        <v>379</v>
      </c>
      <c r="D842" s="1" t="str">
        <f>'2024'!B54</f>
        <v>Peter Petersen</v>
      </c>
      <c r="F842" s="1">
        <f>'2024'!A54</f>
        <v>24053</v>
      </c>
      <c r="G842" s="33">
        <f>'2024'!C54</f>
        <v>45434</v>
      </c>
      <c r="H842" s="34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7">
        <f>'2024'!M55</f>
        <v>0</v>
      </c>
      <c r="B843" s="30">
        <f>'2024'!N55</f>
        <v>0</v>
      </c>
      <c r="C843" s="27" t="s">
        <v>839</v>
      </c>
      <c r="D843" s="1" t="str">
        <f>'2024'!B55</f>
        <v>Josepha Schettler</v>
      </c>
      <c r="F843" s="1">
        <f>'2024'!A55</f>
        <v>24054</v>
      </c>
      <c r="G843" s="33">
        <f>'2024'!C55</f>
        <v>45439</v>
      </c>
      <c r="H843" s="34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7">
        <f>'2024'!M56</f>
        <v>0</v>
      </c>
      <c r="B844" s="30">
        <f>'2024'!N56</f>
        <v>0</v>
      </c>
      <c r="C844" s="27" t="s">
        <v>1104</v>
      </c>
      <c r="D844" s="1" t="str">
        <f>'2024'!B56</f>
        <v>Lene Bysted</v>
      </c>
      <c r="F844" s="1">
        <f>'2024'!A56</f>
        <v>24055</v>
      </c>
      <c r="G844" s="33">
        <f>'2024'!C56</f>
        <v>45432</v>
      </c>
      <c r="H844" s="34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7">
        <f>'2024'!M57</f>
        <v>0</v>
      </c>
      <c r="B845" s="30">
        <f>'2024'!N57</f>
        <v>0</v>
      </c>
      <c r="C845" s="27" t="s">
        <v>1105</v>
      </c>
      <c r="D845" s="1" t="str">
        <f>'2024'!B57</f>
        <v>Iben Munk</v>
      </c>
      <c r="F845" s="1">
        <f>'2024'!A57</f>
        <v>24056</v>
      </c>
      <c r="G845" s="33">
        <f>'2024'!C57</f>
        <v>45516</v>
      </c>
      <c r="H845" s="34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7">
        <f>'2024'!M58</f>
        <v>0</v>
      </c>
      <c r="B846" s="30">
        <f>'2024'!N58</f>
        <v>0</v>
      </c>
      <c r="C846" s="27" t="s">
        <v>1109</v>
      </c>
      <c r="D846" s="1" t="str">
        <f>'2024'!B58</f>
        <v xml:space="preserve">Carsten </v>
      </c>
      <c r="F846" s="1">
        <f>'2024'!A58</f>
        <v>24057</v>
      </c>
      <c r="G846" s="33">
        <f>'2024'!C58</f>
        <v>45524</v>
      </c>
      <c r="H846" s="34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7">
        <f>'2024'!M59</f>
        <v>0</v>
      </c>
      <c r="B847" s="30">
        <f>'2024'!N59</f>
        <v>0</v>
      </c>
      <c r="C847" s="27" t="s">
        <v>1511</v>
      </c>
      <c r="D847" s="1" t="str">
        <f>'2024'!B59</f>
        <v>Erik Friis</v>
      </c>
      <c r="F847" s="1">
        <f>'2024'!A59</f>
        <v>24058</v>
      </c>
      <c r="G847" s="33">
        <f>'2024'!C59</f>
        <v>45548</v>
      </c>
      <c r="H847" s="34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7">
        <f>'2024'!M60</f>
        <v>0</v>
      </c>
      <c r="B848" s="30" t="str">
        <f>'2024'!N60</f>
        <v>28878840</v>
      </c>
      <c r="C848" s="27" t="s">
        <v>1112</v>
      </c>
      <c r="D848" s="1" t="str">
        <f>'2024'!B60</f>
        <v>Mette Thomsen</v>
      </c>
      <c r="F848" s="1">
        <f>'2024'!A60</f>
        <v>24059</v>
      </c>
      <c r="G848" s="33">
        <f>'2024'!C60</f>
        <v>45492</v>
      </c>
      <c r="H848" s="34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7">
        <f>'2024'!M61</f>
        <v>0</v>
      </c>
      <c r="B849" s="30">
        <f>'2024'!N61</f>
        <v>42911647</v>
      </c>
      <c r="C849" s="27" t="s">
        <v>296</v>
      </c>
      <c r="D849" s="1" t="str">
        <f>'2024'!B61</f>
        <v>Kjeld Vang-Olsen</v>
      </c>
      <c r="F849" s="1">
        <f>'2024'!A61</f>
        <v>24060</v>
      </c>
      <c r="G849" s="33">
        <f>'2024'!C61</f>
        <v>45464</v>
      </c>
      <c r="H849" s="34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7">
        <f>'2024'!M62</f>
        <v>0</v>
      </c>
      <c r="B850" s="30">
        <f>'2024'!N62</f>
        <v>22604864</v>
      </c>
      <c r="C850" s="27" t="s">
        <v>1115</v>
      </c>
      <c r="D850" s="1" t="str">
        <f>'2024'!B62</f>
        <v>Mette Øster</v>
      </c>
      <c r="F850" s="1">
        <f>'2024'!A62</f>
        <v>24061</v>
      </c>
      <c r="G850" s="33">
        <f>'2024'!C62</f>
        <v>45480</v>
      </c>
      <c r="H850" s="34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7">
        <f>'2024'!M63</f>
        <v>0</v>
      </c>
      <c r="B851" s="30">
        <f>'2024'!N63</f>
        <v>0</v>
      </c>
      <c r="C851" s="27" t="s">
        <v>565</v>
      </c>
      <c r="D851" s="1" t="str">
        <f>'2024'!B63</f>
        <v>Christer Johansson</v>
      </c>
      <c r="F851" s="1">
        <f>'2024'!A63</f>
        <v>24062</v>
      </c>
      <c r="G851" s="33">
        <f>'2024'!C63</f>
        <v>45502</v>
      </c>
      <c r="H851" s="34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7">
        <f>'2024'!M64</f>
        <v>0</v>
      </c>
      <c r="B852" s="30">
        <f>'2024'!N64</f>
        <v>0</v>
      </c>
      <c r="C852" s="27" t="s">
        <v>7</v>
      </c>
      <c r="D852" s="1" t="str">
        <f>'2024'!B64</f>
        <v>Lars Sørensen</v>
      </c>
      <c r="F852" s="1">
        <f>'2024'!A64</f>
        <v>24063</v>
      </c>
      <c r="G852" s="33">
        <f>'2024'!C64</f>
        <v>45533</v>
      </c>
      <c r="H852" s="34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7" t="str">
        <f>'2024'!M65</f>
        <v>missmahia@hotmail.com</v>
      </c>
      <c r="B853" s="30" t="str">
        <f>'2024'!N65</f>
        <v>27570750</v>
      </c>
      <c r="C853" s="27" t="s">
        <v>897</v>
      </c>
      <c r="D853" s="1" t="str">
        <f>'2024'!B65</f>
        <v>Maria Bendixø-Bendixen</v>
      </c>
      <c r="F853" s="1">
        <f>'2024'!A65</f>
        <v>24064</v>
      </c>
      <c r="G853" s="33">
        <f>'2024'!C65</f>
        <v>45506</v>
      </c>
      <c r="H853" s="34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7">
        <f>'2024'!M66</f>
        <v>0</v>
      </c>
      <c r="B854" s="30">
        <f>'2024'!N66</f>
        <v>0</v>
      </c>
      <c r="C854" s="27" t="s">
        <v>1121</v>
      </c>
      <c r="D854" s="1" t="str">
        <f>'2024'!B66</f>
        <v>Olaf Hannemann</v>
      </c>
      <c r="F854" s="1">
        <f>'2024'!A66</f>
        <v>24065</v>
      </c>
      <c r="G854" s="33">
        <f>'2024'!C66</f>
        <v>45560</v>
      </c>
      <c r="H854" s="34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7">
        <f>'2024'!M67</f>
        <v>0</v>
      </c>
      <c r="B855" s="30">
        <f>'2024'!N67</f>
        <v>5731981212</v>
      </c>
      <c r="C855" s="27" t="s">
        <v>1123</v>
      </c>
      <c r="D855" s="1" t="str">
        <f>'2024'!B67</f>
        <v>Andre Hostmann</v>
      </c>
      <c r="F855" s="1">
        <f>'2024'!A67</f>
        <v>24066</v>
      </c>
      <c r="G855" s="33">
        <f>'2024'!C67</f>
        <v>45438</v>
      </c>
      <c r="H855" s="34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7">
        <f>'2024'!M68</f>
        <v>0</v>
      </c>
      <c r="B856" s="30">
        <f>'2024'!N68</f>
        <v>0</v>
      </c>
      <c r="C856" s="27" t="s">
        <v>1125</v>
      </c>
      <c r="D856" s="1" t="str">
        <f>'2024'!B68</f>
        <v>Hara Dvinge</v>
      </c>
      <c r="F856" s="1">
        <f>'2024'!A68</f>
        <v>24067</v>
      </c>
      <c r="G856" s="33">
        <f>'2024'!C68</f>
        <v>45415</v>
      </c>
      <c r="H856" s="34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7">
        <f>'2024'!M69</f>
        <v>0</v>
      </c>
      <c r="B857" s="30">
        <f>'2024'!N69</f>
        <v>46707296990</v>
      </c>
      <c r="C857" s="27" t="s">
        <v>863</v>
      </c>
      <c r="D857" s="1" t="str">
        <f>'2024'!B69</f>
        <v>Jonas Svensson</v>
      </c>
      <c r="F857" s="1">
        <f>'2024'!A69</f>
        <v>24068</v>
      </c>
      <c r="G857" s="33">
        <f>'2024'!C69</f>
        <v>45436</v>
      </c>
      <c r="H857" s="34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7">
        <f>'2024'!M70</f>
        <v>0</v>
      </c>
      <c r="B858" s="30">
        <f>'2024'!N70</f>
        <v>0</v>
      </c>
      <c r="C858" s="27" t="s">
        <v>1128</v>
      </c>
      <c r="D858" s="1" t="str">
        <f>'2024'!B70</f>
        <v>Ole Christophersen</v>
      </c>
      <c r="F858" s="1">
        <f>'2024'!A70</f>
        <v>24069</v>
      </c>
      <c r="G858" s="33">
        <f>'2024'!C70</f>
        <v>45523</v>
      </c>
      <c r="H858" s="34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7">
        <f>'2024'!M71</f>
        <v>0</v>
      </c>
      <c r="B859" s="30">
        <f>'2024'!N71</f>
        <v>0</v>
      </c>
      <c r="C859" s="27" t="s">
        <v>765</v>
      </c>
      <c r="D859" s="1" t="str">
        <f>'2024'!B71</f>
        <v>Annette Aronsson</v>
      </c>
      <c r="F859" s="1">
        <f>'2024'!A71</f>
        <v>24070</v>
      </c>
      <c r="G859" s="33">
        <f>'2024'!C71</f>
        <v>45468</v>
      </c>
      <c r="H859" s="34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7">
        <f>'2024'!M72</f>
        <v>0</v>
      </c>
      <c r="B860" s="30" t="str">
        <f>'2024'!N72</f>
        <v>310651408495</v>
      </c>
      <c r="C860" s="27" t="s">
        <v>1132</v>
      </c>
      <c r="D860" s="1" t="str">
        <f>'2024'!B72</f>
        <v>Juliette Driessen</v>
      </c>
      <c r="F860" s="1">
        <f>'2024'!A72</f>
        <v>24071</v>
      </c>
      <c r="G860" s="33">
        <f>'2024'!C72</f>
        <v>45511</v>
      </c>
      <c r="H860" s="34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7">
        <f>'2024'!M73</f>
        <v>0</v>
      </c>
      <c r="B861" s="30">
        <f>'2024'!N73</f>
        <v>0</v>
      </c>
      <c r="C861" s="27" t="s">
        <v>1134</v>
      </c>
      <c r="D861" s="1" t="str">
        <f>'2024'!B73</f>
        <v>Sandra Brøns</v>
      </c>
      <c r="F861" s="1">
        <f>'2024'!A73</f>
        <v>24072</v>
      </c>
      <c r="G861" s="33">
        <f>'2024'!C73</f>
        <v>45421</v>
      </c>
      <c r="H861" s="34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7" t="str">
        <f>'2024'!M74</f>
        <v>tsomberg@gmail.com</v>
      </c>
      <c r="B862" s="30" t="str">
        <f>'2024'!N74</f>
        <v>23801702</v>
      </c>
      <c r="C862" s="27" t="s">
        <v>916</v>
      </c>
      <c r="D862" s="1" t="str">
        <f>'2024'!B74</f>
        <v>Torben Sømberg</v>
      </c>
      <c r="F862" s="1">
        <f>'2024'!A74</f>
        <v>24073</v>
      </c>
      <c r="G862" s="33">
        <f>'2024'!C74</f>
        <v>45503</v>
      </c>
      <c r="H862" s="34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7">
        <f>'2024'!M75</f>
        <v>0</v>
      </c>
      <c r="B863" s="30" t="str">
        <f>'2024'!N75</f>
        <v>30541801</v>
      </c>
      <c r="C863" s="27" t="s">
        <v>353</v>
      </c>
      <c r="D863" s="1" t="str">
        <f>'2024'!B75</f>
        <v>Irene Jørgensen</v>
      </c>
      <c r="F863" s="1">
        <f>'2024'!A75</f>
        <v>24074</v>
      </c>
      <c r="G863" s="33">
        <f>'2024'!C75</f>
        <v>45502</v>
      </c>
      <c r="H863" s="34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7">
        <f>'2024'!M76</f>
        <v>0</v>
      </c>
      <c r="B864" s="30">
        <f>'2024'!N76</f>
        <v>0</v>
      </c>
      <c r="C864" s="27" t="s">
        <v>74</v>
      </c>
      <c r="D864" s="1" t="str">
        <f>'2024'!B76</f>
        <v>Lene Bjørn Jensen</v>
      </c>
      <c r="F864" s="1">
        <f>'2024'!A76</f>
        <v>24075</v>
      </c>
      <c r="G864" s="33">
        <f>'2024'!C76</f>
        <v>45554</v>
      </c>
      <c r="H864" s="34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7">
        <f>'2024'!M77</f>
        <v>0</v>
      </c>
      <c r="B865" s="30">
        <f>'2024'!N77</f>
        <v>0</v>
      </c>
      <c r="C865" s="27" t="s">
        <v>74</v>
      </c>
      <c r="D865" s="1" t="str">
        <f>'2024'!B77</f>
        <v>Jan Vest Jensen</v>
      </c>
      <c r="F865" s="1">
        <f>'2024'!A77</f>
        <v>24076</v>
      </c>
      <c r="G865" s="33">
        <f>'2024'!C77</f>
        <v>45523</v>
      </c>
      <c r="H865" s="34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7" t="str">
        <f>'2024'!M78</f>
        <v>annehastrup@yahoo.dk</v>
      </c>
      <c r="B866" s="30">
        <f>'2024'!N78</f>
        <v>30319291</v>
      </c>
      <c r="C866" s="27" t="s">
        <v>25</v>
      </c>
      <c r="D866" s="1" t="str">
        <f>'2024'!B78</f>
        <v>Anne Hastrup Poulsen</v>
      </c>
      <c r="F866" s="1">
        <f>'2024'!A78</f>
        <v>24077</v>
      </c>
      <c r="G866" s="33">
        <f>'2024'!C78</f>
        <v>45470</v>
      </c>
      <c r="H866" s="34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7">
        <f>'2024'!M79</f>
        <v>0</v>
      </c>
      <c r="B867" s="30" t="str">
        <f>'2024'!N79</f>
        <v>25675006</v>
      </c>
      <c r="C867" s="27" t="s">
        <v>379</v>
      </c>
      <c r="D867" s="1" t="str">
        <f>'2024'!B79</f>
        <v>Tina Petersen</v>
      </c>
      <c r="F867" s="1">
        <f>'2024'!A79</f>
        <v>24078</v>
      </c>
      <c r="G867" s="33">
        <f>'2024'!C79</f>
        <v>45490</v>
      </c>
      <c r="H867" s="34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7" t="str">
        <f>'2024'!M80</f>
        <v>musikerbjarne@gmail.com</v>
      </c>
      <c r="B868" s="30" t="str">
        <f>'2024'!N80</f>
        <v>26251564</v>
      </c>
      <c r="C868" s="27" t="s">
        <v>797</v>
      </c>
      <c r="D868" s="1" t="str">
        <f>'2024'!B80</f>
        <v>Bjarne List Nissen</v>
      </c>
      <c r="F868" s="1">
        <f>'2024'!A80</f>
        <v>24079</v>
      </c>
      <c r="G868" s="33">
        <f>'2024'!C80</f>
        <v>45479</v>
      </c>
      <c r="H868" s="34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7">
        <f>'2024'!M81</f>
        <v>0</v>
      </c>
      <c r="B869" s="30">
        <f>'2024'!N81</f>
        <v>0</v>
      </c>
      <c r="C869" s="27" t="s">
        <v>1150</v>
      </c>
      <c r="D869" s="1" t="str">
        <f>'2024'!B81</f>
        <v>Ann Alsted</v>
      </c>
      <c r="F869" s="1">
        <f>'2024'!A81</f>
        <v>24080</v>
      </c>
      <c r="G869" s="33">
        <f>'2024'!C81</f>
        <v>45436</v>
      </c>
      <c r="H869" s="34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7">
        <f>'2024'!M82</f>
        <v>0</v>
      </c>
      <c r="B870" s="30">
        <f>'2024'!N82</f>
        <v>0</v>
      </c>
      <c r="C870" s="27" t="s">
        <v>1152</v>
      </c>
      <c r="D870" s="1" t="str">
        <f>'2024'!B82</f>
        <v>Kari Anna Ruud</v>
      </c>
      <c r="F870" s="1">
        <f>'2024'!A82</f>
        <v>24081</v>
      </c>
      <c r="G870" s="33">
        <f>'2024'!C82</f>
        <v>45475</v>
      </c>
      <c r="H870" s="34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7">
        <f>'2024'!M83</f>
        <v>0</v>
      </c>
      <c r="B871" s="30">
        <f>'2024'!N83</f>
        <v>0</v>
      </c>
      <c r="C871" s="27" t="s">
        <v>1154</v>
      </c>
      <c r="D871" s="1" t="str">
        <f>'2024'!B83</f>
        <v>Rikke Stenkjær</v>
      </c>
      <c r="F871" s="1">
        <f>'2024'!A83</f>
        <v>24082</v>
      </c>
      <c r="G871" s="33">
        <f>'2024'!C83</f>
        <v>45473</v>
      </c>
      <c r="H871" s="34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7" t="str">
        <f>'2024'!M84</f>
        <v>hatolamail@gmail.com</v>
      </c>
      <c r="B872" s="30">
        <f>'2024'!N84</f>
        <v>0</v>
      </c>
      <c r="C872" s="27" t="s">
        <v>288</v>
      </c>
      <c r="D872" s="1" t="str">
        <f>'2024'!B84</f>
        <v>Torben Larsen</v>
      </c>
      <c r="F872" s="1">
        <f>'2024'!A84</f>
        <v>24083</v>
      </c>
      <c r="G872" s="33">
        <f>'2024'!C84</f>
        <v>45530</v>
      </c>
      <c r="H872" s="34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7">
        <f>'2024'!M85</f>
        <v>0</v>
      </c>
      <c r="B873" s="30">
        <f>'2024'!N85</f>
        <v>0</v>
      </c>
      <c r="C873" s="27" t="s">
        <v>125</v>
      </c>
      <c r="D873" s="1" t="str">
        <f>'2024'!B85</f>
        <v>Kaj Hansen</v>
      </c>
      <c r="F873" s="1">
        <f>'2024'!A85</f>
        <v>24084</v>
      </c>
      <c r="G873" s="33">
        <f>'2024'!C85</f>
        <v>45429</v>
      </c>
      <c r="H873" s="34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7" t="str">
        <f>'2024'!M86</f>
        <v>styffer.roland@hotmail.com</v>
      </c>
      <c r="B874" s="30">
        <f>'2024'!N86</f>
        <v>0</v>
      </c>
      <c r="C874" s="27" t="s">
        <v>1159</v>
      </c>
      <c r="D874" s="1" t="str">
        <f>'2024'!B86</f>
        <v>Christoffer styffer roland</v>
      </c>
      <c r="F874" s="1">
        <f>'2024'!A86</f>
        <v>24085</v>
      </c>
      <c r="G874" s="33">
        <f>'2024'!C86</f>
        <v>45519</v>
      </c>
      <c r="H874" s="34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7">
        <f>'2024'!M87</f>
        <v>0</v>
      </c>
      <c r="B875" s="30">
        <f>'2024'!N87</f>
        <v>0</v>
      </c>
      <c r="C875" s="27" t="s">
        <v>153</v>
      </c>
      <c r="D875" s="1" t="str">
        <f>'2024'!B87</f>
        <v>Sarah Wahlgreen</v>
      </c>
      <c r="F875" s="1">
        <f>'2024'!A87</f>
        <v>24086</v>
      </c>
      <c r="G875" s="33">
        <f>'2024'!C87</f>
        <v>45527</v>
      </c>
      <c r="H875" s="34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7" t="str">
        <f>'2024'!M88</f>
        <v>ruthib039@gmail.com</v>
      </c>
      <c r="B876" s="30" t="str">
        <f>'2024'!N88</f>
        <v>20831213</v>
      </c>
      <c r="C876" s="27" t="s">
        <v>1512</v>
      </c>
      <c r="D876" s="1" t="str">
        <f>'2024'!B88</f>
        <v>Ib Nejlun</v>
      </c>
      <c r="F876" s="1">
        <f>'2024'!A88</f>
        <v>24087</v>
      </c>
      <c r="G876" s="33">
        <f>'2024'!C88</f>
        <v>45508</v>
      </c>
      <c r="H876" s="34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7">
        <f>'2024'!M89</f>
        <v>0</v>
      </c>
      <c r="B877" s="30" t="str">
        <f>'2024'!N89</f>
        <v>15739443215</v>
      </c>
      <c r="C877" s="27" t="s">
        <v>1167</v>
      </c>
      <c r="D877" s="1" t="str">
        <f>'2024'!B89</f>
        <v>Fahr Uwe</v>
      </c>
      <c r="F877" s="1">
        <f>'2024'!A89</f>
        <v>24088</v>
      </c>
      <c r="G877" s="33">
        <f>'2024'!C89</f>
        <v>45508</v>
      </c>
      <c r="H877" s="34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7">
        <f>'2024'!M90</f>
        <v>0</v>
      </c>
      <c r="B878" s="30">
        <f>'2024'!N90</f>
        <v>0</v>
      </c>
      <c r="C878" s="27" t="s">
        <v>1513</v>
      </c>
      <c r="D878" s="1" t="str">
        <f>'2024'!B90</f>
        <v xml:space="preserve">Kirsten Petersen </v>
      </c>
      <c r="F878" s="1">
        <f>'2024'!A90</f>
        <v>24089</v>
      </c>
      <c r="G878" s="33">
        <f>'2024'!C90</f>
        <v>45527</v>
      </c>
      <c r="H878" s="34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7" t="str">
        <f>'2024'!M91</f>
        <v>anette.holmstykke.andersen@gmail.com</v>
      </c>
      <c r="B879" s="30">
        <f>'2024'!N91</f>
        <v>22672276</v>
      </c>
      <c r="C879" s="27" t="s">
        <v>189</v>
      </c>
      <c r="D879" s="1" t="str">
        <f>'2024'!B91</f>
        <v>Anette Holmslykke Andersen</v>
      </c>
      <c r="F879" s="1">
        <f>'2024'!A91</f>
        <v>24090</v>
      </c>
      <c r="G879" s="33">
        <f>'2024'!C91</f>
        <v>45472</v>
      </c>
      <c r="H879" s="34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7">
        <f>'2024'!M92</f>
        <v>0</v>
      </c>
      <c r="B880" s="30">
        <f>'2024'!N92</f>
        <v>0</v>
      </c>
      <c r="C880" s="27" t="s">
        <v>1172</v>
      </c>
      <c r="D880" s="1" t="str">
        <f>'2024'!B92</f>
        <v>Annemette Hvidfeldt Filstrup</v>
      </c>
      <c r="F880" s="1">
        <f>'2024'!A92</f>
        <v>24091</v>
      </c>
      <c r="G880" s="33">
        <f>'2024'!C92</f>
        <v>45501</v>
      </c>
      <c r="H880" s="34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7">
        <f>'2024'!M93</f>
        <v>0</v>
      </c>
      <c r="B881" s="30">
        <f>'2024'!N93</f>
        <v>0</v>
      </c>
      <c r="C881" s="27" t="s">
        <v>379</v>
      </c>
      <c r="D881" s="1" t="str">
        <f>'2024'!B93</f>
        <v>Anton Petersen</v>
      </c>
      <c r="F881" s="1">
        <f>'2024'!A93</f>
        <v>24092</v>
      </c>
      <c r="G881" s="33">
        <f>'2024'!C93</f>
        <v>45449</v>
      </c>
      <c r="H881" s="34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7">
        <f>'2024'!M94</f>
        <v>0</v>
      </c>
      <c r="B882" s="30">
        <f>'2024'!N94</f>
        <v>0</v>
      </c>
      <c r="C882" s="27" t="s">
        <v>1175</v>
      </c>
      <c r="D882" s="1" t="str">
        <f>'2024'!B94</f>
        <v>Bodo Hamel</v>
      </c>
      <c r="F882" s="1">
        <f>'2024'!A94</f>
        <v>24093</v>
      </c>
      <c r="G882" s="33">
        <f>'2024'!C94</f>
        <v>45551</v>
      </c>
      <c r="H882" s="34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7">
        <f>'2024'!M95</f>
        <v>0</v>
      </c>
      <c r="B883" s="30">
        <f>'2024'!N95</f>
        <v>0</v>
      </c>
      <c r="C883" s="27" t="s">
        <v>1177</v>
      </c>
      <c r="D883" s="1" t="str">
        <f>'2024'!B95</f>
        <v>Lars Erik Johannesson</v>
      </c>
      <c r="F883" s="1">
        <f>'2024'!A95</f>
        <v>24094</v>
      </c>
      <c r="G883" s="33">
        <f>'2024'!C95</f>
        <v>45558</v>
      </c>
      <c r="H883" s="34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7">
        <f>'2024'!M96</f>
        <v>0</v>
      </c>
      <c r="B884" s="30">
        <f>'2024'!N96</f>
        <v>0</v>
      </c>
      <c r="C884" s="27" t="s">
        <v>338</v>
      </c>
      <c r="D884" s="1" t="str">
        <f>'2024'!B96</f>
        <v>Nadja Kristiansen</v>
      </c>
      <c r="F884" s="1">
        <f>'2024'!A96</f>
        <v>24095</v>
      </c>
      <c r="G884" s="33">
        <f>'2024'!C96</f>
        <v>45568</v>
      </c>
      <c r="H884" s="34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7">
        <f>'2024'!M97</f>
        <v>0</v>
      </c>
      <c r="B885" s="30">
        <f>'2024'!N97</f>
        <v>0</v>
      </c>
      <c r="C885" s="27" t="s">
        <v>58</v>
      </c>
      <c r="D885" s="1" t="str">
        <f>'2024'!B97</f>
        <v>Jeff Craven</v>
      </c>
      <c r="F885" s="1">
        <f>'2024'!A97</f>
        <v>24096</v>
      </c>
      <c r="G885" s="33">
        <f>'2024'!C97</f>
        <v>45415</v>
      </c>
      <c r="H885" s="34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7">
        <f>'2024'!M98</f>
        <v>0</v>
      </c>
      <c r="B886" s="30" t="str">
        <f>'2024'!N98</f>
        <v>41427392</v>
      </c>
      <c r="C886" s="27" t="s">
        <v>1180</v>
      </c>
      <c r="D886" s="1" t="str">
        <f>'2024'!B98</f>
        <v>Shengxi LI</v>
      </c>
      <c r="F886" s="1">
        <f>'2024'!A98</f>
        <v>24097</v>
      </c>
      <c r="G886" s="33">
        <f>'2024'!C98</f>
        <v>45508</v>
      </c>
      <c r="H886" s="34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7">
        <f>'2024'!M99</f>
        <v>0</v>
      </c>
      <c r="B887" s="30">
        <f>'2024'!N99</f>
        <v>0</v>
      </c>
      <c r="C887" s="27" t="s">
        <v>1182</v>
      </c>
      <c r="D887" s="1" t="str">
        <f>'2024'!B99</f>
        <v>Yoanna Gorova</v>
      </c>
      <c r="F887" s="1">
        <f>'2024'!A99</f>
        <v>24098</v>
      </c>
      <c r="G887" s="33">
        <f>'2024'!C99</f>
        <v>45428</v>
      </c>
      <c r="H887" s="34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7">
        <f>'2024'!M100</f>
        <v>0</v>
      </c>
      <c r="B888" s="30">
        <f>'2024'!N100</f>
        <v>0</v>
      </c>
      <c r="C888" s="27" t="s">
        <v>1184</v>
      </c>
      <c r="D888" s="1" t="str">
        <f>'2024'!B100</f>
        <v>Sandra Kreuzinger</v>
      </c>
      <c r="F888" s="1">
        <f>'2024'!A100</f>
        <v>24099</v>
      </c>
      <c r="G888" s="33">
        <f>'2024'!C100</f>
        <v>45533</v>
      </c>
      <c r="H888" s="34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7">
        <f>'2024'!M101</f>
        <v>0</v>
      </c>
      <c r="B889" s="30">
        <f>'2024'!N101</f>
        <v>0</v>
      </c>
      <c r="C889" s="27" t="s">
        <v>1186</v>
      </c>
      <c r="D889" s="1" t="str">
        <f>'2024'!B101</f>
        <v>Adam Blazejewski</v>
      </c>
      <c r="F889" s="1">
        <f>'2024'!A101</f>
        <v>24100</v>
      </c>
      <c r="G889" s="33">
        <f>'2024'!C101</f>
        <v>45414</v>
      </c>
      <c r="H889" s="34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7">
        <f>'2024'!M102</f>
        <v>0</v>
      </c>
      <c r="B890" s="30" t="str">
        <f>'2024'!N102</f>
        <v>706214313</v>
      </c>
      <c r="C890" s="27" t="s">
        <v>403</v>
      </c>
      <c r="D890" s="1" t="str">
        <f>'2024'!B102</f>
        <v>Mats Skoglund</v>
      </c>
      <c r="F890" s="1">
        <f>'2024'!A102</f>
        <v>24101</v>
      </c>
      <c r="G890" s="33">
        <f>'2024'!C102</f>
        <v>45503</v>
      </c>
      <c r="H890" s="34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7">
        <f>'2024'!M103</f>
        <v>0</v>
      </c>
      <c r="B891" s="30">
        <f>'2024'!N103</f>
        <v>40502628</v>
      </c>
      <c r="C891" s="27" t="s">
        <v>1190</v>
      </c>
      <c r="D891" s="1" t="str">
        <f>'2024'!B103</f>
        <v>Bert Van der Vegte</v>
      </c>
      <c r="F891" s="1">
        <f>'2024'!A103</f>
        <v>24102</v>
      </c>
      <c r="G891" s="33">
        <f>'2024'!C103</f>
        <v>45475</v>
      </c>
      <c r="H891" s="34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7">
        <f>'2024'!M104</f>
        <v>0</v>
      </c>
      <c r="B892" s="30">
        <f>'2024'!N104</f>
        <v>0</v>
      </c>
      <c r="C892" s="27" t="s">
        <v>1192</v>
      </c>
      <c r="D892" s="1" t="str">
        <f>'2024'!B104</f>
        <v>Guido Grimme</v>
      </c>
      <c r="F892" s="1">
        <f>'2024'!A104</f>
        <v>24103</v>
      </c>
      <c r="G892" s="33">
        <f>'2024'!C104</f>
        <v>45522</v>
      </c>
      <c r="H892" s="34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7" t="str">
        <f>'2024'!M105</f>
        <v>ab@industriensfond.dk</v>
      </c>
      <c r="B893" s="30">
        <f>'2024'!N105</f>
        <v>0</v>
      </c>
      <c r="C893" s="27" t="s">
        <v>1195</v>
      </c>
      <c r="D893" s="1" t="str">
        <f>'2024'!B105</f>
        <v>Anders Brandtoft</v>
      </c>
      <c r="F893" s="1">
        <f>'2024'!A105</f>
        <v>24104</v>
      </c>
      <c r="G893" s="33">
        <f>'2024'!C105</f>
        <v>45454</v>
      </c>
      <c r="H893" s="34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7">
        <f>'2024'!M107</f>
        <v>0</v>
      </c>
      <c r="B894" s="30">
        <f>'2024'!N107</f>
        <v>0</v>
      </c>
      <c r="C894" s="27" t="s">
        <v>1199</v>
      </c>
      <c r="D894" s="1" t="str">
        <f>'2024'!B107</f>
        <v>Thomaz Gawron-Gawrzynski</v>
      </c>
      <c r="F894" s="1">
        <f>'2024'!A107</f>
        <v>24105</v>
      </c>
      <c r="G894" s="33">
        <f>'2024'!C107</f>
        <v>45526</v>
      </c>
      <c r="H894" s="34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7">
        <f>'2024'!M108</f>
        <v>0</v>
      </c>
      <c r="B895" s="30">
        <f>'2024'!N108</f>
        <v>22215414</v>
      </c>
      <c r="C895" s="27" t="s">
        <v>125</v>
      </c>
      <c r="D895" s="1" t="str">
        <f>'2024'!B108</f>
        <v>Henrik Skydbjerg Hansen</v>
      </c>
      <c r="F895" s="1">
        <f>'2024'!A108</f>
        <v>24106</v>
      </c>
      <c r="G895" s="33">
        <f>'2024'!C108</f>
        <v>45467</v>
      </c>
      <c r="H895" s="34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7" t="str">
        <f>'2024'!M109</f>
        <v>susankierch@stofanet.dk</v>
      </c>
      <c r="B896" s="30">
        <f>'2024'!N109</f>
        <v>0</v>
      </c>
      <c r="C896" s="27" t="s">
        <v>1204</v>
      </c>
      <c r="D896" s="1" t="str">
        <f>'2024'!B109</f>
        <v>Susan Kierch</v>
      </c>
      <c r="F896" s="1">
        <f>'2024'!A109</f>
        <v>24107</v>
      </c>
      <c r="G896" s="33">
        <f>'2024'!C109</f>
        <v>45523</v>
      </c>
      <c r="H896" s="34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7">
        <f>'2024'!M110</f>
        <v>0</v>
      </c>
      <c r="B897" s="30">
        <f>'2024'!N110</f>
        <v>0</v>
      </c>
      <c r="C897" s="27" t="s">
        <v>1206</v>
      </c>
      <c r="D897" s="1" t="str">
        <f>'2024'!B110</f>
        <v>Peter Lindermann</v>
      </c>
      <c r="F897" s="1">
        <f>'2024'!A110</f>
        <v>24108</v>
      </c>
      <c r="G897" s="33">
        <f>'2024'!C110</f>
        <v>45429</v>
      </c>
      <c r="H897" s="34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7">
        <f>'2024'!M111</f>
        <v>0</v>
      </c>
      <c r="B898" s="30">
        <f>'2024'!N111</f>
        <v>0</v>
      </c>
      <c r="C898" s="27" t="s">
        <v>125</v>
      </c>
      <c r="D898" s="1" t="str">
        <f>'2024'!B111</f>
        <v>Ander Poul Hansen</v>
      </c>
      <c r="F898" s="1">
        <f>'2024'!A111</f>
        <v>24109</v>
      </c>
      <c r="G898" s="33">
        <f>'2024'!C111</f>
        <v>45415</v>
      </c>
      <c r="H898" s="34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7" t="str">
        <f>'2024'!M112</f>
        <v>gls@lindbergconsulting.dk</v>
      </c>
      <c r="B899" s="30">
        <f>'2024'!N112</f>
        <v>22665017</v>
      </c>
      <c r="C899" s="27" t="s">
        <v>957</v>
      </c>
      <c r="D899" s="1" t="str">
        <f>'2024'!B112</f>
        <v>Birger Lindberg Skov</v>
      </c>
      <c r="F899" s="1">
        <f>'2024'!A112</f>
        <v>24110</v>
      </c>
      <c r="G899" s="33">
        <f>'2024'!C112</f>
        <v>45467</v>
      </c>
      <c r="H899" s="34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7" t="str">
        <f>'2024'!M113</f>
        <v>ullirm@gmx.de</v>
      </c>
      <c r="B900" s="30">
        <f>'2024'!N113</f>
        <v>0</v>
      </c>
      <c r="C900" s="27" t="s">
        <v>1003</v>
      </c>
      <c r="D900" s="1" t="str">
        <f>'2024'!B113</f>
        <v>Ulli Rettenmaier</v>
      </c>
      <c r="F900" s="1">
        <f>'2024'!A113</f>
        <v>24111</v>
      </c>
      <c r="G900" s="33">
        <f>'2024'!C113</f>
        <v>45544</v>
      </c>
      <c r="H900" s="34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7">
        <f>'2024'!M114</f>
        <v>0</v>
      </c>
      <c r="B901" s="30">
        <f>'2024'!N114</f>
        <v>0</v>
      </c>
      <c r="C901" s="27" t="s">
        <v>288</v>
      </c>
      <c r="D901" s="1" t="str">
        <f>'2024'!B114</f>
        <v>Henrik Larsen</v>
      </c>
      <c r="F901" s="1">
        <f>'2024'!A114</f>
        <v>24112</v>
      </c>
      <c r="G901" s="33">
        <f>'2024'!C114</f>
        <v>45429</v>
      </c>
      <c r="H901" s="34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7">
        <f>'2024'!M115</f>
        <v>0</v>
      </c>
      <c r="B902" s="30" t="str">
        <f>'2024'!N115</f>
        <v>727225187</v>
      </c>
      <c r="C902" s="27" t="s">
        <v>1215</v>
      </c>
      <c r="D902" s="1" t="str">
        <f>'2024'!B115</f>
        <v>Birgith Fernqvist</v>
      </c>
      <c r="F902" s="1">
        <f>'2024'!A115</f>
        <v>24113</v>
      </c>
      <c r="G902" s="33">
        <f>'2024'!C115</f>
        <v>45500</v>
      </c>
      <c r="H902" s="34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7" t="str">
        <f>'2024'!M116</f>
        <v>bj_cph@yahoo.dk</v>
      </c>
      <c r="B903" s="30">
        <f>'2024'!N116</f>
        <v>40193542</v>
      </c>
      <c r="C903" s="27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3">
        <f>'2024'!C116</f>
        <v>45450</v>
      </c>
      <c r="H903" s="34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7" t="str">
        <f>'2024'!M117</f>
        <v>limajeto@gmail.com</v>
      </c>
      <c r="B904" s="30"/>
      <c r="C904" s="27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3">
        <f>'2024'!C117</f>
        <v>45451</v>
      </c>
      <c r="H904" s="34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7" t="str">
        <f>'2024'!M118</f>
        <v>aliceogjoel@gmail.com</v>
      </c>
      <c r="B905" s="30">
        <f>'2024'!N118</f>
        <v>0</v>
      </c>
      <c r="C905" s="27"/>
      <c r="D905" s="1" t="str">
        <f>'2024'!B118</f>
        <v>Alice</v>
      </c>
      <c r="E905" s="1" t="s">
        <v>1516</v>
      </c>
      <c r="F905" s="1">
        <f>'2024'!A118</f>
        <v>24116</v>
      </c>
      <c r="G905" s="33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7" t="str">
        <f>'2024'!M119</f>
        <v>kim.teglberg1@gmail.com</v>
      </c>
      <c r="B906" s="30">
        <f>'2024'!N119</f>
        <v>21265488</v>
      </c>
      <c r="C906" s="27"/>
      <c r="D906" s="1" t="str">
        <f>'2024'!B119</f>
        <v>Kim Teglberg</v>
      </c>
      <c r="F906" s="1">
        <f>'2024'!A119</f>
        <v>24117</v>
      </c>
      <c r="G906" s="33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7">
        <f>'2024'!M120</f>
        <v>0</v>
      </c>
      <c r="B907" s="30">
        <f>'2024'!N120</f>
        <v>0</v>
      </c>
      <c r="C907" s="27"/>
      <c r="D907" s="1" t="str">
        <f>'2024'!B120</f>
        <v>Michael Brinkhaus</v>
      </c>
      <c r="F907" s="1">
        <f>'2024'!A120</f>
        <v>24118</v>
      </c>
      <c r="G907" s="33">
        <f>'2024'!C120</f>
        <v>45527</v>
      </c>
      <c r="H907" s="34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7" t="str">
        <f>'2024'!M121</f>
        <v>ps@odensemaritim.com</v>
      </c>
      <c r="B908" s="30">
        <f>'2024'!N121</f>
        <v>40199037</v>
      </c>
      <c r="C908" s="27"/>
      <c r="D908" s="1" t="str">
        <f>'2024'!B121</f>
        <v>Poul Skadhede</v>
      </c>
      <c r="F908" s="1">
        <f>'2024'!A121</f>
        <v>24119</v>
      </c>
      <c r="G908" s="33">
        <f>'2024'!C121</f>
        <v>45457</v>
      </c>
      <c r="H908" s="34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7" t="str">
        <f>'2024'!M122</f>
        <v>limpan199@gmail.com</v>
      </c>
      <c r="B909" s="30">
        <f>'2024'!N122</f>
        <v>704966964</v>
      </c>
      <c r="C909" s="27"/>
      <c r="D909" s="1" t="str">
        <f>'2024'!B122</f>
        <v>Jan Lindberg</v>
      </c>
      <c r="E909" s="1" t="s">
        <v>1517</v>
      </c>
      <c r="F909" s="1">
        <f>'2024'!A122</f>
        <v>24120</v>
      </c>
      <c r="G909" s="33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7">
        <f>'2024'!M123</f>
        <v>0</v>
      </c>
      <c r="B910" s="30">
        <f>'2024'!N123</f>
        <v>0</v>
      </c>
      <c r="C910" s="27"/>
      <c r="D910" s="1" t="str">
        <f>'2024'!B123</f>
        <v>Rikke W Eriksen</v>
      </c>
      <c r="F910" s="1">
        <f>'2024'!A123</f>
        <v>24121</v>
      </c>
      <c r="G910" s="33">
        <f>'2024'!C123</f>
        <v>45471</v>
      </c>
      <c r="H910" s="34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7">
        <f>'2024'!M127</f>
        <v>0</v>
      </c>
      <c r="B911" s="30">
        <f>'2024'!N127</f>
        <v>0</v>
      </c>
      <c r="C911" s="27"/>
      <c r="D911" s="1" t="str">
        <f>'2024'!B127</f>
        <v>Jenny Warnerbring</v>
      </c>
      <c r="F911" s="1">
        <f>'2024'!A127</f>
        <v>24125</v>
      </c>
      <c r="G911" s="33">
        <f>'2024'!C127</f>
        <v>45509</v>
      </c>
      <c r="H911" s="34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7">
        <f>'2024'!M130</f>
        <v>0</v>
      </c>
      <c r="B912" s="30">
        <f>'2024'!N130</f>
        <v>0</v>
      </c>
      <c r="C912" s="27"/>
      <c r="D912" s="1" t="str">
        <f>'2024'!B130</f>
        <v>Anette Møllebæk</v>
      </c>
      <c r="F912" s="1">
        <f>'2024'!A130</f>
        <v>24128</v>
      </c>
      <c r="G912" s="33">
        <f>'2024'!C130</f>
        <v>45525</v>
      </c>
      <c r="H912" s="34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7" t="str">
        <f>'2024'!M131</f>
        <v>brittathunbo@gmail.com</v>
      </c>
      <c r="B913" s="30">
        <f>'2024'!N131</f>
        <v>0</v>
      </c>
      <c r="C913" s="27"/>
      <c r="D913" s="1" t="str">
        <f>'2024'!B131</f>
        <v>Britta Thunbo</v>
      </c>
      <c r="F913" s="1">
        <f>'2024'!A131</f>
        <v>24129</v>
      </c>
      <c r="G913" s="33">
        <f>'2024'!C131</f>
        <v>45548</v>
      </c>
      <c r="H913" s="34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7">
        <f>'2024'!M132</f>
        <v>0</v>
      </c>
      <c r="B914" s="30">
        <f>'2024'!N132</f>
        <v>0</v>
      </c>
      <c r="C914" s="27"/>
      <c r="D914" s="1" t="str">
        <f>'2024'!B132</f>
        <v>Lene Birkholm</v>
      </c>
      <c r="F914" s="1">
        <f>'2024'!A132</f>
        <v>24130</v>
      </c>
      <c r="G914" s="33">
        <f>'2024'!C132</f>
        <v>45558</v>
      </c>
      <c r="H914" s="34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7">
        <f>'2024'!M146</f>
        <v>0</v>
      </c>
      <c r="B915" s="30">
        <f>'2024'!N146</f>
        <v>0</v>
      </c>
      <c r="C915" s="27"/>
      <c r="D915" s="1" t="str">
        <f>'2024'!B146</f>
        <v>Ole Graversen</v>
      </c>
      <c r="F915" s="1">
        <f>'2024'!A146</f>
        <v>24144</v>
      </c>
      <c r="G915" s="33">
        <f>'2024'!C146</f>
        <v>45559</v>
      </c>
      <c r="H915" s="34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6"/>
      <c r="B916" s="30"/>
      <c r="C916" s="27"/>
      <c r="G916" s="33"/>
      <c r="H916" s="3"/>
      <c r="I916" s="3"/>
    </row>
    <row r="917" spans="1:10" ht="14.25" customHeight="1" x14ac:dyDescent="0.35">
      <c r="A917" s="86"/>
      <c r="B917" s="30"/>
      <c r="C917" s="27"/>
      <c r="G917" s="33"/>
      <c r="H917" s="3"/>
      <c r="I917" s="3"/>
    </row>
    <row r="918" spans="1:10" ht="14.25" customHeight="1" x14ac:dyDescent="0.35">
      <c r="A918" s="27"/>
      <c r="B918" s="30"/>
      <c r="C918" s="27"/>
      <c r="G918" s="33"/>
      <c r="H918" s="3"/>
      <c r="I918" s="3"/>
    </row>
    <row r="919" spans="1:10" ht="14.25" customHeight="1" x14ac:dyDescent="0.35">
      <c r="A919" s="27"/>
      <c r="B919" s="30"/>
      <c r="C919" s="27"/>
      <c r="G919" s="33"/>
      <c r="H919" s="3"/>
      <c r="I919" s="3"/>
    </row>
    <row r="920" spans="1:10" ht="14.25" customHeight="1" x14ac:dyDescent="0.35">
      <c r="A920" s="27"/>
      <c r="B920" s="30"/>
      <c r="C920" s="27"/>
      <c r="G920" s="33"/>
      <c r="H920" s="3"/>
      <c r="I920" s="3"/>
    </row>
    <row r="921" spans="1:10" ht="14.25" customHeight="1" x14ac:dyDescent="0.35">
      <c r="A921" s="27"/>
      <c r="B921" s="30"/>
      <c r="C921" s="27"/>
      <c r="G921" s="33"/>
      <c r="H921" s="3"/>
      <c r="I921" s="3"/>
    </row>
    <row r="922" spans="1:10" ht="14.25" customHeight="1" x14ac:dyDescent="0.35">
      <c r="A922" s="27"/>
      <c r="B922" s="30"/>
      <c r="C922" s="27"/>
      <c r="G922" s="33"/>
      <c r="H922" s="3"/>
      <c r="I922" s="3"/>
    </row>
    <row r="923" spans="1:10" ht="14.25" customHeight="1" x14ac:dyDescent="0.35">
      <c r="A923" s="27"/>
      <c r="B923" s="30"/>
      <c r="C923" s="27"/>
      <c r="G923" s="33"/>
      <c r="H923" s="3"/>
      <c r="I923" s="3"/>
    </row>
    <row r="924" spans="1:10" ht="14.25" customHeight="1" x14ac:dyDescent="0.35">
      <c r="A924" s="27"/>
      <c r="B924" s="30"/>
      <c r="C924" s="27"/>
      <c r="G924" s="33"/>
      <c r="H924" s="3"/>
      <c r="I924" s="3"/>
    </row>
    <row r="925" spans="1:10" ht="14.25" customHeight="1" x14ac:dyDescent="0.35">
      <c r="A925" s="27"/>
      <c r="B925" s="30"/>
      <c r="C925" s="27"/>
      <c r="G925" s="33"/>
      <c r="H925" s="3"/>
      <c r="I925" s="3"/>
    </row>
    <row r="926" spans="1:10" ht="14.25" customHeight="1" x14ac:dyDescent="0.35">
      <c r="A926" s="27"/>
      <c r="B926" s="30"/>
      <c r="C926" s="27"/>
      <c r="G926" s="33"/>
      <c r="H926" s="3"/>
      <c r="I926" s="3"/>
    </row>
    <row r="927" spans="1:10" ht="14.25" customHeight="1" x14ac:dyDescent="0.35">
      <c r="A927" s="27"/>
      <c r="B927" s="30"/>
      <c r="C927" s="27"/>
      <c r="G927" s="33"/>
      <c r="H927" s="3"/>
      <c r="I927" s="3"/>
    </row>
    <row r="928" spans="1:10" ht="14.25" customHeight="1" x14ac:dyDescent="0.35">
      <c r="A928" s="27"/>
      <c r="B928" s="30"/>
      <c r="C928" s="27"/>
      <c r="G928" s="33"/>
      <c r="H928" s="3"/>
      <c r="I928" s="3"/>
    </row>
    <row r="929" spans="1:9" ht="14.25" customHeight="1" x14ac:dyDescent="0.35">
      <c r="A929" s="27"/>
      <c r="B929" s="30"/>
      <c r="C929" s="27"/>
      <c r="G929" s="33"/>
      <c r="H929" s="3"/>
      <c r="I929" s="3"/>
    </row>
    <row r="930" spans="1:9" ht="14.25" customHeight="1" x14ac:dyDescent="0.35">
      <c r="A930" s="27"/>
      <c r="B930" s="30"/>
      <c r="C930" s="27"/>
      <c r="G930" s="33"/>
      <c r="H930" s="3"/>
      <c r="I930" s="3"/>
    </row>
    <row r="931" spans="1:9" ht="14.25" customHeight="1" x14ac:dyDescent="0.35">
      <c r="A931" s="27"/>
      <c r="B931" s="30"/>
      <c r="C931" s="27"/>
      <c r="G931" s="33"/>
      <c r="H931" s="3"/>
      <c r="I931" s="3"/>
    </row>
    <row r="932" spans="1:9" ht="14.25" customHeight="1" x14ac:dyDescent="0.35">
      <c r="A932" s="27"/>
      <c r="B932" s="30"/>
      <c r="C932" s="27"/>
      <c r="G932" s="33"/>
      <c r="H932" s="3"/>
      <c r="I932" s="3"/>
    </row>
    <row r="933" spans="1:9" ht="14.25" customHeight="1" x14ac:dyDescent="0.35">
      <c r="A933" s="27"/>
      <c r="B933" s="30"/>
      <c r="C933" s="27"/>
      <c r="G933" s="33"/>
      <c r="H933" s="3"/>
      <c r="I933" s="3"/>
    </row>
    <row r="934" spans="1:9" ht="14.25" customHeight="1" x14ac:dyDescent="0.35">
      <c r="A934" s="27"/>
      <c r="B934" s="30"/>
      <c r="C934" s="27"/>
      <c r="G934" s="33"/>
      <c r="H934" s="3"/>
      <c r="I934" s="3"/>
    </row>
    <row r="935" spans="1:9" ht="14.25" customHeight="1" x14ac:dyDescent="0.35">
      <c r="A935" s="27"/>
      <c r="B935" s="30"/>
      <c r="C935" s="27"/>
      <c r="G935" s="33"/>
      <c r="H935" s="3"/>
      <c r="I935" s="3"/>
    </row>
    <row r="936" spans="1:9" ht="14.25" customHeight="1" x14ac:dyDescent="0.35">
      <c r="A936" s="27"/>
      <c r="B936" s="30"/>
      <c r="C936" s="27"/>
      <c r="G936" s="33"/>
      <c r="H936" s="3"/>
      <c r="I936" s="3"/>
    </row>
    <row r="937" spans="1:9" ht="14.25" customHeight="1" x14ac:dyDescent="0.35">
      <c r="A937" s="27"/>
      <c r="B937" s="30"/>
      <c r="C937" s="27"/>
      <c r="G937" s="33"/>
      <c r="H937" s="3"/>
      <c r="I937" s="3"/>
    </row>
    <row r="938" spans="1:9" ht="14.25" customHeight="1" x14ac:dyDescent="0.35">
      <c r="A938" s="27"/>
      <c r="B938" s="30"/>
      <c r="C938" s="27"/>
      <c r="G938" s="33"/>
      <c r="H938" s="3"/>
      <c r="I938" s="3"/>
    </row>
    <row r="939" spans="1:9" ht="14.25" customHeight="1" x14ac:dyDescent="0.35">
      <c r="A939" s="27"/>
      <c r="B939" s="30"/>
      <c r="C939" s="27"/>
      <c r="G939" s="33"/>
      <c r="H939" s="3"/>
      <c r="I939" s="3"/>
    </row>
    <row r="940" spans="1:9" ht="14.25" customHeight="1" x14ac:dyDescent="0.35">
      <c r="A940" s="27"/>
      <c r="B940" s="30"/>
      <c r="C940" s="27"/>
      <c r="G940" s="33"/>
      <c r="H940" s="3"/>
      <c r="I940" s="3"/>
    </row>
    <row r="941" spans="1:9" ht="14.25" customHeight="1" x14ac:dyDescent="0.35">
      <c r="A941" s="27"/>
      <c r="B941" s="30"/>
      <c r="C941" s="27"/>
      <c r="G941" s="33"/>
      <c r="H941" s="3"/>
      <c r="I941" s="3"/>
    </row>
    <row r="942" spans="1:9" ht="14.25" customHeight="1" x14ac:dyDescent="0.35">
      <c r="A942" s="27"/>
      <c r="B942" s="30"/>
      <c r="C942" s="27"/>
      <c r="G942" s="33"/>
      <c r="H942" s="3"/>
      <c r="I942" s="3"/>
    </row>
    <row r="943" spans="1:9" ht="14.25" customHeight="1" x14ac:dyDescent="0.35">
      <c r="A943" s="27"/>
      <c r="B943" s="30"/>
      <c r="C943" s="27"/>
      <c r="G943" s="33"/>
      <c r="H943" s="3"/>
      <c r="I943" s="3"/>
    </row>
    <row r="944" spans="1:9" ht="14.25" customHeight="1" x14ac:dyDescent="0.35">
      <c r="A944" s="27"/>
      <c r="B944" s="30"/>
      <c r="C944" s="27"/>
      <c r="G944" s="33"/>
      <c r="H944" s="3"/>
      <c r="I944" s="3"/>
    </row>
    <row r="945" spans="1:9" ht="14.25" customHeight="1" x14ac:dyDescent="0.35">
      <c r="A945" s="27"/>
      <c r="B945" s="30"/>
      <c r="C945" s="27"/>
      <c r="G945" s="33"/>
      <c r="H945" s="3"/>
      <c r="I945" s="3"/>
    </row>
    <row r="946" spans="1:9" ht="14.25" customHeight="1" x14ac:dyDescent="0.35">
      <c r="A946" s="27"/>
      <c r="B946" s="30"/>
      <c r="C946" s="27"/>
      <c r="G946" s="33"/>
      <c r="H946" s="3"/>
      <c r="I946" s="3"/>
    </row>
    <row r="947" spans="1:9" ht="14.25" customHeight="1" x14ac:dyDescent="0.35">
      <c r="A947" s="27"/>
      <c r="B947" s="30"/>
      <c r="C947" s="27"/>
      <c r="G947" s="33"/>
      <c r="H947" s="3"/>
      <c r="I947" s="3"/>
    </row>
    <row r="948" spans="1:9" ht="14.25" customHeight="1" x14ac:dyDescent="0.35">
      <c r="A948" s="27"/>
      <c r="B948" s="30"/>
      <c r="C948" s="27"/>
      <c r="G948" s="33"/>
      <c r="H948" s="3"/>
      <c r="I948" s="3"/>
    </row>
    <row r="949" spans="1:9" ht="14.25" customHeight="1" x14ac:dyDescent="0.35">
      <c r="A949" s="27"/>
      <c r="B949" s="30"/>
      <c r="C949" s="27"/>
      <c r="G949" s="33"/>
      <c r="H949" s="3"/>
      <c r="I949" s="3"/>
    </row>
    <row r="950" spans="1:9" ht="14.25" customHeight="1" x14ac:dyDescent="0.35">
      <c r="A950" s="27"/>
      <c r="B950" s="30"/>
      <c r="C950" s="27"/>
      <c r="G950" s="33"/>
      <c r="H950" s="3"/>
      <c r="I950" s="3"/>
    </row>
    <row r="951" spans="1:9" ht="14.25" customHeight="1" x14ac:dyDescent="0.35">
      <c r="A951" s="27"/>
      <c r="B951" s="30"/>
      <c r="C951" s="27"/>
      <c r="G951" s="33"/>
      <c r="H951" s="3"/>
      <c r="I951" s="3"/>
    </row>
    <row r="952" spans="1:9" ht="14.25" customHeight="1" x14ac:dyDescent="0.35">
      <c r="A952" s="27"/>
      <c r="B952" s="30"/>
      <c r="C952" s="27"/>
      <c r="G952" s="33"/>
      <c r="H952" s="3"/>
      <c r="I952" s="3"/>
    </row>
    <row r="953" spans="1:9" ht="14.25" customHeight="1" x14ac:dyDescent="0.35">
      <c r="A953" s="27"/>
      <c r="B953" s="30"/>
      <c r="C953" s="27"/>
      <c r="G953" s="33"/>
      <c r="H953" s="3"/>
      <c r="I953" s="3"/>
    </row>
    <row r="954" spans="1:9" ht="14.25" customHeight="1" x14ac:dyDescent="0.35">
      <c r="A954" s="27"/>
      <c r="B954" s="30"/>
      <c r="C954" s="27"/>
      <c r="G954" s="33"/>
      <c r="H954" s="3"/>
      <c r="I954" s="3"/>
    </row>
    <row r="955" spans="1:9" ht="14.25" customHeight="1" x14ac:dyDescent="0.35">
      <c r="A955" s="27"/>
      <c r="B955" s="30"/>
      <c r="C955" s="27"/>
      <c r="G955" s="33"/>
      <c r="H955" s="3"/>
      <c r="I955" s="3"/>
    </row>
    <row r="956" spans="1:9" ht="14.25" customHeight="1" x14ac:dyDescent="0.35">
      <c r="A956" s="27"/>
      <c r="B956" s="30"/>
      <c r="C956" s="27"/>
      <c r="G956" s="33"/>
      <c r="H956" s="3"/>
      <c r="I956" s="3"/>
    </row>
    <row r="957" spans="1:9" ht="14.25" customHeight="1" x14ac:dyDescent="0.35">
      <c r="A957" s="27"/>
      <c r="B957" s="30"/>
      <c r="C957" s="27"/>
      <c r="G957" s="33"/>
      <c r="H957" s="3"/>
      <c r="I957" s="3"/>
    </row>
    <row r="958" spans="1:9" ht="14.25" customHeight="1" x14ac:dyDescent="0.35">
      <c r="A958" s="27"/>
      <c r="B958" s="30"/>
      <c r="C958" s="27"/>
      <c r="G958" s="33"/>
      <c r="H958" s="3"/>
      <c r="I958" s="3"/>
    </row>
    <row r="959" spans="1:9" ht="14.25" customHeight="1" x14ac:dyDescent="0.35">
      <c r="A959" s="27"/>
      <c r="B959" s="30"/>
      <c r="C959" s="27"/>
      <c r="G959" s="33"/>
      <c r="H959" s="3"/>
      <c r="I959" s="3"/>
    </row>
    <row r="960" spans="1:9" ht="14.25" customHeight="1" x14ac:dyDescent="0.35">
      <c r="A960" s="27"/>
      <c r="B960" s="30"/>
      <c r="C960" s="27"/>
      <c r="G960" s="33"/>
      <c r="H960" s="3"/>
      <c r="I960" s="3"/>
    </row>
    <row r="961" spans="1:9" ht="14.25" customHeight="1" x14ac:dyDescent="0.35">
      <c r="A961" s="27"/>
      <c r="B961" s="30"/>
      <c r="C961" s="27"/>
      <c r="G961" s="33"/>
      <c r="H961" s="3"/>
      <c r="I961" s="3"/>
    </row>
    <row r="962" spans="1:9" ht="14.25" customHeight="1" x14ac:dyDescent="0.35">
      <c r="A962" s="27"/>
      <c r="B962" s="30"/>
      <c r="C962" s="27"/>
      <c r="G962" s="33"/>
      <c r="H962" s="3"/>
      <c r="I962" s="3"/>
    </row>
    <row r="963" spans="1:9" ht="14.25" customHeight="1" x14ac:dyDescent="0.35">
      <c r="A963" s="27"/>
      <c r="B963" s="30"/>
      <c r="C963" s="27"/>
      <c r="G963" s="33"/>
      <c r="H963" s="3"/>
      <c r="I963" s="3"/>
    </row>
    <row r="964" spans="1:9" ht="14.25" customHeight="1" x14ac:dyDescent="0.35">
      <c r="A964" s="27"/>
      <c r="B964" s="30"/>
      <c r="C964" s="27"/>
      <c r="G964" s="33"/>
      <c r="H964" s="3"/>
      <c r="I964" s="3"/>
    </row>
    <row r="965" spans="1:9" ht="14.25" customHeight="1" x14ac:dyDescent="0.35">
      <c r="A965" s="27"/>
      <c r="B965" s="30"/>
      <c r="C965" s="27"/>
      <c r="G965" s="33"/>
      <c r="H965" s="3"/>
      <c r="I965" s="3"/>
    </row>
    <row r="966" spans="1:9" ht="14.25" customHeight="1" x14ac:dyDescent="0.35">
      <c r="A966" s="27"/>
      <c r="B966" s="30"/>
      <c r="C966" s="27"/>
      <c r="G966" s="33"/>
      <c r="H966" s="3"/>
      <c r="I966" s="3"/>
    </row>
    <row r="967" spans="1:9" ht="14.25" customHeight="1" x14ac:dyDescent="0.35">
      <c r="A967" s="27"/>
      <c r="B967" s="30"/>
      <c r="C967" s="27"/>
      <c r="G967" s="33"/>
      <c r="H967" s="3"/>
      <c r="I967" s="3"/>
    </row>
    <row r="968" spans="1:9" ht="14.25" customHeight="1" x14ac:dyDescent="0.35">
      <c r="A968" s="27"/>
      <c r="B968" s="30"/>
      <c r="C968" s="27"/>
      <c r="G968" s="33"/>
      <c r="H968" s="3"/>
      <c r="I968" s="3"/>
    </row>
    <row r="969" spans="1:9" ht="14.25" customHeight="1" x14ac:dyDescent="0.35">
      <c r="A969" s="27"/>
      <c r="B969" s="30"/>
      <c r="C969" s="27"/>
      <c r="G969" s="33"/>
      <c r="H969" s="3"/>
      <c r="I969" s="3"/>
    </row>
    <row r="970" spans="1:9" ht="14.25" customHeight="1" x14ac:dyDescent="0.35">
      <c r="A970" s="27"/>
      <c r="B970" s="30"/>
      <c r="C970" s="27"/>
      <c r="G970" s="33"/>
      <c r="H970" s="3"/>
      <c r="I970" s="3"/>
    </row>
    <row r="971" spans="1:9" ht="14.25" customHeight="1" x14ac:dyDescent="0.35">
      <c r="A971" s="27"/>
      <c r="B971" s="30"/>
      <c r="C971" s="27"/>
      <c r="G971" s="33"/>
      <c r="H971" s="3"/>
      <c r="I971" s="3"/>
    </row>
    <row r="972" spans="1:9" ht="14.25" customHeight="1" x14ac:dyDescent="0.35">
      <c r="A972" s="27"/>
      <c r="B972" s="30"/>
      <c r="C972" s="27"/>
      <c r="G972" s="33"/>
      <c r="H972" s="3"/>
      <c r="I972" s="3"/>
    </row>
    <row r="973" spans="1:9" ht="14.25" customHeight="1" x14ac:dyDescent="0.35">
      <c r="A973" s="27"/>
      <c r="B973" s="30"/>
      <c r="C973" s="27"/>
      <c r="G973" s="33"/>
      <c r="H973" s="3"/>
      <c r="I973" s="3"/>
    </row>
    <row r="974" spans="1:9" ht="14.25" customHeight="1" x14ac:dyDescent="0.35">
      <c r="A974" s="27"/>
      <c r="B974" s="30"/>
      <c r="C974" s="27"/>
      <c r="G974" s="33"/>
      <c r="H974" s="3"/>
      <c r="I974" s="3"/>
    </row>
    <row r="975" spans="1:9" ht="14.25" customHeight="1" x14ac:dyDescent="0.35">
      <c r="A975" s="27"/>
      <c r="B975" s="30"/>
      <c r="C975" s="27"/>
      <c r="G975" s="33"/>
      <c r="H975" s="3"/>
      <c r="I975" s="3"/>
    </row>
    <row r="976" spans="1:9" ht="14.25" customHeight="1" x14ac:dyDescent="0.35">
      <c r="A976" s="27"/>
      <c r="B976" s="30"/>
      <c r="C976" s="27"/>
      <c r="G976" s="33"/>
      <c r="H976" s="3"/>
      <c r="I976" s="3"/>
    </row>
    <row r="977" spans="1:9" ht="14.25" customHeight="1" x14ac:dyDescent="0.35">
      <c r="A977" s="27"/>
      <c r="B977" s="30"/>
      <c r="C977" s="27"/>
      <c r="G977" s="33"/>
      <c r="H977" s="3"/>
      <c r="I977" s="3"/>
    </row>
    <row r="978" spans="1:9" ht="14.25" customHeight="1" x14ac:dyDescent="0.35">
      <c r="A978" s="27"/>
      <c r="B978" s="30"/>
      <c r="C978" s="27"/>
      <c r="G978" s="33"/>
      <c r="H978" s="3"/>
      <c r="I978" s="3"/>
    </row>
    <row r="979" spans="1:9" ht="14.25" customHeight="1" x14ac:dyDescent="0.35">
      <c r="A979" s="27"/>
      <c r="B979" s="30"/>
      <c r="C979" s="27"/>
      <c r="G979" s="33"/>
      <c r="H979" s="3"/>
      <c r="I979" s="3"/>
    </row>
    <row r="980" spans="1:9" ht="14.25" customHeight="1" x14ac:dyDescent="0.35">
      <c r="A980" s="27"/>
      <c r="B980" s="30"/>
      <c r="C980" s="27"/>
      <c r="G980" s="33"/>
      <c r="H980" s="3"/>
      <c r="I980" s="3"/>
    </row>
    <row r="981" spans="1:9" ht="14.25" customHeight="1" x14ac:dyDescent="0.35">
      <c r="A981" s="27"/>
      <c r="B981" s="30"/>
      <c r="C981" s="27"/>
      <c r="G981" s="33"/>
      <c r="H981" s="3"/>
      <c r="I981" s="3"/>
    </row>
    <row r="982" spans="1:9" ht="14.25" customHeight="1" x14ac:dyDescent="0.35">
      <c r="A982" s="27"/>
      <c r="B982" s="30"/>
      <c r="C982" s="27"/>
      <c r="G982" s="33"/>
      <c r="H982" s="3"/>
      <c r="I982" s="3"/>
    </row>
    <row r="983" spans="1:9" ht="14.25" customHeight="1" x14ac:dyDescent="0.35">
      <c r="A983" s="27"/>
      <c r="B983" s="30"/>
      <c r="C983" s="27"/>
      <c r="G983" s="33"/>
      <c r="H983" s="3"/>
      <c r="I983" s="3"/>
    </row>
    <row r="984" spans="1:9" ht="14.25" customHeight="1" x14ac:dyDescent="0.35">
      <c r="A984" s="27"/>
      <c r="B984" s="30"/>
      <c r="C984" s="27"/>
      <c r="G984" s="33"/>
      <c r="H984" s="3"/>
      <c r="I984" s="3"/>
    </row>
    <row r="985" spans="1:9" ht="14.25" customHeight="1" x14ac:dyDescent="0.35">
      <c r="A985" s="27"/>
      <c r="B985" s="30"/>
      <c r="C985" s="27"/>
      <c r="G985" s="33"/>
      <c r="H985" s="3"/>
      <c r="I985" s="3"/>
    </row>
    <row r="986" spans="1:9" ht="14.25" customHeight="1" x14ac:dyDescent="0.35">
      <c r="A986" s="27"/>
      <c r="B986" s="30"/>
      <c r="C986" s="27"/>
      <c r="G986" s="33"/>
      <c r="H986" s="3"/>
      <c r="I986" s="3"/>
    </row>
    <row r="987" spans="1:9" ht="14.25" customHeight="1" x14ac:dyDescent="0.35">
      <c r="A987" s="27"/>
      <c r="B987" s="30"/>
      <c r="C987" s="27"/>
      <c r="G987" s="33"/>
      <c r="H987" s="3"/>
      <c r="I987" s="3"/>
    </row>
    <row r="988" spans="1:9" ht="14.25" customHeight="1" x14ac:dyDescent="0.35">
      <c r="A988" s="27"/>
      <c r="B988" s="30"/>
      <c r="C988" s="27"/>
      <c r="G988" s="33"/>
      <c r="H988" s="3"/>
      <c r="I988" s="3"/>
    </row>
    <row r="989" spans="1:9" ht="14.25" customHeight="1" x14ac:dyDescent="0.35">
      <c r="A989" s="27"/>
      <c r="B989" s="30"/>
      <c r="C989" s="27"/>
      <c r="G989" s="33"/>
      <c r="H989" s="3"/>
      <c r="I989" s="3"/>
    </row>
    <row r="990" spans="1:9" ht="14.25" customHeight="1" x14ac:dyDescent="0.35">
      <c r="A990" s="27"/>
      <c r="B990" s="30"/>
      <c r="C990" s="27"/>
      <c r="G990" s="33"/>
      <c r="H990" s="3"/>
      <c r="I990" s="3"/>
    </row>
    <row r="991" spans="1:9" ht="14.25" customHeight="1" x14ac:dyDescent="0.35">
      <c r="A991" s="27"/>
      <c r="B991" s="30"/>
      <c r="C991" s="27"/>
      <c r="G991" s="33"/>
      <c r="H991" s="3"/>
      <c r="I991" s="3"/>
    </row>
    <row r="992" spans="1:9" ht="14.25" customHeight="1" x14ac:dyDescent="0.35">
      <c r="A992" s="27"/>
      <c r="B992" s="30"/>
      <c r="C992" s="27"/>
      <c r="G992" s="33"/>
      <c r="H992" s="3"/>
      <c r="I992" s="3"/>
    </row>
    <row r="993" spans="1:9" ht="14.25" customHeight="1" x14ac:dyDescent="0.35">
      <c r="A993" s="27"/>
      <c r="B993" s="30"/>
      <c r="C993" s="27"/>
      <c r="G993" s="33"/>
      <c r="H993" s="3"/>
      <c r="I993" s="3"/>
    </row>
    <row r="994" spans="1:9" ht="14.25" customHeight="1" x14ac:dyDescent="0.35">
      <c r="A994" s="27"/>
      <c r="B994" s="30"/>
      <c r="C994" s="27"/>
      <c r="G994" s="33"/>
      <c r="H994" s="3"/>
      <c r="I994" s="3"/>
    </row>
    <row r="995" spans="1:9" ht="14.25" customHeight="1" x14ac:dyDescent="0.35">
      <c r="A995" s="27"/>
      <c r="B995" s="30"/>
      <c r="C995" s="27"/>
      <c r="G995" s="33"/>
      <c r="H995" s="3"/>
      <c r="I995" s="3"/>
    </row>
    <row r="996" spans="1:9" ht="14.25" customHeight="1" x14ac:dyDescent="0.35">
      <c r="A996" s="27"/>
      <c r="B996" s="30"/>
      <c r="C996" s="27"/>
      <c r="G996" s="33"/>
      <c r="H996" s="3"/>
      <c r="I996" s="3"/>
    </row>
    <row r="997" spans="1:9" ht="14.25" customHeight="1" x14ac:dyDescent="0.35">
      <c r="A997" s="27"/>
      <c r="B997" s="30"/>
      <c r="C997" s="27"/>
      <c r="G997" s="33"/>
      <c r="H997" s="3"/>
      <c r="I997" s="3"/>
    </row>
    <row r="998" spans="1:9" ht="14.25" customHeight="1" x14ac:dyDescent="0.35">
      <c r="A998" s="27"/>
      <c r="B998" s="30"/>
      <c r="C998" s="27"/>
      <c r="G998" s="33"/>
      <c r="H998" s="3"/>
      <c r="I998" s="3"/>
    </row>
    <row r="999" spans="1:9" ht="14.25" customHeight="1" x14ac:dyDescent="0.35">
      <c r="A999" s="27"/>
      <c r="B999" s="30"/>
      <c r="C999" s="27"/>
      <c r="G999" s="33"/>
      <c r="H999" s="3"/>
      <c r="I999" s="3"/>
    </row>
    <row r="1000" spans="1:9" ht="14.25" customHeight="1" x14ac:dyDescent="0.35">
      <c r="A1000" s="27"/>
      <c r="B1000" s="30"/>
      <c r="C1000" s="27"/>
      <c r="G1000" s="33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7" t="s">
        <v>0</v>
      </c>
      <c r="B1" s="38" t="s">
        <v>1</v>
      </c>
      <c r="C1" s="27" t="s">
        <v>1288</v>
      </c>
      <c r="D1" s="1" t="s">
        <v>1297</v>
      </c>
      <c r="E1" s="27" t="s">
        <v>5</v>
      </c>
      <c r="F1" s="27" t="s">
        <v>3</v>
      </c>
      <c r="G1" s="31" t="s">
        <v>1298</v>
      </c>
      <c r="H1" s="30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3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3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3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3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3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3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3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3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3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3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3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3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3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3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3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3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3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3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3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3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3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3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3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3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3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3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3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3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3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3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3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3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3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3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3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3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3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3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3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3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3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3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3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3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3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3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3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3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3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3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3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3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3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3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3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3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3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3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3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3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3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3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3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3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3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3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3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3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3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3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3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3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3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3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3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3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3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3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3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3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3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3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3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3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3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3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3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3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3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3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3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3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3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3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3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3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3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3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3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3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3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3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3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3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3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3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3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3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3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3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3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3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3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3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3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3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3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3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3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3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3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3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3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3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3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3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3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3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3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3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3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3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3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3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3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3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3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3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3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3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3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3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3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3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3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3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3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3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3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3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3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3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3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3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3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3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3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3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3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3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3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3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3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3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3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3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3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3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3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3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3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3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3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3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3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3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3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3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3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3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3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3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3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3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3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3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3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3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3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3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3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3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3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3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3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3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3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3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3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3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3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3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3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3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3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3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3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3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3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3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3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3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3">
        <f>'2022'!C2</f>
        <v>44759</v>
      </c>
      <c r="H214" s="39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3">
        <f>'2022'!C3</f>
        <v>44718</v>
      </c>
      <c r="H215" s="39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3">
        <f>'2022'!C4</f>
        <v>44726</v>
      </c>
      <c r="H216" s="39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3">
        <f>'2022'!C5</f>
        <v>44789</v>
      </c>
      <c r="H217" s="39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3">
        <f>'2022'!C6</f>
        <v>44707</v>
      </c>
      <c r="H218" s="39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3">
        <f>'2022'!C7</f>
        <v>44788</v>
      </c>
      <c r="H219" s="39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3">
        <f>'2022'!C8</f>
        <v>44687</v>
      </c>
      <c r="H220" s="39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3">
        <f>'2022'!C9</f>
        <v>44679</v>
      </c>
      <c r="H221" s="39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3">
        <f>'2022'!C10</f>
        <v>44768</v>
      </c>
      <c r="H222" s="39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3">
        <f>'2022'!C11</f>
        <v>44789</v>
      </c>
      <c r="H223" s="39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3">
        <f>'2022'!C12</f>
        <v>44820</v>
      </c>
      <c r="H224" s="39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3">
        <f>'2022'!C13</f>
        <v>44779</v>
      </c>
      <c r="H225" s="39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3">
        <f>'2022'!C14</f>
        <v>44706</v>
      </c>
      <c r="H226" s="39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3">
        <f>'2022'!C15</f>
        <v>44759</v>
      </c>
      <c r="H227" s="39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3">
        <f>'2022'!C16</f>
        <v>44725</v>
      </c>
      <c r="H228" s="39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3">
        <f>'2022'!C17</f>
        <v>44762</v>
      </c>
      <c r="H229" s="39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3">
        <f>'2022'!C18</f>
        <v>44718</v>
      </c>
      <c r="H230" s="39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3">
        <f>'2022'!C19</f>
        <v>44686</v>
      </c>
      <c r="H231" s="39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3">
        <f>'2022'!C20</f>
        <v>44741</v>
      </c>
      <c r="H232" s="39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3">
        <f>'2022'!C21</f>
        <v>44718</v>
      </c>
      <c r="H233" s="39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3">
        <f>'2022'!C22</f>
        <v>44768</v>
      </c>
      <c r="H234" s="39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3">
        <f>'2022'!C23</f>
        <v>44762</v>
      </c>
      <c r="H235" s="39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3">
        <f>'2022'!C24</f>
        <v>44686</v>
      </c>
      <c r="H236" s="39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3">
        <f>'2022'!C25</f>
        <v>44767</v>
      </c>
      <c r="H237" s="39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3">
        <f>'2022'!C26</f>
        <v>44826</v>
      </c>
      <c r="H238" s="39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3">
        <f>'2022'!C27</f>
        <v>44775</v>
      </c>
      <c r="H239" s="39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3">
        <f>'2022'!C28</f>
        <v>44772</v>
      </c>
      <c r="H240" s="39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3">
        <f>'2022'!C29</f>
        <v>44665</v>
      </c>
      <c r="H241" s="39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3">
        <f>'2022'!C30</f>
        <v>44759</v>
      </c>
      <c r="H242" s="39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3">
        <f>'2022'!C31</f>
        <v>44728</v>
      </c>
      <c r="H243" s="39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3">
        <f>'2022'!C32</f>
        <v>44697</v>
      </c>
      <c r="H244" s="39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3">
        <f>'2022'!C33</f>
        <v>44785</v>
      </c>
      <c r="H245" s="39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3">
        <f>'2022'!C34</f>
        <v>44661</v>
      </c>
      <c r="H246" s="39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3">
        <f>'2022'!C35</f>
        <v>44795</v>
      </c>
      <c r="H247" s="39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3">
        <f>'2022'!C36</f>
        <v>44746</v>
      </c>
      <c r="H248" s="39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3">
        <f>'2022'!C37</f>
        <v>44767</v>
      </c>
      <c r="H249" s="39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3">
        <f>'2022'!C38</f>
        <v>44717</v>
      </c>
      <c r="H250" s="39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3">
        <f>'2022'!C39</f>
        <v>44802</v>
      </c>
      <c r="H251" s="39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3">
        <f>'2022'!C40</f>
        <v>44782</v>
      </c>
      <c r="H252" s="39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3">
        <f>'2022'!C41</f>
        <v>44774</v>
      </c>
      <c r="H253" s="39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3">
        <f>'2022'!C42</f>
        <v>44759</v>
      </c>
      <c r="H254" s="39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3">
        <f>'2022'!C43</f>
        <v>44750</v>
      </c>
      <c r="H255" s="39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3">
        <f>'2022'!C44</f>
        <v>44794</v>
      </c>
      <c r="H256" s="39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3">
        <f>'2022'!C45</f>
        <v>44740</v>
      </c>
      <c r="H257" s="39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3">
        <f>'2022'!C46</f>
        <v>44752</v>
      </c>
      <c r="H258" s="39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3">
        <f>'2022'!C47</f>
        <v>44755</v>
      </c>
      <c r="H259" s="39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3">
        <f>'2022'!C48</f>
        <v>44693</v>
      </c>
      <c r="H260" s="39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3">
        <f>'2022'!C49</f>
        <v>44713</v>
      </c>
      <c r="H261" s="39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3">
        <f>'2022'!C50</f>
        <v>44752</v>
      </c>
      <c r="H262" s="39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3">
        <f>'2022'!C51</f>
        <v>44774</v>
      </c>
      <c r="H263" s="39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3">
        <f>'2022'!C52</f>
        <v>44665</v>
      </c>
      <c r="H264" s="39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3">
        <f>'2022'!C53</f>
        <v>44784</v>
      </c>
      <c r="H265" s="39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3">
        <f>'2022'!C54</f>
        <v>44745</v>
      </c>
      <c r="H266" s="39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3">
        <f>'2022'!C55</f>
        <v>44707</v>
      </c>
      <c r="H267" s="39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3">
        <f>'2022'!C56</f>
        <v>44739</v>
      </c>
      <c r="H268" s="39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3">
        <f>'2022'!C57</f>
        <v>44731</v>
      </c>
      <c r="H269" s="39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3">
        <f>'2022'!C58</f>
        <v>44744</v>
      </c>
      <c r="H270" s="39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3">
        <f>'2022'!C59</f>
        <v>44750</v>
      </c>
      <c r="H271" s="39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3">
        <f>'2022'!C60</f>
        <v>44679</v>
      </c>
      <c r="H272" s="39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3">
        <f>'2022'!C61</f>
        <v>44783</v>
      </c>
      <c r="H273" s="39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3">
        <f>'2022'!C62</f>
        <v>44731</v>
      </c>
      <c r="H274" s="39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3">
        <f>'2022'!C63</f>
        <v>44720</v>
      </c>
      <c r="H275" s="39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3">
        <f>'2022'!C64</f>
        <v>44735</v>
      </c>
      <c r="H276" s="39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3">
        <f>'2022'!C65</f>
        <v>44765</v>
      </c>
      <c r="H277" s="39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3">
        <f>'2022'!C66</f>
        <v>44737</v>
      </c>
      <c r="H278" s="39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3">
        <f>'2022'!C67</f>
        <v>44732</v>
      </c>
      <c r="H279" s="39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3">
        <f>'2022'!C68</f>
        <v>44801</v>
      </c>
      <c r="H280" s="39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3">
        <f>'2022'!C69</f>
        <v>44683</v>
      </c>
      <c r="H281" s="39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3">
        <f>'2022'!C70</f>
        <v>44682</v>
      </c>
      <c r="H282" s="39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3">
        <f>'2022'!C71</f>
        <v>44777</v>
      </c>
      <c r="H283" s="39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3">
        <f>'2022'!C72</f>
        <v>44795</v>
      </c>
      <c r="H284" s="39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3">
        <f>'2022'!C73</f>
        <v>44783</v>
      </c>
      <c r="H285" s="39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3">
        <f>'2022'!C74</f>
        <v>44774</v>
      </c>
      <c r="H286" s="39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3">
        <f>'2022'!C75</f>
        <v>44711</v>
      </c>
      <c r="H287" s="39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3">
        <f>'2022'!C76</f>
        <v>44661</v>
      </c>
      <c r="H288" s="39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3">
        <f>'2022'!C77</f>
        <v>44743</v>
      </c>
      <c r="H289" s="39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3">
        <f>'2022'!C78</f>
        <v>44748</v>
      </c>
      <c r="H290" s="39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3">
        <f>'2022'!C79</f>
        <v>44662</v>
      </c>
      <c r="H291" s="39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3">
        <f>'2022'!C80</f>
        <v>44795</v>
      </c>
      <c r="H292" s="39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3">
        <f>'2022'!C81</f>
        <v>44661</v>
      </c>
      <c r="H293" s="39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3">
        <f>'2022'!C82</f>
        <v>44809</v>
      </c>
      <c r="H294" s="39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3">
        <f>'2022'!C83</f>
        <v>44721</v>
      </c>
      <c r="H295" s="39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3">
        <f>'2022'!C84</f>
        <v>44725</v>
      </c>
      <c r="H296" s="39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3">
        <f>'2022'!C85</f>
        <v>44693</v>
      </c>
      <c r="H297" s="39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3">
        <f>'2022'!C86</f>
        <v>44748</v>
      </c>
      <c r="H298" s="39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3">
        <f>'2022'!C87</f>
        <v>44665</v>
      </c>
      <c r="H299" s="39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3">
        <f>'2022'!C88</f>
        <v>44797</v>
      </c>
      <c r="H300" s="39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3">
        <f>'2022'!C89</f>
        <v>44758</v>
      </c>
      <c r="H301" s="39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3">
        <f>'2022'!C90</f>
        <v>44700</v>
      </c>
      <c r="H302" s="39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3">
        <f>'2022'!C91</f>
        <v>44733</v>
      </c>
      <c r="H303" s="39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3">
        <f>'2022'!C92</f>
        <v>44807</v>
      </c>
      <c r="H304" s="39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3">
        <f>'2022'!C93</f>
        <v>44634</v>
      </c>
      <c r="H305" s="39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3">
        <f>'2022'!C94</f>
        <v>44732</v>
      </c>
      <c r="H306" s="39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3">
        <f>'2022'!C95</f>
        <v>44700</v>
      </c>
      <c r="H307" s="39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3">
        <f>'2022'!C96</f>
        <v>44710</v>
      </c>
      <c r="H308" s="39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3">
        <f>'2022'!C97</f>
        <v>44751</v>
      </c>
      <c r="H309" s="39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3">
        <f>'2022'!C98</f>
        <v>44765</v>
      </c>
      <c r="H310" s="39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3">
        <f>'2022'!C99</f>
        <v>44715</v>
      </c>
      <c r="H311" s="39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3">
        <f>'2022'!C100</f>
        <v>44812</v>
      </c>
      <c r="H312" s="39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3">
        <f>'2022'!C101</f>
        <v>44742</v>
      </c>
      <c r="H313" s="39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3">
        <f>'2022'!C102</f>
        <v>44781</v>
      </c>
      <c r="H314" s="39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3">
        <f>'2022'!C103</f>
        <v>44703</v>
      </c>
      <c r="H315" s="39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3">
        <f>'2022'!C104</f>
        <v>44669</v>
      </c>
      <c r="H316" s="39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3">
        <f>'2022'!C105</f>
        <v>44778</v>
      </c>
      <c r="H317" s="39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3">
        <f>'2022'!C106</f>
        <v>44827</v>
      </c>
      <c r="H318" s="39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3">
        <f>'2022'!C107</f>
        <v>44815</v>
      </c>
      <c r="H319" s="39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3">
        <f>'2022'!C108</f>
        <v>44766</v>
      </c>
      <c r="H320" s="39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3">
        <f>'2022'!C109</f>
        <v>44695</v>
      </c>
      <c r="H321" s="39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3">
        <f>'2022'!C110</f>
        <v>44776</v>
      </c>
      <c r="H322" s="39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3">
        <f>'2022'!C111</f>
        <v>44687</v>
      </c>
      <c r="H323" s="39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3">
        <f>'2022'!C112</f>
        <v>44683</v>
      </c>
      <c r="H324" s="39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3">
        <f>'2022'!C113</f>
        <v>44772</v>
      </c>
      <c r="H325" s="39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3">
        <f>'2022'!C114</f>
        <v>44750</v>
      </c>
      <c r="H326" s="39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3">
        <f>'2022'!C115</f>
        <v>44805</v>
      </c>
      <c r="H327" s="39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3">
        <f>'2022'!C116</f>
        <v>44703</v>
      </c>
      <c r="H328" s="39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3">
        <f>'2022'!C117</f>
        <v>44854</v>
      </c>
      <c r="H329" s="39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3">
        <f>'2022'!C118</f>
        <v>44679</v>
      </c>
      <c r="H330" s="39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3">
        <f>'2022'!C119</f>
        <v>44674</v>
      </c>
      <c r="H331" s="39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3">
        <f>'2022'!C120</f>
        <v>44710</v>
      </c>
      <c r="H332" s="39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3">
        <f>'2022'!C121</f>
        <v>44696</v>
      </c>
      <c r="H333" s="39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3">
        <f>'2022'!C122</f>
        <v>44682</v>
      </c>
      <c r="H334" s="39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3">
        <f>'2022'!C123</f>
        <v>44694</v>
      </c>
      <c r="H335" s="39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3">
        <f>'2022'!C124</f>
        <v>44795</v>
      </c>
      <c r="H336" s="39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3">
        <f>'2022'!C125</f>
        <v>44809</v>
      </c>
      <c r="H337" s="39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3">
        <f>'2022'!C126</f>
        <v>44700</v>
      </c>
      <c r="H338" s="39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3">
        <f>'2022'!C127</f>
        <v>44757</v>
      </c>
      <c r="H339" s="39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3">
        <f>'2022'!C128</f>
        <v>44701</v>
      </c>
      <c r="H340" s="39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3">
        <f>'2022'!C129</f>
        <v>44693</v>
      </c>
      <c r="H341" s="39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3">
        <f>'2022'!C130</f>
        <v>44780</v>
      </c>
      <c r="H342" s="39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3">
        <f>'2022'!C131</f>
        <v>44733</v>
      </c>
      <c r="H343" s="39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3">
        <f>'2022'!C132</f>
        <v>44782</v>
      </c>
      <c r="H344" s="39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3">
        <f>'2022'!C133</f>
        <v>44733</v>
      </c>
      <c r="H345" s="39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3">
        <f>'2022'!C134</f>
        <v>44802</v>
      </c>
      <c r="H346" s="39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3">
        <f>'2022'!C135</f>
        <v>44823</v>
      </c>
      <c r="H347" s="39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3">
        <f>'2022'!C136</f>
        <v>44786</v>
      </c>
      <c r="H348" s="39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3">
        <f>'2022'!C137</f>
        <v>44812</v>
      </c>
      <c r="H349" s="39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3">
        <f>'2022'!C138</f>
        <v>44816</v>
      </c>
      <c r="H350" s="39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3">
        <f>'2022'!C139</f>
        <v>44815</v>
      </c>
      <c r="H351" s="39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3">
        <f>'2022'!C140</f>
        <v>44784</v>
      </c>
      <c r="H352" s="39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3">
        <f>'2022'!C141</f>
        <v>44829</v>
      </c>
      <c r="H353" s="39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3">
        <f>'2022'!C142</f>
        <v>44816</v>
      </c>
      <c r="H354" s="39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3">
        <f>'2022'!C143</f>
        <v>44801</v>
      </c>
      <c r="H355" s="39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3">
        <f>'2022'!C144</f>
        <v>44813</v>
      </c>
      <c r="H356" s="39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3">
        <f>'2022'!C145</f>
        <v>44786</v>
      </c>
      <c r="H357" s="39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3">
        <f>'2022'!C146</f>
        <v>44800</v>
      </c>
      <c r="H358" s="39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3">
        <f>'2022'!C147</f>
        <v>44821</v>
      </c>
      <c r="H359" s="39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3">
        <f>'2022'!C148</f>
        <v>0</v>
      </c>
      <c r="H360" s="39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3">
        <f>'2022'!C149</f>
        <v>44791</v>
      </c>
      <c r="H361" s="39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3">
        <f>'2022'!C150</f>
        <v>44787</v>
      </c>
      <c r="H362" s="39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3">
        <f>'2022'!C151</f>
        <v>44819</v>
      </c>
      <c r="H363" s="39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3">
        <f>'2022'!C152</f>
        <v>44807</v>
      </c>
      <c r="H364" s="39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3">
        <f>'2022'!C153</f>
        <v>44816</v>
      </c>
      <c r="H365" s="39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3">
        <f>'2022'!C154</f>
        <v>44820</v>
      </c>
      <c r="H366" s="39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3">
        <f>'2022'!C155</f>
        <v>44802</v>
      </c>
      <c r="H367" s="39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3">
        <f>'2022'!C156</f>
        <v>44820</v>
      </c>
      <c r="H368" s="39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3">
        <f>'2022'!C157</f>
        <v>44819</v>
      </c>
      <c r="H369" s="39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3">
        <f>'2022'!C158</f>
        <v>44806</v>
      </c>
      <c r="H370" s="39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3">
        <f>'2022'!C159</f>
        <v>44816</v>
      </c>
      <c r="H371" s="39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3">
        <f>'2023'!C2</f>
        <v>45166</v>
      </c>
      <c r="H372" s="39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3">
        <f>'2023'!C3</f>
        <v>45152</v>
      </c>
      <c r="H373" s="39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3">
        <f>'2023'!C4</f>
        <v>45110</v>
      </c>
      <c r="H374" s="39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3">
        <f>'2023'!C5</f>
        <v>45138</v>
      </c>
      <c r="H375" s="39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3">
        <f>'2023'!C6</f>
        <v>45089</v>
      </c>
      <c r="H376" s="39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3">
        <f>'2023'!C7</f>
        <v>45019</v>
      </c>
      <c r="H377" s="39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3">
        <f>'2023'!C8</f>
        <v>45061</v>
      </c>
      <c r="H378" s="39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3">
        <f>'2023'!C9</f>
        <v>45154</v>
      </c>
      <c r="H379" s="39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3">
        <f>'2023'!C10</f>
        <v>45060</v>
      </c>
      <c r="H380" s="39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3">
        <f>'2023'!C11</f>
        <v>45153</v>
      </c>
      <c r="H381" s="39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3">
        <f>'2023'!C12</f>
        <v>45079</v>
      </c>
      <c r="H382" s="39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3">
        <f>'2023'!C13</f>
        <v>45020</v>
      </c>
      <c r="H383" s="39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3">
        <f>'2023'!C14</f>
        <v>45159</v>
      </c>
      <c r="H384" s="39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3">
        <f>'2023'!C15</f>
        <v>45090</v>
      </c>
      <c r="H385" s="39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3">
        <f>'2023'!C16</f>
        <v>45090</v>
      </c>
      <c r="H386" s="39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3">
        <f>'2023'!C17</f>
        <v>45123</v>
      </c>
      <c r="H387" s="39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3">
        <f>'2023'!C18</f>
        <v>45123</v>
      </c>
      <c r="H388" s="39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3">
        <f>'2023'!C19</f>
        <v>45143</v>
      </c>
      <c r="H389" s="39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3">
        <f>'2023'!C20</f>
        <v>45152</v>
      </c>
      <c r="H390" s="39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3">
        <f>'2023'!C21</f>
        <v>45064</v>
      </c>
      <c r="H391" s="39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3">
        <f>'2023'!C22</f>
        <v>45110</v>
      </c>
      <c r="H392" s="39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3">
        <f>'2023'!C23</f>
        <v>45117</v>
      </c>
      <c r="H393" s="39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3">
        <f>'2023'!C24</f>
        <v>45127</v>
      </c>
      <c r="H394" s="39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3">
        <f>'2023'!C25</f>
        <v>45078</v>
      </c>
      <c r="H395" s="39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3">
        <f>'2023'!C26</f>
        <v>45158</v>
      </c>
      <c r="H396" s="39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3">
        <f>'2023'!C27</f>
        <v>45105</v>
      </c>
      <c r="H397" s="39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3">
        <f>'2023'!C28</f>
        <v>45062</v>
      </c>
      <c r="H398" s="39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3">
        <f>'2023'!C29</f>
        <v>45110</v>
      </c>
      <c r="H399" s="39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3">
        <f>'2023'!C30</f>
        <v>45117</v>
      </c>
      <c r="H400" s="39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3">
        <f>'2023'!C31</f>
        <v>45179</v>
      </c>
      <c r="H401" s="39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3">
        <f>'2023'!C32</f>
        <v>45159</v>
      </c>
      <c r="H402" s="39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3">
        <f>'2023'!C33</f>
        <v>45145</v>
      </c>
      <c r="H403" s="39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3">
        <f>'2023'!C34</f>
        <v>45114</v>
      </c>
      <c r="H404" s="39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3">
        <f>'2023'!C35</f>
        <v>45145</v>
      </c>
      <c r="H405" s="39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3">
        <f>'2023'!C36</f>
        <v>45124</v>
      </c>
      <c r="H406" s="39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3">
        <f>'2023'!C37</f>
        <v>45123</v>
      </c>
      <c r="H407" s="39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3">
        <f>'2023'!C38</f>
        <v>45100</v>
      </c>
      <c r="H408" s="39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3">
        <f>'2023'!C39</f>
        <v>45066</v>
      </c>
      <c r="H409" s="39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3">
        <f>'2023'!C40</f>
        <v>45161</v>
      </c>
      <c r="H410" s="39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3">
        <f>'2023'!C41</f>
        <v>45137</v>
      </c>
      <c r="H411" s="39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3">
        <f>'2023'!C42</f>
        <v>45151</v>
      </c>
      <c r="H412" s="39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3">
        <f>'2023'!C43</f>
        <v>45058</v>
      </c>
      <c r="H413" s="39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3">
        <f>'2023'!C44</f>
        <v>45131</v>
      </c>
      <c r="H414" s="39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3">
        <f>'2023'!C45</f>
        <v>45132</v>
      </c>
      <c r="H415" s="39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3">
        <f>'2023'!C46</f>
        <v>45066</v>
      </c>
      <c r="H416" s="39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3">
        <f>'2023'!C47</f>
        <v>45154</v>
      </c>
      <c r="H417" s="39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3">
        <f>'2023'!C48</f>
        <v>45079</v>
      </c>
      <c r="H418" s="39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3">
        <f>'2023'!C49</f>
        <v>45129</v>
      </c>
      <c r="H419" s="39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3">
        <f>'2023'!C50</f>
        <v>45104</v>
      </c>
      <c r="H420" s="39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3">
        <f>'2023'!C51</f>
        <v>45057</v>
      </c>
      <c r="H421" s="39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3">
        <f>'2023'!C52</f>
        <v>45117</v>
      </c>
      <c r="H422" s="39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3">
        <f>'2023'!C53</f>
        <v>45117</v>
      </c>
      <c r="H423" s="39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3">
        <f>'2023'!C54</f>
        <v>45096</v>
      </c>
      <c r="H424" s="39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3">
        <f>'2023'!C55</f>
        <v>45117</v>
      </c>
      <c r="H425" s="39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3">
        <f>'2023'!C56</f>
        <v>45130</v>
      </c>
      <c r="H426" s="39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3">
        <f>'2023'!C57</f>
        <v>45067</v>
      </c>
      <c r="H427" s="39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3">
        <f>'2023'!C58</f>
        <v>45106</v>
      </c>
      <c r="H428" s="39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3">
        <f>'2023'!C59</f>
        <v>45077</v>
      </c>
      <c r="H429" s="39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3">
        <f>'2023'!C60</f>
        <v>45144</v>
      </c>
      <c r="H430" s="39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3">
        <f>'2023'!C61</f>
        <v>45106</v>
      </c>
      <c r="H431" s="39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3">
        <f>'2023'!C62</f>
        <v>45151</v>
      </c>
      <c r="H432" s="39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3">
        <f>'2023'!C63</f>
        <v>45175</v>
      </c>
      <c r="H433" s="39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3">
        <f>'2023'!C64</f>
        <v>45089</v>
      </c>
      <c r="H434" s="39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3">
        <f>'2023'!C65</f>
        <v>45108</v>
      </c>
      <c r="H435" s="39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3">
        <f>'2023'!C66</f>
        <v>45120</v>
      </c>
      <c r="H436" s="39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3">
        <f>'2023'!C67</f>
        <v>45018</v>
      </c>
      <c r="H437" s="39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3">
        <f>'2023'!C68</f>
        <v>45096</v>
      </c>
      <c r="H438" s="39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3">
        <f>'2023'!C69</f>
        <v>45144</v>
      </c>
      <c r="H439" s="39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3">
        <f>'2023'!C70</f>
        <v>45099</v>
      </c>
      <c r="H440" s="39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3">
        <f>'2023'!C71</f>
        <v>45107</v>
      </c>
      <c r="H441" s="39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3">
        <f>'2023'!C72</f>
        <v>45084</v>
      </c>
      <c r="H442" s="39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3">
        <f>'2023'!C73</f>
        <v>45155</v>
      </c>
      <c r="H443" s="39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3">
        <f>'2023'!C74</f>
        <v>45073</v>
      </c>
      <c r="H444" s="39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3">
        <f>'2023'!C75</f>
        <v>45057</v>
      </c>
      <c r="H445" s="39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3">
        <f>'2023'!C76</f>
        <v>45083</v>
      </c>
      <c r="H446" s="39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3">
        <f>'2023'!C77</f>
        <v>45113</v>
      </c>
      <c r="H447" s="39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3">
        <f>'2023'!C78</f>
        <v>45055</v>
      </c>
      <c r="H448" s="39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3">
        <f>'2023'!C79</f>
        <v>45127</v>
      </c>
      <c r="H449" s="39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3">
        <f>'2023'!C80</f>
        <v>45019</v>
      </c>
      <c r="H450" s="39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3">
        <f>'2023'!C81</f>
        <v>45084</v>
      </c>
      <c r="H451" s="39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3">
        <f>'2023'!C82</f>
        <v>45072</v>
      </c>
      <c r="H452" s="39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3">
        <f>'2023'!C83</f>
        <v>45138</v>
      </c>
      <c r="H453" s="39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3">
        <f>'2023'!C84</f>
        <v>45124</v>
      </c>
      <c r="H454" s="39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3">
        <f>'2023'!C85</f>
        <v>45138</v>
      </c>
      <c r="H455" s="39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3">
        <f>'2023'!C86</f>
        <v>45072</v>
      </c>
      <c r="H456" s="39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3">
        <f>'2023'!C87</f>
        <v>45117</v>
      </c>
      <c r="H457" s="39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3">
        <f>'2023'!C88</f>
        <v>45164</v>
      </c>
      <c r="H458" s="39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3">
        <f>'2023'!C89</f>
        <v>45082</v>
      </c>
      <c r="H459" s="39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3">
        <f>'2023'!C90</f>
        <v>45102</v>
      </c>
      <c r="H460" s="39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3">
        <f>'2023'!C91</f>
        <v>45172</v>
      </c>
      <c r="H461" s="39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3">
        <f>'2023'!C92</f>
        <v>45137</v>
      </c>
      <c r="H462" s="39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3">
        <f>'2023'!C93</f>
        <v>45097</v>
      </c>
      <c r="H463" s="39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3">
        <f>'2023'!C94</f>
        <v>45080</v>
      </c>
      <c r="H464" s="39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3">
        <f>'2023'!C95</f>
        <v>45022</v>
      </c>
      <c r="H465" s="39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3">
        <f>'2023'!C96</f>
        <v>45069</v>
      </c>
      <c r="H466" s="39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3">
        <f>'2023'!C97</f>
        <v>45163</v>
      </c>
      <c r="H467" s="39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3">
        <f>'2023'!C98</f>
        <v>45062</v>
      </c>
      <c r="H468" s="39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3">
        <f>'2023'!C99</f>
        <v>45086</v>
      </c>
      <c r="H469" s="39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3">
        <f>'2023'!C100</f>
        <v>45023</v>
      </c>
      <c r="H470" s="39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3">
        <f>'2023'!C101</f>
        <v>45219</v>
      </c>
      <c r="H471" s="39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3">
        <f>'2023'!C102</f>
        <v>45142</v>
      </c>
      <c r="H472" s="39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3">
        <f>'2023'!C103</f>
        <v>45141</v>
      </c>
      <c r="H473" s="39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3">
        <f>'2023'!C104</f>
        <v>45082</v>
      </c>
      <c r="H474" s="39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3">
        <f>'2023'!C105</f>
        <v>45164</v>
      </c>
      <c r="H475" s="39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3">
        <f>'2023'!C106</f>
        <v>45179</v>
      </c>
      <c r="H476" s="39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3">
        <f>'2023'!C107</f>
        <v>45063</v>
      </c>
      <c r="H477" s="39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3">
        <f>'2023'!C108</f>
        <v>45197</v>
      </c>
      <c r="H478" s="39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3">
        <f>'2023'!C109</f>
        <v>45067</v>
      </c>
      <c r="H479" s="39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3">
        <f>'2023'!C110</f>
        <v>45072</v>
      </c>
      <c r="H480" s="39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3">
        <f>'2023'!C111</f>
        <v>45068</v>
      </c>
      <c r="H481" s="39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3">
        <f>'2023'!C112</f>
        <v>45046</v>
      </c>
      <c r="H482" s="39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3">
        <f>'2023'!C113</f>
        <v>45122</v>
      </c>
      <c r="H483" s="39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3">
        <f>'2023'!C114</f>
        <v>45176</v>
      </c>
      <c r="H484" s="39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3">
        <f>'2023'!C115</f>
        <v>45090</v>
      </c>
      <c r="H485" s="39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3">
        <f>'2023'!C116</f>
        <v>45082</v>
      </c>
      <c r="H486" s="39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3">
        <f>'2023'!C117</f>
        <v>45087</v>
      </c>
      <c r="H487" s="39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3">
        <f>'2023'!C118</f>
        <v>45102</v>
      </c>
      <c r="H488" s="39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3">
        <f>'2023'!C119</f>
        <v>45143</v>
      </c>
      <c r="H489" s="39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3">
        <f>'2023'!C120</f>
        <v>45124</v>
      </c>
      <c r="H490" s="39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3">
        <f>'2023'!C121</f>
        <v>45148</v>
      </c>
      <c r="H491" s="39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3">
        <f>'2023'!C122</f>
        <v>45072</v>
      </c>
      <c r="H492" s="39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3">
        <f>'2023'!C123</f>
        <v>45111</v>
      </c>
      <c r="H493" s="39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3">
        <f>'2023'!C124</f>
        <v>45189</v>
      </c>
      <c r="H494" s="39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3">
        <f>'2023'!C125</f>
        <v>45170</v>
      </c>
      <c r="H495" s="39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3">
        <f>'2023'!C126</f>
        <v>45122</v>
      </c>
      <c r="H496" s="39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3">
        <f>'2023'!C127</f>
        <v>45147</v>
      </c>
      <c r="H497" s="39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3">
        <f>'2023'!C128</f>
        <v>45086</v>
      </c>
      <c r="H498" s="39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3">
        <f>'2023'!C129</f>
        <v>45181</v>
      </c>
      <c r="H499" s="39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3">
        <f>'2023'!C130</f>
        <v>45109</v>
      </c>
      <c r="H500" s="39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3">
        <f>'2023'!C131</f>
        <v>45073</v>
      </c>
      <c r="H501" s="39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3">
        <f>'2023'!C132</f>
        <v>45101</v>
      </c>
      <c r="H502" s="39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3">
        <f>'2023'!C133</f>
        <v>45104</v>
      </c>
      <c r="H503" s="39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3">
        <f>'2023'!C134</f>
        <v>45064</v>
      </c>
      <c r="H504" s="39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3">
        <f>'2023'!C135</f>
        <v>45058</v>
      </c>
      <c r="H505" s="39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3">
        <f>'2023'!C136</f>
        <v>45096</v>
      </c>
      <c r="H506" s="39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3">
        <f>'2023'!C137</f>
        <v>45051</v>
      </c>
      <c r="H507" s="39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3">
        <f>'2023'!C138</f>
        <v>45148</v>
      </c>
      <c r="H508" s="39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3">
        <f>'2023'!C139</f>
        <v>45163</v>
      </c>
      <c r="H509" s="39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3">
        <f>'2023'!C140</f>
        <v>45166</v>
      </c>
      <c r="H510" s="39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3">
        <f>'2023'!C141</f>
        <v>45181</v>
      </c>
      <c r="H511" s="39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3">
        <f>'2023'!C142</f>
        <v>45100</v>
      </c>
      <c r="H512" s="39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3">
        <f>'2023'!C143</f>
        <v>45104</v>
      </c>
      <c r="H513" s="39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3">
        <f>'2023'!C144</f>
        <v>45071</v>
      </c>
      <c r="H514" s="39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3">
        <f>'2023'!C145</f>
        <v>45091</v>
      </c>
      <c r="H515" s="39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3">
        <f>'2023'!C146</f>
        <v>45104</v>
      </c>
      <c r="H516" s="39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3">
        <f>'2023'!C147</f>
        <v>45096</v>
      </c>
      <c r="H517" s="39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3">
        <f>'2023'!C148</f>
        <v>45086</v>
      </c>
      <c r="H518" s="39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3">
        <f>'2023'!C149</f>
        <v>45078</v>
      </c>
      <c r="H519" s="39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3">
        <f>'2023'!C150</f>
        <v>45168</v>
      </c>
      <c r="H520" s="39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3">
        <f>'2023'!C151</f>
        <v>45069</v>
      </c>
      <c r="H521" s="39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3">
        <f>'2023'!C152</f>
        <v>45105</v>
      </c>
      <c r="H522" s="39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3">
        <f>'2023'!C153</f>
        <v>45180</v>
      </c>
      <c r="H523" s="39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3">
        <f>'2023'!C154</f>
        <v>0</v>
      </c>
      <c r="H524" s="39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3">
        <f>'2023'!C155</f>
        <v>45205</v>
      </c>
      <c r="H525" s="39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3">
        <f>'2023'!C156</f>
        <v>45103</v>
      </c>
      <c r="H526" s="39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3">
        <f>'2023'!C157</f>
        <v>45193</v>
      </c>
      <c r="H527" s="39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3">
        <f>'2023'!C158</f>
        <v>45156</v>
      </c>
      <c r="H528" s="39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3">
        <f>'2023'!C159</f>
        <v>45170</v>
      </c>
      <c r="H529" s="39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3">
        <f>'2023'!C160</f>
        <v>45169</v>
      </c>
      <c r="H530" s="39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3">
        <f>'2023'!C161</f>
        <v>45172</v>
      </c>
      <c r="H531" s="39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3">
        <f>'2023'!C162</f>
        <v>45099</v>
      </c>
      <c r="H532" s="39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3">
        <f>'2023'!C163</f>
        <v>45149</v>
      </c>
      <c r="H533" s="39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3">
        <f>'2023'!C164</f>
        <v>45166</v>
      </c>
      <c r="H534" s="39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3">
        <f>'2023'!C165</f>
        <v>45201</v>
      </c>
      <c r="H535" s="39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3">
        <f>'2023'!C166</f>
        <v>45182</v>
      </c>
      <c r="H536" s="39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3">
        <f>'2023'!C167</f>
        <v>45113</v>
      </c>
      <c r="H537" s="39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3">
        <f>'2023'!C168</f>
        <v>45187</v>
      </c>
      <c r="H538" s="39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3">
        <f>'2023'!C169</f>
        <v>45180</v>
      </c>
      <c r="H539" s="39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3">
        <f>'2023'!C170</f>
        <v>45165</v>
      </c>
      <c r="H540" s="39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3">
        <f>'2023'!C171</f>
        <v>45171</v>
      </c>
      <c r="H541" s="39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3">
        <f>'2023'!C172</f>
        <v>45196</v>
      </c>
      <c r="H542" s="39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3">
        <f>'2023'!C173</f>
        <v>45176</v>
      </c>
      <c r="H543" s="39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3">
        <f>'2023'!C174</f>
        <v>45162</v>
      </c>
      <c r="H544" s="39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3">
        <f>'2023'!C175</f>
        <v>45159</v>
      </c>
      <c r="H545" s="39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3">
        <f>'2023'!C176</f>
        <v>45195</v>
      </c>
      <c r="H546" s="39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3">
        <f>'2023'!C177</f>
        <v>45177</v>
      </c>
      <c r="H547" s="39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3">
        <f>'2023'!C178</f>
        <v>45218</v>
      </c>
      <c r="H548" s="39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3">
        <f>'2023'!C179</f>
        <v>45169</v>
      </c>
      <c r="H549" s="39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3">
        <f>'2023'!C180</f>
        <v>45177</v>
      </c>
      <c r="H550" s="39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3">
        <f>'2023'!C181</f>
        <v>45186</v>
      </c>
      <c r="H551" s="39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3">
        <f>'2023'!C182</f>
        <v>45219</v>
      </c>
      <c r="H552" s="39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3">
        <f>'2024'!C2</f>
        <v>45502</v>
      </c>
      <c r="H553" s="39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3">
        <f>'2024'!C3</f>
        <v>45417</v>
      </c>
      <c r="H554" s="39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3">
        <f>'2024'!C4</f>
        <v>45487</v>
      </c>
      <c r="H555" s="39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3">
        <f>'2024'!C5</f>
        <v>45479</v>
      </c>
      <c r="H556" s="39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3">
        <f>'2024'!C6</f>
        <v>45563</v>
      </c>
      <c r="H557" s="39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3">
        <f>'2024'!C7</f>
        <v>45461</v>
      </c>
      <c r="H558" s="39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3">
        <f>'2024'!C8</f>
        <v>45460</v>
      </c>
      <c r="H559" s="39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3">
        <f>'2024'!C9</f>
        <v>45480</v>
      </c>
      <c r="H560" s="39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3">
        <f>'2024'!C10</f>
        <v>45519</v>
      </c>
      <c r="H561" s="39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3">
        <f>'2024'!C11</f>
        <v>45427</v>
      </c>
      <c r="H562" s="39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3">
        <f>'2024'!C12</f>
        <v>45473</v>
      </c>
      <c r="H563" s="39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3">
        <f>'2024'!C13</f>
        <v>45553</v>
      </c>
      <c r="H564" s="39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3">
        <f>'2024'!C14</f>
        <v>45423</v>
      </c>
      <c r="H565" s="39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3">
        <f>'2024'!C15</f>
        <v>45486</v>
      </c>
      <c r="H566" s="39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3">
        <f>'2024'!C16</f>
        <v>45483</v>
      </c>
      <c r="H567" s="39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3">
        <f>'2024'!C17</f>
        <v>45454</v>
      </c>
      <c r="H568" s="39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3">
        <f>'2024'!C18</f>
        <v>45453</v>
      </c>
      <c r="H569" s="39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3">
        <f>'2024'!C19</f>
        <v>45519</v>
      </c>
      <c r="H570" s="39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3">
        <f>'2024'!C20</f>
        <v>45454</v>
      </c>
      <c r="H571" s="39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3">
        <f>'2024'!C21</f>
        <v>45452</v>
      </c>
      <c r="H572" s="39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3">
        <f>'2024'!C22</f>
        <v>45454</v>
      </c>
      <c r="H573" s="39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3">
        <f>'2024'!C23</f>
        <v>45435</v>
      </c>
      <c r="H574" s="39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3">
        <f>'2024'!C24</f>
        <v>45495</v>
      </c>
      <c r="H575" s="39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3">
        <f>'2024'!C25</f>
        <v>45500</v>
      </c>
      <c r="H576" s="39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3">
        <f>'2024'!C26</f>
        <v>45421</v>
      </c>
      <c r="H577" s="39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3">
        <f>'2024'!C27</f>
        <v>45446</v>
      </c>
      <c r="H578" s="39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3">
        <f>'2024'!C28</f>
        <v>45421</v>
      </c>
      <c r="H579" s="39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3">
        <f>'2024'!C29</f>
        <v>45434</v>
      </c>
      <c r="H580" s="39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3">
        <f>'2024'!C30</f>
        <v>45519</v>
      </c>
      <c r="H581" s="39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3">
        <f>'2024'!C31</f>
        <v>45475</v>
      </c>
      <c r="H582" s="39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3">
        <f>'2024'!C32</f>
        <v>45462</v>
      </c>
      <c r="H583" s="39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3">
        <f>'2024'!C33</f>
        <v>45465</v>
      </c>
      <c r="H584" s="39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3">
        <f>'2024'!C34</f>
        <v>45474</v>
      </c>
      <c r="H585" s="39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3">
        <f>'2024'!C35</f>
        <v>45513</v>
      </c>
      <c r="H586" s="39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3">
        <f>'2024'!C36</f>
        <v>45454</v>
      </c>
      <c r="H587" s="39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3">
        <f>'2024'!C37</f>
        <v>45516</v>
      </c>
      <c r="H588" s="39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3">
        <f>'2024'!C38</f>
        <v>45529</v>
      </c>
      <c r="H589" s="39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3">
        <f>'2024'!C39</f>
        <v>45446</v>
      </c>
      <c r="H590" s="39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3">
        <f>'2024'!C40</f>
        <v>45442</v>
      </c>
      <c r="H591" s="39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3">
        <f>'2024'!C41</f>
        <v>45488</v>
      </c>
      <c r="H592" s="39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3">
        <f>'2024'!C42</f>
        <v>45448</v>
      </c>
      <c r="H593" s="39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3">
        <f>'2024'!C43</f>
        <v>45486</v>
      </c>
      <c r="H594" s="39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3">
        <f>'2024'!C44</f>
        <v>45472</v>
      </c>
      <c r="H595" s="39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3">
        <f>'2024'!C45</f>
        <v>45446</v>
      </c>
      <c r="H596" s="39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3">
        <f>'2024'!C46</f>
        <v>45439</v>
      </c>
      <c r="H597" s="39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3">
        <f>'2024'!C47</f>
        <v>45495</v>
      </c>
      <c r="H598" s="39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3">
        <f>'2024'!C48</f>
        <v>45495</v>
      </c>
      <c r="H599" s="39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3">
        <f>'2024'!C49</f>
        <v>45467</v>
      </c>
      <c r="H600" s="39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3">
        <f>'2024'!C50</f>
        <v>45494</v>
      </c>
      <c r="H601" s="39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3">
        <f>'2024'!C51</f>
        <v>45511</v>
      </c>
      <c r="H602" s="39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3">
        <f>'2024'!C52</f>
        <v>45414</v>
      </c>
      <c r="H603" s="39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3">
        <f>'2024'!C53</f>
        <v>45442</v>
      </c>
      <c r="H604" s="39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3">
        <f>'2024'!C54</f>
        <v>45434</v>
      </c>
      <c r="H605" s="39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3">
        <f>'2024'!C55</f>
        <v>45439</v>
      </c>
      <c r="H606" s="39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3">
        <f>'2024'!C56</f>
        <v>45432</v>
      </c>
      <c r="H607" s="39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3">
        <f>'2024'!C57</f>
        <v>45516</v>
      </c>
      <c r="H608" s="39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3">
        <f>'2024'!C58</f>
        <v>45524</v>
      </c>
      <c r="H609" s="39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3">
        <f>'2024'!C59</f>
        <v>45548</v>
      </c>
      <c r="H610" s="39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3">
        <f>'2024'!C60</f>
        <v>45492</v>
      </c>
      <c r="H611" s="39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3">
        <f>'2024'!C61</f>
        <v>45464</v>
      </c>
      <c r="H612" s="39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3">
        <f>'2024'!C62</f>
        <v>45480</v>
      </c>
      <c r="H613" s="39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3">
        <f>'2024'!C63</f>
        <v>45502</v>
      </c>
      <c r="H614" s="39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3">
        <f>'2024'!C64</f>
        <v>45533</v>
      </c>
      <c r="H615" s="39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3">
        <f>'2024'!C65</f>
        <v>45506</v>
      </c>
      <c r="H616" s="39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3">
        <f>'2024'!C66</f>
        <v>45560</v>
      </c>
      <c r="H617" s="39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3">
        <f>'2024'!C67</f>
        <v>45438</v>
      </c>
      <c r="H618" s="39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3">
        <f>'2024'!C68</f>
        <v>45415</v>
      </c>
      <c r="H619" s="39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3">
        <f>'2024'!C69</f>
        <v>45436</v>
      </c>
      <c r="H620" s="39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3">
        <f>'2024'!C70</f>
        <v>45523</v>
      </c>
      <c r="H621" s="39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3">
        <f>'2024'!C71</f>
        <v>45468</v>
      </c>
      <c r="H622" s="39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3">
        <f>'2024'!C72</f>
        <v>45511</v>
      </c>
      <c r="H623" s="39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3">
        <f>'2024'!C73</f>
        <v>45421</v>
      </c>
      <c r="H624" s="39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3">
        <f>'2024'!C74</f>
        <v>45503</v>
      </c>
      <c r="H625" s="39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3">
        <f>'2024'!C75</f>
        <v>45502</v>
      </c>
      <c r="H626" s="39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3">
        <f>'2024'!C76</f>
        <v>45554</v>
      </c>
      <c r="H627" s="39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3">
        <f>'2024'!C77</f>
        <v>45523</v>
      </c>
      <c r="H628" s="39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3">
        <f>'2024'!C78</f>
        <v>45470</v>
      </c>
      <c r="H629" s="39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3">
        <f>'2024'!C79</f>
        <v>45490</v>
      </c>
      <c r="H630" s="39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3">
        <f>'2024'!C80</f>
        <v>45479</v>
      </c>
      <c r="H631" s="39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3">
        <f>'2024'!C81</f>
        <v>45436</v>
      </c>
      <c r="H632" s="39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3">
        <f>'2024'!C82</f>
        <v>45475</v>
      </c>
      <c r="H633" s="39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3">
        <f>'2024'!C83</f>
        <v>45473</v>
      </c>
      <c r="H634" s="39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3">
        <f>'2024'!C84</f>
        <v>45530</v>
      </c>
      <c r="H635" s="39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3">
        <f>'2024'!C85</f>
        <v>45429</v>
      </c>
      <c r="H636" s="39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3">
        <f>'2024'!C86</f>
        <v>45519</v>
      </c>
      <c r="H637" s="39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3">
        <f>'2024'!C87</f>
        <v>45527</v>
      </c>
      <c r="H638" s="39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3">
        <f>'2024'!C88</f>
        <v>45508</v>
      </c>
      <c r="H639" s="39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3">
        <f>'2024'!C89</f>
        <v>45508</v>
      </c>
      <c r="H640" s="39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3">
        <f>'2024'!C90</f>
        <v>45527</v>
      </c>
      <c r="H641" s="39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3">
        <f>'2024'!C91</f>
        <v>45472</v>
      </c>
      <c r="H642" s="39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3">
        <f>'2024'!C92</f>
        <v>45501</v>
      </c>
      <c r="H643" s="39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3">
        <f>'2024'!C93</f>
        <v>45449</v>
      </c>
      <c r="H644" s="39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3">
        <f>'2024'!C94</f>
        <v>45551</v>
      </c>
      <c r="H645" s="39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3">
        <f>'2024'!C95</f>
        <v>45558</v>
      </c>
      <c r="H646" s="39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3">
        <f>'2024'!C96</f>
        <v>45568</v>
      </c>
      <c r="H647" s="39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3">
        <f>'2024'!C97</f>
        <v>45415</v>
      </c>
      <c r="H648" s="39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3">
        <f>'2024'!C98</f>
        <v>45508</v>
      </c>
      <c r="H649" s="39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3">
        <f>'2024'!C99</f>
        <v>45428</v>
      </c>
      <c r="H650" s="39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3">
        <f>'2024'!C100</f>
        <v>45533</v>
      </c>
      <c r="H651" s="39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3">
        <f>'2024'!C101</f>
        <v>45414</v>
      </c>
      <c r="H652" s="39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3">
        <f>'2024'!C102</f>
        <v>45503</v>
      </c>
      <c r="H653" s="39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3">
        <f>'2024'!C103</f>
        <v>45475</v>
      </c>
      <c r="H654" s="39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3">
        <f>'2024'!C104</f>
        <v>45522</v>
      </c>
      <c r="H655" s="39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3">
        <f>'2024'!C106</f>
        <v>45454</v>
      </c>
      <c r="H656" s="39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3">
        <f>'2024'!C105</f>
        <v>45454</v>
      </c>
      <c r="H657" s="39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3">
        <f>'2024'!C107</f>
        <v>45526</v>
      </c>
      <c r="H658" s="39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3">
        <f>'2024'!C108</f>
        <v>45467</v>
      </c>
      <c r="H659" s="39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3">
        <f>'2024'!C109</f>
        <v>45523</v>
      </c>
      <c r="H660" s="39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3">
        <f>'2024'!C110</f>
        <v>45429</v>
      </c>
      <c r="H661" s="39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3">
        <f>'2024'!C111</f>
        <v>45415</v>
      </c>
      <c r="H662" s="39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3">
        <f>'2024'!C112</f>
        <v>45467</v>
      </c>
      <c r="H663" s="39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3">
        <f>'2024'!C113</f>
        <v>45544</v>
      </c>
      <c r="H664" s="39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3">
        <f>'2024'!C114</f>
        <v>45429</v>
      </c>
      <c r="H665" s="39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3">
        <f>'2024'!C115</f>
        <v>45500</v>
      </c>
      <c r="H666" s="39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3">
        <f>'2024'!C116</f>
        <v>45450</v>
      </c>
      <c r="H667" s="39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3">
        <f>'2024'!C117</f>
        <v>45451</v>
      </c>
      <c r="H668" s="39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3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3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3">
        <f>'2024'!C120</f>
        <v>45527</v>
      </c>
      <c r="H671" s="39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3">
        <f>'2024'!C121</f>
        <v>45457</v>
      </c>
      <c r="H672" s="39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3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3">
        <f>'2024'!C123</f>
        <v>45471</v>
      </c>
      <c r="H674" s="39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3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3">
        <f>'2024'!C125</f>
        <v>45478</v>
      </c>
      <c r="H676" s="39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3">
        <f>'2024'!C126</f>
        <v>45556</v>
      </c>
      <c r="H677" s="39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3">
        <f>'2024'!C127</f>
        <v>45509</v>
      </c>
      <c r="H678" s="39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3">
        <f>'2024'!C128</f>
        <v>45506</v>
      </c>
      <c r="H679" s="39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3">
        <f>'2024'!C129</f>
        <v>45509</v>
      </c>
      <c r="H680" s="39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3">
        <f>'2024'!C130</f>
        <v>45525</v>
      </c>
      <c r="H681" s="39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3">
        <f>'2024'!C131</f>
        <v>45548</v>
      </c>
      <c r="H682" s="39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3">
        <f>'2024'!C132</f>
        <v>45558</v>
      </c>
      <c r="H683" s="39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3">
        <f>'2024'!C133</f>
        <v>45516</v>
      </c>
      <c r="H684" s="39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3">
        <f>'2024'!C134</f>
        <v>45527</v>
      </c>
      <c r="H685" s="39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3">
        <f>'2024'!C135</f>
        <v>45536</v>
      </c>
      <c r="H686" s="39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3">
        <f>'2024'!C136</f>
        <v>45528</v>
      </c>
      <c r="H687" s="39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3">
        <f>'2024'!C137</f>
        <v>45517</v>
      </c>
      <c r="H688" s="39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3">
        <f>'2024'!C138</f>
        <v>45544</v>
      </c>
      <c r="H689" s="39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3">
        <f>'2024'!C139</f>
        <v>45560</v>
      </c>
      <c r="H690" s="39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3">
        <f>'2024'!C140</f>
        <v>45537</v>
      </c>
      <c r="H691" s="39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3">
        <f>'2024'!C141</f>
        <v>45534</v>
      </c>
      <c r="H692" s="39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3">
        <f>'2024'!C142</f>
        <v>45533</v>
      </c>
      <c r="H693" s="39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3">
        <f>'2024'!C143</f>
        <v>45532</v>
      </c>
      <c r="H694" s="39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3">
        <f>'2024'!C144</f>
        <v>45544</v>
      </c>
      <c r="H695" s="39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3">
        <f>'2024'!C145</f>
        <v>45557</v>
      </c>
      <c r="H696" s="39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3">
        <f>'2024'!C146</f>
        <v>45559</v>
      </c>
      <c r="H697" s="39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3">
        <f>'2024'!C146</f>
        <v>45559</v>
      </c>
      <c r="H698" s="39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3">
        <f>'2024'!C150</f>
        <v>45566</v>
      </c>
      <c r="H699" s="39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3">
        <f>'2024'!C151</f>
        <v>45566</v>
      </c>
      <c r="H700" s="39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3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3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3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3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3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3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3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3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3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3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3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3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3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3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3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3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3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3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3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3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3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3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3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3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3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3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3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3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3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3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3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3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3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3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3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3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3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3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3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3"/>
    </row>
    <row r="741" spans="1:10" ht="14.25" customHeight="1" x14ac:dyDescent="0.35">
      <c r="B741" s="2"/>
      <c r="G741" s="33"/>
      <c r="H741" s="2"/>
    </row>
    <row r="742" spans="1:10" ht="14.25" customHeight="1" x14ac:dyDescent="0.35">
      <c r="B742" s="2"/>
      <c r="G742" s="33"/>
      <c r="H742" s="2"/>
    </row>
    <row r="743" spans="1:10" ht="14.25" customHeight="1" x14ac:dyDescent="0.35">
      <c r="B743" s="2"/>
      <c r="G743" s="33"/>
      <c r="H743" s="2"/>
    </row>
    <row r="744" spans="1:10" ht="14.25" customHeight="1" x14ac:dyDescent="0.35">
      <c r="B744" s="2"/>
      <c r="G744" s="33"/>
      <c r="H744" s="2"/>
    </row>
    <row r="745" spans="1:10" ht="14.25" customHeight="1" x14ac:dyDescent="0.35">
      <c r="B745" s="2"/>
      <c r="G745" s="33"/>
      <c r="H745" s="2"/>
    </row>
    <row r="746" spans="1:10" ht="14.25" customHeight="1" x14ac:dyDescent="0.35">
      <c r="B746" s="2"/>
      <c r="G746" s="33"/>
      <c r="H746" s="2"/>
    </row>
    <row r="747" spans="1:10" ht="14.25" customHeight="1" x14ac:dyDescent="0.35">
      <c r="B747" s="2"/>
      <c r="G747" s="33"/>
      <c r="H747" s="2"/>
    </row>
    <row r="748" spans="1:10" ht="14.25" customHeight="1" x14ac:dyDescent="0.35">
      <c r="B748" s="2"/>
      <c r="G748" s="33"/>
      <c r="H748" s="2"/>
    </row>
    <row r="749" spans="1:10" ht="14.25" customHeight="1" x14ac:dyDescent="0.35">
      <c r="B749" s="2"/>
      <c r="G749" s="33"/>
      <c r="H749" s="2"/>
    </row>
    <row r="750" spans="1:10" ht="14.25" customHeight="1" x14ac:dyDescent="0.35">
      <c r="B750" s="2"/>
      <c r="G750" s="33"/>
      <c r="H750" s="2"/>
    </row>
    <row r="751" spans="1:10" ht="14.25" customHeight="1" x14ac:dyDescent="0.35">
      <c r="B751" s="2"/>
      <c r="G751" s="33"/>
      <c r="H751" s="2"/>
    </row>
    <row r="752" spans="1:10" ht="14.25" customHeight="1" x14ac:dyDescent="0.35">
      <c r="B752" s="2"/>
      <c r="G752" s="33"/>
      <c r="H752" s="2"/>
    </row>
    <row r="753" spans="2:8" ht="14.25" customHeight="1" x14ac:dyDescent="0.35">
      <c r="B753" s="2"/>
      <c r="G753" s="33"/>
      <c r="H753" s="2"/>
    </row>
    <row r="754" spans="2:8" ht="14.25" customHeight="1" x14ac:dyDescent="0.35">
      <c r="B754" s="2"/>
      <c r="G754" s="33"/>
      <c r="H754" s="2"/>
    </row>
    <row r="755" spans="2:8" ht="14.25" customHeight="1" x14ac:dyDescent="0.35">
      <c r="B755" s="2"/>
      <c r="G755" s="33"/>
      <c r="H755" s="2"/>
    </row>
    <row r="756" spans="2:8" ht="14.25" customHeight="1" x14ac:dyDescent="0.35">
      <c r="B756" s="2"/>
      <c r="G756" s="33"/>
      <c r="H756" s="2"/>
    </row>
    <row r="757" spans="2:8" ht="14.25" customHeight="1" x14ac:dyDescent="0.35">
      <c r="B757" s="2"/>
      <c r="G757" s="33"/>
      <c r="H757" s="2"/>
    </row>
    <row r="758" spans="2:8" ht="14.25" customHeight="1" x14ac:dyDescent="0.35">
      <c r="B758" s="2"/>
      <c r="G758" s="33"/>
      <c r="H758" s="2"/>
    </row>
    <row r="759" spans="2:8" ht="14.25" customHeight="1" x14ac:dyDescent="0.35">
      <c r="B759" s="2"/>
      <c r="G759" s="33"/>
      <c r="H759" s="2"/>
    </row>
    <row r="760" spans="2:8" ht="14.25" customHeight="1" x14ac:dyDescent="0.35">
      <c r="B760" s="2"/>
      <c r="G760" s="33"/>
      <c r="H760" s="2"/>
    </row>
    <row r="761" spans="2:8" ht="14.25" customHeight="1" x14ac:dyDescent="0.35">
      <c r="B761" s="2"/>
      <c r="G761" s="33"/>
      <c r="H761" s="2"/>
    </row>
    <row r="762" spans="2:8" ht="14.25" customHeight="1" x14ac:dyDescent="0.35">
      <c r="B762" s="2"/>
      <c r="G762" s="33"/>
      <c r="H762" s="2"/>
    </row>
    <row r="763" spans="2:8" ht="14.25" customHeight="1" x14ac:dyDescent="0.35">
      <c r="B763" s="2"/>
      <c r="G763" s="33"/>
      <c r="H763" s="2"/>
    </row>
    <row r="764" spans="2:8" ht="14.25" customHeight="1" x14ac:dyDescent="0.35">
      <c r="B764" s="2"/>
      <c r="G764" s="33"/>
      <c r="H764" s="2"/>
    </row>
    <row r="765" spans="2:8" ht="14.25" customHeight="1" x14ac:dyDescent="0.35">
      <c r="B765" s="2"/>
      <c r="G765" s="33"/>
      <c r="H765" s="2"/>
    </row>
    <row r="766" spans="2:8" ht="14.25" customHeight="1" x14ac:dyDescent="0.35">
      <c r="B766" s="2"/>
      <c r="G766" s="33"/>
      <c r="H766" s="2"/>
    </row>
    <row r="767" spans="2:8" ht="14.25" customHeight="1" x14ac:dyDescent="0.35">
      <c r="B767" s="2"/>
      <c r="G767" s="33"/>
      <c r="H767" s="2"/>
    </row>
    <row r="768" spans="2:8" ht="14.25" customHeight="1" x14ac:dyDescent="0.35">
      <c r="B768" s="2"/>
      <c r="G768" s="33"/>
      <c r="H768" s="2"/>
    </row>
    <row r="769" spans="2:8" ht="14.25" customHeight="1" x14ac:dyDescent="0.35">
      <c r="B769" s="2"/>
      <c r="G769" s="33"/>
      <c r="H769" s="2"/>
    </row>
    <row r="770" spans="2:8" ht="14.25" customHeight="1" x14ac:dyDescent="0.35">
      <c r="B770" s="2"/>
      <c r="G770" s="33"/>
      <c r="H770" s="2"/>
    </row>
    <row r="771" spans="2:8" ht="14.25" customHeight="1" x14ac:dyDescent="0.35">
      <c r="B771" s="2"/>
      <c r="G771" s="33"/>
      <c r="H771" s="2"/>
    </row>
    <row r="772" spans="2:8" ht="14.25" customHeight="1" x14ac:dyDescent="0.35">
      <c r="B772" s="2"/>
      <c r="G772" s="33"/>
      <c r="H772" s="2"/>
    </row>
    <row r="773" spans="2:8" ht="14.25" customHeight="1" x14ac:dyDescent="0.35">
      <c r="B773" s="2"/>
      <c r="G773" s="33"/>
      <c r="H773" s="2"/>
    </row>
    <row r="774" spans="2:8" ht="14.25" customHeight="1" x14ac:dyDescent="0.35">
      <c r="B774" s="2"/>
      <c r="G774" s="33"/>
      <c r="H774" s="2"/>
    </row>
    <row r="775" spans="2:8" ht="14.25" customHeight="1" x14ac:dyDescent="0.35">
      <c r="B775" s="2"/>
      <c r="G775" s="33"/>
      <c r="H775" s="2"/>
    </row>
    <row r="776" spans="2:8" ht="14.25" customHeight="1" x14ac:dyDescent="0.35">
      <c r="B776" s="2"/>
      <c r="G776" s="33"/>
      <c r="H776" s="2"/>
    </row>
    <row r="777" spans="2:8" ht="14.25" customHeight="1" x14ac:dyDescent="0.35">
      <c r="B777" s="2"/>
      <c r="G777" s="33"/>
      <c r="H777" s="2"/>
    </row>
    <row r="778" spans="2:8" ht="14.25" customHeight="1" x14ac:dyDescent="0.35">
      <c r="B778" s="2"/>
      <c r="G778" s="33"/>
      <c r="H778" s="2"/>
    </row>
    <row r="779" spans="2:8" ht="14.25" customHeight="1" x14ac:dyDescent="0.35">
      <c r="B779" s="2"/>
      <c r="G779" s="33"/>
      <c r="H779" s="2"/>
    </row>
    <row r="780" spans="2:8" ht="14.25" customHeight="1" x14ac:dyDescent="0.35">
      <c r="B780" s="2"/>
      <c r="G780" s="33"/>
      <c r="H780" s="2"/>
    </row>
    <row r="781" spans="2:8" ht="14.25" customHeight="1" x14ac:dyDescent="0.35">
      <c r="B781" s="2"/>
      <c r="G781" s="33"/>
      <c r="H781" s="2"/>
    </row>
    <row r="782" spans="2:8" ht="14.25" customHeight="1" x14ac:dyDescent="0.35">
      <c r="B782" s="2"/>
      <c r="G782" s="33"/>
      <c r="H782" s="2"/>
    </row>
    <row r="783" spans="2:8" ht="14.25" customHeight="1" x14ac:dyDescent="0.35">
      <c r="B783" s="2"/>
      <c r="G783" s="33"/>
      <c r="H783" s="2"/>
    </row>
    <row r="784" spans="2:8" ht="14.25" customHeight="1" x14ac:dyDescent="0.35">
      <c r="B784" s="2"/>
      <c r="G784" s="33"/>
      <c r="H784" s="2"/>
    </row>
    <row r="785" spans="2:8" ht="14.25" customHeight="1" x14ac:dyDescent="0.35">
      <c r="B785" s="2"/>
      <c r="G785" s="33"/>
      <c r="H785" s="2"/>
    </row>
    <row r="786" spans="2:8" ht="14.25" customHeight="1" x14ac:dyDescent="0.35">
      <c r="B786" s="2"/>
      <c r="G786" s="33"/>
      <c r="H786" s="2"/>
    </row>
    <row r="787" spans="2:8" ht="14.25" customHeight="1" x14ac:dyDescent="0.35">
      <c r="B787" s="2"/>
      <c r="G787" s="33"/>
      <c r="H787" s="2"/>
    </row>
    <row r="788" spans="2:8" ht="14.25" customHeight="1" x14ac:dyDescent="0.35">
      <c r="B788" s="2"/>
      <c r="G788" s="33"/>
      <c r="H788" s="2"/>
    </row>
    <row r="789" spans="2:8" ht="14.25" customHeight="1" x14ac:dyDescent="0.35">
      <c r="B789" s="2"/>
      <c r="G789" s="33"/>
      <c r="H789" s="2"/>
    </row>
    <row r="790" spans="2:8" ht="14.25" customHeight="1" x14ac:dyDescent="0.35">
      <c r="B790" s="2"/>
      <c r="G790" s="33"/>
      <c r="H790" s="2"/>
    </row>
    <row r="791" spans="2:8" ht="14.25" customHeight="1" x14ac:dyDescent="0.35">
      <c r="B791" s="2"/>
      <c r="G791" s="33"/>
      <c r="H791" s="2"/>
    </row>
    <row r="792" spans="2:8" ht="14.25" customHeight="1" x14ac:dyDescent="0.35">
      <c r="B792" s="2"/>
      <c r="G792" s="33"/>
      <c r="H792" s="2"/>
    </row>
    <row r="793" spans="2:8" ht="14.25" customHeight="1" x14ac:dyDescent="0.35">
      <c r="B793" s="2"/>
      <c r="G793" s="33"/>
      <c r="H793" s="2"/>
    </row>
    <row r="794" spans="2:8" ht="14.25" customHeight="1" x14ac:dyDescent="0.35">
      <c r="B794" s="2"/>
      <c r="G794" s="33"/>
      <c r="H794" s="2"/>
    </row>
    <row r="795" spans="2:8" ht="14.25" customHeight="1" x14ac:dyDescent="0.35">
      <c r="B795" s="2"/>
      <c r="G795" s="33"/>
      <c r="H795" s="2"/>
    </row>
    <row r="796" spans="2:8" ht="14.25" customHeight="1" x14ac:dyDescent="0.35">
      <c r="B796" s="2"/>
      <c r="G796" s="33"/>
      <c r="H796" s="2"/>
    </row>
    <row r="797" spans="2:8" ht="14.25" customHeight="1" x14ac:dyDescent="0.35">
      <c r="B797" s="2"/>
      <c r="G797" s="33"/>
      <c r="H797" s="2"/>
    </row>
    <row r="798" spans="2:8" ht="14.25" customHeight="1" x14ac:dyDescent="0.35">
      <c r="B798" s="2"/>
      <c r="G798" s="33"/>
      <c r="H798" s="2"/>
    </row>
    <row r="799" spans="2:8" ht="14.25" customHeight="1" x14ac:dyDescent="0.35">
      <c r="B799" s="2"/>
      <c r="G799" s="33"/>
      <c r="H799" s="2"/>
    </row>
    <row r="800" spans="2:8" ht="14.25" customHeight="1" x14ac:dyDescent="0.35">
      <c r="B800" s="2"/>
      <c r="G800" s="33"/>
      <c r="H800" s="2"/>
    </row>
    <row r="801" spans="2:8" ht="14.25" customHeight="1" x14ac:dyDescent="0.35">
      <c r="B801" s="2"/>
      <c r="G801" s="33"/>
      <c r="H801" s="2"/>
    </row>
    <row r="802" spans="2:8" ht="14.25" customHeight="1" x14ac:dyDescent="0.35">
      <c r="B802" s="2"/>
      <c r="G802" s="33"/>
      <c r="H802" s="2"/>
    </row>
    <row r="803" spans="2:8" ht="14.25" customHeight="1" x14ac:dyDescent="0.35">
      <c r="B803" s="2"/>
      <c r="G803" s="33"/>
      <c r="H803" s="2"/>
    </row>
    <row r="804" spans="2:8" ht="14.25" customHeight="1" x14ac:dyDescent="0.35">
      <c r="B804" s="2"/>
      <c r="G804" s="33"/>
      <c r="H804" s="2"/>
    </row>
    <row r="805" spans="2:8" ht="14.25" customHeight="1" x14ac:dyDescent="0.35">
      <c r="B805" s="2"/>
      <c r="G805" s="33"/>
      <c r="H805" s="2"/>
    </row>
    <row r="806" spans="2:8" ht="14.25" customHeight="1" x14ac:dyDescent="0.35">
      <c r="B806" s="2"/>
      <c r="G806" s="33"/>
      <c r="H806" s="2"/>
    </row>
    <row r="807" spans="2:8" ht="14.25" customHeight="1" x14ac:dyDescent="0.35">
      <c r="B807" s="2"/>
      <c r="G807" s="33"/>
      <c r="H807" s="2"/>
    </row>
    <row r="808" spans="2:8" ht="14.25" customHeight="1" x14ac:dyDescent="0.35">
      <c r="B808" s="2"/>
      <c r="G808" s="33"/>
      <c r="H808" s="2"/>
    </row>
    <row r="809" spans="2:8" ht="14.25" customHeight="1" x14ac:dyDescent="0.35">
      <c r="B809" s="2"/>
      <c r="G809" s="33"/>
      <c r="H809" s="2"/>
    </row>
    <row r="810" spans="2:8" ht="14.25" customHeight="1" x14ac:dyDescent="0.35">
      <c r="B810" s="2"/>
      <c r="G810" s="33"/>
      <c r="H810" s="2"/>
    </row>
    <row r="811" spans="2:8" ht="14.25" customHeight="1" x14ac:dyDescent="0.35">
      <c r="B811" s="2"/>
      <c r="G811" s="33"/>
      <c r="H811" s="2"/>
    </row>
    <row r="812" spans="2:8" ht="14.25" customHeight="1" x14ac:dyDescent="0.35">
      <c r="B812" s="2"/>
      <c r="G812" s="33"/>
      <c r="H812" s="2"/>
    </row>
    <row r="813" spans="2:8" ht="14.25" customHeight="1" x14ac:dyDescent="0.35">
      <c r="B813" s="2"/>
      <c r="G813" s="33"/>
      <c r="H813" s="2"/>
    </row>
    <row r="814" spans="2:8" ht="14.25" customHeight="1" x14ac:dyDescent="0.35">
      <c r="B814" s="2"/>
      <c r="G814" s="33"/>
      <c r="H814" s="2"/>
    </row>
    <row r="815" spans="2:8" ht="14.25" customHeight="1" x14ac:dyDescent="0.35">
      <c r="B815" s="2"/>
      <c r="G815" s="33"/>
      <c r="H815" s="2"/>
    </row>
    <row r="816" spans="2:8" ht="14.25" customHeight="1" x14ac:dyDescent="0.35">
      <c r="B816" s="2"/>
      <c r="G816" s="33"/>
      <c r="H816" s="2"/>
    </row>
    <row r="817" spans="2:8" ht="14.25" customHeight="1" x14ac:dyDescent="0.35">
      <c r="B817" s="2"/>
      <c r="G817" s="33"/>
      <c r="H817" s="2"/>
    </row>
    <row r="818" spans="2:8" ht="14.25" customHeight="1" x14ac:dyDescent="0.35">
      <c r="B818" s="2"/>
      <c r="G818" s="33"/>
      <c r="H818" s="2"/>
    </row>
    <row r="819" spans="2:8" ht="14.25" customHeight="1" x14ac:dyDescent="0.35">
      <c r="B819" s="2"/>
      <c r="G819" s="33"/>
      <c r="H819" s="2"/>
    </row>
    <row r="820" spans="2:8" ht="14.25" customHeight="1" x14ac:dyDescent="0.35">
      <c r="B820" s="2"/>
      <c r="G820" s="33"/>
      <c r="H820" s="2"/>
    </row>
    <row r="821" spans="2:8" ht="14.25" customHeight="1" x14ac:dyDescent="0.35">
      <c r="B821" s="2"/>
      <c r="G821" s="33"/>
      <c r="H821" s="2"/>
    </row>
    <row r="822" spans="2:8" ht="14.25" customHeight="1" x14ac:dyDescent="0.35">
      <c r="B822" s="2"/>
      <c r="G822" s="33"/>
      <c r="H822" s="2"/>
    </row>
    <row r="823" spans="2:8" ht="14.25" customHeight="1" x14ac:dyDescent="0.35">
      <c r="B823" s="2"/>
      <c r="G823" s="33"/>
      <c r="H823" s="2"/>
    </row>
    <row r="824" spans="2:8" ht="14.25" customHeight="1" x14ac:dyDescent="0.35">
      <c r="B824" s="2"/>
      <c r="G824" s="33"/>
      <c r="H824" s="2"/>
    </row>
    <row r="825" spans="2:8" ht="14.25" customHeight="1" x14ac:dyDescent="0.35">
      <c r="B825" s="2"/>
      <c r="G825" s="33"/>
      <c r="H825" s="2"/>
    </row>
    <row r="826" spans="2:8" ht="14.25" customHeight="1" x14ac:dyDescent="0.35">
      <c r="B826" s="2"/>
      <c r="G826" s="33"/>
      <c r="H826" s="2"/>
    </row>
    <row r="827" spans="2:8" ht="14.25" customHeight="1" x14ac:dyDescent="0.35">
      <c r="B827" s="2"/>
      <c r="G827" s="33"/>
      <c r="H827" s="2"/>
    </row>
    <row r="828" spans="2:8" ht="14.25" customHeight="1" x14ac:dyDescent="0.35">
      <c r="B828" s="2"/>
      <c r="G828" s="33"/>
      <c r="H828" s="2"/>
    </row>
    <row r="829" spans="2:8" ht="14.25" customHeight="1" x14ac:dyDescent="0.35">
      <c r="B829" s="2"/>
      <c r="G829" s="33"/>
      <c r="H829" s="2"/>
    </row>
    <row r="830" spans="2:8" ht="14.25" customHeight="1" x14ac:dyDescent="0.35">
      <c r="B830" s="2"/>
      <c r="G830" s="33"/>
      <c r="H830" s="2"/>
    </row>
    <row r="831" spans="2:8" ht="14.25" customHeight="1" x14ac:dyDescent="0.35">
      <c r="B831" s="2"/>
      <c r="G831" s="33"/>
      <c r="H831" s="2"/>
    </row>
    <row r="832" spans="2:8" ht="14.25" customHeight="1" x14ac:dyDescent="0.35">
      <c r="B832" s="2"/>
      <c r="G832" s="33"/>
      <c r="H832" s="2"/>
    </row>
    <row r="833" spans="2:8" ht="14.25" customHeight="1" x14ac:dyDescent="0.35">
      <c r="B833" s="2"/>
      <c r="G833" s="33"/>
      <c r="H833" s="2"/>
    </row>
    <row r="834" spans="2:8" ht="14.25" customHeight="1" x14ac:dyDescent="0.35">
      <c r="B834" s="2"/>
      <c r="G834" s="33"/>
      <c r="H834" s="2"/>
    </row>
    <row r="835" spans="2:8" ht="14.25" customHeight="1" x14ac:dyDescent="0.35">
      <c r="B835" s="2"/>
      <c r="G835" s="33"/>
      <c r="H835" s="2"/>
    </row>
    <row r="836" spans="2:8" ht="14.25" customHeight="1" x14ac:dyDescent="0.35">
      <c r="B836" s="2"/>
      <c r="G836" s="33"/>
      <c r="H836" s="2"/>
    </row>
    <row r="837" spans="2:8" ht="14.25" customHeight="1" x14ac:dyDescent="0.35">
      <c r="B837" s="2"/>
      <c r="G837" s="33"/>
      <c r="H837" s="2"/>
    </row>
    <row r="838" spans="2:8" ht="14.25" customHeight="1" x14ac:dyDescent="0.35">
      <c r="B838" s="2"/>
      <c r="G838" s="33"/>
      <c r="H838" s="2"/>
    </row>
    <row r="839" spans="2:8" ht="14.25" customHeight="1" x14ac:dyDescent="0.35">
      <c r="B839" s="2"/>
      <c r="G839" s="33"/>
      <c r="H839" s="2"/>
    </row>
    <row r="840" spans="2:8" ht="14.25" customHeight="1" x14ac:dyDescent="0.35">
      <c r="B840" s="2"/>
      <c r="G840" s="33"/>
      <c r="H840" s="2"/>
    </row>
    <row r="841" spans="2:8" ht="14.25" customHeight="1" x14ac:dyDescent="0.35">
      <c r="B841" s="2"/>
      <c r="G841" s="33"/>
      <c r="H841" s="2"/>
    </row>
    <row r="842" spans="2:8" ht="14.25" customHeight="1" x14ac:dyDescent="0.35">
      <c r="B842" s="2"/>
      <c r="G842" s="33"/>
      <c r="H842" s="2"/>
    </row>
    <row r="843" spans="2:8" ht="14.25" customHeight="1" x14ac:dyDescent="0.35">
      <c r="B843" s="2"/>
      <c r="G843" s="33"/>
      <c r="H843" s="2"/>
    </row>
    <row r="844" spans="2:8" ht="14.25" customHeight="1" x14ac:dyDescent="0.35">
      <c r="B844" s="2"/>
      <c r="G844" s="33"/>
      <c r="H844" s="2"/>
    </row>
    <row r="845" spans="2:8" ht="14.25" customHeight="1" x14ac:dyDescent="0.35">
      <c r="B845" s="2"/>
      <c r="G845" s="33"/>
      <c r="H845" s="2"/>
    </row>
    <row r="846" spans="2:8" ht="14.25" customHeight="1" x14ac:dyDescent="0.35">
      <c r="B846" s="2"/>
      <c r="G846" s="33"/>
      <c r="H846" s="2"/>
    </row>
    <row r="847" spans="2:8" ht="14.25" customHeight="1" x14ac:dyDescent="0.35">
      <c r="B847" s="2"/>
      <c r="G847" s="33"/>
      <c r="H847" s="2"/>
    </row>
    <row r="848" spans="2:8" ht="14.25" customHeight="1" x14ac:dyDescent="0.35">
      <c r="B848" s="2"/>
      <c r="G848" s="33"/>
      <c r="H848" s="2"/>
    </row>
    <row r="849" spans="2:8" ht="14.25" customHeight="1" x14ac:dyDescent="0.35">
      <c r="B849" s="2"/>
      <c r="G849" s="33"/>
      <c r="H849" s="2"/>
    </row>
    <row r="850" spans="2:8" ht="14.25" customHeight="1" x14ac:dyDescent="0.35">
      <c r="B850" s="2"/>
      <c r="G850" s="33"/>
      <c r="H850" s="2"/>
    </row>
    <row r="851" spans="2:8" ht="14.25" customHeight="1" x14ac:dyDescent="0.35">
      <c r="B851" s="2"/>
      <c r="G851" s="33"/>
      <c r="H851" s="2"/>
    </row>
    <row r="852" spans="2:8" ht="14.25" customHeight="1" x14ac:dyDescent="0.35">
      <c r="B852" s="2"/>
      <c r="G852" s="33"/>
      <c r="H852" s="2"/>
    </row>
    <row r="853" spans="2:8" ht="14.25" customHeight="1" x14ac:dyDescent="0.35">
      <c r="B853" s="2"/>
      <c r="G853" s="33"/>
      <c r="H853" s="2"/>
    </row>
    <row r="854" spans="2:8" ht="14.25" customHeight="1" x14ac:dyDescent="0.35">
      <c r="B854" s="2"/>
      <c r="G854" s="33"/>
      <c r="H854" s="2"/>
    </row>
    <row r="855" spans="2:8" ht="14.25" customHeight="1" x14ac:dyDescent="0.35">
      <c r="B855" s="2"/>
      <c r="G855" s="33"/>
      <c r="H855" s="2"/>
    </row>
    <row r="856" spans="2:8" ht="14.25" customHeight="1" x14ac:dyDescent="0.35">
      <c r="B856" s="2"/>
      <c r="G856" s="33"/>
      <c r="H856" s="2"/>
    </row>
    <row r="857" spans="2:8" ht="14.25" customHeight="1" x14ac:dyDescent="0.35">
      <c r="B857" s="2"/>
      <c r="G857" s="33"/>
      <c r="H857" s="2"/>
    </row>
    <row r="858" spans="2:8" ht="14.25" customHeight="1" x14ac:dyDescent="0.35">
      <c r="B858" s="2"/>
      <c r="G858" s="33"/>
      <c r="H858" s="2"/>
    </row>
    <row r="859" spans="2:8" ht="14.25" customHeight="1" x14ac:dyDescent="0.35">
      <c r="B859" s="2"/>
      <c r="G859" s="33"/>
      <c r="H859" s="2"/>
    </row>
    <row r="860" spans="2:8" ht="14.25" customHeight="1" x14ac:dyDescent="0.35">
      <c r="B860" s="2"/>
      <c r="G860" s="33"/>
      <c r="H860" s="2"/>
    </row>
    <row r="861" spans="2:8" ht="14.25" customHeight="1" x14ac:dyDescent="0.35">
      <c r="B861" s="2"/>
      <c r="G861" s="33"/>
      <c r="H861" s="2"/>
    </row>
    <row r="862" spans="2:8" ht="14.25" customHeight="1" x14ac:dyDescent="0.35">
      <c r="B862" s="2"/>
      <c r="G862" s="33"/>
      <c r="H862" s="2"/>
    </row>
    <row r="863" spans="2:8" ht="14.25" customHeight="1" x14ac:dyDescent="0.35">
      <c r="B863" s="2"/>
      <c r="G863" s="33"/>
      <c r="H863" s="2"/>
    </row>
    <row r="864" spans="2:8" ht="14.25" customHeight="1" x14ac:dyDescent="0.35">
      <c r="B864" s="2"/>
      <c r="G864" s="33"/>
      <c r="H864" s="2"/>
    </row>
    <row r="865" spans="2:8" ht="14.25" customHeight="1" x14ac:dyDescent="0.35">
      <c r="B865" s="2"/>
      <c r="G865" s="33"/>
      <c r="H865" s="2"/>
    </row>
    <row r="866" spans="2:8" ht="14.25" customHeight="1" x14ac:dyDescent="0.35">
      <c r="B866" s="2"/>
      <c r="G866" s="33"/>
      <c r="H866" s="2"/>
    </row>
    <row r="867" spans="2:8" ht="14.25" customHeight="1" x14ac:dyDescent="0.35">
      <c r="B867" s="2"/>
      <c r="G867" s="33"/>
      <c r="H867" s="2"/>
    </row>
    <row r="868" spans="2:8" ht="14.25" customHeight="1" x14ac:dyDescent="0.35">
      <c r="B868" s="2"/>
      <c r="G868" s="33"/>
      <c r="H868" s="2"/>
    </row>
    <row r="869" spans="2:8" ht="14.25" customHeight="1" x14ac:dyDescent="0.35">
      <c r="B869" s="2"/>
      <c r="G869" s="33"/>
      <c r="H869" s="2"/>
    </row>
    <row r="870" spans="2:8" ht="14.25" customHeight="1" x14ac:dyDescent="0.35">
      <c r="B870" s="2"/>
      <c r="G870" s="33"/>
      <c r="H870" s="2"/>
    </row>
    <row r="871" spans="2:8" ht="14.25" customHeight="1" x14ac:dyDescent="0.35">
      <c r="B871" s="2"/>
      <c r="G871" s="33"/>
      <c r="H871" s="2"/>
    </row>
    <row r="872" spans="2:8" ht="14.25" customHeight="1" x14ac:dyDescent="0.35">
      <c r="B872" s="2"/>
      <c r="G872" s="33"/>
      <c r="H872" s="2"/>
    </row>
    <row r="873" spans="2:8" ht="14.25" customHeight="1" x14ac:dyDescent="0.35">
      <c r="B873" s="2"/>
      <c r="G873" s="33"/>
      <c r="H873" s="2"/>
    </row>
    <row r="874" spans="2:8" ht="14.25" customHeight="1" x14ac:dyDescent="0.35">
      <c r="B874" s="2"/>
      <c r="G874" s="33"/>
      <c r="H874" s="2"/>
    </row>
    <row r="875" spans="2:8" ht="14.25" customHeight="1" x14ac:dyDescent="0.35">
      <c r="B875" s="2"/>
      <c r="G875" s="33"/>
      <c r="H875" s="2"/>
    </row>
    <row r="876" spans="2:8" ht="14.25" customHeight="1" x14ac:dyDescent="0.35">
      <c r="B876" s="2"/>
      <c r="G876" s="33"/>
      <c r="H876" s="2"/>
    </row>
    <row r="877" spans="2:8" ht="14.25" customHeight="1" x14ac:dyDescent="0.35">
      <c r="B877" s="2"/>
      <c r="G877" s="33"/>
      <c r="H877" s="2"/>
    </row>
    <row r="878" spans="2:8" ht="14.25" customHeight="1" x14ac:dyDescent="0.35">
      <c r="B878" s="2"/>
      <c r="G878" s="33"/>
      <c r="H878" s="2"/>
    </row>
    <row r="879" spans="2:8" ht="14.25" customHeight="1" x14ac:dyDescent="0.35">
      <c r="B879" s="2"/>
      <c r="G879" s="33"/>
      <c r="H879" s="2"/>
    </row>
    <row r="880" spans="2:8" ht="14.25" customHeight="1" x14ac:dyDescent="0.35">
      <c r="B880" s="2"/>
      <c r="G880" s="33"/>
      <c r="H880" s="2"/>
    </row>
    <row r="881" spans="2:8" ht="14.25" customHeight="1" x14ac:dyDescent="0.35">
      <c r="B881" s="2"/>
      <c r="G881" s="33"/>
      <c r="H881" s="2"/>
    </row>
    <row r="882" spans="2:8" ht="14.25" customHeight="1" x14ac:dyDescent="0.35">
      <c r="B882" s="2"/>
      <c r="G882" s="33"/>
      <c r="H882" s="2"/>
    </row>
    <row r="883" spans="2:8" ht="14.25" customHeight="1" x14ac:dyDescent="0.35">
      <c r="B883" s="2"/>
      <c r="G883" s="33"/>
      <c r="H883" s="2"/>
    </row>
    <row r="884" spans="2:8" ht="14.25" customHeight="1" x14ac:dyDescent="0.35">
      <c r="B884" s="2"/>
      <c r="G884" s="33"/>
      <c r="H884" s="2"/>
    </row>
    <row r="885" spans="2:8" ht="14.25" customHeight="1" x14ac:dyDescent="0.35">
      <c r="B885" s="2"/>
      <c r="G885" s="33"/>
      <c r="H885" s="2"/>
    </row>
    <row r="886" spans="2:8" ht="14.25" customHeight="1" x14ac:dyDescent="0.35">
      <c r="B886" s="2"/>
      <c r="G886" s="33"/>
      <c r="H886" s="2"/>
    </row>
    <row r="887" spans="2:8" ht="14.25" customHeight="1" x14ac:dyDescent="0.35">
      <c r="B887" s="2"/>
      <c r="G887" s="33"/>
      <c r="H887" s="2"/>
    </row>
    <row r="888" spans="2:8" ht="14.25" customHeight="1" x14ac:dyDescent="0.35">
      <c r="B888" s="2"/>
      <c r="G888" s="33"/>
      <c r="H888" s="2"/>
    </row>
    <row r="889" spans="2:8" ht="14.25" customHeight="1" x14ac:dyDescent="0.35">
      <c r="B889" s="2"/>
      <c r="G889" s="33"/>
      <c r="H889" s="2"/>
    </row>
    <row r="890" spans="2:8" ht="14.25" customHeight="1" x14ac:dyDescent="0.35">
      <c r="B890" s="2"/>
      <c r="G890" s="33"/>
      <c r="H890" s="2"/>
    </row>
    <row r="891" spans="2:8" ht="14.25" customHeight="1" x14ac:dyDescent="0.35">
      <c r="B891" s="2"/>
      <c r="G891" s="33"/>
      <c r="H891" s="2"/>
    </row>
    <row r="892" spans="2:8" ht="14.25" customHeight="1" x14ac:dyDescent="0.35">
      <c r="B892" s="2"/>
      <c r="G892" s="33"/>
      <c r="H892" s="2"/>
    </row>
    <row r="893" spans="2:8" ht="14.25" customHeight="1" x14ac:dyDescent="0.35">
      <c r="B893" s="2"/>
      <c r="G893" s="33"/>
      <c r="H893" s="2"/>
    </row>
    <row r="894" spans="2:8" ht="14.25" customHeight="1" x14ac:dyDescent="0.35">
      <c r="B894" s="2"/>
      <c r="G894" s="33"/>
      <c r="H894" s="2"/>
    </row>
    <row r="895" spans="2:8" ht="14.25" customHeight="1" x14ac:dyDescent="0.35">
      <c r="B895" s="2"/>
      <c r="G895" s="33"/>
      <c r="H895" s="2"/>
    </row>
    <row r="896" spans="2:8" ht="14.25" customHeight="1" x14ac:dyDescent="0.35">
      <c r="B896" s="2"/>
      <c r="G896" s="33"/>
      <c r="H896" s="2"/>
    </row>
    <row r="897" spans="2:8" ht="14.25" customHeight="1" x14ac:dyDescent="0.35">
      <c r="B897" s="2"/>
      <c r="G897" s="33"/>
      <c r="H897" s="2"/>
    </row>
    <row r="898" spans="2:8" ht="14.25" customHeight="1" x14ac:dyDescent="0.35">
      <c r="B898" s="2"/>
      <c r="G898" s="33"/>
      <c r="H898" s="2"/>
    </row>
    <row r="899" spans="2:8" ht="14.25" customHeight="1" x14ac:dyDescent="0.35">
      <c r="B899" s="2"/>
      <c r="G899" s="33"/>
      <c r="H899" s="2"/>
    </row>
    <row r="900" spans="2:8" ht="14.25" customHeight="1" x14ac:dyDescent="0.35">
      <c r="B900" s="2"/>
      <c r="G900" s="33"/>
      <c r="H900" s="2"/>
    </row>
    <row r="901" spans="2:8" ht="14.25" customHeight="1" x14ac:dyDescent="0.35">
      <c r="B901" s="2"/>
      <c r="G901" s="33"/>
      <c r="H901" s="2"/>
    </row>
    <row r="902" spans="2:8" ht="14.25" customHeight="1" x14ac:dyDescent="0.35">
      <c r="B902" s="2"/>
      <c r="G902" s="33"/>
      <c r="H902" s="2"/>
    </row>
    <row r="903" spans="2:8" ht="14.25" customHeight="1" x14ac:dyDescent="0.35">
      <c r="B903" s="2"/>
      <c r="G903" s="33"/>
      <c r="H903" s="2"/>
    </row>
    <row r="904" spans="2:8" ht="14.25" customHeight="1" x14ac:dyDescent="0.35">
      <c r="B904" s="2"/>
      <c r="G904" s="33"/>
      <c r="H904" s="2"/>
    </row>
    <row r="905" spans="2:8" ht="14.25" customHeight="1" x14ac:dyDescent="0.35">
      <c r="B905" s="2"/>
      <c r="G905" s="33"/>
      <c r="H905" s="2"/>
    </row>
    <row r="906" spans="2:8" ht="14.25" customHeight="1" x14ac:dyDescent="0.35">
      <c r="B906" s="2"/>
      <c r="G906" s="33"/>
      <c r="H906" s="2"/>
    </row>
    <row r="907" spans="2:8" ht="14.25" customHeight="1" x14ac:dyDescent="0.35">
      <c r="B907" s="2"/>
      <c r="G907" s="33"/>
      <c r="H907" s="2"/>
    </row>
    <row r="908" spans="2:8" ht="14.25" customHeight="1" x14ac:dyDescent="0.35">
      <c r="B908" s="2"/>
      <c r="G908" s="33"/>
      <c r="H908" s="2"/>
    </row>
    <row r="909" spans="2:8" ht="14.25" customHeight="1" x14ac:dyDescent="0.35">
      <c r="B909" s="2"/>
      <c r="G909" s="33"/>
      <c r="H909" s="2"/>
    </row>
    <row r="910" spans="2:8" ht="14.25" customHeight="1" x14ac:dyDescent="0.35">
      <c r="B910" s="2"/>
      <c r="G910" s="33"/>
      <c r="H910" s="2"/>
    </row>
    <row r="911" spans="2:8" ht="14.25" customHeight="1" x14ac:dyDescent="0.35">
      <c r="B911" s="2"/>
      <c r="G911" s="33"/>
      <c r="H911" s="2"/>
    </row>
    <row r="912" spans="2:8" ht="14.25" customHeight="1" x14ac:dyDescent="0.35">
      <c r="B912" s="2"/>
      <c r="G912" s="33"/>
      <c r="H912" s="2"/>
    </row>
    <row r="913" spans="2:8" ht="14.25" customHeight="1" x14ac:dyDescent="0.35">
      <c r="B913" s="2"/>
      <c r="G913" s="33"/>
      <c r="H913" s="2"/>
    </row>
    <row r="914" spans="2:8" ht="14.25" customHeight="1" x14ac:dyDescent="0.35">
      <c r="B914" s="2"/>
      <c r="G914" s="33"/>
      <c r="H914" s="2"/>
    </row>
    <row r="915" spans="2:8" ht="14.25" customHeight="1" x14ac:dyDescent="0.35">
      <c r="B915" s="2"/>
      <c r="G915" s="33"/>
      <c r="H915" s="2"/>
    </row>
    <row r="916" spans="2:8" ht="14.25" customHeight="1" x14ac:dyDescent="0.35">
      <c r="B916" s="2"/>
      <c r="G916" s="33"/>
      <c r="H916" s="2"/>
    </row>
    <row r="917" spans="2:8" ht="14.25" customHeight="1" x14ac:dyDescent="0.35">
      <c r="B917" s="2"/>
      <c r="G917" s="33"/>
      <c r="H917" s="2"/>
    </row>
    <row r="918" spans="2:8" ht="14.25" customHeight="1" x14ac:dyDescent="0.35">
      <c r="B918" s="2"/>
      <c r="G918" s="33"/>
      <c r="H918" s="2"/>
    </row>
    <row r="919" spans="2:8" ht="14.25" customHeight="1" x14ac:dyDescent="0.35">
      <c r="B919" s="2"/>
      <c r="G919" s="33"/>
      <c r="H919" s="2"/>
    </row>
    <row r="920" spans="2:8" ht="14.25" customHeight="1" x14ac:dyDescent="0.35">
      <c r="B920" s="2"/>
      <c r="G920" s="33"/>
      <c r="H920" s="2"/>
    </row>
    <row r="921" spans="2:8" ht="14.25" customHeight="1" x14ac:dyDescent="0.35">
      <c r="B921" s="2"/>
      <c r="G921" s="33"/>
      <c r="H921" s="2"/>
    </row>
    <row r="922" spans="2:8" ht="14.25" customHeight="1" x14ac:dyDescent="0.35">
      <c r="B922" s="2"/>
      <c r="G922" s="33"/>
      <c r="H922" s="2"/>
    </row>
    <row r="923" spans="2:8" ht="14.25" customHeight="1" x14ac:dyDescent="0.35">
      <c r="B923" s="2"/>
      <c r="G923" s="33"/>
      <c r="H923" s="2"/>
    </row>
    <row r="924" spans="2:8" ht="14.25" customHeight="1" x14ac:dyDescent="0.35">
      <c r="B924" s="2"/>
      <c r="G924" s="33"/>
      <c r="H924" s="2"/>
    </row>
    <row r="925" spans="2:8" ht="14.25" customHeight="1" x14ac:dyDescent="0.35">
      <c r="B925" s="2"/>
      <c r="G925" s="33"/>
      <c r="H925" s="2"/>
    </row>
    <row r="926" spans="2:8" ht="14.25" customHeight="1" x14ac:dyDescent="0.35">
      <c r="B926" s="2"/>
      <c r="G926" s="33"/>
      <c r="H926" s="2"/>
    </row>
    <row r="927" spans="2:8" ht="14.25" customHeight="1" x14ac:dyDescent="0.35">
      <c r="B927" s="2"/>
      <c r="G927" s="33"/>
      <c r="H927" s="2"/>
    </row>
    <row r="928" spans="2:8" ht="14.25" customHeight="1" x14ac:dyDescent="0.35">
      <c r="B928" s="2"/>
      <c r="G928" s="33"/>
      <c r="H928" s="2"/>
    </row>
    <row r="929" spans="2:8" ht="14.25" customHeight="1" x14ac:dyDescent="0.35">
      <c r="B929" s="2"/>
      <c r="G929" s="33"/>
      <c r="H929" s="2"/>
    </row>
    <row r="930" spans="2:8" ht="14.25" customHeight="1" x14ac:dyDescent="0.35">
      <c r="B930" s="2"/>
      <c r="G930" s="33"/>
      <c r="H930" s="2"/>
    </row>
    <row r="931" spans="2:8" ht="14.25" customHeight="1" x14ac:dyDescent="0.35">
      <c r="B931" s="2"/>
      <c r="G931" s="33"/>
      <c r="H931" s="2"/>
    </row>
    <row r="932" spans="2:8" ht="14.25" customHeight="1" x14ac:dyDescent="0.35">
      <c r="B932" s="2"/>
      <c r="G932" s="33"/>
      <c r="H932" s="2"/>
    </row>
    <row r="933" spans="2:8" ht="14.25" customHeight="1" x14ac:dyDescent="0.35">
      <c r="B933" s="2"/>
      <c r="G933" s="33"/>
      <c r="H933" s="2"/>
    </row>
    <row r="934" spans="2:8" ht="14.25" customHeight="1" x14ac:dyDescent="0.35">
      <c r="B934" s="2"/>
      <c r="G934" s="33"/>
      <c r="H934" s="2"/>
    </row>
    <row r="935" spans="2:8" ht="14.25" customHeight="1" x14ac:dyDescent="0.35">
      <c r="B935" s="2"/>
      <c r="G935" s="33"/>
      <c r="H935" s="2"/>
    </row>
    <row r="936" spans="2:8" ht="14.25" customHeight="1" x14ac:dyDescent="0.35">
      <c r="B936" s="2"/>
      <c r="G936" s="33"/>
      <c r="H936" s="2"/>
    </row>
    <row r="937" spans="2:8" ht="14.25" customHeight="1" x14ac:dyDescent="0.35">
      <c r="B937" s="2"/>
      <c r="G937" s="33"/>
      <c r="H937" s="2"/>
    </row>
    <row r="938" spans="2:8" ht="14.25" customHeight="1" x14ac:dyDescent="0.35">
      <c r="B938" s="2"/>
      <c r="G938" s="33"/>
      <c r="H938" s="2"/>
    </row>
    <row r="939" spans="2:8" ht="14.25" customHeight="1" x14ac:dyDescent="0.35">
      <c r="B939" s="2"/>
      <c r="G939" s="33"/>
      <c r="H939" s="2"/>
    </row>
    <row r="940" spans="2:8" ht="14.25" customHeight="1" x14ac:dyDescent="0.35">
      <c r="B940" s="2"/>
      <c r="G940" s="33"/>
      <c r="H940" s="2"/>
    </row>
    <row r="941" spans="2:8" ht="14.25" customHeight="1" x14ac:dyDescent="0.35">
      <c r="B941" s="2"/>
      <c r="G941" s="33"/>
      <c r="H941" s="2"/>
    </row>
    <row r="942" spans="2:8" ht="14.25" customHeight="1" x14ac:dyDescent="0.35">
      <c r="B942" s="2"/>
      <c r="G942" s="33"/>
      <c r="H942" s="2"/>
    </row>
    <row r="943" spans="2:8" ht="14.25" customHeight="1" x14ac:dyDescent="0.35">
      <c r="B943" s="2"/>
      <c r="G943" s="33"/>
      <c r="H943" s="2"/>
    </row>
    <row r="944" spans="2:8" ht="14.25" customHeight="1" x14ac:dyDescent="0.35">
      <c r="B944" s="2"/>
      <c r="G944" s="33"/>
      <c r="H944" s="2"/>
    </row>
    <row r="945" spans="2:8" ht="14.25" customHeight="1" x14ac:dyDescent="0.35">
      <c r="B945" s="2"/>
      <c r="G945" s="33"/>
      <c r="H945" s="2"/>
    </row>
    <row r="946" spans="2:8" ht="14.25" customHeight="1" x14ac:dyDescent="0.35">
      <c r="B946" s="2"/>
      <c r="G946" s="33"/>
      <c r="H946" s="2"/>
    </row>
    <row r="947" spans="2:8" ht="14.25" customHeight="1" x14ac:dyDescent="0.35">
      <c r="B947" s="2"/>
      <c r="G947" s="33"/>
      <c r="H947" s="2"/>
    </row>
    <row r="948" spans="2:8" ht="14.25" customHeight="1" x14ac:dyDescent="0.35">
      <c r="B948" s="2"/>
      <c r="G948" s="33"/>
      <c r="H948" s="2"/>
    </row>
    <row r="949" spans="2:8" ht="14.25" customHeight="1" x14ac:dyDescent="0.35">
      <c r="B949" s="2"/>
      <c r="G949" s="33"/>
      <c r="H949" s="2"/>
    </row>
    <row r="950" spans="2:8" ht="14.25" customHeight="1" x14ac:dyDescent="0.35">
      <c r="B950" s="2"/>
      <c r="G950" s="33"/>
      <c r="H950" s="2"/>
    </row>
    <row r="951" spans="2:8" ht="14.25" customHeight="1" x14ac:dyDescent="0.35">
      <c r="B951" s="2"/>
      <c r="G951" s="33"/>
      <c r="H951" s="2"/>
    </row>
    <row r="952" spans="2:8" ht="14.25" customHeight="1" x14ac:dyDescent="0.35">
      <c r="B952" s="2"/>
      <c r="G952" s="33"/>
      <c r="H952" s="2"/>
    </row>
    <row r="953" spans="2:8" ht="14.25" customHeight="1" x14ac:dyDescent="0.35">
      <c r="B953" s="2"/>
      <c r="G953" s="33"/>
      <c r="H953" s="2"/>
    </row>
    <row r="954" spans="2:8" ht="14.25" customHeight="1" x14ac:dyDescent="0.35">
      <c r="B954" s="2"/>
      <c r="G954" s="33"/>
      <c r="H954" s="2"/>
    </row>
    <row r="955" spans="2:8" ht="14.25" customHeight="1" x14ac:dyDescent="0.35">
      <c r="B955" s="2"/>
      <c r="G955" s="33"/>
      <c r="H955" s="2"/>
    </row>
    <row r="956" spans="2:8" ht="14.25" customHeight="1" x14ac:dyDescent="0.35">
      <c r="B956" s="2"/>
      <c r="G956" s="33"/>
      <c r="H956" s="2"/>
    </row>
    <row r="957" spans="2:8" ht="14.25" customHeight="1" x14ac:dyDescent="0.35">
      <c r="B957" s="2"/>
      <c r="G957" s="33"/>
      <c r="H957" s="2"/>
    </row>
    <row r="958" spans="2:8" ht="14.25" customHeight="1" x14ac:dyDescent="0.35">
      <c r="B958" s="2"/>
      <c r="G958" s="33"/>
      <c r="H958" s="2"/>
    </row>
    <row r="959" spans="2:8" ht="14.25" customHeight="1" x14ac:dyDescent="0.35">
      <c r="B959" s="2"/>
      <c r="G959" s="33"/>
      <c r="H959" s="2"/>
    </row>
    <row r="960" spans="2:8" ht="14.25" customHeight="1" x14ac:dyDescent="0.35">
      <c r="B960" s="2"/>
      <c r="G960" s="33"/>
      <c r="H960" s="2"/>
    </row>
    <row r="961" spans="2:8" ht="14.25" customHeight="1" x14ac:dyDescent="0.35">
      <c r="B961" s="2"/>
      <c r="G961" s="33"/>
      <c r="H961" s="2"/>
    </row>
    <row r="962" spans="2:8" ht="14.25" customHeight="1" x14ac:dyDescent="0.35">
      <c r="B962" s="2"/>
      <c r="G962" s="33"/>
      <c r="H962" s="2"/>
    </row>
    <row r="963" spans="2:8" ht="14.25" customHeight="1" x14ac:dyDescent="0.35">
      <c r="B963" s="2"/>
      <c r="G963" s="33"/>
      <c r="H963" s="2"/>
    </row>
    <row r="964" spans="2:8" ht="14.25" customHeight="1" x14ac:dyDescent="0.35">
      <c r="B964" s="2"/>
      <c r="G964" s="33"/>
      <c r="H964" s="2"/>
    </row>
    <row r="965" spans="2:8" ht="14.25" customHeight="1" x14ac:dyDescent="0.35">
      <c r="B965" s="2"/>
      <c r="G965" s="33"/>
      <c r="H965" s="2"/>
    </row>
    <row r="966" spans="2:8" ht="14.25" customHeight="1" x14ac:dyDescent="0.35">
      <c r="B966" s="2"/>
      <c r="G966" s="33"/>
      <c r="H966" s="2"/>
    </row>
    <row r="967" spans="2:8" ht="14.25" customHeight="1" x14ac:dyDescent="0.35">
      <c r="B967" s="2"/>
      <c r="G967" s="33"/>
      <c r="H967" s="2"/>
    </row>
    <row r="968" spans="2:8" ht="14.25" customHeight="1" x14ac:dyDescent="0.35">
      <c r="B968" s="2"/>
      <c r="G968" s="33"/>
      <c r="H968" s="2"/>
    </row>
    <row r="969" spans="2:8" ht="14.25" customHeight="1" x14ac:dyDescent="0.35">
      <c r="B969" s="2"/>
      <c r="G969" s="33"/>
      <c r="H969" s="2"/>
    </row>
    <row r="970" spans="2:8" ht="14.25" customHeight="1" x14ac:dyDescent="0.35">
      <c r="B970" s="2"/>
      <c r="G970" s="33"/>
      <c r="H970" s="2"/>
    </row>
    <row r="971" spans="2:8" ht="14.25" customHeight="1" x14ac:dyDescent="0.35">
      <c r="B971" s="2"/>
      <c r="G971" s="33"/>
      <c r="H971" s="2"/>
    </row>
    <row r="972" spans="2:8" ht="14.25" customHeight="1" x14ac:dyDescent="0.35">
      <c r="B972" s="2"/>
      <c r="G972" s="33"/>
      <c r="H972" s="2"/>
    </row>
    <row r="973" spans="2:8" ht="14.25" customHeight="1" x14ac:dyDescent="0.35">
      <c r="B973" s="2"/>
      <c r="G973" s="33"/>
      <c r="H973" s="2"/>
    </row>
    <row r="974" spans="2:8" ht="14.25" customHeight="1" x14ac:dyDescent="0.35">
      <c r="B974" s="2"/>
      <c r="G974" s="33"/>
      <c r="H974" s="2"/>
    </row>
    <row r="975" spans="2:8" ht="14.25" customHeight="1" x14ac:dyDescent="0.35">
      <c r="B975" s="2"/>
      <c r="G975" s="33"/>
      <c r="H975" s="2"/>
    </row>
    <row r="976" spans="2:8" ht="14.25" customHeight="1" x14ac:dyDescent="0.35">
      <c r="B976" s="2"/>
      <c r="G976" s="33"/>
      <c r="H976" s="2"/>
    </row>
    <row r="977" spans="2:8" ht="14.25" customHeight="1" x14ac:dyDescent="0.35">
      <c r="B977" s="2"/>
      <c r="G977" s="33"/>
      <c r="H977" s="2"/>
    </row>
    <row r="978" spans="2:8" ht="14.25" customHeight="1" x14ac:dyDescent="0.35">
      <c r="B978" s="2"/>
      <c r="G978" s="33"/>
      <c r="H978" s="2"/>
    </row>
    <row r="979" spans="2:8" ht="14.25" customHeight="1" x14ac:dyDescent="0.35">
      <c r="B979" s="2"/>
      <c r="G979" s="33"/>
      <c r="H979" s="2"/>
    </row>
    <row r="980" spans="2:8" ht="14.25" customHeight="1" x14ac:dyDescent="0.35">
      <c r="B980" s="2"/>
      <c r="G980" s="33"/>
      <c r="H980" s="2"/>
    </row>
    <row r="981" spans="2:8" ht="14.25" customHeight="1" x14ac:dyDescent="0.35">
      <c r="B981" s="2"/>
      <c r="G981" s="33"/>
      <c r="H981" s="2"/>
    </row>
    <row r="982" spans="2:8" ht="14.25" customHeight="1" x14ac:dyDescent="0.35">
      <c r="B982" s="2"/>
      <c r="G982" s="33"/>
      <c r="H982" s="2"/>
    </row>
    <row r="983" spans="2:8" ht="14.25" customHeight="1" x14ac:dyDescent="0.35">
      <c r="B983" s="2"/>
      <c r="G983" s="33"/>
      <c r="H983" s="2"/>
    </row>
    <row r="984" spans="2:8" ht="14.25" customHeight="1" x14ac:dyDescent="0.35">
      <c r="B984" s="2"/>
      <c r="G984" s="33"/>
      <c r="H984" s="2"/>
    </row>
    <row r="985" spans="2:8" ht="14.25" customHeight="1" x14ac:dyDescent="0.35">
      <c r="B985" s="2"/>
      <c r="G985" s="33"/>
      <c r="H985" s="2"/>
    </row>
    <row r="986" spans="2:8" ht="14.25" customHeight="1" x14ac:dyDescent="0.35">
      <c r="B986" s="2"/>
      <c r="G986" s="33"/>
      <c r="H986" s="2"/>
    </row>
    <row r="987" spans="2:8" ht="14.25" customHeight="1" x14ac:dyDescent="0.35">
      <c r="B987" s="2"/>
      <c r="G987" s="33"/>
      <c r="H987" s="2"/>
    </row>
    <row r="988" spans="2:8" ht="14.25" customHeight="1" x14ac:dyDescent="0.35">
      <c r="B988" s="2"/>
      <c r="G988" s="33"/>
      <c r="H988" s="2"/>
    </row>
    <row r="989" spans="2:8" ht="14.25" customHeight="1" x14ac:dyDescent="0.35">
      <c r="B989" s="2"/>
      <c r="G989" s="33"/>
      <c r="H989" s="2"/>
    </row>
    <row r="990" spans="2:8" ht="14.25" customHeight="1" x14ac:dyDescent="0.35">
      <c r="B990" s="2"/>
      <c r="G990" s="33"/>
      <c r="H990" s="2"/>
    </row>
    <row r="991" spans="2:8" ht="14.25" customHeight="1" x14ac:dyDescent="0.35">
      <c r="B991" s="2"/>
      <c r="G991" s="33"/>
      <c r="H991" s="2"/>
    </row>
    <row r="992" spans="2:8" ht="14.25" customHeight="1" x14ac:dyDescent="0.35">
      <c r="B992" s="2"/>
      <c r="G992" s="33"/>
      <c r="H992" s="2"/>
    </row>
    <row r="993" spans="2:8" ht="14.25" customHeight="1" x14ac:dyDescent="0.35">
      <c r="B993" s="2"/>
      <c r="G993" s="33"/>
      <c r="H993" s="2"/>
    </row>
    <row r="994" spans="2:8" ht="14.25" customHeight="1" x14ac:dyDescent="0.35">
      <c r="B994" s="2"/>
      <c r="G994" s="33"/>
      <c r="H994" s="2"/>
    </row>
    <row r="995" spans="2:8" ht="14.25" customHeight="1" x14ac:dyDescent="0.35">
      <c r="B995" s="2"/>
      <c r="G995" s="33"/>
      <c r="H995" s="2"/>
    </row>
    <row r="996" spans="2:8" ht="14.25" customHeight="1" x14ac:dyDescent="0.35">
      <c r="B996" s="2"/>
      <c r="G996" s="33"/>
      <c r="H996" s="2"/>
    </row>
    <row r="997" spans="2:8" ht="14.25" customHeight="1" x14ac:dyDescent="0.35">
      <c r="B997" s="2"/>
      <c r="G997" s="33"/>
      <c r="H997" s="2"/>
    </row>
    <row r="998" spans="2:8" ht="14.25" customHeight="1" x14ac:dyDescent="0.35">
      <c r="B998" s="2"/>
      <c r="G998" s="33"/>
      <c r="H998" s="2"/>
    </row>
    <row r="999" spans="2:8" ht="14.25" customHeight="1" x14ac:dyDescent="0.35">
      <c r="B999" s="2"/>
      <c r="G999" s="33"/>
      <c r="H999" s="2"/>
    </row>
    <row r="1000" spans="2:8" ht="14.25" customHeight="1" x14ac:dyDescent="0.35">
      <c r="B1000" s="2"/>
      <c r="G1000" s="33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40" t="s">
        <v>1298</v>
      </c>
      <c r="D1" s="40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1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2">
        <v>44024</v>
      </c>
      <c r="D2" s="42">
        <v>44031</v>
      </c>
      <c r="E2" s="43" t="s">
        <v>9</v>
      </c>
      <c r="F2" s="43"/>
      <c r="G2" s="12"/>
      <c r="H2" s="12">
        <v>1</v>
      </c>
      <c r="I2" s="12">
        <v>1</v>
      </c>
      <c r="J2" s="12"/>
      <c r="K2" s="12" t="s">
        <v>1553</v>
      </c>
      <c r="L2" s="87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2">
        <v>44031</v>
      </c>
      <c r="D3" s="42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7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2">
        <v>43989</v>
      </c>
      <c r="D4" s="42">
        <v>43996</v>
      </c>
      <c r="E4" s="10" t="s">
        <v>20</v>
      </c>
      <c r="F4" s="10"/>
      <c r="G4" s="12"/>
      <c r="H4" s="12"/>
      <c r="I4" s="12"/>
      <c r="J4" s="12"/>
      <c r="K4" s="12"/>
      <c r="L4" s="24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2">
        <v>43961</v>
      </c>
      <c r="D5" s="42">
        <v>43964</v>
      </c>
      <c r="E5" s="10" t="s">
        <v>20</v>
      </c>
      <c r="F5" s="10"/>
      <c r="G5" s="12"/>
      <c r="H5" s="12"/>
      <c r="I5" s="12"/>
      <c r="J5" s="12"/>
      <c r="K5" s="12"/>
      <c r="L5" s="24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2">
        <v>43991</v>
      </c>
      <c r="D6" s="42">
        <v>43998</v>
      </c>
      <c r="E6" s="10" t="s">
        <v>20</v>
      </c>
      <c r="F6" s="10"/>
      <c r="G6" s="12"/>
      <c r="H6" s="12"/>
      <c r="I6" s="12"/>
      <c r="J6" s="12"/>
      <c r="K6" s="12"/>
      <c r="L6" s="24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2">
        <v>43990</v>
      </c>
      <c r="D7" s="42">
        <v>43996</v>
      </c>
      <c r="E7" s="10" t="s">
        <v>20</v>
      </c>
      <c r="F7" s="10"/>
      <c r="G7" s="12"/>
      <c r="H7" s="12"/>
      <c r="I7" s="12"/>
      <c r="J7" s="12"/>
      <c r="K7" s="12"/>
      <c r="L7" s="24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2">
        <v>44001</v>
      </c>
      <c r="D8" s="42">
        <v>44003</v>
      </c>
      <c r="E8" s="10" t="s">
        <v>20</v>
      </c>
      <c r="F8" s="10"/>
      <c r="G8" s="12"/>
      <c r="H8" s="12"/>
      <c r="I8" s="12"/>
      <c r="J8" s="12"/>
      <c r="K8" s="12"/>
      <c r="L8" s="24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2">
        <v>44064</v>
      </c>
      <c r="D9" s="42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4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2">
        <v>44014</v>
      </c>
      <c r="D10" s="42">
        <v>44017</v>
      </c>
      <c r="E10" s="10" t="s">
        <v>20</v>
      </c>
      <c r="F10" s="10"/>
      <c r="G10" s="12"/>
      <c r="H10" s="12"/>
      <c r="I10" s="12"/>
      <c r="J10" s="12"/>
      <c r="K10" s="12"/>
      <c r="L10" s="24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2">
        <v>44081</v>
      </c>
      <c r="D11" s="42">
        <v>44085</v>
      </c>
      <c r="E11" s="10" t="s">
        <v>20</v>
      </c>
      <c r="F11" s="10"/>
      <c r="G11" s="12"/>
      <c r="H11" s="12"/>
      <c r="I11" s="12"/>
      <c r="J11" s="12"/>
      <c r="K11" s="12"/>
      <c r="L11" s="24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2">
        <v>44006</v>
      </c>
      <c r="D12" s="42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4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2">
        <v>43970</v>
      </c>
      <c r="D13" s="42">
        <v>43974</v>
      </c>
      <c r="E13" s="43" t="s">
        <v>20</v>
      </c>
      <c r="F13" s="43"/>
      <c r="G13" s="12"/>
      <c r="H13" s="12"/>
      <c r="I13" s="12"/>
      <c r="J13" s="12"/>
      <c r="K13" s="12"/>
      <c r="L13" s="24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2">
        <v>44031</v>
      </c>
      <c r="D14" s="42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4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2">
        <v>43959</v>
      </c>
      <c r="D15" s="42">
        <v>43961</v>
      </c>
      <c r="E15" s="10" t="s">
        <v>20</v>
      </c>
      <c r="F15" s="10"/>
      <c r="G15" s="12"/>
      <c r="H15" s="12"/>
      <c r="I15" s="12"/>
      <c r="J15" s="12"/>
      <c r="K15" s="12"/>
      <c r="L15" s="24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2">
        <v>44020</v>
      </c>
      <c r="D16" s="42">
        <v>44023</v>
      </c>
      <c r="E16" s="10" t="s">
        <v>20</v>
      </c>
      <c r="F16" s="10"/>
      <c r="G16" s="12"/>
      <c r="H16" s="12"/>
      <c r="I16" s="12"/>
      <c r="J16" s="12"/>
      <c r="K16" s="12"/>
      <c r="L16" s="24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2">
        <v>44018</v>
      </c>
      <c r="D17" s="42">
        <v>44023</v>
      </c>
      <c r="E17" s="10" t="s">
        <v>20</v>
      </c>
      <c r="F17" s="10"/>
      <c r="G17" s="12"/>
      <c r="H17" s="12"/>
      <c r="I17" s="12"/>
      <c r="J17" s="12"/>
      <c r="K17" s="12"/>
      <c r="L17" s="24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2">
        <v>43927</v>
      </c>
      <c r="D18" s="42">
        <v>43929</v>
      </c>
      <c r="E18" s="10" t="s">
        <v>20</v>
      </c>
      <c r="F18" s="10"/>
      <c r="G18" s="12"/>
      <c r="H18" s="12"/>
      <c r="I18" s="12"/>
      <c r="J18" s="12"/>
      <c r="K18" s="12"/>
      <c r="L18" s="24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2">
        <v>44044</v>
      </c>
      <c r="D19" s="42">
        <v>44048</v>
      </c>
      <c r="E19" s="10" t="s">
        <v>20</v>
      </c>
      <c r="F19" s="10"/>
      <c r="G19" s="12"/>
      <c r="H19" s="12"/>
      <c r="I19" s="12"/>
      <c r="J19" s="12"/>
      <c r="K19" s="12"/>
      <c r="L19" s="24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2">
        <v>43958</v>
      </c>
      <c r="D20" s="42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4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2">
        <v>44028</v>
      </c>
      <c r="D21" s="42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4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2">
        <v>44071</v>
      </c>
      <c r="D22" s="42">
        <v>44073</v>
      </c>
      <c r="E22" s="10" t="s">
        <v>20</v>
      </c>
      <c r="F22" s="10"/>
      <c r="G22" s="12"/>
      <c r="H22" s="12"/>
      <c r="I22" s="12"/>
      <c r="J22" s="12"/>
      <c r="K22" s="12"/>
      <c r="L22" s="24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2">
        <v>43958</v>
      </c>
      <c r="D23" s="42">
        <v>43961</v>
      </c>
      <c r="E23" s="10" t="s">
        <v>20</v>
      </c>
      <c r="F23" s="10"/>
      <c r="G23" s="12"/>
      <c r="H23" s="12"/>
      <c r="I23" s="12"/>
      <c r="J23" s="12"/>
      <c r="K23" s="12"/>
      <c r="L23" s="24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2">
        <v>44031</v>
      </c>
      <c r="D24" s="42">
        <v>44037</v>
      </c>
      <c r="E24" s="43" t="s">
        <v>20</v>
      </c>
      <c r="F24" s="43"/>
      <c r="G24" s="12"/>
      <c r="H24" s="12"/>
      <c r="I24" s="12"/>
      <c r="J24" s="12"/>
      <c r="K24" s="12"/>
      <c r="L24" s="24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2">
        <v>44041</v>
      </c>
      <c r="D25" s="42">
        <v>44049</v>
      </c>
      <c r="E25" s="10" t="s">
        <v>20</v>
      </c>
      <c r="F25" s="10"/>
      <c r="G25" s="12"/>
      <c r="H25" s="12"/>
      <c r="I25" s="12"/>
      <c r="J25" s="12"/>
      <c r="K25" s="12"/>
      <c r="L25" s="24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2">
        <v>44030</v>
      </c>
      <c r="D26" s="42">
        <v>44037</v>
      </c>
      <c r="E26" s="10" t="s">
        <v>20</v>
      </c>
      <c r="F26" s="10"/>
      <c r="G26" s="12"/>
      <c r="H26" s="12"/>
      <c r="I26" s="12"/>
      <c r="J26" s="12"/>
      <c r="K26" s="12"/>
      <c r="L26" s="24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2">
        <v>43968</v>
      </c>
      <c r="D27" s="42">
        <v>43979</v>
      </c>
      <c r="E27" s="10" t="s">
        <v>20</v>
      </c>
      <c r="F27" s="10"/>
      <c r="G27" s="12"/>
      <c r="H27" s="12"/>
      <c r="I27" s="12"/>
      <c r="J27" s="12"/>
      <c r="K27" s="12"/>
      <c r="L27" s="24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2">
        <v>44060</v>
      </c>
      <c r="D28" s="42">
        <v>44065</v>
      </c>
      <c r="E28" s="10" t="s">
        <v>20</v>
      </c>
      <c r="F28" s="10"/>
      <c r="G28" s="12"/>
      <c r="H28" s="12"/>
      <c r="I28" s="12"/>
      <c r="J28" s="12"/>
      <c r="K28" s="12"/>
      <c r="L28" s="24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2">
        <v>43999</v>
      </c>
      <c r="D29" s="42">
        <v>44007</v>
      </c>
      <c r="E29" s="10" t="s">
        <v>20</v>
      </c>
      <c r="F29" s="10"/>
      <c r="G29" s="12"/>
      <c r="H29" s="12"/>
      <c r="I29" s="12"/>
      <c r="J29" s="12"/>
      <c r="K29" s="12"/>
      <c r="L29" s="24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2">
        <v>43972</v>
      </c>
      <c r="D30" s="42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4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2">
        <v>44064</v>
      </c>
      <c r="D31" s="42">
        <v>44066</v>
      </c>
      <c r="E31" s="10" t="s">
        <v>20</v>
      </c>
      <c r="F31" s="10"/>
      <c r="G31" s="12"/>
      <c r="H31" s="12"/>
      <c r="I31" s="12"/>
      <c r="J31" s="12"/>
      <c r="K31" s="12"/>
      <c r="L31" s="24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2">
        <v>44023</v>
      </c>
      <c r="D32" s="42">
        <v>44030</v>
      </c>
      <c r="E32" s="10" t="s">
        <v>20</v>
      </c>
      <c r="F32" s="10"/>
      <c r="G32" s="12"/>
      <c r="H32" s="12"/>
      <c r="I32" s="12"/>
      <c r="J32" s="12"/>
      <c r="K32" s="12"/>
      <c r="L32" s="24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2">
        <v>44039</v>
      </c>
      <c r="D33" s="42">
        <v>44044</v>
      </c>
      <c r="E33" s="10" t="s">
        <v>20</v>
      </c>
      <c r="F33" s="10"/>
      <c r="G33" s="12"/>
      <c r="H33" s="12"/>
      <c r="I33" s="12"/>
      <c r="J33" s="12"/>
      <c r="K33" s="12"/>
      <c r="L33" s="24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2">
        <v>44081</v>
      </c>
      <c r="D34" s="42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4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2">
        <v>44076</v>
      </c>
      <c r="D35" s="42">
        <v>44079</v>
      </c>
      <c r="E35" s="10" t="s">
        <v>20</v>
      </c>
      <c r="F35" s="10"/>
      <c r="G35" s="12"/>
      <c r="H35" s="12"/>
      <c r="I35" s="12"/>
      <c r="J35" s="12"/>
      <c r="K35" s="12"/>
      <c r="L35" s="24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2">
        <v>44002</v>
      </c>
      <c r="D36" s="42">
        <v>44009</v>
      </c>
      <c r="E36" s="43" t="s">
        <v>48</v>
      </c>
      <c r="F36" s="43"/>
      <c r="G36" s="12"/>
      <c r="H36" s="12">
        <v>1</v>
      </c>
      <c r="I36" s="12">
        <v>2</v>
      </c>
      <c r="J36" s="12"/>
      <c r="K36" s="12"/>
      <c r="L36" s="24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2">
        <v>43997</v>
      </c>
      <c r="D37" s="42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4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2">
        <v>44025</v>
      </c>
      <c r="D38" s="42">
        <v>44030</v>
      </c>
      <c r="E38" s="10" t="s">
        <v>20</v>
      </c>
      <c r="F38" s="10"/>
      <c r="G38" s="12"/>
      <c r="H38" s="12"/>
      <c r="I38" s="12"/>
      <c r="J38" s="12"/>
      <c r="K38" s="12"/>
      <c r="L38" s="24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2">
        <v>44017</v>
      </c>
      <c r="D39" s="42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4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2">
        <v>44063</v>
      </c>
      <c r="D40" s="42">
        <v>44068</v>
      </c>
      <c r="E40" s="10" t="s">
        <v>20</v>
      </c>
      <c r="F40" s="10"/>
      <c r="G40" s="12"/>
      <c r="H40" s="12"/>
      <c r="I40" s="12"/>
      <c r="J40" s="12"/>
      <c r="K40" s="12"/>
      <c r="L40" s="24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2">
        <v>43974</v>
      </c>
      <c r="D41" s="42">
        <v>43979</v>
      </c>
      <c r="E41" s="10" t="s">
        <v>20</v>
      </c>
      <c r="F41" s="10"/>
      <c r="G41" s="12"/>
      <c r="H41" s="12"/>
      <c r="I41" s="12"/>
      <c r="J41" s="12"/>
      <c r="K41" s="12"/>
      <c r="L41" s="24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2">
        <v>44030</v>
      </c>
      <c r="D42" s="42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4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2">
        <v>44044</v>
      </c>
      <c r="D43" s="42">
        <v>44051</v>
      </c>
      <c r="E43" s="10" t="s">
        <v>20</v>
      </c>
      <c r="F43" s="10"/>
      <c r="G43" s="12"/>
      <c r="H43" s="12"/>
      <c r="I43" s="12"/>
      <c r="J43" s="12"/>
      <c r="K43" s="12"/>
      <c r="L43" s="24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2">
        <v>44090</v>
      </c>
      <c r="D44" s="42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4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2">
        <v>43929</v>
      </c>
      <c r="D45" s="42">
        <v>43933</v>
      </c>
      <c r="E45" s="43" t="s">
        <v>48</v>
      </c>
      <c r="F45" s="43"/>
      <c r="G45" s="12"/>
      <c r="H45" s="12">
        <v>1</v>
      </c>
      <c r="I45" s="12">
        <v>2</v>
      </c>
      <c r="J45" s="12"/>
      <c r="K45" s="12"/>
      <c r="L45" s="24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2">
        <v>44039</v>
      </c>
      <c r="D46" s="42">
        <v>44043</v>
      </c>
      <c r="E46" s="10" t="s">
        <v>20</v>
      </c>
      <c r="F46" s="10"/>
      <c r="G46" s="12"/>
      <c r="H46" s="12"/>
      <c r="I46" s="12"/>
      <c r="J46" s="12"/>
      <c r="K46" s="12"/>
      <c r="L46" s="24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2">
        <v>44056</v>
      </c>
      <c r="D47" s="42">
        <v>44059</v>
      </c>
      <c r="E47" s="10" t="s">
        <v>20</v>
      </c>
      <c r="F47" s="10"/>
      <c r="G47" s="12"/>
      <c r="H47" s="12"/>
      <c r="I47" s="12"/>
      <c r="J47" s="12"/>
      <c r="K47" s="12"/>
      <c r="L47" s="24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2">
        <v>44051</v>
      </c>
      <c r="D48" s="42">
        <v>44058</v>
      </c>
      <c r="E48" s="10" t="s">
        <v>20</v>
      </c>
      <c r="F48" s="10"/>
      <c r="G48" s="12"/>
      <c r="H48" s="12"/>
      <c r="I48" s="12"/>
      <c r="J48" s="12"/>
      <c r="K48" s="12"/>
      <c r="L48" s="24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2">
        <v>44054</v>
      </c>
      <c r="D49" s="42">
        <v>44059</v>
      </c>
      <c r="E49" s="10" t="s">
        <v>20</v>
      </c>
      <c r="F49" s="10"/>
      <c r="G49" s="12"/>
      <c r="H49" s="12"/>
      <c r="I49" s="12"/>
      <c r="J49" s="12"/>
      <c r="K49" s="12"/>
      <c r="L49" s="24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2">
        <v>44056</v>
      </c>
      <c r="D50" s="42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4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2">
        <v>44016</v>
      </c>
      <c r="D51" s="42">
        <v>44024</v>
      </c>
      <c r="E51" s="10" t="s">
        <v>20</v>
      </c>
      <c r="F51" s="10"/>
      <c r="G51" s="12"/>
      <c r="H51" s="12"/>
      <c r="I51" s="12"/>
      <c r="J51" s="12"/>
      <c r="K51" s="12"/>
      <c r="L51" s="24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2">
        <v>44112</v>
      </c>
      <c r="D52" s="42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4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2">
        <v>43979</v>
      </c>
      <c r="D53" s="42">
        <v>43988</v>
      </c>
      <c r="E53" s="10" t="s">
        <v>20</v>
      </c>
      <c r="F53" s="10"/>
      <c r="G53" s="12"/>
      <c r="H53" s="12"/>
      <c r="I53" s="12"/>
      <c r="J53" s="12"/>
      <c r="K53" s="12"/>
      <c r="L53" s="24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2">
        <v>44017</v>
      </c>
      <c r="D54" s="42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4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2">
        <v>44000</v>
      </c>
      <c r="D55" s="42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4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2">
        <v>44026</v>
      </c>
      <c r="D56" s="42">
        <v>44029</v>
      </c>
      <c r="E56" s="10" t="s">
        <v>20</v>
      </c>
      <c r="F56" s="10"/>
      <c r="G56" s="12"/>
      <c r="H56" s="12"/>
      <c r="I56" s="12"/>
      <c r="J56" s="12"/>
      <c r="K56" s="12"/>
      <c r="L56" s="24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2">
        <v>44035</v>
      </c>
      <c r="D57" s="42">
        <v>44039</v>
      </c>
      <c r="E57" s="10" t="s">
        <v>20</v>
      </c>
      <c r="F57" s="10"/>
      <c r="G57" s="12"/>
      <c r="H57" s="12"/>
      <c r="I57" s="12"/>
      <c r="J57" s="12"/>
      <c r="K57" s="12"/>
      <c r="L57" s="24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2">
        <v>44002</v>
      </c>
      <c r="D58" s="42">
        <v>44016</v>
      </c>
      <c r="E58" s="10" t="s">
        <v>20</v>
      </c>
      <c r="F58" s="10"/>
      <c r="G58" s="12"/>
      <c r="H58" s="12"/>
      <c r="I58" s="12"/>
      <c r="J58" s="12"/>
      <c r="K58" s="12"/>
      <c r="L58" s="24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2">
        <v>43991</v>
      </c>
      <c r="D59" s="42">
        <v>43998</v>
      </c>
      <c r="E59" s="10" t="s">
        <v>20</v>
      </c>
      <c r="F59" s="10"/>
      <c r="G59" s="12"/>
      <c r="H59" s="12"/>
      <c r="I59" s="12"/>
      <c r="J59" s="12"/>
      <c r="K59" s="12"/>
      <c r="L59" s="24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2">
        <v>44024</v>
      </c>
      <c r="D60" s="42">
        <v>44027</v>
      </c>
      <c r="E60" s="10" t="s">
        <v>20</v>
      </c>
      <c r="F60" s="10"/>
      <c r="G60" s="12"/>
      <c r="H60" s="12"/>
      <c r="I60" s="12"/>
      <c r="J60" s="12"/>
      <c r="K60" s="12"/>
      <c r="L60" s="24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2">
        <v>43927</v>
      </c>
      <c r="D61" s="42">
        <v>43931</v>
      </c>
      <c r="E61" s="10" t="s">
        <v>20</v>
      </c>
      <c r="F61" s="10"/>
      <c r="G61" s="12"/>
      <c r="H61" s="12"/>
      <c r="I61" s="12"/>
      <c r="J61" s="12"/>
      <c r="K61" s="12"/>
      <c r="L61" s="24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2">
        <v>43982</v>
      </c>
      <c r="D62" s="42">
        <v>43988</v>
      </c>
      <c r="E62" s="10" t="s">
        <v>20</v>
      </c>
      <c r="F62" s="10"/>
      <c r="G62" s="12"/>
      <c r="H62" s="12"/>
      <c r="I62" s="12"/>
      <c r="J62" s="12"/>
      <c r="K62" s="12"/>
      <c r="L62" s="24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2">
        <v>43982</v>
      </c>
      <c r="D63" s="42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4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2">
        <v>44022</v>
      </c>
      <c r="D64" s="42">
        <v>44027</v>
      </c>
      <c r="E64" s="10" t="s">
        <v>20</v>
      </c>
      <c r="F64" s="10"/>
      <c r="G64" s="12"/>
      <c r="H64" s="12"/>
      <c r="I64" s="12"/>
      <c r="J64" s="12"/>
      <c r="K64" s="12"/>
      <c r="L64" s="24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2">
        <v>44047</v>
      </c>
      <c r="D65" s="42">
        <v>44055</v>
      </c>
      <c r="E65" s="10" t="s">
        <v>20</v>
      </c>
      <c r="F65" s="10"/>
      <c r="G65" s="12"/>
      <c r="H65" s="12"/>
      <c r="I65" s="12"/>
      <c r="J65" s="12"/>
      <c r="K65" s="12"/>
      <c r="L65" s="24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2">
        <v>43966</v>
      </c>
      <c r="D66" s="42">
        <v>43968</v>
      </c>
      <c r="E66" s="10" t="s">
        <v>20</v>
      </c>
      <c r="F66" s="10"/>
      <c r="G66" s="12"/>
      <c r="H66" s="12"/>
      <c r="I66" s="12"/>
      <c r="J66" s="12"/>
      <c r="K66" s="12"/>
      <c r="L66" s="24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2">
        <v>44023</v>
      </c>
      <c r="D67" s="42">
        <v>44026</v>
      </c>
      <c r="E67" s="10" t="s">
        <v>20</v>
      </c>
      <c r="F67" s="10"/>
      <c r="G67" s="12"/>
      <c r="H67" s="12"/>
      <c r="I67" s="12"/>
      <c r="J67" s="12"/>
      <c r="K67" s="12"/>
      <c r="L67" s="24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2">
        <v>43974</v>
      </c>
      <c r="D68" s="42">
        <v>43984</v>
      </c>
      <c r="E68" s="10" t="s">
        <v>20</v>
      </c>
      <c r="F68" s="10"/>
      <c r="G68" s="12"/>
      <c r="H68" s="12"/>
      <c r="I68" s="12"/>
      <c r="J68" s="12"/>
      <c r="K68" s="12"/>
      <c r="L68" s="24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2">
        <v>44022</v>
      </c>
      <c r="D69" s="42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4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2">
        <v>44001</v>
      </c>
      <c r="D70" s="42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4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2">
        <v>44011</v>
      </c>
      <c r="D71" s="42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4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2">
        <v>44077</v>
      </c>
      <c r="D72" s="42">
        <v>44084</v>
      </c>
      <c r="E72" s="10" t="s">
        <v>20</v>
      </c>
      <c r="F72" s="10"/>
      <c r="G72" s="12"/>
      <c r="H72" s="12"/>
      <c r="I72" s="12"/>
      <c r="J72" s="12"/>
      <c r="K72" s="12"/>
      <c r="L72" s="24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2">
        <v>44042</v>
      </c>
      <c r="D73" s="42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4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2">
        <v>44028</v>
      </c>
      <c r="D74" s="42">
        <v>44031</v>
      </c>
      <c r="E74" s="10" t="s">
        <v>20</v>
      </c>
      <c r="F74" s="10"/>
      <c r="G74" s="12"/>
      <c r="H74" s="12"/>
      <c r="I74" s="12"/>
      <c r="J74" s="12"/>
      <c r="K74" s="12"/>
      <c r="L74" s="24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2">
        <v>43968</v>
      </c>
      <c r="D75" s="42">
        <v>43971</v>
      </c>
      <c r="E75" s="10" t="s">
        <v>20</v>
      </c>
      <c r="F75" s="10"/>
      <c r="G75" s="12"/>
      <c r="H75" s="12"/>
      <c r="I75" s="12"/>
      <c r="J75" s="12"/>
      <c r="K75" s="12"/>
      <c r="L75" s="24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2">
        <v>43996</v>
      </c>
      <c r="D76" s="42">
        <v>44001</v>
      </c>
      <c r="E76" s="10" t="s">
        <v>20</v>
      </c>
      <c r="F76" s="10"/>
      <c r="G76" s="12"/>
      <c r="H76" s="12"/>
      <c r="I76" s="12"/>
      <c r="J76" s="12"/>
      <c r="K76" s="12"/>
      <c r="L76" s="24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2">
        <v>43969</v>
      </c>
      <c r="D77" s="42">
        <v>43976</v>
      </c>
      <c r="E77" s="10" t="s">
        <v>20</v>
      </c>
      <c r="F77" s="10"/>
      <c r="G77" s="12"/>
      <c r="H77" s="12"/>
      <c r="I77" s="12"/>
      <c r="J77" s="12"/>
      <c r="K77" s="12"/>
      <c r="L77" s="24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2">
        <v>43961</v>
      </c>
      <c r="D78" s="42">
        <v>43968</v>
      </c>
      <c r="E78" s="10" t="s">
        <v>20</v>
      </c>
      <c r="F78" s="10"/>
      <c r="G78" s="12"/>
      <c r="H78" s="12"/>
      <c r="I78" s="12"/>
      <c r="J78" s="12"/>
      <c r="K78" s="12"/>
      <c r="L78" s="24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2">
        <v>43983</v>
      </c>
      <c r="D79" s="42">
        <v>43987</v>
      </c>
      <c r="E79" s="10" t="s">
        <v>20</v>
      </c>
      <c r="F79" s="10"/>
      <c r="G79" s="12"/>
      <c r="H79" s="12"/>
      <c r="I79" s="12"/>
      <c r="J79" s="12"/>
      <c r="K79" s="12"/>
      <c r="L79" s="24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2">
        <v>43929</v>
      </c>
      <c r="D80" s="42">
        <v>43931</v>
      </c>
      <c r="E80" s="10" t="s">
        <v>20</v>
      </c>
      <c r="F80" s="10"/>
      <c r="G80" s="12"/>
      <c r="H80" s="12"/>
      <c r="I80" s="12"/>
      <c r="J80" s="12"/>
      <c r="K80" s="12"/>
      <c r="L80" s="24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2">
        <v>43957</v>
      </c>
      <c r="D81" s="42">
        <v>43959</v>
      </c>
      <c r="E81" s="10" t="s">
        <v>20</v>
      </c>
      <c r="F81" s="10"/>
      <c r="G81" s="12"/>
      <c r="H81" s="12"/>
      <c r="I81" s="12"/>
      <c r="J81" s="12"/>
      <c r="K81" s="12"/>
      <c r="L81" s="24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2">
        <v>43925</v>
      </c>
      <c r="D82" s="42">
        <v>43930</v>
      </c>
      <c r="E82" s="10" t="s">
        <v>20</v>
      </c>
      <c r="F82" s="10"/>
      <c r="G82" s="12"/>
      <c r="H82" s="12"/>
      <c r="I82" s="12"/>
      <c r="J82" s="12"/>
      <c r="K82" s="12"/>
      <c r="L82" s="24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2">
        <v>43938</v>
      </c>
      <c r="D83" s="42">
        <v>43940</v>
      </c>
      <c r="E83" s="10" t="s">
        <v>20</v>
      </c>
      <c r="F83" s="10"/>
      <c r="G83" s="12"/>
      <c r="H83" s="12"/>
      <c r="I83" s="12"/>
      <c r="J83" s="12"/>
      <c r="K83" s="12"/>
      <c r="L83" s="24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2">
        <v>43936</v>
      </c>
      <c r="D84" s="42">
        <v>43938</v>
      </c>
      <c r="E84" s="10" t="s">
        <v>20</v>
      </c>
      <c r="F84" s="10"/>
      <c r="G84" s="12"/>
      <c r="H84" s="12"/>
      <c r="I84" s="12"/>
      <c r="J84" s="12"/>
      <c r="K84" s="12"/>
      <c r="L84" s="24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2">
        <v>44059</v>
      </c>
      <c r="D85" s="42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4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2">
        <v>43982</v>
      </c>
      <c r="D86" s="42">
        <v>43990</v>
      </c>
      <c r="E86" s="10" t="s">
        <v>20</v>
      </c>
      <c r="F86" s="10"/>
      <c r="G86" s="12"/>
      <c r="H86" s="12"/>
      <c r="I86" s="12"/>
      <c r="J86" s="12"/>
      <c r="K86" s="12"/>
      <c r="L86" s="24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2">
        <v>44014</v>
      </c>
      <c r="D87" s="42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4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2">
        <v>44068</v>
      </c>
      <c r="D88" s="42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4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2">
        <v>43978</v>
      </c>
      <c r="D89" s="42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4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2">
        <v>43979</v>
      </c>
      <c r="D90" s="42">
        <v>43985</v>
      </c>
      <c r="E90" s="10" t="s">
        <v>20</v>
      </c>
      <c r="F90" s="10"/>
      <c r="G90" s="12"/>
      <c r="H90" s="12"/>
      <c r="I90" s="12"/>
      <c r="J90" s="12"/>
      <c r="K90" s="12"/>
      <c r="L90" s="24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2">
        <v>44058</v>
      </c>
      <c r="D91" s="42">
        <v>44072</v>
      </c>
      <c r="E91" s="10" t="s">
        <v>20</v>
      </c>
      <c r="F91" s="10"/>
      <c r="G91" s="12"/>
      <c r="H91" s="12"/>
      <c r="I91" s="12"/>
      <c r="J91" s="12"/>
      <c r="K91" s="12"/>
      <c r="L91" s="24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2">
        <v>44067</v>
      </c>
      <c r="D92" s="42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4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2">
        <v>44051</v>
      </c>
      <c r="D93" s="42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4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2">
        <v>43965</v>
      </c>
      <c r="D94" s="42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4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2">
        <v>44042</v>
      </c>
      <c r="D95" s="42">
        <v>44049</v>
      </c>
      <c r="E95" s="10" t="s">
        <v>20</v>
      </c>
      <c r="F95" s="10"/>
      <c r="G95" s="12"/>
      <c r="H95" s="12"/>
      <c r="I95" s="12"/>
      <c r="J95" s="12"/>
      <c r="K95" s="12"/>
      <c r="L95" s="24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2">
        <v>44058</v>
      </c>
      <c r="D96" s="42">
        <v>44064</v>
      </c>
      <c r="E96" s="10" t="s">
        <v>20</v>
      </c>
      <c r="F96" s="10"/>
      <c r="G96" s="12"/>
      <c r="H96" s="12"/>
      <c r="I96" s="12"/>
      <c r="J96" s="12"/>
      <c r="K96" s="12"/>
      <c r="L96" s="24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2">
        <v>44037</v>
      </c>
      <c r="D97" s="42">
        <v>44044</v>
      </c>
      <c r="E97" s="10" t="s">
        <v>20</v>
      </c>
      <c r="F97" s="10"/>
      <c r="G97" s="12"/>
      <c r="H97" s="12"/>
      <c r="I97" s="12"/>
      <c r="J97" s="12"/>
      <c r="K97" s="12"/>
      <c r="L97" s="24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2">
        <v>44048</v>
      </c>
      <c r="D98" s="42">
        <v>44055</v>
      </c>
      <c r="E98" s="10" t="s">
        <v>20</v>
      </c>
      <c r="F98" s="10"/>
      <c r="G98" s="12"/>
      <c r="H98" s="12"/>
      <c r="I98" s="12"/>
      <c r="J98" s="12"/>
      <c r="K98" s="12"/>
      <c r="L98" s="24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2">
        <v>44030</v>
      </c>
      <c r="D99" s="42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4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2">
        <v>44074</v>
      </c>
      <c r="D100" s="42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4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2">
        <v>44067</v>
      </c>
      <c r="D101" s="42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4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2">
        <v>43986</v>
      </c>
      <c r="D102" s="42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4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2">
        <v>44067</v>
      </c>
      <c r="D103" s="42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4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2">
        <v>43987</v>
      </c>
      <c r="D104" s="42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4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2">
        <v>44009</v>
      </c>
      <c r="D105" s="42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4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2">
        <v>44039</v>
      </c>
      <c r="D106" s="42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4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2">
        <v>44007</v>
      </c>
      <c r="D107" s="42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4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2">
        <v>43986</v>
      </c>
      <c r="D108" s="42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4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2">
        <v>44085</v>
      </c>
      <c r="D109" s="42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4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2">
        <v>43967</v>
      </c>
      <c r="D110" s="42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4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2">
        <v>44051</v>
      </c>
      <c r="D111" s="42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4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2">
        <v>43994</v>
      </c>
      <c r="D112" s="42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4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2">
        <v>43980</v>
      </c>
      <c r="D113" s="42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4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2">
        <v>43995</v>
      </c>
      <c r="D114" s="42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4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2">
        <v>43980</v>
      </c>
      <c r="D115" s="42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4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2">
        <v>43988</v>
      </c>
      <c r="D116" s="42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4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2">
        <v>43988</v>
      </c>
      <c r="D117" s="42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4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2">
        <v>44062</v>
      </c>
      <c r="D118" s="42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4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2">
        <v>43972</v>
      </c>
      <c r="D119" s="42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4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2">
        <v>44043</v>
      </c>
      <c r="D120" s="42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4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2">
        <v>43989</v>
      </c>
      <c r="D121" s="42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4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2">
        <v>44024</v>
      </c>
      <c r="D122" s="42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4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2">
        <v>44045</v>
      </c>
      <c r="D123" s="42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4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2">
        <v>44062</v>
      </c>
      <c r="D124" s="42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4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2">
        <v>44076</v>
      </c>
      <c r="D125" s="42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4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2">
        <v>43997</v>
      </c>
      <c r="D126" s="42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4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2">
        <v>44077</v>
      </c>
      <c r="D127" s="42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4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2">
        <v>44060</v>
      </c>
      <c r="D128" s="42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4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2">
        <v>44007</v>
      </c>
      <c r="D129" s="42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4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2">
        <v>43980</v>
      </c>
      <c r="D130" s="42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4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2">
        <v>43996</v>
      </c>
      <c r="D131" s="42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4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2">
        <v>44070</v>
      </c>
      <c r="D132" s="42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4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2">
        <v>43987</v>
      </c>
      <c r="D133" s="42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4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2">
        <v>43993</v>
      </c>
      <c r="D134" s="42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4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2">
        <v>44002</v>
      </c>
      <c r="D135" s="42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4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2">
        <v>43982</v>
      </c>
      <c r="D136" s="42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4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2">
        <v>44008</v>
      </c>
      <c r="D137" s="42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4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2">
        <v>44014</v>
      </c>
      <c r="D138" s="42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4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2">
        <v>44072</v>
      </c>
      <c r="D139" s="42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4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2">
        <v>44023</v>
      </c>
      <c r="D140" s="42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4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2">
        <v>44018</v>
      </c>
      <c r="D141" s="42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4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2">
        <v>43988</v>
      </c>
      <c r="D142" s="42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4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2">
        <v>44019</v>
      </c>
      <c r="D143" s="42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4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2">
        <v>44024</v>
      </c>
      <c r="D144" s="42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4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2">
        <v>44060</v>
      </c>
      <c r="D145" s="42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4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2">
        <v>43994</v>
      </c>
      <c r="D146" s="42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4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2">
        <v>44045</v>
      </c>
      <c r="D147" s="42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4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2">
        <v>44081</v>
      </c>
      <c r="D148" s="42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4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2">
        <v>43995</v>
      </c>
      <c r="D149" s="42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4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2">
        <v>43994</v>
      </c>
      <c r="D150" s="42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4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2">
        <v>44011</v>
      </c>
      <c r="D151" s="42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4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2">
        <v>44046</v>
      </c>
      <c r="D152" s="42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4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2">
        <v>44060</v>
      </c>
      <c r="D153" s="42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4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2">
        <v>44048</v>
      </c>
      <c r="D154" s="42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4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2">
        <v>44020</v>
      </c>
      <c r="D155" s="42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4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2">
        <v>44014</v>
      </c>
      <c r="D156" s="42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4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2">
        <v>44038</v>
      </c>
      <c r="D157" s="42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4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2">
        <v>44070</v>
      </c>
      <c r="D158" s="42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4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2">
        <v>44026</v>
      </c>
      <c r="D159" s="42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4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2">
        <v>44026</v>
      </c>
      <c r="D160" s="42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4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2">
        <v>44036</v>
      </c>
      <c r="D161" s="42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4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2">
        <v>44020</v>
      </c>
      <c r="D162" s="42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4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2">
        <v>44038</v>
      </c>
      <c r="D163" s="42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4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2">
        <v>44037</v>
      </c>
      <c r="D164" s="42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4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2">
        <v>44042</v>
      </c>
      <c r="D165" s="42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4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2">
        <v>44048</v>
      </c>
      <c r="D166" s="42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4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2">
        <v>44014</v>
      </c>
      <c r="D167" s="42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4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2">
        <v>44053</v>
      </c>
      <c r="D168" s="42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4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2">
        <v>44055</v>
      </c>
      <c r="D169" s="42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4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2">
        <v>44043</v>
      </c>
      <c r="D170" s="42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4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2">
        <v>44019</v>
      </c>
      <c r="D171" s="42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4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2">
        <v>44048</v>
      </c>
      <c r="D172" s="42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4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2">
        <v>44049</v>
      </c>
      <c r="D173" s="42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4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2">
        <v>44069</v>
      </c>
      <c r="D174" s="42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4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2">
        <v>44064</v>
      </c>
      <c r="D175" s="42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4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2">
        <v>44028</v>
      </c>
      <c r="D176" s="42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4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2">
        <v>44119</v>
      </c>
      <c r="D177" s="42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4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2">
        <v>44053</v>
      </c>
      <c r="D178" s="42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4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2">
        <v>44095</v>
      </c>
      <c r="D179" s="42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4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2">
        <v>44031</v>
      </c>
      <c r="D180" s="42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4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2">
        <v>44043</v>
      </c>
      <c r="D181" s="42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4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2">
        <v>44118</v>
      </c>
      <c r="D182" s="42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4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2">
        <v>44092</v>
      </c>
      <c r="D183" s="42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4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2">
        <v>44099</v>
      </c>
      <c r="D184" s="42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4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2">
        <v>44093</v>
      </c>
      <c r="D185" s="42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4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2">
        <v>44046</v>
      </c>
      <c r="D186" s="42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4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2">
        <v>44080</v>
      </c>
      <c r="D187" s="42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4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2">
        <v>44078</v>
      </c>
      <c r="D188" s="42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4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2">
        <v>44071</v>
      </c>
      <c r="D189" s="42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4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2">
        <v>44065</v>
      </c>
      <c r="D190" s="42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4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2">
        <v>44114</v>
      </c>
      <c r="D191" s="42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4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2">
        <v>44064</v>
      </c>
      <c r="D192" s="42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4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2">
        <v>44078</v>
      </c>
      <c r="D193" s="42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4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2">
        <v>44074</v>
      </c>
      <c r="D194" s="42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4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2">
        <v>44084</v>
      </c>
      <c r="D195" s="42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4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2">
        <v>44075</v>
      </c>
      <c r="D196" s="42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4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2">
        <v>44058</v>
      </c>
      <c r="D197" s="42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4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2">
        <v>44093</v>
      </c>
      <c r="D198" s="42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4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2">
        <v>44059</v>
      </c>
      <c r="D199" s="42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4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2">
        <v>44062</v>
      </c>
      <c r="D200" s="42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4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2">
        <v>44085</v>
      </c>
      <c r="D201" s="42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4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2">
        <v>44073</v>
      </c>
      <c r="D202" s="42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4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2">
        <v>44058</v>
      </c>
      <c r="D203" s="42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4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2">
        <v>44074</v>
      </c>
      <c r="D204" s="42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4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2">
        <v>44115</v>
      </c>
      <c r="D205" s="42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4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2">
        <v>44065</v>
      </c>
      <c r="D206" s="42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4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2">
        <v>44086</v>
      </c>
      <c r="D207" s="42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4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2">
        <v>44074</v>
      </c>
      <c r="D208" s="42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4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2">
        <v>44076</v>
      </c>
      <c r="D209" s="42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4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2">
        <v>44082</v>
      </c>
      <c r="D210" s="42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4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2">
        <v>44102</v>
      </c>
      <c r="D211" s="42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4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2">
        <v>44098</v>
      </c>
      <c r="D212" s="42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4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2">
        <v>44109</v>
      </c>
      <c r="D213" s="42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4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2">
        <v>44100</v>
      </c>
      <c r="D214" s="42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4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2">
        <v>44107</v>
      </c>
      <c r="D215" s="42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4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2">
        <v>44114</v>
      </c>
      <c r="D216" s="42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4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2">
        <v>44071</v>
      </c>
      <c r="D217" s="42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4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2">
        <v>44106</v>
      </c>
      <c r="D218" s="42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4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2">
        <v>44094</v>
      </c>
      <c r="D219" s="42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4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2">
        <v>44110</v>
      </c>
      <c r="D220" s="42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4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2">
        <v>44100</v>
      </c>
      <c r="D221" s="42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4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2">
        <v>44119</v>
      </c>
      <c r="D222" s="42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4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2">
        <v>44095</v>
      </c>
      <c r="D223" s="42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4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2">
        <v>44087</v>
      </c>
      <c r="D224" s="42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4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2">
        <v>44078</v>
      </c>
      <c r="D225" s="42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4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2">
        <v>44084</v>
      </c>
      <c r="D226" s="42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4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2">
        <v>44102</v>
      </c>
      <c r="D227" s="42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4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2">
        <v>44081</v>
      </c>
      <c r="D228" s="42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4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2">
        <v>44081</v>
      </c>
      <c r="D229" s="42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4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2">
        <v>44090</v>
      </c>
      <c r="D230" s="42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4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2">
        <v>44085</v>
      </c>
      <c r="D231" s="42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4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2">
        <v>44115</v>
      </c>
      <c r="D232" s="42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4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2">
        <v>44098</v>
      </c>
      <c r="D233" s="42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4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2">
        <v>44095</v>
      </c>
      <c r="D234" s="42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4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2">
        <v>44095</v>
      </c>
      <c r="D235" s="42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4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3"/>
      <c r="D236" s="33"/>
      <c r="L236" s="41"/>
    </row>
    <row r="237" spans="1:20" ht="14.25" customHeight="1" x14ac:dyDescent="0.35">
      <c r="C237" s="33"/>
      <c r="D237" s="33"/>
      <c r="L237" s="41"/>
    </row>
    <row r="238" spans="1:20" ht="14.25" customHeight="1" x14ac:dyDescent="0.35">
      <c r="C238" s="33"/>
      <c r="D238" s="33"/>
      <c r="L238" s="41"/>
    </row>
    <row r="239" spans="1:20" ht="14.25" customHeight="1" x14ac:dyDescent="0.35">
      <c r="C239" s="33"/>
      <c r="D239" s="33"/>
      <c r="L239" s="41"/>
    </row>
    <row r="240" spans="1:20" ht="14.25" customHeight="1" x14ac:dyDescent="0.35">
      <c r="C240" s="33"/>
      <c r="D240" s="33"/>
      <c r="L240" s="41"/>
    </row>
    <row r="241" spans="3:12" ht="14.25" customHeight="1" x14ac:dyDescent="0.35">
      <c r="C241" s="33"/>
      <c r="D241" s="33"/>
      <c r="L241" s="41"/>
    </row>
    <row r="242" spans="3:12" ht="14.25" customHeight="1" x14ac:dyDescent="0.35">
      <c r="C242" s="33"/>
      <c r="D242" s="33"/>
      <c r="L242" s="41"/>
    </row>
    <row r="243" spans="3:12" ht="14.25" customHeight="1" x14ac:dyDescent="0.35">
      <c r="C243" s="33"/>
      <c r="D243" s="33"/>
      <c r="L243" s="41"/>
    </row>
    <row r="244" spans="3:12" ht="14.25" customHeight="1" x14ac:dyDescent="0.35">
      <c r="C244" s="33"/>
      <c r="D244" s="33"/>
      <c r="L244" s="41"/>
    </row>
    <row r="245" spans="3:12" ht="14.25" customHeight="1" x14ac:dyDescent="0.35">
      <c r="C245" s="33"/>
      <c r="D245" s="33"/>
      <c r="L245" s="41"/>
    </row>
    <row r="246" spans="3:12" ht="14.25" customHeight="1" x14ac:dyDescent="0.35">
      <c r="C246" s="33"/>
      <c r="D246" s="33"/>
      <c r="L246" s="41"/>
    </row>
    <row r="247" spans="3:12" ht="14.25" customHeight="1" x14ac:dyDescent="0.35">
      <c r="C247" s="33"/>
      <c r="D247" s="33"/>
      <c r="L247" s="41"/>
    </row>
    <row r="248" spans="3:12" ht="14.25" customHeight="1" x14ac:dyDescent="0.35">
      <c r="C248" s="33"/>
      <c r="D248" s="33"/>
      <c r="L248" s="41"/>
    </row>
    <row r="249" spans="3:12" ht="14.25" customHeight="1" x14ac:dyDescent="0.35">
      <c r="C249" s="33"/>
      <c r="D249" s="33"/>
      <c r="L249" s="41"/>
    </row>
    <row r="250" spans="3:12" ht="14.25" customHeight="1" x14ac:dyDescent="0.35">
      <c r="C250" s="33"/>
      <c r="D250" s="33"/>
      <c r="L250" s="41"/>
    </row>
    <row r="251" spans="3:12" ht="14.25" customHeight="1" x14ac:dyDescent="0.35">
      <c r="C251" s="33"/>
      <c r="D251" s="33"/>
      <c r="L251" s="41"/>
    </row>
    <row r="252" spans="3:12" ht="14.25" customHeight="1" x14ac:dyDescent="0.35">
      <c r="C252" s="33"/>
      <c r="D252" s="33"/>
      <c r="L252" s="41"/>
    </row>
    <row r="253" spans="3:12" ht="14.25" customHeight="1" x14ac:dyDescent="0.35">
      <c r="C253" s="33"/>
      <c r="D253" s="33"/>
      <c r="L253" s="41"/>
    </row>
    <row r="254" spans="3:12" ht="14.25" customHeight="1" x14ac:dyDescent="0.35">
      <c r="C254" s="33"/>
      <c r="D254" s="33"/>
      <c r="L254" s="41"/>
    </row>
    <row r="255" spans="3:12" ht="14.25" customHeight="1" x14ac:dyDescent="0.35">
      <c r="C255" s="33"/>
      <c r="D255" s="33"/>
      <c r="L255" s="41"/>
    </row>
    <row r="256" spans="3:12" ht="14.25" customHeight="1" x14ac:dyDescent="0.35">
      <c r="C256" s="33"/>
      <c r="D256" s="33"/>
      <c r="L256" s="41"/>
    </row>
    <row r="257" spans="3:12" ht="14.25" customHeight="1" x14ac:dyDescent="0.35">
      <c r="C257" s="33"/>
      <c r="D257" s="33"/>
      <c r="L257" s="41"/>
    </row>
    <row r="258" spans="3:12" ht="14.25" customHeight="1" x14ac:dyDescent="0.35">
      <c r="C258" s="33"/>
      <c r="D258" s="33"/>
      <c r="L258" s="41"/>
    </row>
    <row r="259" spans="3:12" ht="14.25" customHeight="1" x14ac:dyDescent="0.35">
      <c r="C259" s="33"/>
      <c r="D259" s="33"/>
      <c r="L259" s="41"/>
    </row>
    <row r="260" spans="3:12" ht="14.25" customHeight="1" x14ac:dyDescent="0.35">
      <c r="C260" s="33"/>
      <c r="D260" s="33"/>
      <c r="L260" s="41"/>
    </row>
    <row r="261" spans="3:12" ht="14.25" customHeight="1" x14ac:dyDescent="0.35">
      <c r="C261" s="33"/>
      <c r="D261" s="33"/>
      <c r="L261" s="41"/>
    </row>
    <row r="262" spans="3:12" ht="14.25" customHeight="1" x14ac:dyDescent="0.35">
      <c r="C262" s="33"/>
      <c r="D262" s="33"/>
      <c r="L262" s="41"/>
    </row>
    <row r="263" spans="3:12" ht="14.25" customHeight="1" x14ac:dyDescent="0.35">
      <c r="C263" s="33"/>
      <c r="D263" s="33"/>
      <c r="L263" s="41"/>
    </row>
    <row r="264" spans="3:12" ht="14.25" customHeight="1" x14ac:dyDescent="0.35">
      <c r="C264" s="33"/>
      <c r="D264" s="33"/>
      <c r="L264" s="41"/>
    </row>
    <row r="265" spans="3:12" ht="14.25" customHeight="1" x14ac:dyDescent="0.35">
      <c r="C265" s="33"/>
      <c r="D265" s="33"/>
      <c r="L265" s="41"/>
    </row>
    <row r="266" spans="3:12" ht="14.25" customHeight="1" x14ac:dyDescent="0.35">
      <c r="C266" s="33"/>
      <c r="D266" s="33"/>
      <c r="L266" s="41"/>
    </row>
    <row r="267" spans="3:12" ht="14.25" customHeight="1" x14ac:dyDescent="0.35">
      <c r="C267" s="33"/>
      <c r="D267" s="33"/>
      <c r="L267" s="41"/>
    </row>
    <row r="268" spans="3:12" ht="14.25" customHeight="1" x14ac:dyDescent="0.35">
      <c r="C268" s="33"/>
      <c r="D268" s="33"/>
      <c r="L268" s="41"/>
    </row>
    <row r="269" spans="3:12" ht="14.25" customHeight="1" x14ac:dyDescent="0.35">
      <c r="C269" s="33"/>
      <c r="D269" s="33"/>
      <c r="L269" s="41"/>
    </row>
    <row r="270" spans="3:12" ht="14.25" customHeight="1" x14ac:dyDescent="0.35">
      <c r="C270" s="33"/>
      <c r="D270" s="33"/>
      <c r="L270" s="41"/>
    </row>
    <row r="271" spans="3:12" ht="14.25" customHeight="1" x14ac:dyDescent="0.35">
      <c r="C271" s="33"/>
      <c r="D271" s="33"/>
      <c r="L271" s="41"/>
    </row>
    <row r="272" spans="3:12" ht="14.25" customHeight="1" x14ac:dyDescent="0.35">
      <c r="C272" s="33"/>
      <c r="D272" s="33"/>
      <c r="L272" s="41"/>
    </row>
    <row r="273" spans="3:12" ht="14.25" customHeight="1" x14ac:dyDescent="0.35">
      <c r="C273" s="33"/>
      <c r="D273" s="33"/>
      <c r="L273" s="41"/>
    </row>
    <row r="274" spans="3:12" ht="14.25" customHeight="1" x14ac:dyDescent="0.35">
      <c r="C274" s="33"/>
      <c r="D274" s="33"/>
      <c r="L274" s="41"/>
    </row>
    <row r="275" spans="3:12" ht="14.25" customHeight="1" x14ac:dyDescent="0.35">
      <c r="C275" s="33"/>
      <c r="D275" s="33"/>
      <c r="L275" s="41"/>
    </row>
    <row r="276" spans="3:12" ht="14.25" customHeight="1" x14ac:dyDescent="0.35">
      <c r="C276" s="33"/>
      <c r="D276" s="33"/>
      <c r="L276" s="41"/>
    </row>
    <row r="277" spans="3:12" ht="14.25" customHeight="1" x14ac:dyDescent="0.35">
      <c r="C277" s="33"/>
      <c r="D277" s="33"/>
      <c r="L277" s="41"/>
    </row>
    <row r="278" spans="3:12" ht="14.25" customHeight="1" x14ac:dyDescent="0.35">
      <c r="C278" s="33"/>
      <c r="D278" s="33"/>
      <c r="L278" s="41"/>
    </row>
    <row r="279" spans="3:12" ht="14.25" customHeight="1" x14ac:dyDescent="0.35">
      <c r="C279" s="33"/>
      <c r="D279" s="33"/>
      <c r="L279" s="41"/>
    </row>
    <row r="280" spans="3:12" ht="14.25" customHeight="1" x14ac:dyDescent="0.35">
      <c r="C280" s="33"/>
      <c r="D280" s="33"/>
      <c r="L280" s="41"/>
    </row>
    <row r="281" spans="3:12" ht="14.25" customHeight="1" x14ac:dyDescent="0.35">
      <c r="C281" s="33"/>
      <c r="D281" s="33"/>
      <c r="L281" s="41"/>
    </row>
    <row r="282" spans="3:12" ht="14.25" customHeight="1" x14ac:dyDescent="0.35">
      <c r="C282" s="33"/>
      <c r="D282" s="33"/>
      <c r="L282" s="41"/>
    </row>
    <row r="283" spans="3:12" ht="14.25" customHeight="1" x14ac:dyDescent="0.35">
      <c r="C283" s="33"/>
      <c r="D283" s="33"/>
      <c r="L283" s="41"/>
    </row>
    <row r="284" spans="3:12" ht="14.25" customHeight="1" x14ac:dyDescent="0.35">
      <c r="C284" s="33"/>
      <c r="D284" s="33"/>
      <c r="L284" s="41"/>
    </row>
    <row r="285" spans="3:12" ht="14.25" customHeight="1" x14ac:dyDescent="0.35">
      <c r="C285" s="33"/>
      <c r="D285" s="33"/>
      <c r="L285" s="41"/>
    </row>
    <row r="286" spans="3:12" ht="14.25" customHeight="1" x14ac:dyDescent="0.35">
      <c r="C286" s="33"/>
      <c r="D286" s="33"/>
      <c r="L286" s="41"/>
    </row>
    <row r="287" spans="3:12" ht="14.25" customHeight="1" x14ac:dyDescent="0.35">
      <c r="C287" s="33"/>
      <c r="D287" s="33"/>
      <c r="L287" s="41"/>
    </row>
    <row r="288" spans="3:12" ht="14.25" customHeight="1" x14ac:dyDescent="0.35">
      <c r="C288" s="33"/>
      <c r="D288" s="33"/>
      <c r="L288" s="41"/>
    </row>
    <row r="289" spans="3:12" ht="14.25" customHeight="1" x14ac:dyDescent="0.35">
      <c r="C289" s="33"/>
      <c r="D289" s="33"/>
      <c r="L289" s="41"/>
    </row>
    <row r="290" spans="3:12" ht="14.25" customHeight="1" x14ac:dyDescent="0.35">
      <c r="C290" s="33"/>
      <c r="D290" s="33"/>
      <c r="L290" s="41"/>
    </row>
    <row r="291" spans="3:12" ht="14.25" customHeight="1" x14ac:dyDescent="0.35">
      <c r="C291" s="33"/>
      <c r="D291" s="33"/>
      <c r="L291" s="41"/>
    </row>
    <row r="292" spans="3:12" ht="14.25" customHeight="1" x14ac:dyDescent="0.35">
      <c r="C292" s="33"/>
      <c r="D292" s="33"/>
      <c r="L292" s="41"/>
    </row>
    <row r="293" spans="3:12" ht="14.25" customHeight="1" x14ac:dyDescent="0.35">
      <c r="C293" s="33"/>
      <c r="D293" s="33"/>
      <c r="L293" s="41"/>
    </row>
    <row r="294" spans="3:12" ht="14.25" customHeight="1" x14ac:dyDescent="0.35">
      <c r="C294" s="33"/>
      <c r="D294" s="33"/>
      <c r="L294" s="41"/>
    </row>
    <row r="295" spans="3:12" ht="14.25" customHeight="1" x14ac:dyDescent="0.35">
      <c r="C295" s="33"/>
      <c r="D295" s="33"/>
      <c r="L295" s="41"/>
    </row>
    <row r="296" spans="3:12" ht="14.25" customHeight="1" x14ac:dyDescent="0.35">
      <c r="C296" s="33"/>
      <c r="D296" s="33"/>
      <c r="L296" s="41"/>
    </row>
    <row r="297" spans="3:12" ht="14.25" customHeight="1" x14ac:dyDescent="0.35">
      <c r="C297" s="33"/>
      <c r="D297" s="33"/>
      <c r="L297" s="41"/>
    </row>
    <row r="298" spans="3:12" ht="14.25" customHeight="1" x14ac:dyDescent="0.35">
      <c r="C298" s="33"/>
      <c r="D298" s="33"/>
      <c r="L298" s="41"/>
    </row>
    <row r="299" spans="3:12" ht="14.25" customHeight="1" x14ac:dyDescent="0.35">
      <c r="C299" s="33"/>
      <c r="D299" s="33"/>
      <c r="L299" s="41"/>
    </row>
    <row r="300" spans="3:12" ht="14.25" customHeight="1" x14ac:dyDescent="0.35">
      <c r="C300" s="33"/>
      <c r="D300" s="33"/>
      <c r="L300" s="41"/>
    </row>
    <row r="301" spans="3:12" ht="14.25" customHeight="1" x14ac:dyDescent="0.35">
      <c r="C301" s="33"/>
      <c r="D301" s="33"/>
      <c r="L301" s="41"/>
    </row>
    <row r="302" spans="3:12" ht="14.25" customHeight="1" x14ac:dyDescent="0.35">
      <c r="C302" s="33"/>
      <c r="D302" s="33"/>
      <c r="L302" s="41"/>
    </row>
    <row r="303" spans="3:12" ht="14.25" customHeight="1" x14ac:dyDescent="0.35">
      <c r="C303" s="33"/>
      <c r="D303" s="33"/>
      <c r="L303" s="41"/>
    </row>
    <row r="304" spans="3:12" ht="14.25" customHeight="1" x14ac:dyDescent="0.35">
      <c r="C304" s="33"/>
      <c r="D304" s="33"/>
      <c r="L304" s="41"/>
    </row>
    <row r="305" spans="3:12" ht="14.25" customHeight="1" x14ac:dyDescent="0.35">
      <c r="C305" s="33"/>
      <c r="D305" s="33"/>
      <c r="L305" s="41"/>
    </row>
    <row r="306" spans="3:12" ht="14.25" customHeight="1" x14ac:dyDescent="0.35">
      <c r="C306" s="33"/>
      <c r="D306" s="33"/>
      <c r="L306" s="41"/>
    </row>
    <row r="307" spans="3:12" ht="14.25" customHeight="1" x14ac:dyDescent="0.35">
      <c r="C307" s="33"/>
      <c r="D307" s="33"/>
      <c r="L307" s="41"/>
    </row>
    <row r="308" spans="3:12" ht="14.25" customHeight="1" x14ac:dyDescent="0.35">
      <c r="C308" s="33"/>
      <c r="D308" s="33"/>
      <c r="L308" s="41"/>
    </row>
    <row r="309" spans="3:12" ht="14.25" customHeight="1" x14ac:dyDescent="0.35">
      <c r="C309" s="33"/>
      <c r="D309" s="33"/>
      <c r="L309" s="41"/>
    </row>
    <row r="310" spans="3:12" ht="14.25" customHeight="1" x14ac:dyDescent="0.35">
      <c r="C310" s="33"/>
      <c r="D310" s="33"/>
      <c r="L310" s="41"/>
    </row>
    <row r="311" spans="3:12" ht="14.25" customHeight="1" x14ac:dyDescent="0.35">
      <c r="C311" s="33"/>
      <c r="D311" s="33"/>
      <c r="L311" s="41"/>
    </row>
    <row r="312" spans="3:12" ht="14.25" customHeight="1" x14ac:dyDescent="0.35">
      <c r="C312" s="33"/>
      <c r="D312" s="33"/>
      <c r="L312" s="41"/>
    </row>
    <row r="313" spans="3:12" ht="14.25" customHeight="1" x14ac:dyDescent="0.35">
      <c r="C313" s="33"/>
      <c r="D313" s="33"/>
      <c r="L313" s="41"/>
    </row>
    <row r="314" spans="3:12" ht="14.25" customHeight="1" x14ac:dyDescent="0.35">
      <c r="C314" s="33"/>
      <c r="D314" s="33"/>
      <c r="L314" s="41"/>
    </row>
    <row r="315" spans="3:12" ht="14.25" customHeight="1" x14ac:dyDescent="0.35">
      <c r="C315" s="33"/>
      <c r="D315" s="33"/>
      <c r="L315" s="41"/>
    </row>
    <row r="316" spans="3:12" ht="14.25" customHeight="1" x14ac:dyDescent="0.35">
      <c r="C316" s="33"/>
      <c r="D316" s="33"/>
      <c r="L316" s="41"/>
    </row>
    <row r="317" spans="3:12" ht="14.25" customHeight="1" x14ac:dyDescent="0.35">
      <c r="C317" s="33"/>
      <c r="D317" s="33"/>
      <c r="L317" s="41"/>
    </row>
    <row r="318" spans="3:12" ht="14.25" customHeight="1" x14ac:dyDescent="0.35">
      <c r="C318" s="33"/>
      <c r="D318" s="33"/>
      <c r="L318" s="41"/>
    </row>
    <row r="319" spans="3:12" ht="14.25" customHeight="1" x14ac:dyDescent="0.35">
      <c r="C319" s="33"/>
      <c r="D319" s="33"/>
      <c r="L319" s="41"/>
    </row>
    <row r="320" spans="3:12" ht="14.25" customHeight="1" x14ac:dyDescent="0.35">
      <c r="C320" s="33"/>
      <c r="D320" s="33"/>
      <c r="L320" s="41"/>
    </row>
    <row r="321" spans="3:12" ht="14.25" customHeight="1" x14ac:dyDescent="0.35">
      <c r="C321" s="33"/>
      <c r="D321" s="33"/>
      <c r="L321" s="41"/>
    </row>
    <row r="322" spans="3:12" ht="14.25" customHeight="1" x14ac:dyDescent="0.35">
      <c r="C322" s="33"/>
      <c r="D322" s="33"/>
      <c r="L322" s="41"/>
    </row>
    <row r="323" spans="3:12" ht="14.25" customHeight="1" x14ac:dyDescent="0.35">
      <c r="C323" s="33"/>
      <c r="D323" s="33"/>
      <c r="L323" s="41"/>
    </row>
    <row r="324" spans="3:12" ht="14.25" customHeight="1" x14ac:dyDescent="0.35">
      <c r="C324" s="33"/>
      <c r="D324" s="33"/>
      <c r="L324" s="41"/>
    </row>
    <row r="325" spans="3:12" ht="14.25" customHeight="1" x14ac:dyDescent="0.35">
      <c r="C325" s="33"/>
      <c r="D325" s="33"/>
      <c r="L325" s="41"/>
    </row>
    <row r="326" spans="3:12" ht="14.25" customHeight="1" x14ac:dyDescent="0.35">
      <c r="C326" s="33"/>
      <c r="D326" s="33"/>
      <c r="L326" s="41"/>
    </row>
    <row r="327" spans="3:12" ht="14.25" customHeight="1" x14ac:dyDescent="0.35">
      <c r="C327" s="33"/>
      <c r="D327" s="33"/>
      <c r="L327" s="41"/>
    </row>
    <row r="328" spans="3:12" ht="14.25" customHeight="1" x14ac:dyDescent="0.35">
      <c r="C328" s="33"/>
      <c r="D328" s="33"/>
      <c r="L328" s="41"/>
    </row>
    <row r="329" spans="3:12" ht="14.25" customHeight="1" x14ac:dyDescent="0.35">
      <c r="C329" s="33"/>
      <c r="D329" s="33"/>
      <c r="L329" s="41"/>
    </row>
    <row r="330" spans="3:12" ht="14.25" customHeight="1" x14ac:dyDescent="0.35">
      <c r="C330" s="33"/>
      <c r="D330" s="33"/>
      <c r="L330" s="41"/>
    </row>
    <row r="331" spans="3:12" ht="14.25" customHeight="1" x14ac:dyDescent="0.35">
      <c r="C331" s="33"/>
      <c r="D331" s="33"/>
      <c r="L331" s="41"/>
    </row>
    <row r="332" spans="3:12" ht="14.25" customHeight="1" x14ac:dyDescent="0.35">
      <c r="C332" s="33"/>
      <c r="D332" s="33"/>
      <c r="L332" s="41"/>
    </row>
    <row r="333" spans="3:12" ht="14.25" customHeight="1" x14ac:dyDescent="0.35">
      <c r="C333" s="33"/>
      <c r="D333" s="33"/>
      <c r="L333" s="41"/>
    </row>
    <row r="334" spans="3:12" ht="14.25" customHeight="1" x14ac:dyDescent="0.35">
      <c r="C334" s="33"/>
      <c r="D334" s="33"/>
      <c r="L334" s="41"/>
    </row>
    <row r="335" spans="3:12" ht="14.25" customHeight="1" x14ac:dyDescent="0.35">
      <c r="C335" s="33"/>
      <c r="D335" s="33"/>
      <c r="L335" s="41"/>
    </row>
    <row r="336" spans="3:12" ht="14.25" customHeight="1" x14ac:dyDescent="0.35">
      <c r="C336" s="33"/>
      <c r="D336" s="33"/>
      <c r="L336" s="41"/>
    </row>
    <row r="337" spans="3:12" ht="14.25" customHeight="1" x14ac:dyDescent="0.35">
      <c r="C337" s="33"/>
      <c r="D337" s="33"/>
      <c r="L337" s="41"/>
    </row>
    <row r="338" spans="3:12" ht="14.25" customHeight="1" x14ac:dyDescent="0.35">
      <c r="C338" s="33"/>
      <c r="D338" s="33"/>
      <c r="L338" s="41"/>
    </row>
    <row r="339" spans="3:12" ht="14.25" customHeight="1" x14ac:dyDescent="0.35">
      <c r="C339" s="33"/>
      <c r="D339" s="33"/>
      <c r="L339" s="41"/>
    </row>
    <row r="340" spans="3:12" ht="14.25" customHeight="1" x14ac:dyDescent="0.35">
      <c r="C340" s="33"/>
      <c r="D340" s="33"/>
      <c r="L340" s="41"/>
    </row>
    <row r="341" spans="3:12" ht="14.25" customHeight="1" x14ac:dyDescent="0.35">
      <c r="C341" s="33"/>
      <c r="D341" s="33"/>
      <c r="L341" s="41"/>
    </row>
    <row r="342" spans="3:12" ht="14.25" customHeight="1" x14ac:dyDescent="0.35">
      <c r="C342" s="33"/>
      <c r="D342" s="33"/>
      <c r="L342" s="41"/>
    </row>
    <row r="343" spans="3:12" ht="14.25" customHeight="1" x14ac:dyDescent="0.35">
      <c r="C343" s="33"/>
      <c r="D343" s="33"/>
      <c r="L343" s="41"/>
    </row>
    <row r="344" spans="3:12" ht="14.25" customHeight="1" x14ac:dyDescent="0.35">
      <c r="C344" s="33"/>
      <c r="D344" s="33"/>
      <c r="L344" s="41"/>
    </row>
    <row r="345" spans="3:12" ht="14.25" customHeight="1" x14ac:dyDescent="0.35">
      <c r="C345" s="33"/>
      <c r="D345" s="33"/>
      <c r="L345" s="41"/>
    </row>
    <row r="346" spans="3:12" ht="14.25" customHeight="1" x14ac:dyDescent="0.35">
      <c r="C346" s="33"/>
      <c r="D346" s="33"/>
      <c r="L346" s="41"/>
    </row>
    <row r="347" spans="3:12" ht="14.25" customHeight="1" x14ac:dyDescent="0.35">
      <c r="C347" s="33"/>
      <c r="D347" s="33"/>
      <c r="L347" s="41"/>
    </row>
    <row r="348" spans="3:12" ht="14.25" customHeight="1" x14ac:dyDescent="0.35">
      <c r="C348" s="33"/>
      <c r="D348" s="33"/>
      <c r="L348" s="41"/>
    </row>
    <row r="349" spans="3:12" ht="14.25" customHeight="1" x14ac:dyDescent="0.35">
      <c r="C349" s="33"/>
      <c r="D349" s="33"/>
      <c r="L349" s="41"/>
    </row>
    <row r="350" spans="3:12" ht="14.25" customHeight="1" x14ac:dyDescent="0.35">
      <c r="C350" s="33"/>
      <c r="D350" s="33"/>
      <c r="L350" s="41"/>
    </row>
    <row r="351" spans="3:12" ht="14.25" customHeight="1" x14ac:dyDescent="0.35">
      <c r="C351" s="33"/>
      <c r="D351" s="33"/>
      <c r="L351" s="41"/>
    </row>
    <row r="352" spans="3:12" ht="14.25" customHeight="1" x14ac:dyDescent="0.35">
      <c r="C352" s="33"/>
      <c r="D352" s="33"/>
      <c r="L352" s="41"/>
    </row>
    <row r="353" spans="3:12" ht="14.25" customHeight="1" x14ac:dyDescent="0.35">
      <c r="C353" s="33"/>
      <c r="D353" s="33"/>
      <c r="L353" s="41"/>
    </row>
    <row r="354" spans="3:12" ht="14.25" customHeight="1" x14ac:dyDescent="0.35">
      <c r="C354" s="33"/>
      <c r="D354" s="33"/>
      <c r="L354" s="41"/>
    </row>
    <row r="355" spans="3:12" ht="14.25" customHeight="1" x14ac:dyDescent="0.35">
      <c r="C355" s="33"/>
      <c r="D355" s="33"/>
      <c r="L355" s="41"/>
    </row>
    <row r="356" spans="3:12" ht="14.25" customHeight="1" x14ac:dyDescent="0.35">
      <c r="C356" s="33"/>
      <c r="D356" s="33"/>
      <c r="L356" s="41"/>
    </row>
    <row r="357" spans="3:12" ht="14.25" customHeight="1" x14ac:dyDescent="0.35">
      <c r="C357" s="33"/>
      <c r="D357" s="33"/>
      <c r="L357" s="41"/>
    </row>
    <row r="358" spans="3:12" ht="14.25" customHeight="1" x14ac:dyDescent="0.35">
      <c r="C358" s="33"/>
      <c r="D358" s="33"/>
      <c r="L358" s="41"/>
    </row>
    <row r="359" spans="3:12" ht="14.25" customHeight="1" x14ac:dyDescent="0.35">
      <c r="C359" s="33"/>
      <c r="D359" s="33"/>
      <c r="L359" s="41"/>
    </row>
    <row r="360" spans="3:12" ht="14.25" customHeight="1" x14ac:dyDescent="0.35">
      <c r="C360" s="33"/>
      <c r="D360" s="33"/>
      <c r="L360" s="41"/>
    </row>
    <row r="361" spans="3:12" ht="14.25" customHeight="1" x14ac:dyDescent="0.35">
      <c r="C361" s="33"/>
      <c r="D361" s="33"/>
      <c r="L361" s="41"/>
    </row>
    <row r="362" spans="3:12" ht="14.25" customHeight="1" x14ac:dyDescent="0.35">
      <c r="C362" s="33"/>
      <c r="D362" s="33"/>
      <c r="L362" s="41"/>
    </row>
    <row r="363" spans="3:12" ht="14.25" customHeight="1" x14ac:dyDescent="0.35">
      <c r="C363" s="33"/>
      <c r="D363" s="33"/>
      <c r="L363" s="41"/>
    </row>
    <row r="364" spans="3:12" ht="14.25" customHeight="1" x14ac:dyDescent="0.35">
      <c r="C364" s="33"/>
      <c r="D364" s="33"/>
      <c r="L364" s="41"/>
    </row>
    <row r="365" spans="3:12" ht="14.25" customHeight="1" x14ac:dyDescent="0.35">
      <c r="C365" s="33"/>
      <c r="D365" s="33"/>
      <c r="L365" s="41"/>
    </row>
    <row r="366" spans="3:12" ht="14.25" customHeight="1" x14ac:dyDescent="0.35">
      <c r="C366" s="33"/>
      <c r="D366" s="33"/>
      <c r="L366" s="41"/>
    </row>
    <row r="367" spans="3:12" ht="14.25" customHeight="1" x14ac:dyDescent="0.35">
      <c r="C367" s="33"/>
      <c r="D367" s="33"/>
      <c r="L367" s="41"/>
    </row>
    <row r="368" spans="3:12" ht="14.25" customHeight="1" x14ac:dyDescent="0.35">
      <c r="C368" s="33"/>
      <c r="D368" s="33"/>
      <c r="L368" s="41"/>
    </row>
    <row r="369" spans="3:12" ht="14.25" customHeight="1" x14ac:dyDescent="0.35">
      <c r="C369" s="33"/>
      <c r="D369" s="33"/>
      <c r="L369" s="41"/>
    </row>
    <row r="370" spans="3:12" ht="14.25" customHeight="1" x14ac:dyDescent="0.35">
      <c r="C370" s="33"/>
      <c r="D370" s="33"/>
      <c r="L370" s="41"/>
    </row>
    <row r="371" spans="3:12" ht="14.25" customHeight="1" x14ac:dyDescent="0.35">
      <c r="C371" s="33"/>
      <c r="D371" s="33"/>
      <c r="L371" s="41"/>
    </row>
    <row r="372" spans="3:12" ht="14.25" customHeight="1" x14ac:dyDescent="0.35">
      <c r="C372" s="33"/>
      <c r="D372" s="33"/>
      <c r="L372" s="41"/>
    </row>
    <row r="373" spans="3:12" ht="14.25" customHeight="1" x14ac:dyDescent="0.35">
      <c r="C373" s="33"/>
      <c r="D373" s="33"/>
      <c r="L373" s="41"/>
    </row>
    <row r="374" spans="3:12" ht="14.25" customHeight="1" x14ac:dyDescent="0.35">
      <c r="C374" s="33"/>
      <c r="D374" s="33"/>
      <c r="L374" s="41"/>
    </row>
    <row r="375" spans="3:12" ht="14.25" customHeight="1" x14ac:dyDescent="0.35">
      <c r="C375" s="33"/>
      <c r="D375" s="33"/>
      <c r="L375" s="41"/>
    </row>
    <row r="376" spans="3:12" ht="14.25" customHeight="1" x14ac:dyDescent="0.35">
      <c r="C376" s="33"/>
      <c r="D376" s="33"/>
      <c r="L376" s="41"/>
    </row>
    <row r="377" spans="3:12" ht="14.25" customHeight="1" x14ac:dyDescent="0.35">
      <c r="C377" s="33"/>
      <c r="D377" s="33"/>
      <c r="L377" s="41"/>
    </row>
    <row r="378" spans="3:12" ht="14.25" customHeight="1" x14ac:dyDescent="0.35">
      <c r="C378" s="33"/>
      <c r="D378" s="33"/>
      <c r="L378" s="41"/>
    </row>
    <row r="379" spans="3:12" ht="14.25" customHeight="1" x14ac:dyDescent="0.35">
      <c r="C379" s="33"/>
      <c r="D379" s="33"/>
      <c r="L379" s="41"/>
    </row>
    <row r="380" spans="3:12" ht="14.25" customHeight="1" x14ac:dyDescent="0.35">
      <c r="C380" s="33"/>
      <c r="D380" s="33"/>
      <c r="L380" s="41"/>
    </row>
    <row r="381" spans="3:12" ht="14.25" customHeight="1" x14ac:dyDescent="0.35">
      <c r="C381" s="33"/>
      <c r="D381" s="33"/>
      <c r="L381" s="41"/>
    </row>
    <row r="382" spans="3:12" ht="14.25" customHeight="1" x14ac:dyDescent="0.35">
      <c r="C382" s="33"/>
      <c r="D382" s="33"/>
      <c r="L382" s="41"/>
    </row>
    <row r="383" spans="3:12" ht="14.25" customHeight="1" x14ac:dyDescent="0.35">
      <c r="C383" s="33"/>
      <c r="D383" s="33"/>
      <c r="L383" s="41"/>
    </row>
    <row r="384" spans="3:12" ht="14.25" customHeight="1" x14ac:dyDescent="0.35">
      <c r="C384" s="33"/>
      <c r="D384" s="33"/>
      <c r="L384" s="41"/>
    </row>
    <row r="385" spans="3:12" ht="14.25" customHeight="1" x14ac:dyDescent="0.35">
      <c r="C385" s="33"/>
      <c r="D385" s="33"/>
      <c r="L385" s="41"/>
    </row>
    <row r="386" spans="3:12" ht="14.25" customHeight="1" x14ac:dyDescent="0.35">
      <c r="C386" s="33"/>
      <c r="D386" s="33"/>
      <c r="L386" s="41"/>
    </row>
    <row r="387" spans="3:12" ht="14.25" customHeight="1" x14ac:dyDescent="0.35">
      <c r="C387" s="33"/>
      <c r="D387" s="33"/>
      <c r="L387" s="41"/>
    </row>
    <row r="388" spans="3:12" ht="14.25" customHeight="1" x14ac:dyDescent="0.35">
      <c r="C388" s="33"/>
      <c r="D388" s="33"/>
      <c r="L388" s="41"/>
    </row>
    <row r="389" spans="3:12" ht="14.25" customHeight="1" x14ac:dyDescent="0.35">
      <c r="C389" s="33"/>
      <c r="D389" s="33"/>
      <c r="L389" s="41"/>
    </row>
    <row r="390" spans="3:12" ht="14.25" customHeight="1" x14ac:dyDescent="0.35">
      <c r="C390" s="33"/>
      <c r="D390" s="33"/>
      <c r="L390" s="41"/>
    </row>
    <row r="391" spans="3:12" ht="14.25" customHeight="1" x14ac:dyDescent="0.35">
      <c r="C391" s="33"/>
      <c r="D391" s="33"/>
      <c r="L391" s="41"/>
    </row>
    <row r="392" spans="3:12" ht="14.25" customHeight="1" x14ac:dyDescent="0.35">
      <c r="C392" s="33"/>
      <c r="D392" s="33"/>
      <c r="L392" s="41"/>
    </row>
    <row r="393" spans="3:12" ht="14.25" customHeight="1" x14ac:dyDescent="0.35">
      <c r="C393" s="33"/>
      <c r="D393" s="33"/>
      <c r="L393" s="41"/>
    </row>
    <row r="394" spans="3:12" ht="14.25" customHeight="1" x14ac:dyDescent="0.35">
      <c r="C394" s="33"/>
      <c r="D394" s="33"/>
      <c r="L394" s="41"/>
    </row>
    <row r="395" spans="3:12" ht="14.25" customHeight="1" x14ac:dyDescent="0.35">
      <c r="C395" s="33"/>
      <c r="D395" s="33"/>
      <c r="L395" s="41"/>
    </row>
    <row r="396" spans="3:12" ht="14.25" customHeight="1" x14ac:dyDescent="0.35">
      <c r="C396" s="33"/>
      <c r="D396" s="33"/>
      <c r="L396" s="41"/>
    </row>
    <row r="397" spans="3:12" ht="14.25" customHeight="1" x14ac:dyDescent="0.35">
      <c r="C397" s="33"/>
      <c r="D397" s="33"/>
      <c r="L397" s="41"/>
    </row>
    <row r="398" spans="3:12" ht="14.25" customHeight="1" x14ac:dyDescent="0.35">
      <c r="C398" s="33"/>
      <c r="D398" s="33"/>
      <c r="L398" s="41"/>
    </row>
    <row r="399" spans="3:12" ht="14.25" customHeight="1" x14ac:dyDescent="0.35">
      <c r="C399" s="33"/>
      <c r="D399" s="33"/>
      <c r="L399" s="41"/>
    </row>
    <row r="400" spans="3:12" ht="14.25" customHeight="1" x14ac:dyDescent="0.35">
      <c r="C400" s="33"/>
      <c r="D400" s="33"/>
      <c r="L400" s="41"/>
    </row>
    <row r="401" spans="3:12" ht="14.25" customHeight="1" x14ac:dyDescent="0.35">
      <c r="C401" s="33"/>
      <c r="D401" s="33"/>
      <c r="L401" s="41"/>
    </row>
    <row r="402" spans="3:12" ht="14.25" customHeight="1" x14ac:dyDescent="0.35">
      <c r="C402" s="33"/>
      <c r="D402" s="33"/>
      <c r="L402" s="41"/>
    </row>
    <row r="403" spans="3:12" ht="14.25" customHeight="1" x14ac:dyDescent="0.35">
      <c r="C403" s="33"/>
      <c r="D403" s="33"/>
      <c r="L403" s="41"/>
    </row>
    <row r="404" spans="3:12" ht="14.25" customHeight="1" x14ac:dyDescent="0.35">
      <c r="C404" s="33"/>
      <c r="D404" s="33"/>
      <c r="L404" s="41"/>
    </row>
    <row r="405" spans="3:12" ht="14.25" customHeight="1" x14ac:dyDescent="0.35">
      <c r="C405" s="33"/>
      <c r="D405" s="33"/>
      <c r="L405" s="41"/>
    </row>
    <row r="406" spans="3:12" ht="14.25" customHeight="1" x14ac:dyDescent="0.35">
      <c r="C406" s="33"/>
      <c r="D406" s="33"/>
      <c r="L406" s="41"/>
    </row>
    <row r="407" spans="3:12" ht="14.25" customHeight="1" x14ac:dyDescent="0.35">
      <c r="C407" s="33"/>
      <c r="D407" s="33"/>
      <c r="L407" s="41"/>
    </row>
    <row r="408" spans="3:12" ht="14.25" customHeight="1" x14ac:dyDescent="0.35">
      <c r="C408" s="33"/>
      <c r="D408" s="33"/>
      <c r="L408" s="41"/>
    </row>
    <row r="409" spans="3:12" ht="14.25" customHeight="1" x14ac:dyDescent="0.35">
      <c r="C409" s="33"/>
      <c r="D409" s="33"/>
      <c r="L409" s="41"/>
    </row>
    <row r="410" spans="3:12" ht="14.25" customHeight="1" x14ac:dyDescent="0.35">
      <c r="C410" s="33"/>
      <c r="D410" s="33"/>
      <c r="L410" s="41"/>
    </row>
    <row r="411" spans="3:12" ht="14.25" customHeight="1" x14ac:dyDescent="0.35">
      <c r="C411" s="33"/>
      <c r="D411" s="33"/>
      <c r="L411" s="41"/>
    </row>
    <row r="412" spans="3:12" ht="14.25" customHeight="1" x14ac:dyDescent="0.35">
      <c r="C412" s="33"/>
      <c r="D412" s="33"/>
      <c r="L412" s="41"/>
    </row>
    <row r="413" spans="3:12" ht="14.25" customHeight="1" x14ac:dyDescent="0.35">
      <c r="C413" s="33"/>
      <c r="D413" s="33"/>
      <c r="L413" s="41"/>
    </row>
    <row r="414" spans="3:12" ht="14.25" customHeight="1" x14ac:dyDescent="0.35">
      <c r="C414" s="33"/>
      <c r="D414" s="33"/>
      <c r="L414" s="41"/>
    </row>
    <row r="415" spans="3:12" ht="14.25" customHeight="1" x14ac:dyDescent="0.35">
      <c r="C415" s="33"/>
      <c r="D415" s="33"/>
      <c r="L415" s="41"/>
    </row>
    <row r="416" spans="3:12" ht="14.25" customHeight="1" x14ac:dyDescent="0.35">
      <c r="C416" s="33"/>
      <c r="D416" s="33"/>
      <c r="L416" s="41"/>
    </row>
    <row r="417" spans="3:12" ht="14.25" customHeight="1" x14ac:dyDescent="0.35">
      <c r="C417" s="33"/>
      <c r="D417" s="33"/>
      <c r="L417" s="41"/>
    </row>
    <row r="418" spans="3:12" ht="14.25" customHeight="1" x14ac:dyDescent="0.35">
      <c r="C418" s="33"/>
      <c r="D418" s="33"/>
      <c r="L418" s="41"/>
    </row>
    <row r="419" spans="3:12" ht="14.25" customHeight="1" x14ac:dyDescent="0.35">
      <c r="C419" s="33"/>
      <c r="D419" s="33"/>
      <c r="L419" s="41"/>
    </row>
    <row r="420" spans="3:12" ht="14.25" customHeight="1" x14ac:dyDescent="0.35">
      <c r="C420" s="33"/>
      <c r="D420" s="33"/>
      <c r="L420" s="41"/>
    </row>
    <row r="421" spans="3:12" ht="14.25" customHeight="1" x14ac:dyDescent="0.35">
      <c r="C421" s="33"/>
      <c r="D421" s="33"/>
      <c r="L421" s="41"/>
    </row>
    <row r="422" spans="3:12" ht="14.25" customHeight="1" x14ac:dyDescent="0.35">
      <c r="C422" s="33"/>
      <c r="D422" s="33"/>
      <c r="L422" s="41"/>
    </row>
    <row r="423" spans="3:12" ht="14.25" customHeight="1" x14ac:dyDescent="0.35">
      <c r="C423" s="33"/>
      <c r="D423" s="33"/>
      <c r="L423" s="41"/>
    </row>
    <row r="424" spans="3:12" ht="14.25" customHeight="1" x14ac:dyDescent="0.35">
      <c r="C424" s="33"/>
      <c r="D424" s="33"/>
      <c r="L424" s="41"/>
    </row>
    <row r="425" spans="3:12" ht="14.25" customHeight="1" x14ac:dyDescent="0.35">
      <c r="C425" s="33"/>
      <c r="D425" s="33"/>
      <c r="L425" s="41"/>
    </row>
    <row r="426" spans="3:12" ht="14.25" customHeight="1" x14ac:dyDescent="0.35">
      <c r="C426" s="33"/>
      <c r="D426" s="33"/>
      <c r="L426" s="41"/>
    </row>
    <row r="427" spans="3:12" ht="14.25" customHeight="1" x14ac:dyDescent="0.35">
      <c r="C427" s="33"/>
      <c r="D427" s="33"/>
      <c r="L427" s="41"/>
    </row>
    <row r="428" spans="3:12" ht="14.25" customHeight="1" x14ac:dyDescent="0.35">
      <c r="C428" s="33"/>
      <c r="D428" s="33"/>
      <c r="L428" s="41"/>
    </row>
    <row r="429" spans="3:12" ht="14.25" customHeight="1" x14ac:dyDescent="0.35">
      <c r="C429" s="33"/>
      <c r="D429" s="33"/>
      <c r="L429" s="41"/>
    </row>
    <row r="430" spans="3:12" ht="14.25" customHeight="1" x14ac:dyDescent="0.35">
      <c r="C430" s="33"/>
      <c r="D430" s="33"/>
      <c r="L430" s="41"/>
    </row>
    <row r="431" spans="3:12" ht="14.25" customHeight="1" x14ac:dyDescent="0.35">
      <c r="C431" s="33"/>
      <c r="D431" s="33"/>
      <c r="L431" s="41"/>
    </row>
    <row r="432" spans="3:12" ht="14.25" customHeight="1" x14ac:dyDescent="0.35">
      <c r="C432" s="33"/>
      <c r="D432" s="33"/>
      <c r="L432" s="41"/>
    </row>
    <row r="433" spans="3:12" ht="14.25" customHeight="1" x14ac:dyDescent="0.35">
      <c r="C433" s="33"/>
      <c r="D433" s="33"/>
      <c r="L433" s="41"/>
    </row>
    <row r="434" spans="3:12" ht="14.25" customHeight="1" x14ac:dyDescent="0.35">
      <c r="C434" s="33"/>
      <c r="D434" s="33"/>
      <c r="L434" s="41"/>
    </row>
    <row r="435" spans="3:12" ht="14.25" customHeight="1" x14ac:dyDescent="0.35">
      <c r="C435" s="33"/>
      <c r="D435" s="33"/>
      <c r="L435" s="41"/>
    </row>
    <row r="436" spans="3:12" ht="14.25" customHeight="1" x14ac:dyDescent="0.35">
      <c r="C436" s="33"/>
      <c r="D436" s="33"/>
      <c r="L436" s="41"/>
    </row>
    <row r="437" spans="3:12" ht="14.25" customHeight="1" x14ac:dyDescent="0.35">
      <c r="C437" s="33"/>
      <c r="D437" s="33"/>
      <c r="L437" s="41"/>
    </row>
    <row r="438" spans="3:12" ht="14.25" customHeight="1" x14ac:dyDescent="0.35">
      <c r="C438" s="33"/>
      <c r="D438" s="33"/>
      <c r="L438" s="41"/>
    </row>
    <row r="439" spans="3:12" ht="14.25" customHeight="1" x14ac:dyDescent="0.35">
      <c r="C439" s="33"/>
      <c r="D439" s="33"/>
      <c r="L439" s="41"/>
    </row>
    <row r="440" spans="3:12" ht="14.25" customHeight="1" x14ac:dyDescent="0.35">
      <c r="C440" s="33"/>
      <c r="D440" s="33"/>
      <c r="L440" s="41"/>
    </row>
    <row r="441" spans="3:12" ht="14.25" customHeight="1" x14ac:dyDescent="0.35">
      <c r="C441" s="33"/>
      <c r="D441" s="33"/>
      <c r="L441" s="41"/>
    </row>
    <row r="442" spans="3:12" ht="14.25" customHeight="1" x14ac:dyDescent="0.35">
      <c r="C442" s="33"/>
      <c r="D442" s="33"/>
      <c r="L442" s="41"/>
    </row>
    <row r="443" spans="3:12" ht="14.25" customHeight="1" x14ac:dyDescent="0.35">
      <c r="C443" s="33"/>
      <c r="D443" s="33"/>
      <c r="L443" s="41"/>
    </row>
    <row r="444" spans="3:12" ht="14.25" customHeight="1" x14ac:dyDescent="0.35">
      <c r="C444" s="33"/>
      <c r="D444" s="33"/>
      <c r="L444" s="41"/>
    </row>
    <row r="445" spans="3:12" ht="14.25" customHeight="1" x14ac:dyDescent="0.35">
      <c r="C445" s="33"/>
      <c r="D445" s="33"/>
      <c r="L445" s="41"/>
    </row>
    <row r="446" spans="3:12" ht="14.25" customHeight="1" x14ac:dyDescent="0.35">
      <c r="C446" s="33"/>
      <c r="D446" s="33"/>
      <c r="L446" s="41"/>
    </row>
    <row r="447" spans="3:12" ht="14.25" customHeight="1" x14ac:dyDescent="0.35">
      <c r="C447" s="33"/>
      <c r="D447" s="33"/>
      <c r="L447" s="41"/>
    </row>
    <row r="448" spans="3:12" ht="14.25" customHeight="1" x14ac:dyDescent="0.35">
      <c r="C448" s="33"/>
      <c r="D448" s="33"/>
      <c r="L448" s="41"/>
    </row>
    <row r="449" spans="3:12" ht="14.25" customHeight="1" x14ac:dyDescent="0.35">
      <c r="C449" s="33"/>
      <c r="D449" s="33"/>
      <c r="L449" s="41"/>
    </row>
    <row r="450" spans="3:12" ht="14.25" customHeight="1" x14ac:dyDescent="0.35">
      <c r="C450" s="33"/>
      <c r="D450" s="33"/>
      <c r="L450" s="41"/>
    </row>
    <row r="451" spans="3:12" ht="14.25" customHeight="1" x14ac:dyDescent="0.35">
      <c r="C451" s="33"/>
      <c r="D451" s="33"/>
      <c r="L451" s="41"/>
    </row>
    <row r="452" spans="3:12" ht="14.25" customHeight="1" x14ac:dyDescent="0.35">
      <c r="C452" s="33"/>
      <c r="D452" s="33"/>
      <c r="L452" s="41"/>
    </row>
    <row r="453" spans="3:12" ht="14.25" customHeight="1" x14ac:dyDescent="0.35">
      <c r="C453" s="33"/>
      <c r="D453" s="33"/>
      <c r="L453" s="41"/>
    </row>
    <row r="454" spans="3:12" ht="14.25" customHeight="1" x14ac:dyDescent="0.35">
      <c r="C454" s="33"/>
      <c r="D454" s="33"/>
      <c r="L454" s="41"/>
    </row>
    <row r="455" spans="3:12" ht="14.25" customHeight="1" x14ac:dyDescent="0.35">
      <c r="C455" s="33"/>
      <c r="D455" s="33"/>
      <c r="L455" s="41"/>
    </row>
    <row r="456" spans="3:12" ht="14.25" customHeight="1" x14ac:dyDescent="0.35">
      <c r="C456" s="33"/>
      <c r="D456" s="33"/>
      <c r="L456" s="41"/>
    </row>
    <row r="457" spans="3:12" ht="14.25" customHeight="1" x14ac:dyDescent="0.35">
      <c r="C457" s="33"/>
      <c r="D457" s="33"/>
      <c r="L457" s="41"/>
    </row>
    <row r="458" spans="3:12" ht="14.25" customHeight="1" x14ac:dyDescent="0.35">
      <c r="C458" s="33"/>
      <c r="D458" s="33"/>
      <c r="L458" s="41"/>
    </row>
    <row r="459" spans="3:12" ht="14.25" customHeight="1" x14ac:dyDescent="0.35">
      <c r="C459" s="33"/>
      <c r="D459" s="33"/>
      <c r="L459" s="41"/>
    </row>
    <row r="460" spans="3:12" ht="14.25" customHeight="1" x14ac:dyDescent="0.35">
      <c r="C460" s="33"/>
      <c r="D460" s="33"/>
      <c r="L460" s="41"/>
    </row>
    <row r="461" spans="3:12" ht="14.25" customHeight="1" x14ac:dyDescent="0.35">
      <c r="C461" s="33"/>
      <c r="D461" s="33"/>
      <c r="L461" s="41"/>
    </row>
    <row r="462" spans="3:12" ht="14.25" customHeight="1" x14ac:dyDescent="0.35">
      <c r="C462" s="33"/>
      <c r="D462" s="33"/>
      <c r="L462" s="41"/>
    </row>
    <row r="463" spans="3:12" ht="14.25" customHeight="1" x14ac:dyDescent="0.35">
      <c r="C463" s="33"/>
      <c r="D463" s="33"/>
      <c r="L463" s="41"/>
    </row>
    <row r="464" spans="3:12" ht="14.25" customHeight="1" x14ac:dyDescent="0.35">
      <c r="C464" s="33"/>
      <c r="D464" s="33"/>
      <c r="L464" s="41"/>
    </row>
    <row r="465" spans="3:12" ht="14.25" customHeight="1" x14ac:dyDescent="0.35">
      <c r="C465" s="33"/>
      <c r="D465" s="33"/>
      <c r="L465" s="41"/>
    </row>
    <row r="466" spans="3:12" ht="14.25" customHeight="1" x14ac:dyDescent="0.35">
      <c r="C466" s="33"/>
      <c r="D466" s="33"/>
      <c r="L466" s="41"/>
    </row>
    <row r="467" spans="3:12" ht="14.25" customHeight="1" x14ac:dyDescent="0.35">
      <c r="C467" s="33"/>
      <c r="D467" s="33"/>
      <c r="L467" s="41"/>
    </row>
    <row r="468" spans="3:12" ht="14.25" customHeight="1" x14ac:dyDescent="0.35">
      <c r="C468" s="33"/>
      <c r="D468" s="33"/>
      <c r="L468" s="41"/>
    </row>
    <row r="469" spans="3:12" ht="14.25" customHeight="1" x14ac:dyDescent="0.35">
      <c r="C469" s="33"/>
      <c r="D469" s="33"/>
      <c r="L469" s="41"/>
    </row>
    <row r="470" spans="3:12" ht="14.25" customHeight="1" x14ac:dyDescent="0.35">
      <c r="C470" s="33"/>
      <c r="D470" s="33"/>
      <c r="L470" s="41"/>
    </row>
    <row r="471" spans="3:12" ht="14.25" customHeight="1" x14ac:dyDescent="0.35">
      <c r="C471" s="33"/>
      <c r="D471" s="33"/>
      <c r="L471" s="41"/>
    </row>
    <row r="472" spans="3:12" ht="14.25" customHeight="1" x14ac:dyDescent="0.35">
      <c r="C472" s="33"/>
      <c r="D472" s="33"/>
      <c r="L472" s="41"/>
    </row>
    <row r="473" spans="3:12" ht="14.25" customHeight="1" x14ac:dyDescent="0.35">
      <c r="C473" s="33"/>
      <c r="D473" s="33"/>
      <c r="L473" s="41"/>
    </row>
    <row r="474" spans="3:12" ht="14.25" customHeight="1" x14ac:dyDescent="0.35">
      <c r="C474" s="33"/>
      <c r="D474" s="33"/>
      <c r="L474" s="41"/>
    </row>
    <row r="475" spans="3:12" ht="14.25" customHeight="1" x14ac:dyDescent="0.35">
      <c r="C475" s="33"/>
      <c r="D475" s="33"/>
      <c r="L475" s="41"/>
    </row>
    <row r="476" spans="3:12" ht="14.25" customHeight="1" x14ac:dyDescent="0.35">
      <c r="C476" s="33"/>
      <c r="D476" s="33"/>
      <c r="L476" s="41"/>
    </row>
    <row r="477" spans="3:12" ht="14.25" customHeight="1" x14ac:dyDescent="0.35">
      <c r="C477" s="33"/>
      <c r="D477" s="33"/>
      <c r="L477" s="41"/>
    </row>
    <row r="478" spans="3:12" ht="14.25" customHeight="1" x14ac:dyDescent="0.35">
      <c r="C478" s="33"/>
      <c r="D478" s="33"/>
      <c r="L478" s="41"/>
    </row>
    <row r="479" spans="3:12" ht="14.25" customHeight="1" x14ac:dyDescent="0.35">
      <c r="C479" s="33"/>
      <c r="D479" s="33"/>
      <c r="L479" s="41"/>
    </row>
    <row r="480" spans="3:12" ht="14.25" customHeight="1" x14ac:dyDescent="0.35">
      <c r="C480" s="33"/>
      <c r="D480" s="33"/>
      <c r="L480" s="41"/>
    </row>
    <row r="481" spans="3:12" ht="14.25" customHeight="1" x14ac:dyDescent="0.35">
      <c r="C481" s="33"/>
      <c r="D481" s="33"/>
      <c r="L481" s="41"/>
    </row>
    <row r="482" spans="3:12" ht="14.25" customHeight="1" x14ac:dyDescent="0.35">
      <c r="C482" s="33"/>
      <c r="D482" s="33"/>
      <c r="L482" s="41"/>
    </row>
    <row r="483" spans="3:12" ht="14.25" customHeight="1" x14ac:dyDescent="0.35">
      <c r="C483" s="33"/>
      <c r="D483" s="33"/>
      <c r="L483" s="41"/>
    </row>
    <row r="484" spans="3:12" ht="14.25" customHeight="1" x14ac:dyDescent="0.35">
      <c r="C484" s="33"/>
      <c r="D484" s="33"/>
      <c r="L484" s="41"/>
    </row>
    <row r="485" spans="3:12" ht="14.25" customHeight="1" x14ac:dyDescent="0.35">
      <c r="C485" s="33"/>
      <c r="D485" s="33"/>
      <c r="L485" s="41"/>
    </row>
    <row r="486" spans="3:12" ht="14.25" customHeight="1" x14ac:dyDescent="0.35">
      <c r="C486" s="33"/>
      <c r="D486" s="33"/>
      <c r="L486" s="41"/>
    </row>
    <row r="487" spans="3:12" ht="14.25" customHeight="1" x14ac:dyDescent="0.35">
      <c r="C487" s="33"/>
      <c r="D487" s="33"/>
      <c r="L487" s="41"/>
    </row>
    <row r="488" spans="3:12" ht="14.25" customHeight="1" x14ac:dyDescent="0.35">
      <c r="C488" s="33"/>
      <c r="D488" s="33"/>
      <c r="L488" s="41"/>
    </row>
    <row r="489" spans="3:12" ht="14.25" customHeight="1" x14ac:dyDescent="0.35">
      <c r="C489" s="33"/>
      <c r="D489" s="33"/>
      <c r="L489" s="41"/>
    </row>
    <row r="490" spans="3:12" ht="14.25" customHeight="1" x14ac:dyDescent="0.35">
      <c r="C490" s="33"/>
      <c r="D490" s="33"/>
      <c r="L490" s="41"/>
    </row>
    <row r="491" spans="3:12" ht="14.25" customHeight="1" x14ac:dyDescent="0.35">
      <c r="C491" s="33"/>
      <c r="D491" s="33"/>
      <c r="L491" s="41"/>
    </row>
    <row r="492" spans="3:12" ht="14.25" customHeight="1" x14ac:dyDescent="0.35">
      <c r="C492" s="33"/>
      <c r="D492" s="33"/>
      <c r="L492" s="41"/>
    </row>
    <row r="493" spans="3:12" ht="14.25" customHeight="1" x14ac:dyDescent="0.35">
      <c r="C493" s="33"/>
      <c r="D493" s="33"/>
      <c r="L493" s="41"/>
    </row>
    <row r="494" spans="3:12" ht="14.25" customHeight="1" x14ac:dyDescent="0.35">
      <c r="C494" s="33"/>
      <c r="D494" s="33"/>
      <c r="L494" s="41"/>
    </row>
    <row r="495" spans="3:12" ht="14.25" customHeight="1" x14ac:dyDescent="0.35">
      <c r="C495" s="33"/>
      <c r="D495" s="33"/>
      <c r="L495" s="41"/>
    </row>
    <row r="496" spans="3:12" ht="14.25" customHeight="1" x14ac:dyDescent="0.35">
      <c r="C496" s="33"/>
      <c r="D496" s="33"/>
      <c r="L496" s="41"/>
    </row>
    <row r="497" spans="3:12" ht="14.25" customHeight="1" x14ac:dyDescent="0.35">
      <c r="C497" s="33"/>
      <c r="D497" s="33"/>
      <c r="L497" s="41"/>
    </row>
    <row r="498" spans="3:12" ht="14.25" customHeight="1" x14ac:dyDescent="0.35">
      <c r="C498" s="33"/>
      <c r="D498" s="33"/>
      <c r="L498" s="41"/>
    </row>
    <row r="499" spans="3:12" ht="14.25" customHeight="1" x14ac:dyDescent="0.35">
      <c r="C499" s="33"/>
      <c r="D499" s="33"/>
      <c r="L499" s="41"/>
    </row>
    <row r="500" spans="3:12" ht="14.25" customHeight="1" x14ac:dyDescent="0.35">
      <c r="C500" s="33"/>
      <c r="D500" s="33"/>
      <c r="L500" s="41"/>
    </row>
    <row r="501" spans="3:12" ht="14.25" customHeight="1" x14ac:dyDescent="0.35">
      <c r="C501" s="33"/>
      <c r="D501" s="33"/>
      <c r="L501" s="41"/>
    </row>
    <row r="502" spans="3:12" ht="14.25" customHeight="1" x14ac:dyDescent="0.35">
      <c r="C502" s="33"/>
      <c r="D502" s="33"/>
      <c r="L502" s="41"/>
    </row>
    <row r="503" spans="3:12" ht="14.25" customHeight="1" x14ac:dyDescent="0.35">
      <c r="C503" s="33"/>
      <c r="D503" s="33"/>
      <c r="L503" s="41"/>
    </row>
    <row r="504" spans="3:12" ht="14.25" customHeight="1" x14ac:dyDescent="0.35">
      <c r="C504" s="33"/>
      <c r="D504" s="33"/>
      <c r="L504" s="41"/>
    </row>
    <row r="505" spans="3:12" ht="14.25" customHeight="1" x14ac:dyDescent="0.35">
      <c r="C505" s="33"/>
      <c r="D505" s="33"/>
      <c r="L505" s="41"/>
    </row>
    <row r="506" spans="3:12" ht="14.25" customHeight="1" x14ac:dyDescent="0.35">
      <c r="C506" s="33"/>
      <c r="D506" s="33"/>
      <c r="L506" s="41"/>
    </row>
    <row r="507" spans="3:12" ht="14.25" customHeight="1" x14ac:dyDescent="0.35">
      <c r="C507" s="33"/>
      <c r="D507" s="33"/>
      <c r="L507" s="41"/>
    </row>
    <row r="508" spans="3:12" ht="14.25" customHeight="1" x14ac:dyDescent="0.35">
      <c r="C508" s="33"/>
      <c r="D508" s="33"/>
      <c r="L508" s="41"/>
    </row>
    <row r="509" spans="3:12" ht="14.25" customHeight="1" x14ac:dyDescent="0.35">
      <c r="C509" s="33"/>
      <c r="D509" s="33"/>
      <c r="L509" s="41"/>
    </row>
    <row r="510" spans="3:12" ht="14.25" customHeight="1" x14ac:dyDescent="0.35">
      <c r="C510" s="33"/>
      <c r="D510" s="33"/>
      <c r="L510" s="41"/>
    </row>
    <row r="511" spans="3:12" ht="14.25" customHeight="1" x14ac:dyDescent="0.35">
      <c r="C511" s="33"/>
      <c r="D511" s="33"/>
      <c r="L511" s="41"/>
    </row>
    <row r="512" spans="3:12" ht="14.25" customHeight="1" x14ac:dyDescent="0.35">
      <c r="C512" s="33"/>
      <c r="D512" s="33"/>
      <c r="L512" s="41"/>
    </row>
    <row r="513" spans="3:12" ht="14.25" customHeight="1" x14ac:dyDescent="0.35">
      <c r="C513" s="33"/>
      <c r="D513" s="33"/>
      <c r="L513" s="41"/>
    </row>
    <row r="514" spans="3:12" ht="14.25" customHeight="1" x14ac:dyDescent="0.35">
      <c r="C514" s="33"/>
      <c r="D514" s="33"/>
      <c r="L514" s="41"/>
    </row>
    <row r="515" spans="3:12" ht="14.25" customHeight="1" x14ac:dyDescent="0.35">
      <c r="C515" s="33"/>
      <c r="D515" s="33"/>
      <c r="L515" s="41"/>
    </row>
    <row r="516" spans="3:12" ht="14.25" customHeight="1" x14ac:dyDescent="0.35">
      <c r="C516" s="33"/>
      <c r="D516" s="33"/>
      <c r="L516" s="41"/>
    </row>
    <row r="517" spans="3:12" ht="14.25" customHeight="1" x14ac:dyDescent="0.35">
      <c r="C517" s="33"/>
      <c r="D517" s="33"/>
      <c r="L517" s="41"/>
    </row>
    <row r="518" spans="3:12" ht="14.25" customHeight="1" x14ac:dyDescent="0.35">
      <c r="C518" s="33"/>
      <c r="D518" s="33"/>
      <c r="L518" s="41"/>
    </row>
    <row r="519" spans="3:12" ht="14.25" customHeight="1" x14ac:dyDescent="0.35">
      <c r="C519" s="33"/>
      <c r="D519" s="33"/>
      <c r="L519" s="41"/>
    </row>
    <row r="520" spans="3:12" ht="14.25" customHeight="1" x14ac:dyDescent="0.35">
      <c r="C520" s="33"/>
      <c r="D520" s="33"/>
      <c r="L520" s="41"/>
    </row>
    <row r="521" spans="3:12" ht="14.25" customHeight="1" x14ac:dyDescent="0.35">
      <c r="C521" s="33"/>
      <c r="D521" s="33"/>
      <c r="L521" s="41"/>
    </row>
    <row r="522" spans="3:12" ht="14.25" customHeight="1" x14ac:dyDescent="0.35">
      <c r="C522" s="33"/>
      <c r="D522" s="33"/>
      <c r="L522" s="41"/>
    </row>
    <row r="523" spans="3:12" ht="14.25" customHeight="1" x14ac:dyDescent="0.35">
      <c r="C523" s="33"/>
      <c r="D523" s="33"/>
      <c r="L523" s="41"/>
    </row>
    <row r="524" spans="3:12" ht="14.25" customHeight="1" x14ac:dyDescent="0.35">
      <c r="C524" s="33"/>
      <c r="D524" s="33"/>
      <c r="L524" s="41"/>
    </row>
    <row r="525" spans="3:12" ht="14.25" customHeight="1" x14ac:dyDescent="0.35">
      <c r="C525" s="33"/>
      <c r="D525" s="33"/>
      <c r="L525" s="41"/>
    </row>
    <row r="526" spans="3:12" ht="14.25" customHeight="1" x14ac:dyDescent="0.35">
      <c r="C526" s="33"/>
      <c r="D526" s="33"/>
      <c r="L526" s="41"/>
    </row>
    <row r="527" spans="3:12" ht="14.25" customHeight="1" x14ac:dyDescent="0.35">
      <c r="C527" s="33"/>
      <c r="D527" s="33"/>
      <c r="L527" s="41"/>
    </row>
    <row r="528" spans="3:12" ht="14.25" customHeight="1" x14ac:dyDescent="0.35">
      <c r="C528" s="33"/>
      <c r="D528" s="33"/>
      <c r="L528" s="41"/>
    </row>
    <row r="529" spans="3:12" ht="14.25" customHeight="1" x14ac:dyDescent="0.35">
      <c r="C529" s="33"/>
      <c r="D529" s="33"/>
      <c r="L529" s="41"/>
    </row>
    <row r="530" spans="3:12" ht="14.25" customHeight="1" x14ac:dyDescent="0.35">
      <c r="C530" s="33"/>
      <c r="D530" s="33"/>
      <c r="L530" s="41"/>
    </row>
    <row r="531" spans="3:12" ht="14.25" customHeight="1" x14ac:dyDescent="0.35">
      <c r="C531" s="33"/>
      <c r="D531" s="33"/>
      <c r="L531" s="41"/>
    </row>
    <row r="532" spans="3:12" ht="14.25" customHeight="1" x14ac:dyDescent="0.35">
      <c r="C532" s="33"/>
      <c r="D532" s="33"/>
      <c r="L532" s="41"/>
    </row>
    <row r="533" spans="3:12" ht="14.25" customHeight="1" x14ac:dyDescent="0.35">
      <c r="C533" s="33"/>
      <c r="D533" s="33"/>
      <c r="L533" s="41"/>
    </row>
    <row r="534" spans="3:12" ht="14.25" customHeight="1" x14ac:dyDescent="0.35">
      <c r="C534" s="33"/>
      <c r="D534" s="33"/>
      <c r="L534" s="41"/>
    </row>
    <row r="535" spans="3:12" ht="14.25" customHeight="1" x14ac:dyDescent="0.35">
      <c r="C535" s="33"/>
      <c r="D535" s="33"/>
      <c r="L535" s="41"/>
    </row>
    <row r="536" spans="3:12" ht="14.25" customHeight="1" x14ac:dyDescent="0.35">
      <c r="C536" s="33"/>
      <c r="D536" s="33"/>
      <c r="L536" s="41"/>
    </row>
    <row r="537" spans="3:12" ht="14.25" customHeight="1" x14ac:dyDescent="0.35">
      <c r="C537" s="33"/>
      <c r="D537" s="33"/>
      <c r="L537" s="41"/>
    </row>
    <row r="538" spans="3:12" ht="14.25" customHeight="1" x14ac:dyDescent="0.35">
      <c r="C538" s="33"/>
      <c r="D538" s="33"/>
      <c r="L538" s="41"/>
    </row>
    <row r="539" spans="3:12" ht="14.25" customHeight="1" x14ac:dyDescent="0.35">
      <c r="C539" s="33"/>
      <c r="D539" s="33"/>
      <c r="L539" s="41"/>
    </row>
    <row r="540" spans="3:12" ht="14.25" customHeight="1" x14ac:dyDescent="0.35">
      <c r="C540" s="33"/>
      <c r="D540" s="33"/>
      <c r="L540" s="41"/>
    </row>
    <row r="541" spans="3:12" ht="14.25" customHeight="1" x14ac:dyDescent="0.35">
      <c r="C541" s="33"/>
      <c r="D541" s="33"/>
      <c r="L541" s="41"/>
    </row>
    <row r="542" spans="3:12" ht="14.25" customHeight="1" x14ac:dyDescent="0.35">
      <c r="C542" s="33"/>
      <c r="D542" s="33"/>
      <c r="L542" s="41"/>
    </row>
    <row r="543" spans="3:12" ht="14.25" customHeight="1" x14ac:dyDescent="0.35">
      <c r="C543" s="33"/>
      <c r="D543" s="33"/>
      <c r="L543" s="41"/>
    </row>
    <row r="544" spans="3:12" ht="14.25" customHeight="1" x14ac:dyDescent="0.35">
      <c r="C544" s="33"/>
      <c r="D544" s="33"/>
      <c r="L544" s="41"/>
    </row>
    <row r="545" spans="3:12" ht="14.25" customHeight="1" x14ac:dyDescent="0.35">
      <c r="C545" s="33"/>
      <c r="D545" s="33"/>
      <c r="L545" s="41"/>
    </row>
    <row r="546" spans="3:12" ht="14.25" customHeight="1" x14ac:dyDescent="0.35">
      <c r="C546" s="33"/>
      <c r="D546" s="33"/>
      <c r="L546" s="41"/>
    </row>
    <row r="547" spans="3:12" ht="14.25" customHeight="1" x14ac:dyDescent="0.35">
      <c r="C547" s="33"/>
      <c r="D547" s="33"/>
      <c r="L547" s="41"/>
    </row>
    <row r="548" spans="3:12" ht="14.25" customHeight="1" x14ac:dyDescent="0.35">
      <c r="C548" s="33"/>
      <c r="D548" s="33"/>
      <c r="L548" s="41"/>
    </row>
    <row r="549" spans="3:12" ht="14.25" customHeight="1" x14ac:dyDescent="0.35">
      <c r="C549" s="33"/>
      <c r="D549" s="33"/>
      <c r="L549" s="41"/>
    </row>
    <row r="550" spans="3:12" ht="14.25" customHeight="1" x14ac:dyDescent="0.35">
      <c r="C550" s="33"/>
      <c r="D550" s="33"/>
      <c r="L550" s="41"/>
    </row>
    <row r="551" spans="3:12" ht="14.25" customHeight="1" x14ac:dyDescent="0.35">
      <c r="C551" s="33"/>
      <c r="D551" s="33"/>
      <c r="L551" s="41"/>
    </row>
    <row r="552" spans="3:12" ht="14.25" customHeight="1" x14ac:dyDescent="0.35">
      <c r="C552" s="33"/>
      <c r="D552" s="33"/>
      <c r="L552" s="41"/>
    </row>
    <row r="553" spans="3:12" ht="14.25" customHeight="1" x14ac:dyDescent="0.35">
      <c r="C553" s="33"/>
      <c r="D553" s="33"/>
      <c r="L553" s="41"/>
    </row>
    <row r="554" spans="3:12" ht="14.25" customHeight="1" x14ac:dyDescent="0.35">
      <c r="C554" s="33"/>
      <c r="D554" s="33"/>
      <c r="L554" s="41"/>
    </row>
    <row r="555" spans="3:12" ht="14.25" customHeight="1" x14ac:dyDescent="0.35">
      <c r="C555" s="33"/>
      <c r="D555" s="33"/>
      <c r="L555" s="41"/>
    </row>
    <row r="556" spans="3:12" ht="14.25" customHeight="1" x14ac:dyDescent="0.35">
      <c r="C556" s="33"/>
      <c r="D556" s="33"/>
      <c r="L556" s="41"/>
    </row>
    <row r="557" spans="3:12" ht="14.25" customHeight="1" x14ac:dyDescent="0.35">
      <c r="C557" s="33"/>
      <c r="D557" s="33"/>
      <c r="L557" s="41"/>
    </row>
    <row r="558" spans="3:12" ht="14.25" customHeight="1" x14ac:dyDescent="0.35">
      <c r="C558" s="33"/>
      <c r="D558" s="33"/>
      <c r="L558" s="41"/>
    </row>
    <row r="559" spans="3:12" ht="14.25" customHeight="1" x14ac:dyDescent="0.35">
      <c r="C559" s="33"/>
      <c r="D559" s="33"/>
      <c r="L559" s="41"/>
    </row>
    <row r="560" spans="3:12" ht="14.25" customHeight="1" x14ac:dyDescent="0.35">
      <c r="C560" s="33"/>
      <c r="D560" s="33"/>
      <c r="L560" s="41"/>
    </row>
    <row r="561" spans="3:12" ht="14.25" customHeight="1" x14ac:dyDescent="0.35">
      <c r="C561" s="33"/>
      <c r="D561" s="33"/>
      <c r="L561" s="41"/>
    </row>
    <row r="562" spans="3:12" ht="14.25" customHeight="1" x14ac:dyDescent="0.35">
      <c r="C562" s="33"/>
      <c r="D562" s="33"/>
      <c r="L562" s="41"/>
    </row>
    <row r="563" spans="3:12" ht="14.25" customHeight="1" x14ac:dyDescent="0.35">
      <c r="C563" s="33"/>
      <c r="D563" s="33"/>
      <c r="L563" s="41"/>
    </row>
    <row r="564" spans="3:12" ht="14.25" customHeight="1" x14ac:dyDescent="0.35">
      <c r="C564" s="33"/>
      <c r="D564" s="33"/>
      <c r="L564" s="41"/>
    </row>
    <row r="565" spans="3:12" ht="14.25" customHeight="1" x14ac:dyDescent="0.35">
      <c r="C565" s="33"/>
      <c r="D565" s="33"/>
      <c r="L565" s="41"/>
    </row>
    <row r="566" spans="3:12" ht="14.25" customHeight="1" x14ac:dyDescent="0.35">
      <c r="C566" s="33"/>
      <c r="D566" s="33"/>
      <c r="L566" s="41"/>
    </row>
    <row r="567" spans="3:12" ht="14.25" customHeight="1" x14ac:dyDescent="0.35">
      <c r="C567" s="33"/>
      <c r="D567" s="33"/>
      <c r="L567" s="41"/>
    </row>
    <row r="568" spans="3:12" ht="14.25" customHeight="1" x14ac:dyDescent="0.35">
      <c r="C568" s="33"/>
      <c r="D568" s="33"/>
      <c r="L568" s="41"/>
    </row>
    <row r="569" spans="3:12" ht="14.25" customHeight="1" x14ac:dyDescent="0.35">
      <c r="C569" s="33"/>
      <c r="D569" s="33"/>
      <c r="L569" s="41"/>
    </row>
    <row r="570" spans="3:12" ht="14.25" customHeight="1" x14ac:dyDescent="0.35">
      <c r="C570" s="33"/>
      <c r="D570" s="33"/>
      <c r="L570" s="41"/>
    </row>
    <row r="571" spans="3:12" ht="14.25" customHeight="1" x14ac:dyDescent="0.35">
      <c r="C571" s="33"/>
      <c r="D571" s="33"/>
      <c r="L571" s="41"/>
    </row>
    <row r="572" spans="3:12" ht="14.25" customHeight="1" x14ac:dyDescent="0.35">
      <c r="C572" s="33"/>
      <c r="D572" s="33"/>
      <c r="L572" s="41"/>
    </row>
    <row r="573" spans="3:12" ht="14.25" customHeight="1" x14ac:dyDescent="0.35">
      <c r="C573" s="33"/>
      <c r="D573" s="33"/>
      <c r="L573" s="41"/>
    </row>
    <row r="574" spans="3:12" ht="14.25" customHeight="1" x14ac:dyDescent="0.35">
      <c r="C574" s="33"/>
      <c r="D574" s="33"/>
      <c r="L574" s="41"/>
    </row>
    <row r="575" spans="3:12" ht="14.25" customHeight="1" x14ac:dyDescent="0.35">
      <c r="C575" s="33"/>
      <c r="D575" s="33"/>
      <c r="L575" s="41"/>
    </row>
    <row r="576" spans="3:12" ht="14.25" customHeight="1" x14ac:dyDescent="0.35">
      <c r="C576" s="33"/>
      <c r="D576" s="33"/>
      <c r="L576" s="41"/>
    </row>
    <row r="577" spans="3:12" ht="14.25" customHeight="1" x14ac:dyDescent="0.35">
      <c r="C577" s="33"/>
      <c r="D577" s="33"/>
      <c r="L577" s="41"/>
    </row>
    <row r="578" spans="3:12" ht="14.25" customHeight="1" x14ac:dyDescent="0.35">
      <c r="C578" s="33"/>
      <c r="D578" s="33"/>
      <c r="L578" s="41"/>
    </row>
    <row r="579" spans="3:12" ht="14.25" customHeight="1" x14ac:dyDescent="0.35">
      <c r="C579" s="33"/>
      <c r="D579" s="33"/>
      <c r="L579" s="41"/>
    </row>
    <row r="580" spans="3:12" ht="14.25" customHeight="1" x14ac:dyDescent="0.35">
      <c r="C580" s="33"/>
      <c r="D580" s="33"/>
      <c r="L580" s="41"/>
    </row>
    <row r="581" spans="3:12" ht="14.25" customHeight="1" x14ac:dyDescent="0.35">
      <c r="C581" s="33"/>
      <c r="D581" s="33"/>
      <c r="L581" s="41"/>
    </row>
    <row r="582" spans="3:12" ht="14.25" customHeight="1" x14ac:dyDescent="0.35">
      <c r="C582" s="33"/>
      <c r="D582" s="33"/>
      <c r="L582" s="41"/>
    </row>
    <row r="583" spans="3:12" ht="14.25" customHeight="1" x14ac:dyDescent="0.35">
      <c r="C583" s="33"/>
      <c r="D583" s="33"/>
      <c r="L583" s="41"/>
    </row>
    <row r="584" spans="3:12" ht="14.25" customHeight="1" x14ac:dyDescent="0.35">
      <c r="C584" s="33"/>
      <c r="D584" s="33"/>
      <c r="L584" s="41"/>
    </row>
    <row r="585" spans="3:12" ht="14.25" customHeight="1" x14ac:dyDescent="0.35">
      <c r="C585" s="33"/>
      <c r="D585" s="33"/>
      <c r="L585" s="41"/>
    </row>
    <row r="586" spans="3:12" ht="14.25" customHeight="1" x14ac:dyDescent="0.35">
      <c r="C586" s="33"/>
      <c r="D586" s="33"/>
      <c r="L586" s="41"/>
    </row>
    <row r="587" spans="3:12" ht="14.25" customHeight="1" x14ac:dyDescent="0.35">
      <c r="C587" s="33"/>
      <c r="D587" s="33"/>
      <c r="L587" s="41"/>
    </row>
    <row r="588" spans="3:12" ht="14.25" customHeight="1" x14ac:dyDescent="0.35">
      <c r="C588" s="33"/>
      <c r="D588" s="33"/>
      <c r="L588" s="41"/>
    </row>
    <row r="589" spans="3:12" ht="14.25" customHeight="1" x14ac:dyDescent="0.35">
      <c r="C589" s="33"/>
      <c r="D589" s="33"/>
      <c r="L589" s="41"/>
    </row>
    <row r="590" spans="3:12" ht="14.25" customHeight="1" x14ac:dyDescent="0.35">
      <c r="C590" s="33"/>
      <c r="D590" s="33"/>
      <c r="L590" s="41"/>
    </row>
    <row r="591" spans="3:12" ht="14.25" customHeight="1" x14ac:dyDescent="0.35">
      <c r="C591" s="33"/>
      <c r="D591" s="33"/>
      <c r="L591" s="41"/>
    </row>
    <row r="592" spans="3:12" ht="14.25" customHeight="1" x14ac:dyDescent="0.35">
      <c r="C592" s="33"/>
      <c r="D592" s="33"/>
      <c r="L592" s="41"/>
    </row>
    <row r="593" spans="3:12" ht="14.25" customHeight="1" x14ac:dyDescent="0.35">
      <c r="C593" s="33"/>
      <c r="D593" s="33"/>
      <c r="L593" s="41"/>
    </row>
    <row r="594" spans="3:12" ht="14.25" customHeight="1" x14ac:dyDescent="0.35">
      <c r="C594" s="33"/>
      <c r="D594" s="33"/>
      <c r="L594" s="41"/>
    </row>
    <row r="595" spans="3:12" ht="14.25" customHeight="1" x14ac:dyDescent="0.35">
      <c r="C595" s="33"/>
      <c r="D595" s="33"/>
      <c r="L595" s="41"/>
    </row>
    <row r="596" spans="3:12" ht="14.25" customHeight="1" x14ac:dyDescent="0.35">
      <c r="C596" s="33"/>
      <c r="D596" s="33"/>
      <c r="L596" s="41"/>
    </row>
    <row r="597" spans="3:12" ht="14.25" customHeight="1" x14ac:dyDescent="0.35">
      <c r="C597" s="33"/>
      <c r="D597" s="33"/>
      <c r="L597" s="41"/>
    </row>
    <row r="598" spans="3:12" ht="14.25" customHeight="1" x14ac:dyDescent="0.35">
      <c r="C598" s="33"/>
      <c r="D598" s="33"/>
      <c r="L598" s="41"/>
    </row>
    <row r="599" spans="3:12" ht="14.25" customHeight="1" x14ac:dyDescent="0.35">
      <c r="C599" s="33"/>
      <c r="D599" s="33"/>
      <c r="L599" s="41"/>
    </row>
    <row r="600" spans="3:12" ht="14.25" customHeight="1" x14ac:dyDescent="0.35">
      <c r="C600" s="33"/>
      <c r="D600" s="33"/>
      <c r="L600" s="41"/>
    </row>
    <row r="601" spans="3:12" ht="14.25" customHeight="1" x14ac:dyDescent="0.35">
      <c r="C601" s="33"/>
      <c r="D601" s="33"/>
      <c r="L601" s="41"/>
    </row>
    <row r="602" spans="3:12" ht="14.25" customHeight="1" x14ac:dyDescent="0.35">
      <c r="C602" s="33"/>
      <c r="D602" s="33"/>
      <c r="L602" s="41"/>
    </row>
    <row r="603" spans="3:12" ht="14.25" customHeight="1" x14ac:dyDescent="0.35">
      <c r="C603" s="33"/>
      <c r="D603" s="33"/>
      <c r="L603" s="41"/>
    </row>
    <row r="604" spans="3:12" ht="14.25" customHeight="1" x14ac:dyDescent="0.35">
      <c r="C604" s="33"/>
      <c r="D604" s="33"/>
      <c r="L604" s="41"/>
    </row>
    <row r="605" spans="3:12" ht="14.25" customHeight="1" x14ac:dyDescent="0.35">
      <c r="C605" s="33"/>
      <c r="D605" s="33"/>
      <c r="L605" s="41"/>
    </row>
    <row r="606" spans="3:12" ht="14.25" customHeight="1" x14ac:dyDescent="0.35">
      <c r="C606" s="33"/>
      <c r="D606" s="33"/>
      <c r="L606" s="41"/>
    </row>
    <row r="607" spans="3:12" ht="14.25" customHeight="1" x14ac:dyDescent="0.35">
      <c r="C607" s="33"/>
      <c r="D607" s="33"/>
      <c r="L607" s="41"/>
    </row>
    <row r="608" spans="3:12" ht="14.25" customHeight="1" x14ac:dyDescent="0.35">
      <c r="C608" s="33"/>
      <c r="D608" s="33"/>
      <c r="L608" s="41"/>
    </row>
    <row r="609" spans="3:12" ht="14.25" customHeight="1" x14ac:dyDescent="0.35">
      <c r="C609" s="33"/>
      <c r="D609" s="33"/>
      <c r="L609" s="41"/>
    </row>
    <row r="610" spans="3:12" ht="14.25" customHeight="1" x14ac:dyDescent="0.35">
      <c r="C610" s="33"/>
      <c r="D610" s="33"/>
      <c r="L610" s="41"/>
    </row>
    <row r="611" spans="3:12" ht="14.25" customHeight="1" x14ac:dyDescent="0.35">
      <c r="C611" s="33"/>
      <c r="D611" s="33"/>
      <c r="L611" s="41"/>
    </row>
    <row r="612" spans="3:12" ht="14.25" customHeight="1" x14ac:dyDescent="0.35">
      <c r="C612" s="33"/>
      <c r="D612" s="33"/>
      <c r="L612" s="41"/>
    </row>
    <row r="613" spans="3:12" ht="14.25" customHeight="1" x14ac:dyDescent="0.35">
      <c r="C613" s="33"/>
      <c r="D613" s="33"/>
      <c r="L613" s="41"/>
    </row>
    <row r="614" spans="3:12" ht="14.25" customHeight="1" x14ac:dyDescent="0.35">
      <c r="C614" s="33"/>
      <c r="D614" s="33"/>
      <c r="L614" s="41"/>
    </row>
    <row r="615" spans="3:12" ht="14.25" customHeight="1" x14ac:dyDescent="0.35">
      <c r="C615" s="33"/>
      <c r="D615" s="33"/>
      <c r="L615" s="41"/>
    </row>
    <row r="616" spans="3:12" ht="14.25" customHeight="1" x14ac:dyDescent="0.35">
      <c r="C616" s="33"/>
      <c r="D616" s="33"/>
      <c r="L616" s="41"/>
    </row>
    <row r="617" spans="3:12" ht="14.25" customHeight="1" x14ac:dyDescent="0.35">
      <c r="C617" s="33"/>
      <c r="D617" s="33"/>
      <c r="L617" s="41"/>
    </row>
    <row r="618" spans="3:12" ht="14.25" customHeight="1" x14ac:dyDescent="0.35">
      <c r="C618" s="33"/>
      <c r="D618" s="33"/>
      <c r="L618" s="41"/>
    </row>
    <row r="619" spans="3:12" ht="14.25" customHeight="1" x14ac:dyDescent="0.35">
      <c r="C619" s="33"/>
      <c r="D619" s="33"/>
      <c r="L619" s="41"/>
    </row>
    <row r="620" spans="3:12" ht="14.25" customHeight="1" x14ac:dyDescent="0.35">
      <c r="C620" s="33"/>
      <c r="D620" s="33"/>
      <c r="L620" s="41"/>
    </row>
    <row r="621" spans="3:12" ht="14.25" customHeight="1" x14ac:dyDescent="0.35">
      <c r="C621" s="33"/>
      <c r="D621" s="33"/>
      <c r="L621" s="41"/>
    </row>
    <row r="622" spans="3:12" ht="14.25" customHeight="1" x14ac:dyDescent="0.35">
      <c r="C622" s="33"/>
      <c r="D622" s="33"/>
      <c r="L622" s="41"/>
    </row>
    <row r="623" spans="3:12" ht="14.25" customHeight="1" x14ac:dyDescent="0.35">
      <c r="C623" s="33"/>
      <c r="D623" s="33"/>
      <c r="L623" s="41"/>
    </row>
    <row r="624" spans="3:12" ht="14.25" customHeight="1" x14ac:dyDescent="0.35">
      <c r="C624" s="33"/>
      <c r="D624" s="33"/>
      <c r="L624" s="41"/>
    </row>
    <row r="625" spans="3:12" ht="14.25" customHeight="1" x14ac:dyDescent="0.35">
      <c r="C625" s="33"/>
      <c r="D625" s="33"/>
      <c r="L625" s="41"/>
    </row>
    <row r="626" spans="3:12" ht="14.25" customHeight="1" x14ac:dyDescent="0.35">
      <c r="C626" s="33"/>
      <c r="D626" s="33"/>
      <c r="L626" s="41"/>
    </row>
    <row r="627" spans="3:12" ht="14.25" customHeight="1" x14ac:dyDescent="0.35">
      <c r="C627" s="33"/>
      <c r="D627" s="33"/>
      <c r="L627" s="41"/>
    </row>
    <row r="628" spans="3:12" ht="14.25" customHeight="1" x14ac:dyDescent="0.35">
      <c r="C628" s="33"/>
      <c r="D628" s="33"/>
      <c r="L628" s="41"/>
    </row>
    <row r="629" spans="3:12" ht="14.25" customHeight="1" x14ac:dyDescent="0.35">
      <c r="C629" s="33"/>
      <c r="D629" s="33"/>
      <c r="L629" s="41"/>
    </row>
    <row r="630" spans="3:12" ht="14.25" customHeight="1" x14ac:dyDescent="0.35">
      <c r="C630" s="33"/>
      <c r="D630" s="33"/>
      <c r="L630" s="41"/>
    </row>
    <row r="631" spans="3:12" ht="14.25" customHeight="1" x14ac:dyDescent="0.35">
      <c r="C631" s="33"/>
      <c r="D631" s="33"/>
      <c r="L631" s="41"/>
    </row>
    <row r="632" spans="3:12" ht="14.25" customHeight="1" x14ac:dyDescent="0.35">
      <c r="C632" s="33"/>
      <c r="D632" s="33"/>
      <c r="L632" s="41"/>
    </row>
    <row r="633" spans="3:12" ht="14.25" customHeight="1" x14ac:dyDescent="0.35">
      <c r="C633" s="33"/>
      <c r="D633" s="33"/>
      <c r="L633" s="41"/>
    </row>
    <row r="634" spans="3:12" ht="14.25" customHeight="1" x14ac:dyDescent="0.35">
      <c r="C634" s="33"/>
      <c r="D634" s="33"/>
      <c r="L634" s="41"/>
    </row>
    <row r="635" spans="3:12" ht="14.25" customHeight="1" x14ac:dyDescent="0.35">
      <c r="C635" s="33"/>
      <c r="D635" s="33"/>
      <c r="L635" s="41"/>
    </row>
    <row r="636" spans="3:12" ht="14.25" customHeight="1" x14ac:dyDescent="0.35">
      <c r="C636" s="33"/>
      <c r="D636" s="33"/>
      <c r="L636" s="41"/>
    </row>
    <row r="637" spans="3:12" ht="14.25" customHeight="1" x14ac:dyDescent="0.35">
      <c r="C637" s="33"/>
      <c r="D637" s="33"/>
      <c r="L637" s="41"/>
    </row>
    <row r="638" spans="3:12" ht="14.25" customHeight="1" x14ac:dyDescent="0.35">
      <c r="C638" s="33"/>
      <c r="D638" s="33"/>
      <c r="L638" s="41"/>
    </row>
    <row r="639" spans="3:12" ht="14.25" customHeight="1" x14ac:dyDescent="0.35">
      <c r="C639" s="33"/>
      <c r="D639" s="33"/>
      <c r="L639" s="41"/>
    </row>
    <row r="640" spans="3:12" ht="14.25" customHeight="1" x14ac:dyDescent="0.35">
      <c r="C640" s="33"/>
      <c r="D640" s="33"/>
      <c r="L640" s="41"/>
    </row>
    <row r="641" spans="3:12" ht="14.25" customHeight="1" x14ac:dyDescent="0.35">
      <c r="C641" s="33"/>
      <c r="D641" s="33"/>
      <c r="L641" s="41"/>
    </row>
    <row r="642" spans="3:12" ht="14.25" customHeight="1" x14ac:dyDescent="0.35">
      <c r="C642" s="33"/>
      <c r="D642" s="33"/>
      <c r="L642" s="41"/>
    </row>
    <row r="643" spans="3:12" ht="14.25" customHeight="1" x14ac:dyDescent="0.35">
      <c r="C643" s="33"/>
      <c r="D643" s="33"/>
      <c r="L643" s="41"/>
    </row>
    <row r="644" spans="3:12" ht="14.25" customHeight="1" x14ac:dyDescent="0.35">
      <c r="C644" s="33"/>
      <c r="D644" s="33"/>
      <c r="L644" s="41"/>
    </row>
    <row r="645" spans="3:12" ht="14.25" customHeight="1" x14ac:dyDescent="0.35">
      <c r="C645" s="33"/>
      <c r="D645" s="33"/>
      <c r="L645" s="41"/>
    </row>
    <row r="646" spans="3:12" ht="14.25" customHeight="1" x14ac:dyDescent="0.35">
      <c r="C646" s="33"/>
      <c r="D646" s="33"/>
      <c r="L646" s="41"/>
    </row>
    <row r="647" spans="3:12" ht="14.25" customHeight="1" x14ac:dyDescent="0.35">
      <c r="C647" s="33"/>
      <c r="D647" s="33"/>
      <c r="L647" s="41"/>
    </row>
    <row r="648" spans="3:12" ht="14.25" customHeight="1" x14ac:dyDescent="0.35">
      <c r="C648" s="33"/>
      <c r="D648" s="33"/>
      <c r="L648" s="41"/>
    </row>
    <row r="649" spans="3:12" ht="14.25" customHeight="1" x14ac:dyDescent="0.35">
      <c r="C649" s="33"/>
      <c r="D649" s="33"/>
      <c r="L649" s="41"/>
    </row>
    <row r="650" spans="3:12" ht="14.25" customHeight="1" x14ac:dyDescent="0.35">
      <c r="C650" s="33"/>
      <c r="D650" s="33"/>
      <c r="L650" s="41"/>
    </row>
    <row r="651" spans="3:12" ht="14.25" customHeight="1" x14ac:dyDescent="0.35">
      <c r="C651" s="33"/>
      <c r="D651" s="33"/>
      <c r="L651" s="41"/>
    </row>
    <row r="652" spans="3:12" ht="14.25" customHeight="1" x14ac:dyDescent="0.35">
      <c r="C652" s="33"/>
      <c r="D652" s="33"/>
      <c r="L652" s="41"/>
    </row>
    <row r="653" spans="3:12" ht="14.25" customHeight="1" x14ac:dyDescent="0.35">
      <c r="C653" s="33"/>
      <c r="D653" s="33"/>
      <c r="L653" s="41"/>
    </row>
    <row r="654" spans="3:12" ht="14.25" customHeight="1" x14ac:dyDescent="0.35">
      <c r="C654" s="33"/>
      <c r="D654" s="33"/>
      <c r="L654" s="41"/>
    </row>
    <row r="655" spans="3:12" ht="14.25" customHeight="1" x14ac:dyDescent="0.35">
      <c r="C655" s="33"/>
      <c r="D655" s="33"/>
      <c r="L655" s="41"/>
    </row>
    <row r="656" spans="3:12" ht="14.25" customHeight="1" x14ac:dyDescent="0.35">
      <c r="C656" s="33"/>
      <c r="D656" s="33"/>
      <c r="L656" s="41"/>
    </row>
    <row r="657" spans="3:12" ht="14.25" customHeight="1" x14ac:dyDescent="0.35">
      <c r="C657" s="33"/>
      <c r="D657" s="33"/>
      <c r="L657" s="41"/>
    </row>
    <row r="658" spans="3:12" ht="14.25" customHeight="1" x14ac:dyDescent="0.35">
      <c r="C658" s="33"/>
      <c r="D658" s="33"/>
      <c r="L658" s="41"/>
    </row>
    <row r="659" spans="3:12" ht="14.25" customHeight="1" x14ac:dyDescent="0.35">
      <c r="C659" s="33"/>
      <c r="D659" s="33"/>
      <c r="L659" s="41"/>
    </row>
    <row r="660" spans="3:12" ht="14.25" customHeight="1" x14ac:dyDescent="0.35">
      <c r="C660" s="33"/>
      <c r="D660" s="33"/>
      <c r="L660" s="41"/>
    </row>
    <row r="661" spans="3:12" ht="14.25" customHeight="1" x14ac:dyDescent="0.35">
      <c r="C661" s="33"/>
      <c r="D661" s="33"/>
      <c r="L661" s="41"/>
    </row>
    <row r="662" spans="3:12" ht="14.25" customHeight="1" x14ac:dyDescent="0.35">
      <c r="C662" s="33"/>
      <c r="D662" s="33"/>
      <c r="L662" s="41"/>
    </row>
    <row r="663" spans="3:12" ht="14.25" customHeight="1" x14ac:dyDescent="0.35">
      <c r="C663" s="33"/>
      <c r="D663" s="33"/>
      <c r="L663" s="41"/>
    </row>
    <row r="664" spans="3:12" ht="14.25" customHeight="1" x14ac:dyDescent="0.35">
      <c r="C664" s="33"/>
      <c r="D664" s="33"/>
      <c r="L664" s="41"/>
    </row>
    <row r="665" spans="3:12" ht="14.25" customHeight="1" x14ac:dyDescent="0.35">
      <c r="C665" s="33"/>
      <c r="D665" s="33"/>
      <c r="L665" s="41"/>
    </row>
    <row r="666" spans="3:12" ht="14.25" customHeight="1" x14ac:dyDescent="0.35">
      <c r="C666" s="33"/>
      <c r="D666" s="33"/>
      <c r="L666" s="41"/>
    </row>
    <row r="667" spans="3:12" ht="14.25" customHeight="1" x14ac:dyDescent="0.35">
      <c r="C667" s="33"/>
      <c r="D667" s="33"/>
      <c r="L667" s="41"/>
    </row>
    <row r="668" spans="3:12" ht="14.25" customHeight="1" x14ac:dyDescent="0.35">
      <c r="C668" s="33"/>
      <c r="D668" s="33"/>
      <c r="L668" s="41"/>
    </row>
    <row r="669" spans="3:12" ht="14.25" customHeight="1" x14ac:dyDescent="0.35">
      <c r="C669" s="33"/>
      <c r="D669" s="33"/>
      <c r="L669" s="41"/>
    </row>
    <row r="670" spans="3:12" ht="14.25" customHeight="1" x14ac:dyDescent="0.35">
      <c r="C670" s="33"/>
      <c r="D670" s="33"/>
      <c r="L670" s="41"/>
    </row>
    <row r="671" spans="3:12" ht="14.25" customHeight="1" x14ac:dyDescent="0.35">
      <c r="C671" s="33"/>
      <c r="D671" s="33"/>
      <c r="L671" s="41"/>
    </row>
    <row r="672" spans="3:12" ht="14.25" customHeight="1" x14ac:dyDescent="0.35">
      <c r="C672" s="33"/>
      <c r="D672" s="33"/>
      <c r="L672" s="41"/>
    </row>
    <row r="673" spans="3:12" ht="14.25" customHeight="1" x14ac:dyDescent="0.35">
      <c r="C673" s="33"/>
      <c r="D673" s="33"/>
      <c r="L673" s="41"/>
    </row>
    <row r="674" spans="3:12" ht="14.25" customHeight="1" x14ac:dyDescent="0.35">
      <c r="C674" s="33"/>
      <c r="D674" s="33"/>
      <c r="L674" s="41"/>
    </row>
    <row r="675" spans="3:12" ht="14.25" customHeight="1" x14ac:dyDescent="0.35">
      <c r="C675" s="33"/>
      <c r="D675" s="33"/>
      <c r="L675" s="41"/>
    </row>
    <row r="676" spans="3:12" ht="14.25" customHeight="1" x14ac:dyDescent="0.35">
      <c r="C676" s="33"/>
      <c r="D676" s="33"/>
      <c r="L676" s="41"/>
    </row>
    <row r="677" spans="3:12" ht="14.25" customHeight="1" x14ac:dyDescent="0.35">
      <c r="C677" s="33"/>
      <c r="D677" s="33"/>
      <c r="L677" s="41"/>
    </row>
    <row r="678" spans="3:12" ht="14.25" customHeight="1" x14ac:dyDescent="0.35">
      <c r="C678" s="33"/>
      <c r="D678" s="33"/>
      <c r="L678" s="41"/>
    </row>
    <row r="679" spans="3:12" ht="14.25" customHeight="1" x14ac:dyDescent="0.35">
      <c r="C679" s="33"/>
      <c r="D679" s="33"/>
      <c r="L679" s="41"/>
    </row>
    <row r="680" spans="3:12" ht="14.25" customHeight="1" x14ac:dyDescent="0.35">
      <c r="C680" s="33"/>
      <c r="D680" s="33"/>
      <c r="L680" s="41"/>
    </row>
    <row r="681" spans="3:12" ht="14.25" customHeight="1" x14ac:dyDescent="0.35">
      <c r="C681" s="33"/>
      <c r="D681" s="33"/>
      <c r="L681" s="41"/>
    </row>
    <row r="682" spans="3:12" ht="14.25" customHeight="1" x14ac:dyDescent="0.35">
      <c r="C682" s="33"/>
      <c r="D682" s="33"/>
      <c r="L682" s="41"/>
    </row>
    <row r="683" spans="3:12" ht="14.25" customHeight="1" x14ac:dyDescent="0.35">
      <c r="C683" s="33"/>
      <c r="D683" s="33"/>
      <c r="L683" s="41"/>
    </row>
    <row r="684" spans="3:12" ht="14.25" customHeight="1" x14ac:dyDescent="0.35">
      <c r="C684" s="33"/>
      <c r="D684" s="33"/>
      <c r="L684" s="41"/>
    </row>
    <row r="685" spans="3:12" ht="14.25" customHeight="1" x14ac:dyDescent="0.35">
      <c r="C685" s="33"/>
      <c r="D685" s="33"/>
      <c r="L685" s="41"/>
    </row>
    <row r="686" spans="3:12" ht="14.25" customHeight="1" x14ac:dyDescent="0.35">
      <c r="C686" s="33"/>
      <c r="D686" s="33"/>
      <c r="L686" s="41"/>
    </row>
    <row r="687" spans="3:12" ht="14.25" customHeight="1" x14ac:dyDescent="0.35">
      <c r="C687" s="33"/>
      <c r="D687" s="33"/>
      <c r="L687" s="41"/>
    </row>
    <row r="688" spans="3:12" ht="14.25" customHeight="1" x14ac:dyDescent="0.35">
      <c r="C688" s="33"/>
      <c r="D688" s="33"/>
      <c r="L688" s="41"/>
    </row>
    <row r="689" spans="3:12" ht="14.25" customHeight="1" x14ac:dyDescent="0.35">
      <c r="C689" s="33"/>
      <c r="D689" s="33"/>
      <c r="L689" s="41"/>
    </row>
    <row r="690" spans="3:12" ht="14.25" customHeight="1" x14ac:dyDescent="0.35">
      <c r="C690" s="33"/>
      <c r="D690" s="33"/>
      <c r="L690" s="41"/>
    </row>
    <row r="691" spans="3:12" ht="14.25" customHeight="1" x14ac:dyDescent="0.35">
      <c r="C691" s="33"/>
      <c r="D691" s="33"/>
      <c r="L691" s="41"/>
    </row>
    <row r="692" spans="3:12" ht="14.25" customHeight="1" x14ac:dyDescent="0.35">
      <c r="C692" s="33"/>
      <c r="D692" s="33"/>
      <c r="L692" s="41"/>
    </row>
    <row r="693" spans="3:12" ht="14.25" customHeight="1" x14ac:dyDescent="0.35">
      <c r="C693" s="33"/>
      <c r="D693" s="33"/>
      <c r="L693" s="41"/>
    </row>
    <row r="694" spans="3:12" ht="14.25" customHeight="1" x14ac:dyDescent="0.35">
      <c r="C694" s="33"/>
      <c r="D694" s="33"/>
      <c r="L694" s="41"/>
    </row>
    <row r="695" spans="3:12" ht="14.25" customHeight="1" x14ac:dyDescent="0.35">
      <c r="C695" s="33"/>
      <c r="D695" s="33"/>
      <c r="L695" s="41"/>
    </row>
    <row r="696" spans="3:12" ht="14.25" customHeight="1" x14ac:dyDescent="0.35">
      <c r="C696" s="33"/>
      <c r="D696" s="33"/>
      <c r="L696" s="41"/>
    </row>
    <row r="697" spans="3:12" ht="14.25" customHeight="1" x14ac:dyDescent="0.35">
      <c r="C697" s="33"/>
      <c r="D697" s="33"/>
      <c r="L697" s="41"/>
    </row>
    <row r="698" spans="3:12" ht="14.25" customHeight="1" x14ac:dyDescent="0.35">
      <c r="C698" s="33"/>
      <c r="D698" s="33"/>
      <c r="L698" s="41"/>
    </row>
    <row r="699" spans="3:12" ht="14.25" customHeight="1" x14ac:dyDescent="0.35">
      <c r="C699" s="33"/>
      <c r="D699" s="33"/>
      <c r="L699" s="41"/>
    </row>
    <row r="700" spans="3:12" ht="14.25" customHeight="1" x14ac:dyDescent="0.35">
      <c r="C700" s="33"/>
      <c r="D700" s="33"/>
      <c r="L700" s="41"/>
    </row>
    <row r="701" spans="3:12" ht="14.25" customHeight="1" x14ac:dyDescent="0.35">
      <c r="C701" s="33"/>
      <c r="D701" s="33"/>
      <c r="L701" s="41"/>
    </row>
    <row r="702" spans="3:12" ht="14.25" customHeight="1" x14ac:dyDescent="0.35">
      <c r="C702" s="33"/>
      <c r="D702" s="33"/>
      <c r="L702" s="41"/>
    </row>
    <row r="703" spans="3:12" ht="14.25" customHeight="1" x14ac:dyDescent="0.35">
      <c r="C703" s="33"/>
      <c r="D703" s="33"/>
      <c r="L703" s="41"/>
    </row>
    <row r="704" spans="3:12" ht="14.25" customHeight="1" x14ac:dyDescent="0.35">
      <c r="C704" s="33"/>
      <c r="D704" s="33"/>
      <c r="L704" s="41"/>
    </row>
    <row r="705" spans="3:12" ht="14.25" customHeight="1" x14ac:dyDescent="0.35">
      <c r="C705" s="33"/>
      <c r="D705" s="33"/>
      <c r="L705" s="41"/>
    </row>
    <row r="706" spans="3:12" ht="14.25" customHeight="1" x14ac:dyDescent="0.35">
      <c r="C706" s="33"/>
      <c r="D706" s="33"/>
      <c r="L706" s="41"/>
    </row>
    <row r="707" spans="3:12" ht="14.25" customHeight="1" x14ac:dyDescent="0.35">
      <c r="C707" s="33"/>
      <c r="D707" s="33"/>
      <c r="L707" s="41"/>
    </row>
    <row r="708" spans="3:12" ht="14.25" customHeight="1" x14ac:dyDescent="0.35">
      <c r="C708" s="33"/>
      <c r="D708" s="33"/>
      <c r="L708" s="41"/>
    </row>
    <row r="709" spans="3:12" ht="14.25" customHeight="1" x14ac:dyDescent="0.35">
      <c r="C709" s="33"/>
      <c r="D709" s="33"/>
      <c r="L709" s="41"/>
    </row>
    <row r="710" spans="3:12" ht="14.25" customHeight="1" x14ac:dyDescent="0.35">
      <c r="C710" s="33"/>
      <c r="D710" s="33"/>
      <c r="L710" s="41"/>
    </row>
    <row r="711" spans="3:12" ht="14.25" customHeight="1" x14ac:dyDescent="0.35">
      <c r="C711" s="33"/>
      <c r="D711" s="33"/>
      <c r="L711" s="41"/>
    </row>
    <row r="712" spans="3:12" ht="14.25" customHeight="1" x14ac:dyDescent="0.35">
      <c r="C712" s="33"/>
      <c r="D712" s="33"/>
      <c r="L712" s="41"/>
    </row>
    <row r="713" spans="3:12" ht="14.25" customHeight="1" x14ac:dyDescent="0.35">
      <c r="C713" s="33"/>
      <c r="D713" s="33"/>
      <c r="L713" s="41"/>
    </row>
    <row r="714" spans="3:12" ht="14.25" customHeight="1" x14ac:dyDescent="0.35">
      <c r="C714" s="33"/>
      <c r="D714" s="33"/>
      <c r="L714" s="41"/>
    </row>
    <row r="715" spans="3:12" ht="14.25" customHeight="1" x14ac:dyDescent="0.35">
      <c r="C715" s="33"/>
      <c r="D715" s="33"/>
      <c r="L715" s="41"/>
    </row>
    <row r="716" spans="3:12" ht="14.25" customHeight="1" x14ac:dyDescent="0.35">
      <c r="C716" s="33"/>
      <c r="D716" s="33"/>
      <c r="L716" s="41"/>
    </row>
    <row r="717" spans="3:12" ht="14.25" customHeight="1" x14ac:dyDescent="0.35">
      <c r="C717" s="33"/>
      <c r="D717" s="33"/>
      <c r="L717" s="41"/>
    </row>
    <row r="718" spans="3:12" ht="14.25" customHeight="1" x14ac:dyDescent="0.35">
      <c r="C718" s="33"/>
      <c r="D718" s="33"/>
      <c r="L718" s="41"/>
    </row>
    <row r="719" spans="3:12" ht="14.25" customHeight="1" x14ac:dyDescent="0.35">
      <c r="C719" s="33"/>
      <c r="D719" s="33"/>
      <c r="L719" s="41"/>
    </row>
    <row r="720" spans="3:12" ht="14.25" customHeight="1" x14ac:dyDescent="0.35">
      <c r="C720" s="33"/>
      <c r="D720" s="33"/>
      <c r="L720" s="41"/>
    </row>
    <row r="721" spans="3:12" ht="14.25" customHeight="1" x14ac:dyDescent="0.35">
      <c r="C721" s="33"/>
      <c r="D721" s="33"/>
      <c r="L721" s="41"/>
    </row>
    <row r="722" spans="3:12" ht="14.25" customHeight="1" x14ac:dyDescent="0.35">
      <c r="C722" s="33"/>
      <c r="D722" s="33"/>
      <c r="L722" s="41"/>
    </row>
    <row r="723" spans="3:12" ht="14.25" customHeight="1" x14ac:dyDescent="0.35">
      <c r="C723" s="33"/>
      <c r="D723" s="33"/>
      <c r="L723" s="41"/>
    </row>
    <row r="724" spans="3:12" ht="14.25" customHeight="1" x14ac:dyDescent="0.35">
      <c r="C724" s="33"/>
      <c r="D724" s="33"/>
      <c r="L724" s="41"/>
    </row>
    <row r="725" spans="3:12" ht="14.25" customHeight="1" x14ac:dyDescent="0.35">
      <c r="C725" s="33"/>
      <c r="D725" s="33"/>
      <c r="L725" s="41"/>
    </row>
    <row r="726" spans="3:12" ht="14.25" customHeight="1" x14ac:dyDescent="0.35">
      <c r="C726" s="33"/>
      <c r="D726" s="33"/>
      <c r="L726" s="41"/>
    </row>
    <row r="727" spans="3:12" ht="14.25" customHeight="1" x14ac:dyDescent="0.35">
      <c r="C727" s="33"/>
      <c r="D727" s="33"/>
      <c r="L727" s="41"/>
    </row>
    <row r="728" spans="3:12" ht="14.25" customHeight="1" x14ac:dyDescent="0.35">
      <c r="C728" s="33"/>
      <c r="D728" s="33"/>
      <c r="L728" s="41"/>
    </row>
    <row r="729" spans="3:12" ht="14.25" customHeight="1" x14ac:dyDescent="0.35">
      <c r="C729" s="33"/>
      <c r="D729" s="33"/>
      <c r="L729" s="41"/>
    </row>
    <row r="730" spans="3:12" ht="14.25" customHeight="1" x14ac:dyDescent="0.35">
      <c r="C730" s="33"/>
      <c r="D730" s="33"/>
      <c r="L730" s="41"/>
    </row>
    <row r="731" spans="3:12" ht="14.25" customHeight="1" x14ac:dyDescent="0.35">
      <c r="C731" s="33"/>
      <c r="D731" s="33"/>
      <c r="L731" s="41"/>
    </row>
    <row r="732" spans="3:12" ht="14.25" customHeight="1" x14ac:dyDescent="0.35">
      <c r="C732" s="33"/>
      <c r="D732" s="33"/>
      <c r="L732" s="41"/>
    </row>
    <row r="733" spans="3:12" ht="14.25" customHeight="1" x14ac:dyDescent="0.35">
      <c r="C733" s="33"/>
      <c r="D733" s="33"/>
      <c r="L733" s="41"/>
    </row>
    <row r="734" spans="3:12" ht="14.25" customHeight="1" x14ac:dyDescent="0.35">
      <c r="C734" s="33"/>
      <c r="D734" s="33"/>
      <c r="L734" s="41"/>
    </row>
    <row r="735" spans="3:12" ht="14.25" customHeight="1" x14ac:dyDescent="0.35">
      <c r="C735" s="33"/>
      <c r="D735" s="33"/>
      <c r="L735" s="41"/>
    </row>
    <row r="736" spans="3:12" ht="14.25" customHeight="1" x14ac:dyDescent="0.35">
      <c r="C736" s="33"/>
      <c r="D736" s="33"/>
      <c r="L736" s="41"/>
    </row>
    <row r="737" spans="3:12" ht="14.25" customHeight="1" x14ac:dyDescent="0.35">
      <c r="C737" s="33"/>
      <c r="D737" s="33"/>
      <c r="L737" s="41"/>
    </row>
    <row r="738" spans="3:12" ht="14.25" customHeight="1" x14ac:dyDescent="0.35">
      <c r="C738" s="33"/>
      <c r="D738" s="33"/>
      <c r="L738" s="41"/>
    </row>
    <row r="739" spans="3:12" ht="14.25" customHeight="1" x14ac:dyDescent="0.35">
      <c r="C739" s="33"/>
      <c r="D739" s="33"/>
      <c r="L739" s="41"/>
    </row>
    <row r="740" spans="3:12" ht="14.25" customHeight="1" x14ac:dyDescent="0.35">
      <c r="C740" s="33"/>
      <c r="D740" s="33"/>
      <c r="L740" s="41"/>
    </row>
    <row r="741" spans="3:12" ht="14.25" customHeight="1" x14ac:dyDescent="0.35">
      <c r="C741" s="33"/>
      <c r="D741" s="33"/>
      <c r="L741" s="41"/>
    </row>
    <row r="742" spans="3:12" ht="14.25" customHeight="1" x14ac:dyDescent="0.35">
      <c r="C742" s="33"/>
      <c r="D742" s="33"/>
      <c r="L742" s="41"/>
    </row>
    <row r="743" spans="3:12" ht="14.25" customHeight="1" x14ac:dyDescent="0.35">
      <c r="C743" s="33"/>
      <c r="D743" s="33"/>
      <c r="L743" s="41"/>
    </row>
    <row r="744" spans="3:12" ht="14.25" customHeight="1" x14ac:dyDescent="0.35">
      <c r="C744" s="33"/>
      <c r="D744" s="33"/>
      <c r="L744" s="41"/>
    </row>
    <row r="745" spans="3:12" ht="14.25" customHeight="1" x14ac:dyDescent="0.35">
      <c r="C745" s="33"/>
      <c r="D745" s="33"/>
      <c r="L745" s="41"/>
    </row>
    <row r="746" spans="3:12" ht="14.25" customHeight="1" x14ac:dyDescent="0.35">
      <c r="C746" s="33"/>
      <c r="D746" s="33"/>
      <c r="L746" s="41"/>
    </row>
    <row r="747" spans="3:12" ht="14.25" customHeight="1" x14ac:dyDescent="0.35">
      <c r="C747" s="33"/>
      <c r="D747" s="33"/>
      <c r="L747" s="41"/>
    </row>
    <row r="748" spans="3:12" ht="14.25" customHeight="1" x14ac:dyDescent="0.35">
      <c r="C748" s="33"/>
      <c r="D748" s="33"/>
      <c r="L748" s="41"/>
    </row>
    <row r="749" spans="3:12" ht="14.25" customHeight="1" x14ac:dyDescent="0.35">
      <c r="C749" s="33"/>
      <c r="D749" s="33"/>
      <c r="L749" s="41"/>
    </row>
    <row r="750" spans="3:12" ht="14.25" customHeight="1" x14ac:dyDescent="0.35">
      <c r="C750" s="33"/>
      <c r="D750" s="33"/>
      <c r="L750" s="41"/>
    </row>
    <row r="751" spans="3:12" ht="14.25" customHeight="1" x14ac:dyDescent="0.35">
      <c r="C751" s="33"/>
      <c r="D751" s="33"/>
      <c r="L751" s="41"/>
    </row>
    <row r="752" spans="3:12" ht="14.25" customHeight="1" x14ac:dyDescent="0.35">
      <c r="C752" s="33"/>
      <c r="D752" s="33"/>
      <c r="L752" s="41"/>
    </row>
    <row r="753" spans="3:12" ht="14.25" customHeight="1" x14ac:dyDescent="0.35">
      <c r="C753" s="33"/>
      <c r="D753" s="33"/>
      <c r="L753" s="41"/>
    </row>
    <row r="754" spans="3:12" ht="14.25" customHeight="1" x14ac:dyDescent="0.35">
      <c r="C754" s="33"/>
      <c r="D754" s="33"/>
      <c r="L754" s="41"/>
    </row>
    <row r="755" spans="3:12" ht="14.25" customHeight="1" x14ac:dyDescent="0.35">
      <c r="C755" s="33"/>
      <c r="D755" s="33"/>
      <c r="L755" s="41"/>
    </row>
    <row r="756" spans="3:12" ht="14.25" customHeight="1" x14ac:dyDescent="0.35">
      <c r="C756" s="33"/>
      <c r="D756" s="33"/>
      <c r="L756" s="41"/>
    </row>
    <row r="757" spans="3:12" ht="14.25" customHeight="1" x14ac:dyDescent="0.35">
      <c r="C757" s="33"/>
      <c r="D757" s="33"/>
      <c r="L757" s="41"/>
    </row>
    <row r="758" spans="3:12" ht="14.25" customHeight="1" x14ac:dyDescent="0.35">
      <c r="C758" s="33"/>
      <c r="D758" s="33"/>
      <c r="L758" s="41"/>
    </row>
    <row r="759" spans="3:12" ht="14.25" customHeight="1" x14ac:dyDescent="0.35">
      <c r="C759" s="33"/>
      <c r="D759" s="33"/>
      <c r="L759" s="41"/>
    </row>
    <row r="760" spans="3:12" ht="14.25" customHeight="1" x14ac:dyDescent="0.35">
      <c r="C760" s="33"/>
      <c r="D760" s="33"/>
      <c r="L760" s="41"/>
    </row>
    <row r="761" spans="3:12" ht="14.25" customHeight="1" x14ac:dyDescent="0.35">
      <c r="C761" s="33"/>
      <c r="D761" s="33"/>
      <c r="L761" s="41"/>
    </row>
    <row r="762" spans="3:12" ht="14.25" customHeight="1" x14ac:dyDescent="0.35">
      <c r="C762" s="33"/>
      <c r="D762" s="33"/>
      <c r="L762" s="41"/>
    </row>
    <row r="763" spans="3:12" ht="14.25" customHeight="1" x14ac:dyDescent="0.35">
      <c r="C763" s="33"/>
      <c r="D763" s="33"/>
      <c r="L763" s="41"/>
    </row>
    <row r="764" spans="3:12" ht="14.25" customHeight="1" x14ac:dyDescent="0.35">
      <c r="C764" s="33"/>
      <c r="D764" s="33"/>
      <c r="L764" s="41"/>
    </row>
    <row r="765" spans="3:12" ht="14.25" customHeight="1" x14ac:dyDescent="0.35">
      <c r="C765" s="33"/>
      <c r="D765" s="33"/>
      <c r="L765" s="41"/>
    </row>
    <row r="766" spans="3:12" ht="14.25" customHeight="1" x14ac:dyDescent="0.35">
      <c r="C766" s="33"/>
      <c r="D766" s="33"/>
      <c r="L766" s="41"/>
    </row>
    <row r="767" spans="3:12" ht="14.25" customHeight="1" x14ac:dyDescent="0.35">
      <c r="C767" s="33"/>
      <c r="D767" s="33"/>
      <c r="L767" s="41"/>
    </row>
    <row r="768" spans="3:12" ht="14.25" customHeight="1" x14ac:dyDescent="0.35">
      <c r="C768" s="33"/>
      <c r="D768" s="33"/>
      <c r="L768" s="41"/>
    </row>
    <row r="769" spans="3:12" ht="14.25" customHeight="1" x14ac:dyDescent="0.35">
      <c r="C769" s="33"/>
      <c r="D769" s="33"/>
      <c r="L769" s="41"/>
    </row>
    <row r="770" spans="3:12" ht="14.25" customHeight="1" x14ac:dyDescent="0.35">
      <c r="C770" s="33"/>
      <c r="D770" s="33"/>
      <c r="L770" s="41"/>
    </row>
    <row r="771" spans="3:12" ht="14.25" customHeight="1" x14ac:dyDescent="0.35">
      <c r="C771" s="33"/>
      <c r="D771" s="33"/>
      <c r="L771" s="41"/>
    </row>
    <row r="772" spans="3:12" ht="14.25" customHeight="1" x14ac:dyDescent="0.35">
      <c r="C772" s="33"/>
      <c r="D772" s="33"/>
      <c r="L772" s="41"/>
    </row>
    <row r="773" spans="3:12" ht="14.25" customHeight="1" x14ac:dyDescent="0.35">
      <c r="C773" s="33"/>
      <c r="D773" s="33"/>
      <c r="L773" s="41"/>
    </row>
    <row r="774" spans="3:12" ht="14.25" customHeight="1" x14ac:dyDescent="0.35">
      <c r="C774" s="33"/>
      <c r="D774" s="33"/>
      <c r="L774" s="41"/>
    </row>
    <row r="775" spans="3:12" ht="14.25" customHeight="1" x14ac:dyDescent="0.35">
      <c r="C775" s="33"/>
      <c r="D775" s="33"/>
      <c r="L775" s="41"/>
    </row>
    <row r="776" spans="3:12" ht="14.25" customHeight="1" x14ac:dyDescent="0.35">
      <c r="C776" s="33"/>
      <c r="D776" s="33"/>
      <c r="L776" s="41"/>
    </row>
    <row r="777" spans="3:12" ht="14.25" customHeight="1" x14ac:dyDescent="0.35">
      <c r="C777" s="33"/>
      <c r="D777" s="33"/>
      <c r="L777" s="41"/>
    </row>
    <row r="778" spans="3:12" ht="14.25" customHeight="1" x14ac:dyDescent="0.35">
      <c r="C778" s="33"/>
      <c r="D778" s="33"/>
      <c r="L778" s="41"/>
    </row>
    <row r="779" spans="3:12" ht="14.25" customHeight="1" x14ac:dyDescent="0.35">
      <c r="C779" s="33"/>
      <c r="D779" s="33"/>
      <c r="L779" s="41"/>
    </row>
    <row r="780" spans="3:12" ht="14.25" customHeight="1" x14ac:dyDescent="0.35">
      <c r="C780" s="33"/>
      <c r="D780" s="33"/>
      <c r="L780" s="41"/>
    </row>
    <row r="781" spans="3:12" ht="14.25" customHeight="1" x14ac:dyDescent="0.35">
      <c r="C781" s="33"/>
      <c r="D781" s="33"/>
      <c r="L781" s="41"/>
    </row>
    <row r="782" spans="3:12" ht="14.25" customHeight="1" x14ac:dyDescent="0.35">
      <c r="C782" s="33"/>
      <c r="D782" s="33"/>
      <c r="L782" s="41"/>
    </row>
    <row r="783" spans="3:12" ht="14.25" customHeight="1" x14ac:dyDescent="0.35">
      <c r="C783" s="33"/>
      <c r="D783" s="33"/>
      <c r="L783" s="41"/>
    </row>
    <row r="784" spans="3:12" ht="14.25" customHeight="1" x14ac:dyDescent="0.35">
      <c r="C784" s="33"/>
      <c r="D784" s="33"/>
      <c r="L784" s="41"/>
    </row>
    <row r="785" spans="3:12" ht="14.25" customHeight="1" x14ac:dyDescent="0.35">
      <c r="C785" s="33"/>
      <c r="D785" s="33"/>
      <c r="L785" s="41"/>
    </row>
    <row r="786" spans="3:12" ht="14.25" customHeight="1" x14ac:dyDescent="0.35">
      <c r="C786" s="33"/>
      <c r="D786" s="33"/>
      <c r="L786" s="41"/>
    </row>
    <row r="787" spans="3:12" ht="14.25" customHeight="1" x14ac:dyDescent="0.35">
      <c r="C787" s="33"/>
      <c r="D787" s="33"/>
      <c r="L787" s="41"/>
    </row>
    <row r="788" spans="3:12" ht="14.25" customHeight="1" x14ac:dyDescent="0.35">
      <c r="C788" s="33"/>
      <c r="D788" s="33"/>
      <c r="L788" s="41"/>
    </row>
    <row r="789" spans="3:12" ht="14.25" customHeight="1" x14ac:dyDescent="0.35">
      <c r="C789" s="33"/>
      <c r="D789" s="33"/>
      <c r="L789" s="41"/>
    </row>
    <row r="790" spans="3:12" ht="14.25" customHeight="1" x14ac:dyDescent="0.35">
      <c r="C790" s="33"/>
      <c r="D790" s="33"/>
      <c r="L790" s="41"/>
    </row>
    <row r="791" spans="3:12" ht="14.25" customHeight="1" x14ac:dyDescent="0.35">
      <c r="C791" s="33"/>
      <c r="D791" s="33"/>
      <c r="L791" s="41"/>
    </row>
    <row r="792" spans="3:12" ht="14.25" customHeight="1" x14ac:dyDescent="0.35">
      <c r="C792" s="33"/>
      <c r="D792" s="33"/>
      <c r="L792" s="41"/>
    </row>
    <row r="793" spans="3:12" ht="14.25" customHeight="1" x14ac:dyDescent="0.35">
      <c r="C793" s="33"/>
      <c r="D793" s="33"/>
      <c r="L793" s="41"/>
    </row>
    <row r="794" spans="3:12" ht="14.25" customHeight="1" x14ac:dyDescent="0.35">
      <c r="C794" s="33"/>
      <c r="D794" s="33"/>
      <c r="L794" s="41"/>
    </row>
    <row r="795" spans="3:12" ht="14.25" customHeight="1" x14ac:dyDescent="0.35">
      <c r="C795" s="33"/>
      <c r="D795" s="33"/>
      <c r="L795" s="41"/>
    </row>
    <row r="796" spans="3:12" ht="14.25" customHeight="1" x14ac:dyDescent="0.35">
      <c r="C796" s="33"/>
      <c r="D796" s="33"/>
      <c r="L796" s="41"/>
    </row>
    <row r="797" spans="3:12" ht="14.25" customHeight="1" x14ac:dyDescent="0.35">
      <c r="C797" s="33"/>
      <c r="D797" s="33"/>
      <c r="L797" s="41"/>
    </row>
    <row r="798" spans="3:12" ht="14.25" customHeight="1" x14ac:dyDescent="0.35">
      <c r="C798" s="33"/>
      <c r="D798" s="33"/>
      <c r="L798" s="41"/>
    </row>
    <row r="799" spans="3:12" ht="14.25" customHeight="1" x14ac:dyDescent="0.35">
      <c r="C799" s="33"/>
      <c r="D799" s="33"/>
      <c r="L799" s="41"/>
    </row>
    <row r="800" spans="3:12" ht="14.25" customHeight="1" x14ac:dyDescent="0.35">
      <c r="C800" s="33"/>
      <c r="D800" s="33"/>
      <c r="L800" s="41"/>
    </row>
    <row r="801" spans="3:12" ht="14.25" customHeight="1" x14ac:dyDescent="0.35">
      <c r="C801" s="33"/>
      <c r="D801" s="33"/>
      <c r="L801" s="41"/>
    </row>
    <row r="802" spans="3:12" ht="14.25" customHeight="1" x14ac:dyDescent="0.35">
      <c r="C802" s="33"/>
      <c r="D802" s="33"/>
      <c r="L802" s="41"/>
    </row>
    <row r="803" spans="3:12" ht="14.25" customHeight="1" x14ac:dyDescent="0.35">
      <c r="C803" s="33"/>
      <c r="D803" s="33"/>
      <c r="L803" s="41"/>
    </row>
    <row r="804" spans="3:12" ht="14.25" customHeight="1" x14ac:dyDescent="0.35">
      <c r="C804" s="33"/>
      <c r="D804" s="33"/>
      <c r="L804" s="41"/>
    </row>
    <row r="805" spans="3:12" ht="14.25" customHeight="1" x14ac:dyDescent="0.35">
      <c r="C805" s="33"/>
      <c r="D805" s="33"/>
      <c r="L805" s="41"/>
    </row>
    <row r="806" spans="3:12" ht="14.25" customHeight="1" x14ac:dyDescent="0.35">
      <c r="C806" s="33"/>
      <c r="D806" s="33"/>
      <c r="L806" s="41"/>
    </row>
    <row r="807" spans="3:12" ht="14.25" customHeight="1" x14ac:dyDescent="0.35">
      <c r="C807" s="33"/>
      <c r="D807" s="33"/>
      <c r="L807" s="41"/>
    </row>
    <row r="808" spans="3:12" ht="14.25" customHeight="1" x14ac:dyDescent="0.35">
      <c r="C808" s="33"/>
      <c r="D808" s="33"/>
      <c r="L808" s="41"/>
    </row>
    <row r="809" spans="3:12" ht="14.25" customHeight="1" x14ac:dyDescent="0.35">
      <c r="C809" s="33"/>
      <c r="D809" s="33"/>
      <c r="L809" s="41"/>
    </row>
    <row r="810" spans="3:12" ht="14.25" customHeight="1" x14ac:dyDescent="0.35">
      <c r="C810" s="33"/>
      <c r="D810" s="33"/>
      <c r="L810" s="41"/>
    </row>
    <row r="811" spans="3:12" ht="14.25" customHeight="1" x14ac:dyDescent="0.35">
      <c r="C811" s="33"/>
      <c r="D811" s="33"/>
      <c r="L811" s="41"/>
    </row>
    <row r="812" spans="3:12" ht="14.25" customHeight="1" x14ac:dyDescent="0.35">
      <c r="C812" s="33"/>
      <c r="D812" s="33"/>
      <c r="L812" s="41"/>
    </row>
    <row r="813" spans="3:12" ht="14.25" customHeight="1" x14ac:dyDescent="0.35">
      <c r="C813" s="33"/>
      <c r="D813" s="33"/>
      <c r="L813" s="41"/>
    </row>
    <row r="814" spans="3:12" ht="14.25" customHeight="1" x14ac:dyDescent="0.35">
      <c r="C814" s="33"/>
      <c r="D814" s="33"/>
      <c r="L814" s="41"/>
    </row>
    <row r="815" spans="3:12" ht="14.25" customHeight="1" x14ac:dyDescent="0.35">
      <c r="C815" s="33"/>
      <c r="D815" s="33"/>
      <c r="L815" s="41"/>
    </row>
    <row r="816" spans="3:12" ht="14.25" customHeight="1" x14ac:dyDescent="0.35">
      <c r="C816" s="33"/>
      <c r="D816" s="33"/>
      <c r="L816" s="41"/>
    </row>
    <row r="817" spans="3:12" ht="14.25" customHeight="1" x14ac:dyDescent="0.35">
      <c r="C817" s="33"/>
      <c r="D817" s="33"/>
      <c r="L817" s="41"/>
    </row>
    <row r="818" spans="3:12" ht="14.25" customHeight="1" x14ac:dyDescent="0.35">
      <c r="C818" s="33"/>
      <c r="D818" s="33"/>
      <c r="L818" s="41"/>
    </row>
    <row r="819" spans="3:12" ht="14.25" customHeight="1" x14ac:dyDescent="0.35">
      <c r="C819" s="33"/>
      <c r="D819" s="33"/>
      <c r="L819" s="41"/>
    </row>
    <row r="820" spans="3:12" ht="14.25" customHeight="1" x14ac:dyDescent="0.35">
      <c r="C820" s="33"/>
      <c r="D820" s="33"/>
      <c r="L820" s="41"/>
    </row>
    <row r="821" spans="3:12" ht="14.25" customHeight="1" x14ac:dyDescent="0.35">
      <c r="C821" s="33"/>
      <c r="D821" s="33"/>
      <c r="L821" s="41"/>
    </row>
    <row r="822" spans="3:12" ht="14.25" customHeight="1" x14ac:dyDescent="0.35">
      <c r="C822" s="33"/>
      <c r="D822" s="33"/>
      <c r="L822" s="41"/>
    </row>
    <row r="823" spans="3:12" ht="14.25" customHeight="1" x14ac:dyDescent="0.35">
      <c r="C823" s="33"/>
      <c r="D823" s="33"/>
      <c r="L823" s="41"/>
    </row>
    <row r="824" spans="3:12" ht="14.25" customHeight="1" x14ac:dyDescent="0.35">
      <c r="C824" s="33"/>
      <c r="D824" s="33"/>
      <c r="L824" s="41"/>
    </row>
    <row r="825" spans="3:12" ht="14.25" customHeight="1" x14ac:dyDescent="0.35">
      <c r="C825" s="33"/>
      <c r="D825" s="33"/>
      <c r="L825" s="41"/>
    </row>
    <row r="826" spans="3:12" ht="14.25" customHeight="1" x14ac:dyDescent="0.35">
      <c r="C826" s="33"/>
      <c r="D826" s="33"/>
      <c r="L826" s="41"/>
    </row>
    <row r="827" spans="3:12" ht="14.25" customHeight="1" x14ac:dyDescent="0.35">
      <c r="C827" s="33"/>
      <c r="D827" s="33"/>
      <c r="L827" s="41"/>
    </row>
    <row r="828" spans="3:12" ht="14.25" customHeight="1" x14ac:dyDescent="0.35">
      <c r="C828" s="33"/>
      <c r="D828" s="33"/>
      <c r="L828" s="41"/>
    </row>
    <row r="829" spans="3:12" ht="14.25" customHeight="1" x14ac:dyDescent="0.35">
      <c r="C829" s="33"/>
      <c r="D829" s="33"/>
      <c r="L829" s="41"/>
    </row>
    <row r="830" spans="3:12" ht="14.25" customHeight="1" x14ac:dyDescent="0.35">
      <c r="C830" s="33"/>
      <c r="D830" s="33"/>
      <c r="L830" s="41"/>
    </row>
    <row r="831" spans="3:12" ht="14.25" customHeight="1" x14ac:dyDescent="0.35">
      <c r="C831" s="33"/>
      <c r="D831" s="33"/>
      <c r="L831" s="41"/>
    </row>
    <row r="832" spans="3:12" ht="14.25" customHeight="1" x14ac:dyDescent="0.35">
      <c r="C832" s="33"/>
      <c r="D832" s="33"/>
      <c r="L832" s="41"/>
    </row>
    <row r="833" spans="3:12" ht="14.25" customHeight="1" x14ac:dyDescent="0.35">
      <c r="C833" s="33"/>
      <c r="D833" s="33"/>
      <c r="L833" s="41"/>
    </row>
    <row r="834" spans="3:12" ht="14.25" customHeight="1" x14ac:dyDescent="0.35">
      <c r="C834" s="33"/>
      <c r="D834" s="33"/>
      <c r="L834" s="41"/>
    </row>
    <row r="835" spans="3:12" ht="14.25" customHeight="1" x14ac:dyDescent="0.35">
      <c r="C835" s="33"/>
      <c r="D835" s="33"/>
      <c r="L835" s="41"/>
    </row>
    <row r="836" spans="3:12" ht="14.25" customHeight="1" x14ac:dyDescent="0.35">
      <c r="C836" s="33"/>
      <c r="D836" s="33"/>
      <c r="L836" s="41"/>
    </row>
    <row r="837" spans="3:12" ht="14.25" customHeight="1" x14ac:dyDescent="0.35">
      <c r="C837" s="33"/>
      <c r="D837" s="33"/>
      <c r="L837" s="41"/>
    </row>
    <row r="838" spans="3:12" ht="14.25" customHeight="1" x14ac:dyDescent="0.35">
      <c r="C838" s="33"/>
      <c r="D838" s="33"/>
      <c r="L838" s="41"/>
    </row>
    <row r="839" spans="3:12" ht="14.25" customHeight="1" x14ac:dyDescent="0.35">
      <c r="C839" s="33"/>
      <c r="D839" s="33"/>
      <c r="L839" s="41"/>
    </row>
    <row r="840" spans="3:12" ht="14.25" customHeight="1" x14ac:dyDescent="0.35">
      <c r="C840" s="33"/>
      <c r="D840" s="33"/>
      <c r="L840" s="41"/>
    </row>
    <row r="841" spans="3:12" ht="14.25" customHeight="1" x14ac:dyDescent="0.35">
      <c r="C841" s="33"/>
      <c r="D841" s="33"/>
      <c r="L841" s="41"/>
    </row>
    <row r="842" spans="3:12" ht="14.25" customHeight="1" x14ac:dyDescent="0.35">
      <c r="C842" s="33"/>
      <c r="D842" s="33"/>
      <c r="L842" s="41"/>
    </row>
    <row r="843" spans="3:12" ht="14.25" customHeight="1" x14ac:dyDescent="0.35">
      <c r="C843" s="33"/>
      <c r="D843" s="33"/>
      <c r="L843" s="41"/>
    </row>
    <row r="844" spans="3:12" ht="14.25" customHeight="1" x14ac:dyDescent="0.35">
      <c r="C844" s="33"/>
      <c r="D844" s="33"/>
      <c r="L844" s="41"/>
    </row>
    <row r="845" spans="3:12" ht="14.25" customHeight="1" x14ac:dyDescent="0.35">
      <c r="C845" s="33"/>
      <c r="D845" s="33"/>
      <c r="L845" s="41"/>
    </row>
    <row r="846" spans="3:12" ht="14.25" customHeight="1" x14ac:dyDescent="0.35">
      <c r="C846" s="33"/>
      <c r="D846" s="33"/>
      <c r="L846" s="41"/>
    </row>
    <row r="847" spans="3:12" ht="14.25" customHeight="1" x14ac:dyDescent="0.35">
      <c r="C847" s="33"/>
      <c r="D847" s="33"/>
      <c r="L847" s="41"/>
    </row>
    <row r="848" spans="3:12" ht="14.25" customHeight="1" x14ac:dyDescent="0.35">
      <c r="C848" s="33"/>
      <c r="D848" s="33"/>
      <c r="L848" s="41"/>
    </row>
    <row r="849" spans="3:12" ht="14.25" customHeight="1" x14ac:dyDescent="0.35">
      <c r="C849" s="33"/>
      <c r="D849" s="33"/>
      <c r="L849" s="41"/>
    </row>
    <row r="850" spans="3:12" ht="14.25" customHeight="1" x14ac:dyDescent="0.35">
      <c r="C850" s="33"/>
      <c r="D850" s="33"/>
      <c r="L850" s="41"/>
    </row>
    <row r="851" spans="3:12" ht="14.25" customHeight="1" x14ac:dyDescent="0.35">
      <c r="C851" s="33"/>
      <c r="D851" s="33"/>
      <c r="L851" s="41"/>
    </row>
    <row r="852" spans="3:12" ht="14.25" customHeight="1" x14ac:dyDescent="0.35">
      <c r="C852" s="33"/>
      <c r="D852" s="33"/>
      <c r="L852" s="41"/>
    </row>
    <row r="853" spans="3:12" ht="14.25" customHeight="1" x14ac:dyDescent="0.35">
      <c r="C853" s="33"/>
      <c r="D853" s="33"/>
      <c r="L853" s="41"/>
    </row>
    <row r="854" spans="3:12" ht="14.25" customHeight="1" x14ac:dyDescent="0.35">
      <c r="C854" s="33"/>
      <c r="D854" s="33"/>
      <c r="L854" s="41"/>
    </row>
    <row r="855" spans="3:12" ht="14.25" customHeight="1" x14ac:dyDescent="0.35">
      <c r="C855" s="33"/>
      <c r="D855" s="33"/>
      <c r="L855" s="41"/>
    </row>
    <row r="856" spans="3:12" ht="14.25" customHeight="1" x14ac:dyDescent="0.35">
      <c r="C856" s="33"/>
      <c r="D856" s="33"/>
      <c r="L856" s="41"/>
    </row>
    <row r="857" spans="3:12" ht="14.25" customHeight="1" x14ac:dyDescent="0.35">
      <c r="C857" s="33"/>
      <c r="D857" s="33"/>
      <c r="L857" s="41"/>
    </row>
    <row r="858" spans="3:12" ht="14.25" customHeight="1" x14ac:dyDescent="0.35">
      <c r="C858" s="33"/>
      <c r="D858" s="33"/>
      <c r="L858" s="41"/>
    </row>
    <row r="859" spans="3:12" ht="14.25" customHeight="1" x14ac:dyDescent="0.35">
      <c r="C859" s="33"/>
      <c r="D859" s="33"/>
      <c r="L859" s="41"/>
    </row>
    <row r="860" spans="3:12" ht="14.25" customHeight="1" x14ac:dyDescent="0.35">
      <c r="C860" s="33"/>
      <c r="D860" s="33"/>
      <c r="L860" s="41"/>
    </row>
    <row r="861" spans="3:12" ht="14.25" customHeight="1" x14ac:dyDescent="0.35">
      <c r="C861" s="33"/>
      <c r="D861" s="33"/>
      <c r="L861" s="41"/>
    </row>
    <row r="862" spans="3:12" ht="14.25" customHeight="1" x14ac:dyDescent="0.35">
      <c r="C862" s="33"/>
      <c r="D862" s="33"/>
      <c r="L862" s="41"/>
    </row>
    <row r="863" spans="3:12" ht="14.25" customHeight="1" x14ac:dyDescent="0.35">
      <c r="C863" s="33"/>
      <c r="D863" s="33"/>
      <c r="L863" s="41"/>
    </row>
    <row r="864" spans="3:12" ht="14.25" customHeight="1" x14ac:dyDescent="0.35">
      <c r="C864" s="33"/>
      <c r="D864" s="33"/>
      <c r="L864" s="41"/>
    </row>
    <row r="865" spans="3:12" ht="14.25" customHeight="1" x14ac:dyDescent="0.35">
      <c r="C865" s="33"/>
      <c r="D865" s="33"/>
      <c r="L865" s="41"/>
    </row>
    <row r="866" spans="3:12" ht="14.25" customHeight="1" x14ac:dyDescent="0.35">
      <c r="C866" s="33"/>
      <c r="D866" s="33"/>
      <c r="L866" s="41"/>
    </row>
    <row r="867" spans="3:12" ht="14.25" customHeight="1" x14ac:dyDescent="0.35">
      <c r="C867" s="33"/>
      <c r="D867" s="33"/>
      <c r="L867" s="41"/>
    </row>
    <row r="868" spans="3:12" ht="14.25" customHeight="1" x14ac:dyDescent="0.35">
      <c r="C868" s="33"/>
      <c r="D868" s="33"/>
      <c r="L868" s="41"/>
    </row>
    <row r="869" spans="3:12" ht="14.25" customHeight="1" x14ac:dyDescent="0.35">
      <c r="C869" s="33"/>
      <c r="D869" s="33"/>
      <c r="L869" s="41"/>
    </row>
    <row r="870" spans="3:12" ht="14.25" customHeight="1" x14ac:dyDescent="0.35">
      <c r="C870" s="33"/>
      <c r="D870" s="33"/>
      <c r="L870" s="41"/>
    </row>
    <row r="871" spans="3:12" ht="14.25" customHeight="1" x14ac:dyDescent="0.35">
      <c r="C871" s="33"/>
      <c r="D871" s="33"/>
      <c r="L871" s="41"/>
    </row>
    <row r="872" spans="3:12" ht="14.25" customHeight="1" x14ac:dyDescent="0.35">
      <c r="C872" s="33"/>
      <c r="D872" s="33"/>
      <c r="L872" s="41"/>
    </row>
    <row r="873" spans="3:12" ht="14.25" customHeight="1" x14ac:dyDescent="0.35">
      <c r="C873" s="33"/>
      <c r="D873" s="33"/>
      <c r="L873" s="41"/>
    </row>
    <row r="874" spans="3:12" ht="14.25" customHeight="1" x14ac:dyDescent="0.35">
      <c r="C874" s="33"/>
      <c r="D874" s="33"/>
      <c r="L874" s="41"/>
    </row>
    <row r="875" spans="3:12" ht="14.25" customHeight="1" x14ac:dyDescent="0.35">
      <c r="C875" s="33"/>
      <c r="D875" s="33"/>
      <c r="L875" s="41"/>
    </row>
    <row r="876" spans="3:12" ht="14.25" customHeight="1" x14ac:dyDescent="0.35">
      <c r="C876" s="33"/>
      <c r="D876" s="33"/>
      <c r="L876" s="41"/>
    </row>
    <row r="877" spans="3:12" ht="14.25" customHeight="1" x14ac:dyDescent="0.35">
      <c r="C877" s="33"/>
      <c r="D877" s="33"/>
      <c r="L877" s="41"/>
    </row>
    <row r="878" spans="3:12" ht="14.25" customHeight="1" x14ac:dyDescent="0.35">
      <c r="C878" s="33"/>
      <c r="D878" s="33"/>
      <c r="L878" s="41"/>
    </row>
    <row r="879" spans="3:12" ht="14.25" customHeight="1" x14ac:dyDescent="0.35">
      <c r="C879" s="33"/>
      <c r="D879" s="33"/>
      <c r="L879" s="41"/>
    </row>
    <row r="880" spans="3:12" ht="14.25" customHeight="1" x14ac:dyDescent="0.35">
      <c r="C880" s="33"/>
      <c r="D880" s="33"/>
      <c r="L880" s="41"/>
    </row>
    <row r="881" spans="3:12" ht="14.25" customHeight="1" x14ac:dyDescent="0.35">
      <c r="C881" s="33"/>
      <c r="D881" s="33"/>
      <c r="L881" s="41"/>
    </row>
    <row r="882" spans="3:12" ht="14.25" customHeight="1" x14ac:dyDescent="0.35">
      <c r="C882" s="33"/>
      <c r="D882" s="33"/>
      <c r="L882" s="41"/>
    </row>
    <row r="883" spans="3:12" ht="14.25" customHeight="1" x14ac:dyDescent="0.35">
      <c r="C883" s="33"/>
      <c r="D883" s="33"/>
      <c r="L883" s="41"/>
    </row>
    <row r="884" spans="3:12" ht="14.25" customHeight="1" x14ac:dyDescent="0.35">
      <c r="C884" s="33"/>
      <c r="D884" s="33"/>
      <c r="L884" s="41"/>
    </row>
    <row r="885" spans="3:12" ht="14.25" customHeight="1" x14ac:dyDescent="0.35">
      <c r="C885" s="33"/>
      <c r="D885" s="33"/>
      <c r="L885" s="41"/>
    </row>
    <row r="886" spans="3:12" ht="14.25" customHeight="1" x14ac:dyDescent="0.35">
      <c r="C886" s="33"/>
      <c r="D886" s="33"/>
      <c r="L886" s="41"/>
    </row>
    <row r="887" spans="3:12" ht="14.25" customHeight="1" x14ac:dyDescent="0.35">
      <c r="C887" s="33"/>
      <c r="D887" s="33"/>
      <c r="L887" s="41"/>
    </row>
    <row r="888" spans="3:12" ht="14.25" customHeight="1" x14ac:dyDescent="0.35">
      <c r="C888" s="33"/>
      <c r="D888" s="33"/>
      <c r="L888" s="41"/>
    </row>
    <row r="889" spans="3:12" ht="14.25" customHeight="1" x14ac:dyDescent="0.35">
      <c r="C889" s="33"/>
      <c r="D889" s="33"/>
      <c r="L889" s="41"/>
    </row>
    <row r="890" spans="3:12" ht="14.25" customHeight="1" x14ac:dyDescent="0.35">
      <c r="C890" s="33"/>
      <c r="D890" s="33"/>
      <c r="L890" s="41"/>
    </row>
    <row r="891" spans="3:12" ht="14.25" customHeight="1" x14ac:dyDescent="0.35">
      <c r="C891" s="33"/>
      <c r="D891" s="33"/>
      <c r="L891" s="41"/>
    </row>
    <row r="892" spans="3:12" ht="14.25" customHeight="1" x14ac:dyDescent="0.35">
      <c r="C892" s="33"/>
      <c r="D892" s="33"/>
      <c r="L892" s="41"/>
    </row>
    <row r="893" spans="3:12" ht="14.25" customHeight="1" x14ac:dyDescent="0.35">
      <c r="C893" s="33"/>
      <c r="D893" s="33"/>
      <c r="L893" s="41"/>
    </row>
    <row r="894" spans="3:12" ht="14.25" customHeight="1" x14ac:dyDescent="0.35">
      <c r="C894" s="33"/>
      <c r="D894" s="33"/>
      <c r="L894" s="41"/>
    </row>
    <row r="895" spans="3:12" ht="14.25" customHeight="1" x14ac:dyDescent="0.35">
      <c r="C895" s="33"/>
      <c r="D895" s="33"/>
      <c r="L895" s="41"/>
    </row>
    <row r="896" spans="3:12" ht="14.25" customHeight="1" x14ac:dyDescent="0.35">
      <c r="C896" s="33"/>
      <c r="D896" s="33"/>
      <c r="L896" s="41"/>
    </row>
    <row r="897" spans="3:12" ht="14.25" customHeight="1" x14ac:dyDescent="0.35">
      <c r="C897" s="33"/>
      <c r="D897" s="33"/>
      <c r="L897" s="41"/>
    </row>
    <row r="898" spans="3:12" ht="14.25" customHeight="1" x14ac:dyDescent="0.35">
      <c r="C898" s="33"/>
      <c r="D898" s="33"/>
      <c r="L898" s="41"/>
    </row>
    <row r="899" spans="3:12" ht="14.25" customHeight="1" x14ac:dyDescent="0.35">
      <c r="C899" s="33"/>
      <c r="D899" s="33"/>
      <c r="L899" s="41"/>
    </row>
    <row r="900" spans="3:12" ht="14.25" customHeight="1" x14ac:dyDescent="0.35">
      <c r="C900" s="33"/>
      <c r="D900" s="33"/>
      <c r="L900" s="41"/>
    </row>
    <row r="901" spans="3:12" ht="14.25" customHeight="1" x14ac:dyDescent="0.35">
      <c r="C901" s="33"/>
      <c r="D901" s="33"/>
      <c r="L901" s="41"/>
    </row>
    <row r="902" spans="3:12" ht="14.25" customHeight="1" x14ac:dyDescent="0.35">
      <c r="C902" s="33"/>
      <c r="D902" s="33"/>
      <c r="L902" s="41"/>
    </row>
    <row r="903" spans="3:12" ht="14.25" customHeight="1" x14ac:dyDescent="0.35">
      <c r="C903" s="33"/>
      <c r="D903" s="33"/>
      <c r="L903" s="41"/>
    </row>
    <row r="904" spans="3:12" ht="14.25" customHeight="1" x14ac:dyDescent="0.35">
      <c r="C904" s="33"/>
      <c r="D904" s="33"/>
      <c r="L904" s="41"/>
    </row>
    <row r="905" spans="3:12" ht="14.25" customHeight="1" x14ac:dyDescent="0.35">
      <c r="C905" s="33"/>
      <c r="D905" s="33"/>
      <c r="L905" s="41"/>
    </row>
    <row r="906" spans="3:12" ht="14.25" customHeight="1" x14ac:dyDescent="0.35">
      <c r="C906" s="33"/>
      <c r="D906" s="33"/>
      <c r="L906" s="41"/>
    </row>
    <row r="907" spans="3:12" ht="14.25" customHeight="1" x14ac:dyDescent="0.35">
      <c r="C907" s="33"/>
      <c r="D907" s="33"/>
      <c r="L907" s="41"/>
    </row>
    <row r="908" spans="3:12" ht="14.25" customHeight="1" x14ac:dyDescent="0.35">
      <c r="C908" s="33"/>
      <c r="D908" s="33"/>
      <c r="L908" s="41"/>
    </row>
    <row r="909" spans="3:12" ht="14.25" customHeight="1" x14ac:dyDescent="0.35">
      <c r="C909" s="33"/>
      <c r="D909" s="33"/>
      <c r="L909" s="41"/>
    </row>
    <row r="910" spans="3:12" ht="14.25" customHeight="1" x14ac:dyDescent="0.35">
      <c r="C910" s="33"/>
      <c r="D910" s="33"/>
      <c r="L910" s="41"/>
    </row>
    <row r="911" spans="3:12" ht="14.25" customHeight="1" x14ac:dyDescent="0.35">
      <c r="C911" s="33"/>
      <c r="D911" s="33"/>
      <c r="L911" s="41"/>
    </row>
    <row r="912" spans="3:12" ht="14.25" customHeight="1" x14ac:dyDescent="0.35">
      <c r="C912" s="33"/>
      <c r="D912" s="33"/>
      <c r="L912" s="41"/>
    </row>
    <row r="913" spans="3:12" ht="14.25" customHeight="1" x14ac:dyDescent="0.35">
      <c r="C913" s="33"/>
      <c r="D913" s="33"/>
      <c r="L913" s="41"/>
    </row>
    <row r="914" spans="3:12" ht="14.25" customHeight="1" x14ac:dyDescent="0.35">
      <c r="C914" s="33"/>
      <c r="D914" s="33"/>
      <c r="L914" s="41"/>
    </row>
    <row r="915" spans="3:12" ht="14.25" customHeight="1" x14ac:dyDescent="0.35">
      <c r="C915" s="33"/>
      <c r="D915" s="33"/>
      <c r="L915" s="41"/>
    </row>
    <row r="916" spans="3:12" ht="14.25" customHeight="1" x14ac:dyDescent="0.35">
      <c r="C916" s="33"/>
      <c r="D916" s="33"/>
      <c r="L916" s="41"/>
    </row>
    <row r="917" spans="3:12" ht="14.25" customHeight="1" x14ac:dyDescent="0.35">
      <c r="C917" s="33"/>
      <c r="D917" s="33"/>
      <c r="L917" s="41"/>
    </row>
    <row r="918" spans="3:12" ht="14.25" customHeight="1" x14ac:dyDescent="0.35">
      <c r="C918" s="33"/>
      <c r="D918" s="33"/>
      <c r="L918" s="41"/>
    </row>
    <row r="919" spans="3:12" ht="14.25" customHeight="1" x14ac:dyDescent="0.35">
      <c r="C919" s="33"/>
      <c r="D919" s="33"/>
      <c r="L919" s="41"/>
    </row>
    <row r="920" spans="3:12" ht="14.25" customHeight="1" x14ac:dyDescent="0.35">
      <c r="C920" s="33"/>
      <c r="D920" s="33"/>
      <c r="L920" s="41"/>
    </row>
    <row r="921" spans="3:12" ht="14.25" customHeight="1" x14ac:dyDescent="0.35">
      <c r="C921" s="33"/>
      <c r="D921" s="33"/>
      <c r="L921" s="41"/>
    </row>
    <row r="922" spans="3:12" ht="14.25" customHeight="1" x14ac:dyDescent="0.35">
      <c r="C922" s="33"/>
      <c r="D922" s="33"/>
      <c r="L922" s="41"/>
    </row>
    <row r="923" spans="3:12" ht="14.25" customHeight="1" x14ac:dyDescent="0.35">
      <c r="C923" s="33"/>
      <c r="D923" s="33"/>
      <c r="L923" s="41"/>
    </row>
    <row r="924" spans="3:12" ht="14.25" customHeight="1" x14ac:dyDescent="0.35">
      <c r="C924" s="33"/>
      <c r="D924" s="33"/>
      <c r="L924" s="41"/>
    </row>
    <row r="925" spans="3:12" ht="14.25" customHeight="1" x14ac:dyDescent="0.35">
      <c r="C925" s="33"/>
      <c r="D925" s="33"/>
      <c r="L925" s="41"/>
    </row>
    <row r="926" spans="3:12" ht="14.25" customHeight="1" x14ac:dyDescent="0.35">
      <c r="C926" s="33"/>
      <c r="D926" s="33"/>
      <c r="L926" s="41"/>
    </row>
    <row r="927" spans="3:12" ht="14.25" customHeight="1" x14ac:dyDescent="0.35">
      <c r="C927" s="33"/>
      <c r="D927" s="33"/>
      <c r="L927" s="41"/>
    </row>
    <row r="928" spans="3:12" ht="14.25" customHeight="1" x14ac:dyDescent="0.35">
      <c r="C928" s="33"/>
      <c r="D928" s="33"/>
      <c r="L928" s="41"/>
    </row>
    <row r="929" spans="3:12" ht="14.25" customHeight="1" x14ac:dyDescent="0.35">
      <c r="C929" s="33"/>
      <c r="D929" s="33"/>
      <c r="L929" s="41"/>
    </row>
    <row r="930" spans="3:12" ht="14.25" customHeight="1" x14ac:dyDescent="0.35">
      <c r="C930" s="33"/>
      <c r="D930" s="33"/>
      <c r="L930" s="41"/>
    </row>
    <row r="931" spans="3:12" ht="14.25" customHeight="1" x14ac:dyDescent="0.35">
      <c r="C931" s="33"/>
      <c r="D931" s="33"/>
      <c r="L931" s="41"/>
    </row>
    <row r="932" spans="3:12" ht="14.25" customHeight="1" x14ac:dyDescent="0.35">
      <c r="C932" s="33"/>
      <c r="D932" s="33"/>
      <c r="L932" s="41"/>
    </row>
    <row r="933" spans="3:12" ht="14.25" customHeight="1" x14ac:dyDescent="0.35">
      <c r="C933" s="33"/>
      <c r="D933" s="33"/>
      <c r="L933" s="41"/>
    </row>
    <row r="934" spans="3:12" ht="14.25" customHeight="1" x14ac:dyDescent="0.35">
      <c r="C934" s="33"/>
      <c r="D934" s="33"/>
      <c r="L934" s="41"/>
    </row>
    <row r="935" spans="3:12" ht="14.25" customHeight="1" x14ac:dyDescent="0.35">
      <c r="C935" s="33"/>
      <c r="D935" s="33"/>
      <c r="L935" s="41"/>
    </row>
    <row r="936" spans="3:12" ht="14.25" customHeight="1" x14ac:dyDescent="0.35">
      <c r="C936" s="33"/>
      <c r="D936" s="33"/>
      <c r="L936" s="41"/>
    </row>
    <row r="937" spans="3:12" ht="14.25" customHeight="1" x14ac:dyDescent="0.35">
      <c r="C937" s="33"/>
      <c r="D937" s="33"/>
      <c r="L937" s="41"/>
    </row>
    <row r="938" spans="3:12" ht="14.25" customHeight="1" x14ac:dyDescent="0.35">
      <c r="C938" s="33"/>
      <c r="D938" s="33"/>
      <c r="L938" s="41"/>
    </row>
    <row r="939" spans="3:12" ht="14.25" customHeight="1" x14ac:dyDescent="0.35">
      <c r="C939" s="33"/>
      <c r="D939" s="33"/>
      <c r="L939" s="41"/>
    </row>
    <row r="940" spans="3:12" ht="14.25" customHeight="1" x14ac:dyDescent="0.35">
      <c r="C940" s="33"/>
      <c r="D940" s="33"/>
      <c r="L940" s="41"/>
    </row>
    <row r="941" spans="3:12" ht="14.25" customHeight="1" x14ac:dyDescent="0.35">
      <c r="C941" s="33"/>
      <c r="D941" s="33"/>
      <c r="L941" s="41"/>
    </row>
    <row r="942" spans="3:12" ht="14.25" customHeight="1" x14ac:dyDescent="0.35">
      <c r="C942" s="33"/>
      <c r="D942" s="33"/>
      <c r="L942" s="41"/>
    </row>
    <row r="943" spans="3:12" ht="14.25" customHeight="1" x14ac:dyDescent="0.35">
      <c r="C943" s="33"/>
      <c r="D943" s="33"/>
      <c r="L943" s="41"/>
    </row>
    <row r="944" spans="3:12" ht="14.25" customHeight="1" x14ac:dyDescent="0.35">
      <c r="C944" s="33"/>
      <c r="D944" s="33"/>
      <c r="L944" s="41"/>
    </row>
    <row r="945" spans="3:12" ht="14.25" customHeight="1" x14ac:dyDescent="0.35">
      <c r="C945" s="33"/>
      <c r="D945" s="33"/>
      <c r="L945" s="41"/>
    </row>
    <row r="946" spans="3:12" ht="14.25" customHeight="1" x14ac:dyDescent="0.35">
      <c r="C946" s="33"/>
      <c r="D946" s="33"/>
      <c r="L946" s="41"/>
    </row>
    <row r="947" spans="3:12" ht="14.25" customHeight="1" x14ac:dyDescent="0.35">
      <c r="C947" s="33"/>
      <c r="D947" s="33"/>
      <c r="L947" s="41"/>
    </row>
    <row r="948" spans="3:12" ht="14.25" customHeight="1" x14ac:dyDescent="0.35">
      <c r="C948" s="33"/>
      <c r="D948" s="33"/>
      <c r="L948" s="41"/>
    </row>
    <row r="949" spans="3:12" ht="14.25" customHeight="1" x14ac:dyDescent="0.35">
      <c r="C949" s="33"/>
      <c r="D949" s="33"/>
      <c r="L949" s="41"/>
    </row>
    <row r="950" spans="3:12" ht="14.25" customHeight="1" x14ac:dyDescent="0.35">
      <c r="C950" s="33"/>
      <c r="D950" s="33"/>
      <c r="L950" s="41"/>
    </row>
    <row r="951" spans="3:12" ht="14.25" customHeight="1" x14ac:dyDescent="0.35">
      <c r="C951" s="33"/>
      <c r="D951" s="33"/>
      <c r="L951" s="41"/>
    </row>
    <row r="952" spans="3:12" ht="14.25" customHeight="1" x14ac:dyDescent="0.35">
      <c r="C952" s="33"/>
      <c r="D952" s="33"/>
      <c r="L952" s="41"/>
    </row>
    <row r="953" spans="3:12" ht="14.25" customHeight="1" x14ac:dyDescent="0.35">
      <c r="C953" s="33"/>
      <c r="D953" s="33"/>
      <c r="L953" s="41"/>
    </row>
    <row r="954" spans="3:12" ht="14.25" customHeight="1" x14ac:dyDescent="0.35">
      <c r="C954" s="33"/>
      <c r="D954" s="33"/>
      <c r="L954" s="41"/>
    </row>
    <row r="955" spans="3:12" ht="14.25" customHeight="1" x14ac:dyDescent="0.35">
      <c r="C955" s="33"/>
      <c r="D955" s="33"/>
      <c r="L955" s="41"/>
    </row>
    <row r="956" spans="3:12" ht="14.25" customHeight="1" x14ac:dyDescent="0.35">
      <c r="C956" s="33"/>
      <c r="D956" s="33"/>
      <c r="L956" s="41"/>
    </row>
    <row r="957" spans="3:12" ht="14.25" customHeight="1" x14ac:dyDescent="0.35">
      <c r="C957" s="33"/>
      <c r="D957" s="33"/>
      <c r="L957" s="41"/>
    </row>
    <row r="958" spans="3:12" ht="14.25" customHeight="1" x14ac:dyDescent="0.35">
      <c r="C958" s="33"/>
      <c r="D958" s="33"/>
      <c r="L958" s="41"/>
    </row>
    <row r="959" spans="3:12" ht="14.25" customHeight="1" x14ac:dyDescent="0.35">
      <c r="C959" s="33"/>
      <c r="D959" s="33"/>
      <c r="L959" s="41"/>
    </row>
    <row r="960" spans="3:12" ht="14.25" customHeight="1" x14ac:dyDescent="0.35">
      <c r="C960" s="33"/>
      <c r="D960" s="33"/>
      <c r="L960" s="41"/>
    </row>
    <row r="961" spans="3:12" ht="14.25" customHeight="1" x14ac:dyDescent="0.35">
      <c r="C961" s="33"/>
      <c r="D961" s="33"/>
      <c r="L961" s="41"/>
    </row>
    <row r="962" spans="3:12" ht="14.25" customHeight="1" x14ac:dyDescent="0.35">
      <c r="C962" s="33"/>
      <c r="D962" s="33"/>
      <c r="L962" s="41"/>
    </row>
    <row r="963" spans="3:12" ht="14.25" customHeight="1" x14ac:dyDescent="0.35">
      <c r="C963" s="33"/>
      <c r="D963" s="33"/>
      <c r="L963" s="41"/>
    </row>
    <row r="964" spans="3:12" ht="14.25" customHeight="1" x14ac:dyDescent="0.35">
      <c r="C964" s="33"/>
      <c r="D964" s="33"/>
      <c r="L964" s="41"/>
    </row>
    <row r="965" spans="3:12" ht="14.25" customHeight="1" x14ac:dyDescent="0.35">
      <c r="C965" s="33"/>
      <c r="D965" s="33"/>
      <c r="L965" s="41"/>
    </row>
    <row r="966" spans="3:12" ht="14.25" customHeight="1" x14ac:dyDescent="0.35">
      <c r="C966" s="33"/>
      <c r="D966" s="33"/>
      <c r="L966" s="41"/>
    </row>
    <row r="967" spans="3:12" ht="14.25" customHeight="1" x14ac:dyDescent="0.35">
      <c r="C967" s="33"/>
      <c r="D967" s="33"/>
      <c r="L967" s="41"/>
    </row>
    <row r="968" spans="3:12" ht="14.25" customHeight="1" x14ac:dyDescent="0.35">
      <c r="C968" s="33"/>
      <c r="D968" s="33"/>
      <c r="L968" s="41"/>
    </row>
    <row r="969" spans="3:12" ht="14.25" customHeight="1" x14ac:dyDescent="0.35">
      <c r="C969" s="33"/>
      <c r="D969" s="33"/>
      <c r="L969" s="41"/>
    </row>
    <row r="970" spans="3:12" ht="14.25" customHeight="1" x14ac:dyDescent="0.35">
      <c r="C970" s="33"/>
      <c r="D970" s="33"/>
      <c r="L970" s="41"/>
    </row>
    <row r="971" spans="3:12" ht="14.25" customHeight="1" x14ac:dyDescent="0.35">
      <c r="C971" s="33"/>
      <c r="D971" s="33"/>
      <c r="L971" s="41"/>
    </row>
    <row r="972" spans="3:12" ht="14.25" customHeight="1" x14ac:dyDescent="0.35">
      <c r="C972" s="33"/>
      <c r="D972" s="33"/>
      <c r="L972" s="41"/>
    </row>
    <row r="973" spans="3:12" ht="14.25" customHeight="1" x14ac:dyDescent="0.35">
      <c r="C973" s="33"/>
      <c r="D973" s="33"/>
      <c r="L973" s="41"/>
    </row>
    <row r="974" spans="3:12" ht="14.25" customHeight="1" x14ac:dyDescent="0.35">
      <c r="C974" s="33"/>
      <c r="D974" s="33"/>
      <c r="L974" s="41"/>
    </row>
    <row r="975" spans="3:12" ht="14.25" customHeight="1" x14ac:dyDescent="0.35">
      <c r="C975" s="33"/>
      <c r="D975" s="33"/>
      <c r="L975" s="41"/>
    </row>
    <row r="976" spans="3:12" ht="14.25" customHeight="1" x14ac:dyDescent="0.35">
      <c r="C976" s="33"/>
      <c r="D976" s="33"/>
      <c r="L976" s="41"/>
    </row>
    <row r="977" spans="3:12" ht="14.25" customHeight="1" x14ac:dyDescent="0.35">
      <c r="C977" s="33"/>
      <c r="D977" s="33"/>
      <c r="L977" s="41"/>
    </row>
    <row r="978" spans="3:12" ht="14.25" customHeight="1" x14ac:dyDescent="0.35">
      <c r="C978" s="33"/>
      <c r="D978" s="33"/>
      <c r="L978" s="41"/>
    </row>
    <row r="979" spans="3:12" ht="14.25" customHeight="1" x14ac:dyDescent="0.35">
      <c r="C979" s="33"/>
      <c r="D979" s="33"/>
      <c r="L979" s="41"/>
    </row>
    <row r="980" spans="3:12" ht="14.25" customHeight="1" x14ac:dyDescent="0.35">
      <c r="C980" s="33"/>
      <c r="D980" s="33"/>
      <c r="L980" s="41"/>
    </row>
    <row r="981" spans="3:12" ht="14.25" customHeight="1" x14ac:dyDescent="0.35">
      <c r="C981" s="33"/>
      <c r="D981" s="33"/>
      <c r="L981" s="41"/>
    </row>
    <row r="982" spans="3:12" ht="14.25" customHeight="1" x14ac:dyDescent="0.35">
      <c r="C982" s="33"/>
      <c r="D982" s="33"/>
      <c r="L982" s="41"/>
    </row>
    <row r="983" spans="3:12" ht="14.25" customHeight="1" x14ac:dyDescent="0.35">
      <c r="C983" s="33"/>
      <c r="D983" s="33"/>
      <c r="L983" s="41"/>
    </row>
    <row r="984" spans="3:12" ht="14.25" customHeight="1" x14ac:dyDescent="0.35">
      <c r="C984" s="33"/>
      <c r="D984" s="33"/>
      <c r="L984" s="41"/>
    </row>
    <row r="985" spans="3:12" ht="14.25" customHeight="1" x14ac:dyDescent="0.35">
      <c r="C985" s="33"/>
      <c r="D985" s="33"/>
      <c r="L985" s="41"/>
    </row>
    <row r="986" spans="3:12" ht="14.25" customHeight="1" x14ac:dyDescent="0.35">
      <c r="C986" s="33"/>
      <c r="D986" s="33"/>
      <c r="L986" s="41"/>
    </row>
    <row r="987" spans="3:12" ht="14.25" customHeight="1" x14ac:dyDescent="0.35">
      <c r="C987" s="33"/>
      <c r="D987" s="33"/>
      <c r="L987" s="41"/>
    </row>
    <row r="988" spans="3:12" ht="14.25" customHeight="1" x14ac:dyDescent="0.35">
      <c r="C988" s="33"/>
      <c r="D988" s="33"/>
      <c r="L988" s="41"/>
    </row>
    <row r="989" spans="3:12" ht="14.25" customHeight="1" x14ac:dyDescent="0.35">
      <c r="C989" s="33"/>
      <c r="D989" s="33"/>
      <c r="L989" s="41"/>
    </row>
    <row r="990" spans="3:12" ht="14.25" customHeight="1" x14ac:dyDescent="0.35">
      <c r="C990" s="33"/>
      <c r="D990" s="33"/>
      <c r="L990" s="41"/>
    </row>
    <row r="991" spans="3:12" ht="14.25" customHeight="1" x14ac:dyDescent="0.35">
      <c r="C991" s="33"/>
      <c r="D991" s="33"/>
      <c r="L991" s="41"/>
    </row>
    <row r="992" spans="3:12" ht="14.25" customHeight="1" x14ac:dyDescent="0.35">
      <c r="C992" s="33"/>
      <c r="D992" s="33"/>
      <c r="L992" s="41"/>
    </row>
    <row r="993" spans="3:12" ht="14.25" customHeight="1" x14ac:dyDescent="0.35">
      <c r="C993" s="33"/>
      <c r="D993" s="33"/>
      <c r="L993" s="41"/>
    </row>
    <row r="994" spans="3:12" ht="14.25" customHeight="1" x14ac:dyDescent="0.35">
      <c r="C994" s="33"/>
      <c r="D994" s="33"/>
      <c r="L994" s="41"/>
    </row>
    <row r="995" spans="3:12" ht="14.25" customHeight="1" x14ac:dyDescent="0.35">
      <c r="C995" s="33"/>
      <c r="D995" s="33"/>
      <c r="L995" s="41"/>
    </row>
    <row r="996" spans="3:12" ht="14.25" customHeight="1" x14ac:dyDescent="0.35">
      <c r="C996" s="33"/>
      <c r="D996" s="33"/>
      <c r="L996" s="41"/>
    </row>
    <row r="997" spans="3:12" ht="14.25" customHeight="1" x14ac:dyDescent="0.35">
      <c r="C997" s="33"/>
      <c r="D997" s="33"/>
      <c r="L997" s="41"/>
    </row>
    <row r="998" spans="3:12" ht="14.25" customHeight="1" x14ac:dyDescent="0.35">
      <c r="C998" s="33"/>
      <c r="D998" s="33"/>
      <c r="L998" s="41"/>
    </row>
    <row r="999" spans="3:12" ht="14.25" customHeight="1" x14ac:dyDescent="0.35">
      <c r="C999" s="33"/>
      <c r="D999" s="33"/>
      <c r="L999" s="41"/>
    </row>
    <row r="1000" spans="3:12" ht="14.25" customHeight="1" x14ac:dyDescent="0.35">
      <c r="C1000" s="33"/>
      <c r="D1000" s="33"/>
      <c r="L1000" s="41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4" t="s">
        <v>1298</v>
      </c>
      <c r="D1" s="34" t="s">
        <v>1539</v>
      </c>
      <c r="E1" s="3" t="s">
        <v>1756</v>
      </c>
      <c r="F1" s="3" t="s">
        <v>1757</v>
      </c>
      <c r="G1" s="36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6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5">
        <v>44395</v>
      </c>
      <c r="D2" s="21">
        <v>44402</v>
      </c>
      <c r="E2" s="46">
        <v>44013</v>
      </c>
      <c r="F2" s="46" t="s">
        <v>1758</v>
      </c>
      <c r="G2" s="9" t="s">
        <v>9</v>
      </c>
      <c r="H2" s="12"/>
      <c r="I2" s="12">
        <v>1</v>
      </c>
      <c r="J2" s="12">
        <v>2</v>
      </c>
      <c r="K2" s="12"/>
      <c r="L2" s="78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5">
        <v>44395</v>
      </c>
      <c r="D3" s="21">
        <v>44402</v>
      </c>
      <c r="E3" s="46">
        <v>44013</v>
      </c>
      <c r="F3" s="46" t="s">
        <v>1758</v>
      </c>
      <c r="G3" s="9" t="s">
        <v>13</v>
      </c>
      <c r="H3" s="12"/>
      <c r="I3" s="12">
        <v>1</v>
      </c>
      <c r="J3" s="12">
        <v>3</v>
      </c>
      <c r="K3" s="12"/>
      <c r="L3" s="78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5">
        <v>44403</v>
      </c>
      <c r="D4" s="21">
        <v>44409</v>
      </c>
      <c r="E4" s="46">
        <v>44013</v>
      </c>
      <c r="F4" s="46" t="s">
        <v>1758</v>
      </c>
      <c r="G4" s="9" t="s">
        <v>13</v>
      </c>
      <c r="H4" s="12"/>
      <c r="I4" s="12">
        <v>1</v>
      </c>
      <c r="J4" s="12">
        <v>1</v>
      </c>
      <c r="K4" s="12"/>
      <c r="L4" s="78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5">
        <v>44315</v>
      </c>
      <c r="D5" s="21">
        <v>44319</v>
      </c>
      <c r="E5" s="46">
        <v>44084</v>
      </c>
      <c r="F5" s="46" t="s">
        <v>1758</v>
      </c>
      <c r="G5" s="9" t="s">
        <v>13</v>
      </c>
      <c r="H5" s="12"/>
      <c r="I5" s="12">
        <v>1</v>
      </c>
      <c r="J5" s="12">
        <v>1</v>
      </c>
      <c r="K5" s="12"/>
      <c r="L5" s="78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5">
        <v>44360</v>
      </c>
      <c r="D6" s="21">
        <v>44367</v>
      </c>
      <c r="E6" s="46">
        <v>44010</v>
      </c>
      <c r="F6" s="46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5">
        <v>44423</v>
      </c>
      <c r="D7" s="21">
        <v>44429</v>
      </c>
      <c r="E7" s="46">
        <v>44094</v>
      </c>
      <c r="F7" s="46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5">
        <v>44333</v>
      </c>
      <c r="D8" s="21">
        <v>44337</v>
      </c>
      <c r="E8" s="46">
        <v>44116</v>
      </c>
      <c r="F8" s="46" t="s">
        <v>1758</v>
      </c>
      <c r="G8" s="9" t="s">
        <v>13</v>
      </c>
      <c r="H8" s="12"/>
      <c r="I8" s="12">
        <v>2</v>
      </c>
      <c r="J8" s="12">
        <v>2</v>
      </c>
      <c r="K8" s="12"/>
      <c r="L8" s="78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5">
        <v>44367</v>
      </c>
      <c r="D9" s="21">
        <v>44371</v>
      </c>
      <c r="E9" s="46">
        <v>44116</v>
      </c>
      <c r="F9" s="46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5">
        <v>44363</v>
      </c>
      <c r="D10" s="21">
        <v>44370</v>
      </c>
      <c r="E10" s="46">
        <v>43994</v>
      </c>
      <c r="F10" s="46" t="s">
        <v>1758</v>
      </c>
      <c r="G10" s="9" t="s">
        <v>13</v>
      </c>
      <c r="H10" s="12"/>
      <c r="I10" s="12">
        <v>1</v>
      </c>
      <c r="J10" s="12">
        <v>2</v>
      </c>
      <c r="K10" s="12"/>
      <c r="L10" s="78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5">
        <v>44426</v>
      </c>
      <c r="D11" s="21">
        <v>44430</v>
      </c>
      <c r="E11" s="46">
        <v>43935</v>
      </c>
      <c r="F11" s="46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5">
        <v>44297</v>
      </c>
      <c r="D12" s="21">
        <v>44301</v>
      </c>
      <c r="E12" s="46">
        <v>44138</v>
      </c>
      <c r="F12" s="46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5">
        <v>44402</v>
      </c>
      <c r="D13" s="21">
        <v>44407</v>
      </c>
      <c r="E13" s="46">
        <v>44059</v>
      </c>
      <c r="F13" s="46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5">
        <v>44430</v>
      </c>
      <c r="D14" s="21">
        <v>44441</v>
      </c>
      <c r="E14" s="46">
        <v>44164</v>
      </c>
      <c r="F14" s="46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8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5">
        <v>44381</v>
      </c>
      <c r="D15" s="21">
        <v>44385</v>
      </c>
      <c r="E15" s="46">
        <v>44181</v>
      </c>
      <c r="F15" s="46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5">
        <v>44367</v>
      </c>
      <c r="D16" s="21">
        <v>44374</v>
      </c>
      <c r="E16" s="46">
        <v>44183</v>
      </c>
      <c r="F16" s="46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5">
        <v>44388</v>
      </c>
      <c r="D17" s="21">
        <v>44395</v>
      </c>
      <c r="E17" s="46">
        <v>44184</v>
      </c>
      <c r="F17" s="46" t="s">
        <v>1758</v>
      </c>
      <c r="G17" s="9" t="s">
        <v>9</v>
      </c>
      <c r="H17" s="12"/>
      <c r="I17" s="12">
        <v>1</v>
      </c>
      <c r="J17" s="12">
        <v>2</v>
      </c>
      <c r="K17" s="12"/>
      <c r="L17" s="78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5">
        <v>44427</v>
      </c>
      <c r="D18" s="21">
        <v>44430</v>
      </c>
      <c r="E18" s="46">
        <v>44075</v>
      </c>
      <c r="F18" s="46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5">
        <v>44409</v>
      </c>
      <c r="D19" s="21">
        <v>44416</v>
      </c>
      <c r="E19" s="46">
        <v>44185</v>
      </c>
      <c r="F19" s="46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5">
        <v>44295</v>
      </c>
      <c r="D20" s="21">
        <v>44297</v>
      </c>
      <c r="E20" s="46">
        <v>44186</v>
      </c>
      <c r="F20" s="46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5">
        <v>44379</v>
      </c>
      <c r="D21" s="21">
        <v>44386</v>
      </c>
      <c r="E21" s="46">
        <v>44191</v>
      </c>
      <c r="F21" s="46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5">
        <v>44401</v>
      </c>
      <c r="D22" s="21">
        <v>44408</v>
      </c>
      <c r="E22" s="46">
        <v>44192</v>
      </c>
      <c r="F22" s="46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5">
        <v>44417</v>
      </c>
      <c r="D23" s="21">
        <v>44422</v>
      </c>
      <c r="E23" s="46">
        <v>44195</v>
      </c>
      <c r="F23" s="46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5">
        <v>44431</v>
      </c>
      <c r="D24" s="21">
        <v>44436</v>
      </c>
      <c r="E24" s="46">
        <v>44194</v>
      </c>
      <c r="F24" s="46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5">
        <v>44380</v>
      </c>
      <c r="D25" s="21">
        <v>44399</v>
      </c>
      <c r="E25" s="46">
        <v>44196</v>
      </c>
      <c r="F25" s="46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5">
        <v>44346</v>
      </c>
      <c r="D26" s="21">
        <v>44351</v>
      </c>
      <c r="E26" s="42">
        <v>44197</v>
      </c>
      <c r="F26" s="47" t="s">
        <v>1758</v>
      </c>
      <c r="G26" s="9" t="s">
        <v>9</v>
      </c>
      <c r="H26" s="12"/>
      <c r="I26" s="12">
        <v>2</v>
      </c>
      <c r="J26" s="12">
        <v>2</v>
      </c>
      <c r="K26" s="12"/>
      <c r="L26" s="78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5">
        <v>44401</v>
      </c>
      <c r="D27" s="21">
        <v>44408</v>
      </c>
      <c r="E27" s="42">
        <v>44197</v>
      </c>
      <c r="F27" s="47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5">
        <v>44430</v>
      </c>
      <c r="D28" s="21">
        <v>44435</v>
      </c>
      <c r="E28" s="42">
        <v>44197</v>
      </c>
      <c r="F28" s="47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5">
        <v>44338</v>
      </c>
      <c r="D29" s="21">
        <v>44342</v>
      </c>
      <c r="E29" s="42">
        <v>44198</v>
      </c>
      <c r="F29" s="47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5">
        <v>44421</v>
      </c>
      <c r="D30" s="21">
        <v>44425</v>
      </c>
      <c r="E30" s="42">
        <v>44199</v>
      </c>
      <c r="F30" s="47" t="s">
        <v>1758</v>
      </c>
      <c r="G30" s="9" t="s">
        <v>9</v>
      </c>
      <c r="H30" s="12"/>
      <c r="I30" s="12">
        <v>1</v>
      </c>
      <c r="J30" s="12">
        <v>2</v>
      </c>
      <c r="K30" s="12"/>
      <c r="L30" s="78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5">
        <v>44409</v>
      </c>
      <c r="D31" s="21">
        <v>44416</v>
      </c>
      <c r="E31" s="42">
        <v>44199</v>
      </c>
      <c r="F31" s="47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5">
        <v>44409</v>
      </c>
      <c r="D32" s="21">
        <v>44416</v>
      </c>
      <c r="E32" s="42">
        <v>44199</v>
      </c>
      <c r="F32" s="47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5">
        <v>44351</v>
      </c>
      <c r="D33" s="21">
        <v>44354</v>
      </c>
      <c r="E33" s="42">
        <v>44200</v>
      </c>
      <c r="F33" s="47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8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5">
        <v>44401</v>
      </c>
      <c r="D34" s="21">
        <v>44409</v>
      </c>
      <c r="E34" s="42">
        <v>44200</v>
      </c>
      <c r="F34" s="47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5">
        <v>44426</v>
      </c>
      <c r="D35" s="21">
        <v>44430</v>
      </c>
      <c r="E35" s="42">
        <v>44200</v>
      </c>
      <c r="F35" s="47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5">
        <v>44391</v>
      </c>
      <c r="D36" s="21">
        <v>44398</v>
      </c>
      <c r="E36" s="42">
        <v>44204</v>
      </c>
      <c r="F36" s="47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5">
        <v>44440</v>
      </c>
      <c r="D37" s="21">
        <v>44446</v>
      </c>
      <c r="E37" s="42">
        <v>44207</v>
      </c>
      <c r="F37" s="47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5">
        <v>44326</v>
      </c>
      <c r="D38" s="21">
        <v>44329</v>
      </c>
      <c r="E38" s="42">
        <v>44207</v>
      </c>
      <c r="F38" s="47" t="s">
        <v>1758</v>
      </c>
      <c r="G38" s="9" t="s">
        <v>9</v>
      </c>
      <c r="H38" s="12"/>
      <c r="I38" s="12">
        <v>2</v>
      </c>
      <c r="J38" s="12">
        <v>2</v>
      </c>
      <c r="K38" s="12"/>
      <c r="L38" s="78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5">
        <v>44389</v>
      </c>
      <c r="D39" s="21">
        <v>44395</v>
      </c>
      <c r="E39" s="42">
        <v>44211</v>
      </c>
      <c r="F39" s="47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5">
        <v>44407</v>
      </c>
      <c r="D40" s="21">
        <v>44410</v>
      </c>
      <c r="E40" s="42">
        <v>44212</v>
      </c>
      <c r="F40" s="47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5">
        <v>44417</v>
      </c>
      <c r="D41" s="21">
        <v>44427</v>
      </c>
      <c r="E41" s="42">
        <v>44214</v>
      </c>
      <c r="F41" s="47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5">
        <v>44415</v>
      </c>
      <c r="D42" s="21">
        <v>44421</v>
      </c>
      <c r="E42" s="42">
        <v>44215</v>
      </c>
      <c r="F42" s="47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5">
        <v>44341</v>
      </c>
      <c r="D43" s="21">
        <v>44348</v>
      </c>
      <c r="E43" s="42">
        <v>44215</v>
      </c>
      <c r="F43" s="47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8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5">
        <v>44438</v>
      </c>
      <c r="D44" s="21">
        <v>44443</v>
      </c>
      <c r="E44" s="42">
        <v>44215</v>
      </c>
      <c r="F44" s="47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5">
        <v>44401</v>
      </c>
      <c r="D45" s="21">
        <v>44405</v>
      </c>
      <c r="E45" s="42">
        <v>44216</v>
      </c>
      <c r="F45" s="47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5">
        <v>44438</v>
      </c>
      <c r="D46" s="21">
        <v>44443</v>
      </c>
      <c r="E46" s="42">
        <v>44216</v>
      </c>
      <c r="F46" s="47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8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5">
        <v>44382</v>
      </c>
      <c r="D47" s="21">
        <v>44387</v>
      </c>
      <c r="E47" s="42">
        <v>44217</v>
      </c>
      <c r="F47" s="47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5">
        <v>44385</v>
      </c>
      <c r="D48" s="21">
        <v>44390</v>
      </c>
      <c r="E48" s="42">
        <v>44217</v>
      </c>
      <c r="F48" s="47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5">
        <v>44345</v>
      </c>
      <c r="D49" s="21">
        <v>44359</v>
      </c>
      <c r="E49" s="42">
        <v>44220</v>
      </c>
      <c r="F49" s="47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5">
        <v>44416</v>
      </c>
      <c r="D50" s="21">
        <v>44419</v>
      </c>
      <c r="E50" s="42">
        <v>44222</v>
      </c>
      <c r="F50" s="47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5">
        <v>44408</v>
      </c>
      <c r="D51" s="21">
        <v>44415</v>
      </c>
      <c r="E51" s="42">
        <v>44224</v>
      </c>
      <c r="F51" s="47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5">
        <v>44318</v>
      </c>
      <c r="D52" s="21">
        <v>44324</v>
      </c>
      <c r="E52" s="42">
        <v>44224</v>
      </c>
      <c r="F52" s="47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5">
        <v>44367</v>
      </c>
      <c r="D53" s="21">
        <v>44374</v>
      </c>
      <c r="E53" s="42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5">
        <v>44450</v>
      </c>
      <c r="D54" s="21">
        <v>44457</v>
      </c>
      <c r="E54" s="42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5">
        <v>44431</v>
      </c>
      <c r="D55" s="21">
        <v>44436</v>
      </c>
      <c r="E55" s="42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5">
        <v>44408</v>
      </c>
      <c r="D56" s="21">
        <v>44415</v>
      </c>
      <c r="E56" s="42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5">
        <v>44429</v>
      </c>
      <c r="D57" s="21">
        <v>44436</v>
      </c>
      <c r="E57" s="42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5">
        <v>44422</v>
      </c>
      <c r="D58" s="21">
        <v>44426</v>
      </c>
      <c r="E58" s="42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5">
        <v>44356</v>
      </c>
      <c r="D59" s="21">
        <v>44359</v>
      </c>
      <c r="E59" s="42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5">
        <v>44378</v>
      </c>
      <c r="D60" s="21">
        <v>44385</v>
      </c>
      <c r="E60" s="42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5">
        <v>44322</v>
      </c>
      <c r="D61" s="21">
        <v>44325</v>
      </c>
      <c r="E61" s="42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8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5">
        <v>44471</v>
      </c>
      <c r="D62" s="21">
        <v>44478</v>
      </c>
      <c r="E62" s="42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5">
        <v>44284</v>
      </c>
      <c r="D63" s="21">
        <v>44290</v>
      </c>
      <c r="E63" s="42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8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5">
        <v>44319</v>
      </c>
      <c r="D64" s="21">
        <v>44327</v>
      </c>
      <c r="E64" s="42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8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5">
        <v>44419</v>
      </c>
      <c r="D65" s="21">
        <v>44423</v>
      </c>
      <c r="E65" s="42">
        <v>44247</v>
      </c>
      <c r="F65" s="12"/>
      <c r="G65" s="9"/>
      <c r="H65" s="12" t="s">
        <v>20</v>
      </c>
      <c r="I65" s="12"/>
      <c r="J65" s="12"/>
      <c r="K65" s="12"/>
      <c r="L65" s="78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5">
        <v>44312</v>
      </c>
      <c r="D66" s="21">
        <v>44315</v>
      </c>
      <c r="E66" s="42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8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5">
        <v>44398</v>
      </c>
      <c r="D67" s="21">
        <v>44401</v>
      </c>
      <c r="E67" s="42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8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5">
        <v>44296</v>
      </c>
      <c r="D68" s="21">
        <v>44300</v>
      </c>
      <c r="E68" s="42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8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5">
        <v>44434</v>
      </c>
      <c r="D69" s="21">
        <v>44440</v>
      </c>
      <c r="E69" s="42">
        <v>44252</v>
      </c>
      <c r="F69" s="12"/>
      <c r="G69" s="9"/>
      <c r="H69" s="12" t="s">
        <v>20</v>
      </c>
      <c r="I69" s="12"/>
      <c r="J69" s="12"/>
      <c r="K69" s="12"/>
      <c r="L69" s="78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5">
        <v>44287</v>
      </c>
      <c r="D70" s="21">
        <v>44290</v>
      </c>
      <c r="E70" s="42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8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5">
        <v>44348</v>
      </c>
      <c r="D71" s="21">
        <v>44353</v>
      </c>
      <c r="E71" s="42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8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5">
        <v>44449</v>
      </c>
      <c r="D72" s="21">
        <v>44454</v>
      </c>
      <c r="E72" s="42">
        <v>44255</v>
      </c>
      <c r="F72" s="12"/>
      <c r="G72" s="9"/>
      <c r="H72" s="12" t="s">
        <v>20</v>
      </c>
      <c r="I72" s="12"/>
      <c r="J72" s="12"/>
      <c r="K72" s="12"/>
      <c r="L72" s="78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5">
        <v>44443</v>
      </c>
      <c r="D73" s="21">
        <v>44449</v>
      </c>
      <c r="E73" s="42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8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5">
        <v>44282</v>
      </c>
      <c r="D74" s="21">
        <v>44286</v>
      </c>
      <c r="E74" s="42">
        <v>44254</v>
      </c>
      <c r="F74" s="12"/>
      <c r="G74" s="9"/>
      <c r="H74" s="12" t="s">
        <v>20</v>
      </c>
      <c r="I74" s="12"/>
      <c r="J74" s="12"/>
      <c r="K74" s="12"/>
      <c r="L74" s="78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5">
        <v>44294</v>
      </c>
      <c r="D75" s="21">
        <v>44297</v>
      </c>
      <c r="E75" s="42">
        <v>44256</v>
      </c>
      <c r="F75" s="12"/>
      <c r="G75" s="9"/>
      <c r="H75" s="12" t="s">
        <v>20</v>
      </c>
      <c r="I75" s="12"/>
      <c r="J75" s="12"/>
      <c r="K75" s="12"/>
      <c r="L75" s="78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5">
        <v>44412</v>
      </c>
      <c r="D76" s="21">
        <v>44416</v>
      </c>
      <c r="E76" s="42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8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5">
        <v>44334</v>
      </c>
      <c r="D77" s="21">
        <v>44338</v>
      </c>
      <c r="E77" s="42">
        <v>44257</v>
      </c>
      <c r="F77" s="12"/>
      <c r="G77" s="9"/>
      <c r="H77" s="15" t="s">
        <v>20</v>
      </c>
      <c r="I77" s="12"/>
      <c r="J77" s="12"/>
      <c r="K77" s="12"/>
      <c r="L77" s="78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5">
        <v>44287</v>
      </c>
      <c r="D78" s="21">
        <v>44290</v>
      </c>
      <c r="E78" s="42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8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5"/>
      <c r="D79" s="21"/>
      <c r="E79" s="42"/>
      <c r="F79" s="12"/>
      <c r="G79" s="9"/>
      <c r="H79" s="12" t="s">
        <v>20</v>
      </c>
      <c r="I79" s="12"/>
      <c r="J79" s="12"/>
      <c r="K79" s="12"/>
      <c r="L79" s="78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5">
        <v>44376</v>
      </c>
      <c r="D80" s="21">
        <v>44380</v>
      </c>
      <c r="E80" s="42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8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5">
        <v>44408</v>
      </c>
      <c r="D81" s="21">
        <v>44416</v>
      </c>
      <c r="E81" s="42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8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5">
        <v>44286</v>
      </c>
      <c r="D82" s="21">
        <v>44290</v>
      </c>
      <c r="E82" s="42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8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5">
        <v>44337</v>
      </c>
      <c r="D83" s="21">
        <v>44340</v>
      </c>
      <c r="E83" s="42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8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5">
        <v>44419</v>
      </c>
      <c r="D84" s="21">
        <v>44422</v>
      </c>
      <c r="E84" s="42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8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5">
        <v>44342</v>
      </c>
      <c r="D85" s="21">
        <v>44345</v>
      </c>
      <c r="E85" s="42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8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5">
        <v>44360</v>
      </c>
      <c r="D86" s="21">
        <v>44367</v>
      </c>
      <c r="E86" s="42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8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5">
        <v>44424</v>
      </c>
      <c r="D87" s="21">
        <v>44427</v>
      </c>
      <c r="E87" s="42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8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5">
        <v>44301</v>
      </c>
      <c r="D88" s="21">
        <v>44304</v>
      </c>
      <c r="E88" s="42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8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5">
        <v>44303</v>
      </c>
      <c r="D89" s="21">
        <v>44312</v>
      </c>
      <c r="E89" s="42">
        <v>44278</v>
      </c>
      <c r="F89" s="12"/>
      <c r="G89" s="9"/>
      <c r="H89" s="12" t="s">
        <v>20</v>
      </c>
      <c r="I89" s="12"/>
      <c r="J89" s="12"/>
      <c r="K89" s="12"/>
      <c r="L89" s="78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5">
        <v>44291</v>
      </c>
      <c r="D90" s="21">
        <v>44295</v>
      </c>
      <c r="E90" s="42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8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5">
        <v>44306</v>
      </c>
      <c r="D91" s="21">
        <v>44309</v>
      </c>
      <c r="E91" s="42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8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5">
        <v>44328</v>
      </c>
      <c r="D92" s="21">
        <v>44331</v>
      </c>
      <c r="E92" s="42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8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5">
        <v>44305</v>
      </c>
      <c r="D93" s="21">
        <v>44312</v>
      </c>
      <c r="E93" s="42">
        <v>44279</v>
      </c>
      <c r="F93" s="12"/>
      <c r="G93" s="9"/>
      <c r="H93" s="12" t="s">
        <v>20</v>
      </c>
      <c r="I93" s="12"/>
      <c r="J93" s="12"/>
      <c r="K93" s="12"/>
      <c r="L93" s="78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5">
        <v>44417</v>
      </c>
      <c r="D94" s="21">
        <v>44422</v>
      </c>
      <c r="E94" s="42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8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5">
        <v>44310</v>
      </c>
      <c r="D95" s="21">
        <v>44317</v>
      </c>
      <c r="E95" s="42">
        <v>44284</v>
      </c>
      <c r="F95" s="12"/>
      <c r="G95" s="9"/>
      <c r="H95" s="12" t="s">
        <v>20</v>
      </c>
      <c r="I95" s="12"/>
      <c r="J95" s="12"/>
      <c r="K95" s="12"/>
      <c r="L95" s="78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5">
        <v>44490</v>
      </c>
      <c r="D96" s="21">
        <v>44493</v>
      </c>
      <c r="E96" s="42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8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5">
        <v>44290</v>
      </c>
      <c r="D97" s="21">
        <v>44293</v>
      </c>
      <c r="E97" s="42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8"/>
      <c r="M97" s="95" t="s">
        <v>2013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5">
        <v>44322</v>
      </c>
      <c r="D98" s="21">
        <v>44325</v>
      </c>
      <c r="E98" s="42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8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5">
        <v>44323</v>
      </c>
      <c r="D99" s="21">
        <v>44325</v>
      </c>
      <c r="E99" s="42">
        <v>44287</v>
      </c>
      <c r="F99" s="12"/>
      <c r="G99" s="9"/>
      <c r="H99" s="12" t="s">
        <v>20</v>
      </c>
      <c r="I99" s="12"/>
      <c r="J99" s="12"/>
      <c r="K99" s="12"/>
      <c r="L99" s="78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5">
        <v>44341</v>
      </c>
      <c r="D100" s="21">
        <v>44344</v>
      </c>
      <c r="E100" s="42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8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5">
        <v>44329</v>
      </c>
      <c r="D101" s="21">
        <v>44333</v>
      </c>
      <c r="E101" s="42">
        <v>44290</v>
      </c>
      <c r="F101" s="12"/>
      <c r="G101" s="9"/>
      <c r="H101" s="12" t="s">
        <v>20</v>
      </c>
      <c r="I101" s="12"/>
      <c r="J101" s="12"/>
      <c r="K101" s="12"/>
      <c r="L101" s="78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5">
        <v>44344</v>
      </c>
      <c r="D102" s="21">
        <v>44346</v>
      </c>
      <c r="E102" s="42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8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5">
        <v>44332</v>
      </c>
      <c r="D103" s="21">
        <v>44335</v>
      </c>
      <c r="E103" s="42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8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5">
        <v>44322</v>
      </c>
      <c r="D104" s="21">
        <v>44325</v>
      </c>
      <c r="E104" s="42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8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5">
        <v>44371</v>
      </c>
      <c r="D105" s="21">
        <v>44377</v>
      </c>
      <c r="E105" s="42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8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5">
        <v>44388</v>
      </c>
      <c r="D106" s="21">
        <v>44391</v>
      </c>
      <c r="E106" s="42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8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5">
        <v>44442</v>
      </c>
      <c r="D107" s="21">
        <v>44444</v>
      </c>
      <c r="E107" s="42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8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5">
        <v>44385</v>
      </c>
      <c r="D108" s="21">
        <v>44388</v>
      </c>
      <c r="E108" s="42">
        <v>44295</v>
      </c>
      <c r="F108" s="12"/>
      <c r="G108" s="9"/>
      <c r="H108" s="12" t="s">
        <v>20</v>
      </c>
      <c r="I108" s="12"/>
      <c r="J108" s="12"/>
      <c r="K108" s="12"/>
      <c r="L108" s="78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5">
        <v>44359</v>
      </c>
      <c r="D109" s="21">
        <v>44363</v>
      </c>
      <c r="E109" s="42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8"/>
      <c r="M109" s="26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5">
        <v>44337</v>
      </c>
      <c r="D110" s="21">
        <v>44340</v>
      </c>
      <c r="E110" s="42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8"/>
      <c r="M110" s="26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5">
        <v>44338</v>
      </c>
      <c r="D111" s="21">
        <v>44342</v>
      </c>
      <c r="E111" s="42">
        <v>44297</v>
      </c>
      <c r="F111" s="12"/>
      <c r="G111" s="9"/>
      <c r="H111" s="12" t="s">
        <v>20</v>
      </c>
      <c r="I111" s="12"/>
      <c r="J111" s="12"/>
      <c r="K111" s="12"/>
      <c r="L111" s="78"/>
      <c r="M111" s="26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5">
        <v>44328</v>
      </c>
      <c r="D112" s="21">
        <v>44331</v>
      </c>
      <c r="E112" s="42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8"/>
      <c r="M112" s="26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5">
        <v>44464</v>
      </c>
      <c r="D113" s="21">
        <v>44471</v>
      </c>
      <c r="E113" s="42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8"/>
      <c r="M113" s="26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5">
        <v>44386</v>
      </c>
      <c r="D114" s="21">
        <v>44389</v>
      </c>
      <c r="E114" s="42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8"/>
      <c r="M114" s="26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5">
        <v>44309</v>
      </c>
      <c r="D115" s="21">
        <v>44312</v>
      </c>
      <c r="E115" s="42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8"/>
      <c r="M115" s="26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5">
        <v>44305</v>
      </c>
      <c r="D116" s="21">
        <v>44309</v>
      </c>
      <c r="E116" s="42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8"/>
      <c r="M116" s="26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5">
        <v>44301</v>
      </c>
      <c r="D117" s="21">
        <v>44303</v>
      </c>
      <c r="E117" s="42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8"/>
      <c r="M117" s="26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5">
        <v>44323</v>
      </c>
      <c r="D118" s="21">
        <v>44325</v>
      </c>
      <c r="E118" s="42">
        <v>44275</v>
      </c>
      <c r="F118" s="12"/>
      <c r="G118" s="9"/>
      <c r="H118" s="12" t="s">
        <v>20</v>
      </c>
      <c r="I118" s="12"/>
      <c r="J118" s="12"/>
      <c r="K118" s="12"/>
      <c r="L118" s="78"/>
      <c r="M118" s="26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5">
        <v>44319</v>
      </c>
      <c r="D119" s="21">
        <v>44321</v>
      </c>
      <c r="E119" s="42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8"/>
      <c r="M119" s="26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5">
        <v>44310</v>
      </c>
      <c r="D120" s="21">
        <v>44313</v>
      </c>
      <c r="E120" s="42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8"/>
      <c r="M120" s="26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5">
        <v>44330</v>
      </c>
      <c r="D121" s="21">
        <v>44333</v>
      </c>
      <c r="E121" s="42">
        <v>44304</v>
      </c>
      <c r="F121" s="12"/>
      <c r="G121" s="9"/>
      <c r="H121" s="12" t="s">
        <v>20</v>
      </c>
      <c r="I121" s="12"/>
      <c r="J121" s="12"/>
      <c r="K121" s="12"/>
      <c r="L121" s="78"/>
      <c r="M121" s="26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5">
        <v>44305</v>
      </c>
      <c r="D122" s="21">
        <v>44308</v>
      </c>
      <c r="E122" s="42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8"/>
      <c r="M122" s="26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5">
        <v>44309</v>
      </c>
      <c r="D123" s="21">
        <v>44312</v>
      </c>
      <c r="E123" s="42">
        <v>44306</v>
      </c>
      <c r="F123" s="12"/>
      <c r="G123" s="9"/>
      <c r="H123" s="12" t="s">
        <v>20</v>
      </c>
      <c r="I123" s="12"/>
      <c r="J123" s="12"/>
      <c r="K123" s="12"/>
      <c r="L123" s="78"/>
      <c r="M123" s="26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5">
        <v>44451</v>
      </c>
      <c r="D124" s="21">
        <v>44455</v>
      </c>
      <c r="E124" s="42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8"/>
      <c r="M124" s="26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5">
        <v>44370</v>
      </c>
      <c r="D125" s="21">
        <v>44374</v>
      </c>
      <c r="E125" s="42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8"/>
      <c r="M125" s="26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5">
        <v>44344</v>
      </c>
      <c r="D126" s="21">
        <v>44346</v>
      </c>
      <c r="E126" s="42">
        <v>44313</v>
      </c>
      <c r="F126" s="12"/>
      <c r="G126" s="9"/>
      <c r="H126" s="12" t="s">
        <v>20</v>
      </c>
      <c r="I126" s="12"/>
      <c r="J126" s="12"/>
      <c r="K126" s="12"/>
      <c r="L126" s="78"/>
      <c r="M126" s="26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5">
        <v>44315</v>
      </c>
      <c r="D127" s="21">
        <v>44318</v>
      </c>
      <c r="E127" s="42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8"/>
      <c r="M127" s="26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5">
        <v>44446</v>
      </c>
      <c r="D128" s="21">
        <v>44450</v>
      </c>
      <c r="E128" s="42">
        <v>44318</v>
      </c>
      <c r="F128" s="12"/>
      <c r="G128" s="9"/>
      <c r="H128" s="12" t="s">
        <v>20</v>
      </c>
      <c r="I128" s="12"/>
      <c r="J128" s="12"/>
      <c r="K128" s="12"/>
      <c r="L128" s="78"/>
      <c r="M128" s="26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5">
        <v>44354</v>
      </c>
      <c r="D129" s="21">
        <v>44359</v>
      </c>
      <c r="E129" s="42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8"/>
      <c r="M129" s="26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5">
        <v>44449</v>
      </c>
      <c r="D130" s="21">
        <v>44451</v>
      </c>
      <c r="E130" s="42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8"/>
      <c r="M130" s="26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5">
        <v>44337</v>
      </c>
      <c r="D131" s="21">
        <v>44341</v>
      </c>
      <c r="E131" s="42">
        <v>44318</v>
      </c>
      <c r="F131" s="12"/>
      <c r="G131" s="9"/>
      <c r="H131" s="12" t="s">
        <v>20</v>
      </c>
      <c r="I131" s="12"/>
      <c r="J131" s="12"/>
      <c r="K131" s="12"/>
      <c r="L131" s="78"/>
      <c r="M131" s="26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5">
        <v>44458</v>
      </c>
      <c r="D132" s="21">
        <v>44464</v>
      </c>
      <c r="E132" s="42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8"/>
      <c r="M132" s="26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5">
        <v>44339</v>
      </c>
      <c r="D133" s="21">
        <v>44342</v>
      </c>
      <c r="E133" s="42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8"/>
      <c r="M133" s="26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5">
        <v>44409</v>
      </c>
      <c r="D134" s="21">
        <v>44416</v>
      </c>
      <c r="E134" s="42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8"/>
      <c r="M134" s="26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5">
        <v>44409</v>
      </c>
      <c r="D135" s="21">
        <v>44412</v>
      </c>
      <c r="E135" s="42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8"/>
      <c r="M135" s="26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5">
        <v>44405</v>
      </c>
      <c r="D136" s="21">
        <v>44408</v>
      </c>
      <c r="E136" s="42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8"/>
      <c r="M136" s="26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5">
        <v>44484</v>
      </c>
      <c r="D137" s="21">
        <v>44486</v>
      </c>
      <c r="E137" s="42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8"/>
      <c r="M137" s="26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5">
        <v>44329</v>
      </c>
      <c r="D138" s="21">
        <v>44332</v>
      </c>
      <c r="E138" s="42">
        <v>44325</v>
      </c>
      <c r="F138" s="12"/>
      <c r="G138" s="9"/>
      <c r="H138" s="12" t="s">
        <v>20</v>
      </c>
      <c r="I138" s="12"/>
      <c r="J138" s="12"/>
      <c r="K138" s="12"/>
      <c r="L138" s="78"/>
      <c r="M138" s="26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5">
        <v>44430</v>
      </c>
      <c r="D139" s="21">
        <v>44436</v>
      </c>
      <c r="E139" s="42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8"/>
      <c r="M139" s="26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5">
        <v>44368</v>
      </c>
      <c r="D140" s="21">
        <v>44372</v>
      </c>
      <c r="E140" s="42">
        <v>44328</v>
      </c>
      <c r="F140" s="12"/>
      <c r="G140" s="9"/>
      <c r="H140" s="12" t="s">
        <v>20</v>
      </c>
      <c r="I140" s="12"/>
      <c r="J140" s="12"/>
      <c r="K140" s="12"/>
      <c r="L140" s="78"/>
      <c r="M140" s="26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5">
        <v>44385</v>
      </c>
      <c r="D141" s="21">
        <v>44388</v>
      </c>
      <c r="E141" s="42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8"/>
      <c r="M141" s="26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5">
        <v>44345</v>
      </c>
      <c r="D142" s="21">
        <v>44347</v>
      </c>
      <c r="E142" s="42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8"/>
      <c r="M142" s="26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5">
        <v>44416</v>
      </c>
      <c r="D143" s="21">
        <v>44418</v>
      </c>
      <c r="E143" s="42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8"/>
      <c r="M143" s="26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5">
        <v>44373</v>
      </c>
      <c r="D144" s="21">
        <v>44380</v>
      </c>
      <c r="E144" s="42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8"/>
      <c r="M144" s="26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5">
        <v>44376</v>
      </c>
      <c r="D145" s="21">
        <v>44379</v>
      </c>
      <c r="E145" s="42">
        <v>44331</v>
      </c>
      <c r="F145" s="12"/>
      <c r="G145" s="9"/>
      <c r="H145" s="12" t="s">
        <v>20</v>
      </c>
      <c r="I145" s="12"/>
      <c r="J145" s="12"/>
      <c r="K145" s="12"/>
      <c r="L145" s="78"/>
      <c r="M145" s="26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5">
        <v>44456</v>
      </c>
      <c r="D146" s="21">
        <v>44458</v>
      </c>
      <c r="E146" s="42">
        <v>44331</v>
      </c>
      <c r="F146" s="12"/>
      <c r="G146" s="9"/>
      <c r="H146" s="12" t="s">
        <v>20</v>
      </c>
      <c r="I146" s="12"/>
      <c r="J146" s="12"/>
      <c r="K146" s="12"/>
      <c r="L146" s="78"/>
      <c r="M146" s="30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5">
        <v>44428</v>
      </c>
      <c r="D147" s="21">
        <v>44431</v>
      </c>
      <c r="E147" s="42">
        <v>44332</v>
      </c>
      <c r="F147" s="12"/>
      <c r="G147" s="9"/>
      <c r="H147" s="12" t="s">
        <v>20</v>
      </c>
      <c r="I147" s="12"/>
      <c r="J147" s="12"/>
      <c r="K147" s="12"/>
      <c r="L147" s="78"/>
      <c r="M147" s="30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5">
        <v>44364</v>
      </c>
      <c r="D148" s="21">
        <v>44367</v>
      </c>
      <c r="E148" s="42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8"/>
      <c r="M148" s="30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5">
        <v>44445</v>
      </c>
      <c r="D149" s="21">
        <v>44448</v>
      </c>
      <c r="E149" s="42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8"/>
      <c r="M149" s="30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5">
        <v>44364</v>
      </c>
      <c r="D150" s="21">
        <v>44368</v>
      </c>
      <c r="E150" s="42">
        <v>44336</v>
      </c>
      <c r="F150" s="12"/>
      <c r="G150" s="9"/>
      <c r="H150" s="12" t="s">
        <v>20</v>
      </c>
      <c r="I150" s="12"/>
      <c r="J150" s="12"/>
      <c r="K150" s="12"/>
      <c r="L150" s="78"/>
      <c r="M150" s="30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5">
        <v>44341</v>
      </c>
      <c r="D151" s="21">
        <v>44344</v>
      </c>
      <c r="E151" s="42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8"/>
      <c r="M151" s="30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5">
        <v>44354</v>
      </c>
      <c r="D152" s="21">
        <v>44357</v>
      </c>
      <c r="E152" s="42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8"/>
      <c r="M152" s="30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5">
        <v>44374</v>
      </c>
      <c r="D153" s="21">
        <v>44379</v>
      </c>
      <c r="E153" s="42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8"/>
      <c r="M153" s="30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5">
        <v>44410</v>
      </c>
      <c r="D154" s="21">
        <v>44412</v>
      </c>
      <c r="E154" s="42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8"/>
      <c r="M154" s="30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5">
        <v>44363</v>
      </c>
      <c r="D155" s="21">
        <v>44367</v>
      </c>
      <c r="E155" s="42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8" t="s">
        <v>333</v>
      </c>
      <c r="M155" s="30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5">
        <v>44363</v>
      </c>
      <c r="D156" s="21">
        <v>44367</v>
      </c>
      <c r="E156" s="42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8"/>
      <c r="M156" s="30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5">
        <v>44431</v>
      </c>
      <c r="D157" s="21">
        <v>44434</v>
      </c>
      <c r="E157" s="42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8"/>
      <c r="M157" s="30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5">
        <v>44463</v>
      </c>
      <c r="D158" s="21">
        <v>44468</v>
      </c>
      <c r="E158" s="42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8"/>
      <c r="M158" s="30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5">
        <v>44434</v>
      </c>
      <c r="D159" s="21">
        <v>44438</v>
      </c>
      <c r="E159" s="42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8"/>
      <c r="M159" s="30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5">
        <v>44382</v>
      </c>
      <c r="D160" s="21">
        <v>44385</v>
      </c>
      <c r="E160" s="42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8"/>
      <c r="M160" s="30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5">
        <v>44402</v>
      </c>
      <c r="D161" s="21">
        <v>44409</v>
      </c>
      <c r="E161" s="42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8" t="s">
        <v>345</v>
      </c>
      <c r="M161" s="30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5">
        <v>44444</v>
      </c>
      <c r="D162" s="21">
        <v>44448</v>
      </c>
      <c r="E162" s="42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8"/>
      <c r="M162" s="30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5">
        <v>44368</v>
      </c>
      <c r="D163" s="21">
        <v>44372</v>
      </c>
      <c r="E163" s="42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8"/>
      <c r="M163" s="30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5">
        <v>44375</v>
      </c>
      <c r="D164" s="21">
        <v>44378</v>
      </c>
      <c r="E164" s="42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8" t="s">
        <v>350</v>
      </c>
      <c r="M164" s="30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5">
        <v>44381</v>
      </c>
      <c r="D165" s="21">
        <v>44385</v>
      </c>
      <c r="E165" s="42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8"/>
      <c r="M165" s="30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5">
        <v>44425</v>
      </c>
      <c r="D166" s="21">
        <v>44428</v>
      </c>
      <c r="E166" s="42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8" t="s">
        <v>355</v>
      </c>
      <c r="M166" s="30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5">
        <v>44378</v>
      </c>
      <c r="D167" s="21">
        <v>44381</v>
      </c>
      <c r="E167" s="42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8"/>
      <c r="M167" s="30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5">
        <v>44377</v>
      </c>
      <c r="D168" s="21">
        <v>44382</v>
      </c>
      <c r="E168" s="42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8"/>
      <c r="M168" s="30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5">
        <v>44378</v>
      </c>
      <c r="D169" s="21">
        <v>44381</v>
      </c>
      <c r="E169" s="42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8"/>
      <c r="M169" s="30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5">
        <v>44436</v>
      </c>
      <c r="D170" s="21">
        <v>44438</v>
      </c>
      <c r="E170" s="42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8"/>
      <c r="M170" s="30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5">
        <v>44462</v>
      </c>
      <c r="D171" s="21">
        <v>44465</v>
      </c>
      <c r="E171" s="42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8"/>
      <c r="M171" s="30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5">
        <v>44455</v>
      </c>
      <c r="D172" s="21">
        <v>44460</v>
      </c>
      <c r="E172" s="42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8"/>
      <c r="M172" s="30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5">
        <v>44481</v>
      </c>
      <c r="D173" s="21">
        <v>44484</v>
      </c>
      <c r="E173" s="42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8"/>
      <c r="M173" s="30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5">
        <v>44448</v>
      </c>
      <c r="D174" s="21">
        <v>44455</v>
      </c>
      <c r="E174" s="42">
        <v>44389</v>
      </c>
      <c r="F174" s="12"/>
      <c r="G174" s="9"/>
      <c r="H174" s="12" t="s">
        <v>20</v>
      </c>
      <c r="I174" s="12"/>
      <c r="J174" s="12"/>
      <c r="K174" s="12"/>
      <c r="L174" s="78"/>
      <c r="M174" s="30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5">
        <v>44443</v>
      </c>
      <c r="D175" s="21">
        <v>44450</v>
      </c>
      <c r="E175" s="42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8"/>
      <c r="M175" s="30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5">
        <v>44438</v>
      </c>
      <c r="D176" s="21">
        <v>44440</v>
      </c>
      <c r="E176" s="42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8" t="s">
        <v>378</v>
      </c>
      <c r="M176" s="30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5">
        <v>44458</v>
      </c>
      <c r="D177" s="21">
        <v>44464</v>
      </c>
      <c r="E177" s="42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8"/>
      <c r="M177" s="30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5">
        <v>44409</v>
      </c>
      <c r="D178" s="21">
        <v>44412</v>
      </c>
      <c r="E178" s="42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8"/>
      <c r="M178" s="30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5">
        <v>44446</v>
      </c>
      <c r="D179" s="21">
        <v>44450</v>
      </c>
      <c r="E179" s="42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8"/>
      <c r="M179" s="30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5">
        <v>44412</v>
      </c>
      <c r="D180" s="21">
        <v>44416</v>
      </c>
      <c r="E180" s="42">
        <v>44395</v>
      </c>
      <c r="F180" s="12"/>
      <c r="G180" s="9"/>
      <c r="H180" s="12" t="s">
        <v>20</v>
      </c>
      <c r="I180" s="12"/>
      <c r="J180" s="12"/>
      <c r="K180" s="12"/>
      <c r="L180" s="78"/>
      <c r="M180" s="30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5">
        <v>44426</v>
      </c>
      <c r="D181" s="21">
        <v>44430</v>
      </c>
      <c r="E181" s="42">
        <v>44395</v>
      </c>
      <c r="F181" s="12"/>
      <c r="G181" s="9"/>
      <c r="H181" s="12" t="s">
        <v>20</v>
      </c>
      <c r="I181" s="12"/>
      <c r="J181" s="12"/>
      <c r="K181" s="12"/>
      <c r="L181" s="78"/>
      <c r="M181" s="30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5">
        <v>44413</v>
      </c>
      <c r="D182" s="21">
        <v>44417</v>
      </c>
      <c r="E182" s="42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8"/>
      <c r="M182" s="30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5">
        <v>44414</v>
      </c>
      <c r="D183" s="21">
        <v>44417</v>
      </c>
      <c r="E183" s="42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8"/>
      <c r="M183" s="30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5">
        <v>44412</v>
      </c>
      <c r="D184" s="21">
        <v>44414</v>
      </c>
      <c r="E184" s="42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8"/>
      <c r="M184" s="30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5">
        <v>44427</v>
      </c>
      <c r="D185" s="21">
        <v>44430</v>
      </c>
      <c r="E185" s="42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8"/>
      <c r="M185" s="30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5">
        <v>44426</v>
      </c>
      <c r="D186" s="21">
        <v>44431</v>
      </c>
      <c r="E186" s="42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8"/>
      <c r="M186" s="30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5">
        <v>44427</v>
      </c>
      <c r="D187" s="21">
        <v>44430</v>
      </c>
      <c r="E187" s="42">
        <v>44410</v>
      </c>
      <c r="F187" s="12"/>
      <c r="G187" s="9"/>
      <c r="H187" s="12" t="s">
        <v>20</v>
      </c>
      <c r="I187" s="12"/>
      <c r="J187" s="12"/>
      <c r="K187" s="12"/>
      <c r="L187" s="78"/>
      <c r="M187" s="30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5">
        <v>44449</v>
      </c>
      <c r="D188" s="21">
        <v>44453</v>
      </c>
      <c r="E188" s="42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8" t="s">
        <v>405</v>
      </c>
      <c r="M188" s="30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5">
        <v>44465</v>
      </c>
      <c r="D189" s="21">
        <v>44469</v>
      </c>
      <c r="E189" s="42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8"/>
      <c r="M189" s="30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5">
        <v>44416</v>
      </c>
      <c r="D190" s="21">
        <v>44418</v>
      </c>
      <c r="E190" s="42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8"/>
      <c r="M190" s="30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5">
        <v>44468</v>
      </c>
      <c r="D191" s="21">
        <v>44470</v>
      </c>
      <c r="E191" s="42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8"/>
      <c r="M191" s="30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5">
        <v>44436</v>
      </c>
      <c r="D192" s="21">
        <v>44438</v>
      </c>
      <c r="E192" s="42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8" t="s">
        <v>412</v>
      </c>
      <c r="M192" s="30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5">
        <v>44465</v>
      </c>
      <c r="D193" s="21">
        <v>44469</v>
      </c>
      <c r="E193" s="42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8"/>
      <c r="M193" s="30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5">
        <v>44442</v>
      </c>
      <c r="D194" s="21">
        <v>44444</v>
      </c>
      <c r="E194" s="42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8"/>
      <c r="M194" s="30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5">
        <v>44469</v>
      </c>
      <c r="D195" s="21">
        <v>44472</v>
      </c>
      <c r="E195" s="42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8"/>
      <c r="M195" s="30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5">
        <v>44462</v>
      </c>
      <c r="D196" s="21">
        <v>44469</v>
      </c>
      <c r="E196" s="42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8"/>
      <c r="M196" s="30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5">
        <v>44449</v>
      </c>
      <c r="D197" s="21">
        <v>44451</v>
      </c>
      <c r="E197" s="42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8"/>
      <c r="M197" s="30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5">
        <v>44446</v>
      </c>
      <c r="D198" s="21">
        <v>44449</v>
      </c>
      <c r="E198" s="42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8"/>
      <c r="M198" s="30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5">
        <v>44456</v>
      </c>
      <c r="D199" s="21">
        <v>44459</v>
      </c>
      <c r="E199" s="42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8"/>
      <c r="M199" s="30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5">
        <v>44455</v>
      </c>
      <c r="D200" s="21">
        <v>44465</v>
      </c>
      <c r="E200" s="42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8"/>
      <c r="M200" s="30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8" t="s">
        <v>430</v>
      </c>
      <c r="C201" s="49">
        <v>44469</v>
      </c>
      <c r="D201" s="50">
        <v>44473</v>
      </c>
      <c r="E201" s="51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8"/>
      <c r="M201" s="30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5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8"/>
      <c r="M202" s="26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5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8"/>
      <c r="M203" s="26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5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8"/>
      <c r="M204" s="26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5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8"/>
      <c r="M205" s="26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5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8"/>
      <c r="M206" s="26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5">
        <v>44486</v>
      </c>
      <c r="D207" s="21">
        <v>44490</v>
      </c>
      <c r="E207" s="47"/>
      <c r="F207" s="12"/>
      <c r="G207" s="9" t="s">
        <v>9</v>
      </c>
      <c r="H207" s="12"/>
      <c r="I207" s="12">
        <v>1</v>
      </c>
      <c r="J207" s="12">
        <v>2</v>
      </c>
      <c r="K207" s="78"/>
      <c r="L207" s="78" t="s">
        <v>441</v>
      </c>
      <c r="M207" s="26">
        <v>42366776</v>
      </c>
      <c r="N207" s="78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5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8"/>
      <c r="L208" s="78" t="s">
        <v>100</v>
      </c>
      <c r="M208" s="26">
        <v>40733226</v>
      </c>
      <c r="N208" s="78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5">
        <v>44483</v>
      </c>
      <c r="D209" s="21"/>
      <c r="E209" s="12"/>
      <c r="F209" s="12"/>
      <c r="G209" s="9" t="s">
        <v>9</v>
      </c>
      <c r="H209" s="12"/>
      <c r="I209" s="12"/>
      <c r="J209" s="12"/>
      <c r="K209" s="78"/>
      <c r="L209" s="78" t="s">
        <v>444</v>
      </c>
      <c r="M209" s="26">
        <v>40552357</v>
      </c>
      <c r="N209" s="78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5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8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5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8"/>
      <c r="L211" s="78" t="s">
        <v>450</v>
      </c>
      <c r="M211" s="19">
        <v>60828066</v>
      </c>
      <c r="N211" s="78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5">
        <v>44491</v>
      </c>
      <c r="D212" s="21">
        <v>44493</v>
      </c>
      <c r="E212" s="47"/>
      <c r="F212" s="12"/>
      <c r="G212" s="9" t="s">
        <v>9</v>
      </c>
      <c r="H212" s="12"/>
      <c r="I212" s="12">
        <v>1</v>
      </c>
      <c r="J212" s="12">
        <v>2</v>
      </c>
      <c r="K212" s="78"/>
      <c r="L212" s="78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5">
        <v>44488</v>
      </c>
      <c r="D213" s="21">
        <v>44491</v>
      </c>
      <c r="E213" s="47"/>
      <c r="F213" s="12"/>
      <c r="G213" s="9" t="s">
        <v>48</v>
      </c>
      <c r="H213" s="12"/>
      <c r="I213" s="12">
        <v>1</v>
      </c>
      <c r="J213" s="12">
        <v>2</v>
      </c>
      <c r="K213" s="12"/>
      <c r="L213" s="78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101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4" t="s">
        <v>1298</v>
      </c>
      <c r="D1" s="34" t="s">
        <v>1539</v>
      </c>
      <c r="E1" s="34" t="s">
        <v>1766</v>
      </c>
      <c r="F1" s="34" t="s">
        <v>1767</v>
      </c>
      <c r="G1" s="34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5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3"/>
      <c r="I2" s="12"/>
      <c r="J2" s="12">
        <v>1</v>
      </c>
      <c r="K2" s="12">
        <v>2</v>
      </c>
      <c r="L2" s="78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5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5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5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5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5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5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5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5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5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5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5">
        <v>44779</v>
      </c>
      <c r="D13" s="21">
        <v>44786</v>
      </c>
      <c r="E13" s="21">
        <v>44563</v>
      </c>
      <c r="F13" s="21"/>
      <c r="G13" s="21" t="s">
        <v>20</v>
      </c>
      <c r="H13" s="43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5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5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5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5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5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5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5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5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5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5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5">
        <v>44686</v>
      </c>
      <c r="D24" s="21">
        <v>44689</v>
      </c>
      <c r="E24" s="21">
        <v>44567</v>
      </c>
      <c r="F24" s="21"/>
      <c r="G24" s="21" t="s">
        <v>20</v>
      </c>
      <c r="H24" s="43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5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5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5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5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5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5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5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5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5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5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5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5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3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5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5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5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5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5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5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5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5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5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3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5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8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5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5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5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5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5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5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5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5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5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5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5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5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5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5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5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5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5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5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5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5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5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5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5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5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5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5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5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5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5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5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5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5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5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5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5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5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5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5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5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5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5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5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5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5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5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5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5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5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5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5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5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5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5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5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5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5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5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5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5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5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5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5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8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5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5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5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5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5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5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5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5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5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5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5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5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5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5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5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5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5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5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5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5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5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5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5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5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5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5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5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5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5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5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5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5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5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5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5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5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5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5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5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5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5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5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5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5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5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5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5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5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5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5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5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4" t="s">
        <v>1298</v>
      </c>
      <c r="D1" s="34" t="s">
        <v>1539</v>
      </c>
      <c r="E1" s="34" t="s">
        <v>1774</v>
      </c>
      <c r="F1" s="34" t="s">
        <v>1775</v>
      </c>
      <c r="G1" s="34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1" t="s">
        <v>0</v>
      </c>
      <c r="M1" s="36" t="s">
        <v>1546</v>
      </c>
      <c r="N1" s="41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5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3"/>
      <c r="I2" s="12">
        <v>10</v>
      </c>
      <c r="J2" s="12">
        <v>1</v>
      </c>
      <c r="K2" s="12">
        <v>2</v>
      </c>
      <c r="L2" s="87" t="s">
        <v>705</v>
      </c>
      <c r="M2" s="9">
        <v>705441773</v>
      </c>
      <c r="N2" s="24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5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7"/>
      <c r="M3" s="30">
        <v>40956376</v>
      </c>
      <c r="N3" s="24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5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6" t="s">
        <v>710</v>
      </c>
      <c r="M4" s="30">
        <v>25145967</v>
      </c>
      <c r="N4" s="24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5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6" t="s">
        <v>714</v>
      </c>
      <c r="M5" s="30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5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7"/>
      <c r="M6" s="30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5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6" t="s">
        <v>6</v>
      </c>
      <c r="M7" s="30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5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6" t="s">
        <v>6</v>
      </c>
      <c r="M8" s="30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5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6" t="s">
        <v>717</v>
      </c>
      <c r="M9" s="30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5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7"/>
      <c r="M10" s="30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5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6" t="s">
        <v>721</v>
      </c>
      <c r="M11" s="30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5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7"/>
      <c r="M12" s="30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5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3"/>
      <c r="I13" s="12">
        <v>10</v>
      </c>
      <c r="J13" s="12">
        <v>2</v>
      </c>
      <c r="K13" s="12">
        <v>2</v>
      </c>
      <c r="L13" s="86" t="s">
        <v>14</v>
      </c>
      <c r="M13" s="30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5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6" t="s">
        <v>724</v>
      </c>
      <c r="M14" s="30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5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7"/>
      <c r="M15" s="30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5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6" t="s">
        <v>621</v>
      </c>
      <c r="M16" s="30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5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6" t="s">
        <v>6</v>
      </c>
      <c r="M17" s="30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5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6" t="s">
        <v>6</v>
      </c>
      <c r="M18" s="30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5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7"/>
      <c r="M19" s="30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5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7"/>
      <c r="M20" s="30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5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6" t="s">
        <v>733</v>
      </c>
      <c r="M21" s="30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5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7"/>
      <c r="M22" s="30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5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7"/>
      <c r="M23" s="30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5">
        <v>45127</v>
      </c>
      <c r="D24" s="21">
        <v>45134</v>
      </c>
      <c r="E24" s="21">
        <v>44932</v>
      </c>
      <c r="F24" s="21"/>
      <c r="G24" s="21" t="s">
        <v>20</v>
      </c>
      <c r="H24" s="43"/>
      <c r="I24" s="12"/>
      <c r="J24" s="12"/>
      <c r="K24" s="12"/>
      <c r="L24" s="27"/>
      <c r="M24" s="30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5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7"/>
      <c r="M25" s="30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5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7"/>
      <c r="M26" s="30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5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6" t="s">
        <v>744</v>
      </c>
      <c r="M27" s="30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5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7"/>
      <c r="M28" s="30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5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7"/>
      <c r="M29" s="30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5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7"/>
      <c r="M30" s="30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5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7"/>
      <c r="M31" s="30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5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7"/>
      <c r="M32" s="30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5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7"/>
      <c r="M33" s="30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5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7"/>
      <c r="M34" s="30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5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7"/>
      <c r="M35" s="30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5">
        <v>45124</v>
      </c>
      <c r="D36" s="21">
        <v>45131</v>
      </c>
      <c r="E36" s="21">
        <v>44941</v>
      </c>
      <c r="F36" s="21"/>
      <c r="G36" s="21" t="s">
        <v>20</v>
      </c>
      <c r="H36" s="43"/>
      <c r="I36" s="12"/>
      <c r="J36" s="12"/>
      <c r="K36" s="12"/>
      <c r="L36" s="27"/>
      <c r="M36" s="30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5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7"/>
      <c r="M37" s="30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5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7"/>
      <c r="M38" s="30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5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7"/>
      <c r="M39" s="30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5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7"/>
      <c r="M40" s="30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5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7"/>
      <c r="M41" s="30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5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7"/>
      <c r="M42" s="30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5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7"/>
      <c r="M43" s="30"/>
      <c r="N43" s="24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5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7"/>
      <c r="M44" s="30">
        <v>708142032</v>
      </c>
      <c r="N44" s="24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5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3"/>
      <c r="I45" s="12"/>
      <c r="J45" s="12">
        <v>1</v>
      </c>
      <c r="K45" s="12">
        <v>2</v>
      </c>
      <c r="L45" s="27"/>
      <c r="M45" s="30">
        <v>48046793</v>
      </c>
      <c r="N45" s="24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5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6" t="s">
        <v>783</v>
      </c>
      <c r="M46" s="30">
        <v>26213304</v>
      </c>
      <c r="N46" s="24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5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6" t="s">
        <v>786</v>
      </c>
      <c r="M47" s="30">
        <v>30936857</v>
      </c>
      <c r="N47" s="24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5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7"/>
      <c r="M48" s="30">
        <v>738253697</v>
      </c>
      <c r="N48" s="24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5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7"/>
      <c r="M49" s="30"/>
      <c r="N49" s="24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5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7"/>
      <c r="M50" s="30"/>
      <c r="N50" s="24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5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6" t="s">
        <v>794</v>
      </c>
      <c r="M51" s="30">
        <v>27633224</v>
      </c>
      <c r="N51" s="24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5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7"/>
      <c r="M52" s="30">
        <v>26251564</v>
      </c>
      <c r="N52" s="24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5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7"/>
      <c r="M53" s="30"/>
      <c r="N53" s="24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5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7"/>
      <c r="M54" s="30"/>
      <c r="N54" s="24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5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6" t="s">
        <v>802</v>
      </c>
      <c r="M55" s="30">
        <v>41815282</v>
      </c>
      <c r="N55" s="24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5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6" t="s">
        <v>49</v>
      </c>
      <c r="M56" s="30">
        <v>25582842</v>
      </c>
      <c r="N56" s="24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5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7"/>
      <c r="M57" s="30">
        <v>15158140306</v>
      </c>
      <c r="N57" s="24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5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6" t="s">
        <v>808</v>
      </c>
      <c r="M58" s="30">
        <v>26819730</v>
      </c>
      <c r="N58" s="24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5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7"/>
      <c r="M59" s="30"/>
      <c r="N59" s="24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5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7"/>
      <c r="M60" s="30"/>
      <c r="N60" s="24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5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7"/>
      <c r="M61" s="30"/>
      <c r="N61" s="24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5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6" t="s">
        <v>816</v>
      </c>
      <c r="M62" s="30">
        <v>20660556</v>
      </c>
      <c r="N62" s="24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5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7"/>
      <c r="M63" s="30"/>
      <c r="N63" s="24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5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7"/>
      <c r="M64" s="30"/>
      <c r="N64" s="24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5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7"/>
      <c r="M65" s="30">
        <v>26837292</v>
      </c>
      <c r="N65" s="24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5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7"/>
      <c r="M66" s="30">
        <v>21631052</v>
      </c>
      <c r="N66" s="24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5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6" t="s">
        <v>825</v>
      </c>
      <c r="M67" s="30">
        <v>53295457</v>
      </c>
      <c r="N67" s="24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5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7"/>
      <c r="M68" s="30">
        <v>15757598425</v>
      </c>
      <c r="N68" s="24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5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7"/>
      <c r="M69" s="30">
        <v>61308275</v>
      </c>
      <c r="N69" s="24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5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7"/>
      <c r="M70" s="30">
        <v>737767397</v>
      </c>
      <c r="N70" s="24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5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7"/>
      <c r="M71" s="30">
        <v>22401311</v>
      </c>
      <c r="N71" s="24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5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7"/>
      <c r="M72" s="30"/>
      <c r="N72" s="24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5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7"/>
      <c r="M73" s="30">
        <v>51251135</v>
      </c>
      <c r="N73" s="24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5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7"/>
      <c r="M74" s="30"/>
      <c r="N74" s="24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5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7"/>
      <c r="M75" s="30"/>
      <c r="N75" s="24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5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7"/>
      <c r="M76" s="30"/>
      <c r="N76" s="24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5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7"/>
      <c r="M77" s="30">
        <v>41777733</v>
      </c>
      <c r="N77" s="24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5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7"/>
      <c r="M78" s="30">
        <v>90621678</v>
      </c>
      <c r="N78" s="24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5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7"/>
      <c r="M79" s="30">
        <v>705652873</v>
      </c>
      <c r="N79" s="24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5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6" t="s">
        <v>850</v>
      </c>
      <c r="M80" s="30">
        <v>21707188</v>
      </c>
      <c r="N80" s="24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5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7"/>
      <c r="M81" s="30"/>
      <c r="N81" s="24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5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7"/>
      <c r="M82" s="30"/>
      <c r="N82" s="24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5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7"/>
      <c r="M83" s="30">
        <v>40299599</v>
      </c>
      <c r="N83" s="24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5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7"/>
      <c r="M84" s="30">
        <v>51282316</v>
      </c>
      <c r="N84" s="24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5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7"/>
      <c r="M85" s="30">
        <v>40115850</v>
      </c>
      <c r="N85" s="24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5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7"/>
      <c r="M86" s="30">
        <v>61782638</v>
      </c>
      <c r="N86" s="24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5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7"/>
      <c r="M87" s="30">
        <v>51532647</v>
      </c>
      <c r="N87" s="24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5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7"/>
      <c r="M88" s="30">
        <v>531343511</v>
      </c>
      <c r="N88" s="24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5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7"/>
      <c r="M89" s="30">
        <v>39547437</v>
      </c>
      <c r="N89" s="24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5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7"/>
      <c r="M90" s="30"/>
      <c r="N90" s="24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5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7"/>
      <c r="M91" s="30"/>
      <c r="N91" s="24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5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7"/>
      <c r="M92" s="30">
        <v>24620541</v>
      </c>
      <c r="N92" s="24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5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7"/>
      <c r="M93" s="30">
        <v>627349466</v>
      </c>
      <c r="N93" s="24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5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7"/>
      <c r="M94" s="30">
        <v>17643882286</v>
      </c>
      <c r="N94" s="24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5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7"/>
      <c r="M95" s="30">
        <v>22701704</v>
      </c>
      <c r="N95" s="24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5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7"/>
      <c r="M96" s="30"/>
      <c r="N96" s="24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5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7"/>
      <c r="M97" s="30">
        <v>733448215</v>
      </c>
      <c r="N97" s="24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5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7"/>
      <c r="M98" s="30">
        <v>28841246</v>
      </c>
      <c r="N98" s="24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5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7"/>
      <c r="M99" s="30">
        <v>735733308</v>
      </c>
      <c r="N99" s="24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5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7"/>
      <c r="M100" s="30">
        <v>50277175</v>
      </c>
      <c r="N100" s="24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5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7"/>
      <c r="M101" s="30">
        <v>30283094</v>
      </c>
      <c r="N101" s="24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5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7"/>
      <c r="M102" s="30">
        <v>61793423</v>
      </c>
      <c r="N102" s="24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5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7"/>
      <c r="M103" s="30"/>
      <c r="N103" s="24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5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7"/>
      <c r="M104" s="30">
        <v>17678221189</v>
      </c>
      <c r="N104" s="24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5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7"/>
      <c r="M105" s="30"/>
      <c r="N105" s="24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5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7"/>
      <c r="M106" s="30">
        <v>51446674796</v>
      </c>
      <c r="N106" s="24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5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7"/>
      <c r="M107" s="30">
        <v>27570750</v>
      </c>
      <c r="N107" s="24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5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7"/>
      <c r="M108" s="30"/>
      <c r="N108" s="24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5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7"/>
      <c r="M109" s="30">
        <v>20203509</v>
      </c>
      <c r="N109" s="24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5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7"/>
      <c r="M110" s="30"/>
      <c r="N110" s="24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5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7"/>
      <c r="M111" s="30">
        <v>20154496</v>
      </c>
      <c r="N111" s="24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5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7"/>
      <c r="M112" s="30">
        <v>603509941</v>
      </c>
      <c r="N112" s="24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5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6" t="s">
        <v>909</v>
      </c>
      <c r="M113" s="30">
        <v>24987093</v>
      </c>
      <c r="N113" s="24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5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6" t="s">
        <v>911</v>
      </c>
      <c r="M114" s="30">
        <v>20967489</v>
      </c>
      <c r="N114" s="24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5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6" t="s">
        <v>912</v>
      </c>
      <c r="M115" s="30">
        <v>42650415</v>
      </c>
      <c r="N115" s="24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5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7"/>
      <c r="M116" s="30">
        <v>1727879613</v>
      </c>
      <c r="N116" s="24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5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7"/>
      <c r="M117" s="30"/>
      <c r="N117" s="24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5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7"/>
      <c r="M118" s="30"/>
      <c r="N118" s="24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5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4"/>
      <c r="M119" s="9"/>
      <c r="N119" s="24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5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4"/>
      <c r="M120" s="9"/>
      <c r="N120" s="24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5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4"/>
      <c r="M121" s="9"/>
      <c r="N121" s="24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5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4"/>
      <c r="M122" s="9"/>
      <c r="N122" s="24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5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4"/>
      <c r="M123" s="9"/>
      <c r="N123" s="24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5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4"/>
      <c r="M124" s="9"/>
      <c r="N124" s="24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5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4"/>
      <c r="M125" s="9"/>
      <c r="N125" s="24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5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4"/>
      <c r="M126" s="9"/>
      <c r="N126" s="24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5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4"/>
      <c r="M127" s="9"/>
      <c r="N127" s="24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5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4"/>
      <c r="M128" s="9"/>
      <c r="N128" s="24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5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4"/>
      <c r="M129" s="9"/>
      <c r="N129" s="24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5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4"/>
      <c r="M130" s="9"/>
      <c r="N130" s="24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5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4"/>
      <c r="M131" s="9"/>
      <c r="N131" s="24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5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4"/>
      <c r="M132" s="9"/>
      <c r="N132" s="24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5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4"/>
      <c r="M133" s="9"/>
      <c r="N133" s="24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5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4"/>
      <c r="M134" s="9"/>
      <c r="N134" s="24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5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4"/>
      <c r="M135" s="9" t="s">
        <v>2127</v>
      </c>
      <c r="N135" s="24" t="s">
        <v>2163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5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4"/>
      <c r="M136" s="9"/>
      <c r="N136" s="24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5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4"/>
      <c r="M137" s="9"/>
      <c r="N137" s="24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5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4"/>
      <c r="M138" s="9"/>
      <c r="N138" s="24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5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4"/>
      <c r="M139" s="9"/>
      <c r="N139" s="24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5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4"/>
      <c r="M140" s="9"/>
      <c r="N140" s="24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5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4"/>
      <c r="M141" s="9"/>
      <c r="N141" s="24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5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4"/>
      <c r="M142" s="9"/>
      <c r="N142" s="24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5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4"/>
      <c r="M143" s="9"/>
      <c r="N143" s="24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5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4"/>
      <c r="M144" s="9"/>
      <c r="N144" s="24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5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4"/>
      <c r="M145" s="9"/>
      <c r="N145" s="24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5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4"/>
      <c r="M146" s="9"/>
      <c r="N146" s="24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5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4"/>
      <c r="M147" s="9"/>
      <c r="N147" s="24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5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4"/>
      <c r="M148" s="9"/>
      <c r="N148" s="24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5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4"/>
      <c r="M149" s="9"/>
      <c r="N149" s="24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5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4"/>
      <c r="M150" s="9"/>
      <c r="N150" s="24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5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4"/>
      <c r="M151" s="9"/>
      <c r="N151" s="24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5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4"/>
      <c r="M152" s="9"/>
      <c r="N152" s="24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5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4"/>
      <c r="M153" s="9"/>
      <c r="N153" s="24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5"/>
      <c r="D154" s="21"/>
      <c r="E154" s="21"/>
      <c r="F154" s="21"/>
      <c r="G154" s="21"/>
      <c r="H154" s="10"/>
      <c r="I154" s="12"/>
      <c r="J154" s="12"/>
      <c r="K154" s="12"/>
      <c r="L154" s="24"/>
      <c r="M154" s="9"/>
      <c r="N154" s="24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5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4"/>
      <c r="M155" s="9"/>
      <c r="N155" s="24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5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4"/>
      <c r="M156" s="9"/>
      <c r="N156" s="24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5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4"/>
      <c r="M157" s="9"/>
      <c r="N157" s="24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5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4"/>
      <c r="M158" s="9"/>
      <c r="N158" s="24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5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4"/>
      <c r="M159" s="9"/>
      <c r="N159" s="24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5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4"/>
      <c r="M160" s="9"/>
      <c r="N160" s="24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5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4"/>
      <c r="M161" s="9"/>
      <c r="N161" s="24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5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4"/>
      <c r="M162" s="9"/>
      <c r="N162" s="24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5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4"/>
      <c r="M163" s="9"/>
      <c r="N163" s="24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5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4"/>
      <c r="M164" s="9"/>
      <c r="N164" s="24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5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4"/>
      <c r="M165" s="9"/>
      <c r="N165" s="24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5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4"/>
      <c r="M166" s="9"/>
      <c r="N166" s="24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5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4"/>
      <c r="M167" s="9"/>
      <c r="N167" s="24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5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4"/>
      <c r="M168" s="9"/>
      <c r="N168" s="24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5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4"/>
      <c r="M169" s="9"/>
      <c r="N169" s="24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5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4"/>
      <c r="M170" s="9"/>
      <c r="N170" s="24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5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4"/>
      <c r="M171" s="9"/>
      <c r="N171" s="24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5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4"/>
      <c r="M172" s="9"/>
      <c r="N172" s="24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5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4"/>
      <c r="M173" s="9"/>
      <c r="N173" s="24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5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4"/>
      <c r="M174" s="9"/>
      <c r="N174" s="24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5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4"/>
      <c r="M175" s="9"/>
      <c r="N175" s="24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5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4"/>
      <c r="M176" s="9"/>
      <c r="N176" s="24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5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4"/>
      <c r="M177" s="9"/>
      <c r="N177" s="24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5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4"/>
      <c r="M178" s="9"/>
      <c r="N178" s="24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5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4"/>
      <c r="M179" s="9"/>
      <c r="N179" s="24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5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4"/>
      <c r="M180" s="9"/>
      <c r="N180" s="24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5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4"/>
      <c r="M181" s="9"/>
      <c r="N181" s="24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5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4"/>
      <c r="M182" s="9"/>
      <c r="N182" s="24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1"/>
      <c r="M183" s="2"/>
      <c r="N183" s="41"/>
    </row>
    <row r="184" spans="1:22" ht="14.25" customHeight="1" x14ac:dyDescent="0.35">
      <c r="L184" s="41"/>
      <c r="M184" s="2"/>
      <c r="N184" s="41"/>
    </row>
    <row r="185" spans="1:22" ht="14.25" customHeight="1" x14ac:dyDescent="0.35">
      <c r="L185" s="41"/>
      <c r="M185" s="2"/>
      <c r="N185" s="41"/>
    </row>
    <row r="186" spans="1:22" ht="14.25" customHeight="1" x14ac:dyDescent="0.35">
      <c r="L186" s="41"/>
      <c r="M186" s="2"/>
      <c r="N186" s="41"/>
    </row>
    <row r="187" spans="1:22" ht="14.25" customHeight="1" x14ac:dyDescent="0.35">
      <c r="L187" s="41"/>
      <c r="M187" s="2"/>
      <c r="N187" s="41"/>
    </row>
    <row r="188" spans="1:22" ht="14.25" customHeight="1" x14ac:dyDescent="0.35">
      <c r="L188" s="41"/>
      <c r="M188" s="2"/>
      <c r="N188" s="41"/>
    </row>
    <row r="189" spans="1:22" ht="14.25" customHeight="1" x14ac:dyDescent="0.35">
      <c r="L189" s="41"/>
      <c r="M189" s="2"/>
      <c r="N189" s="41"/>
    </row>
    <row r="190" spans="1:22" ht="14.25" customHeight="1" x14ac:dyDescent="0.35">
      <c r="L190" s="41"/>
      <c r="M190" s="2"/>
      <c r="N190" s="41"/>
    </row>
    <row r="191" spans="1:22" ht="14.25" customHeight="1" x14ac:dyDescent="0.35">
      <c r="L191" s="41"/>
      <c r="M191" s="2"/>
      <c r="N191" s="41"/>
    </row>
    <row r="192" spans="1:22" ht="14.25" customHeight="1" x14ac:dyDescent="0.35">
      <c r="L192" s="41"/>
      <c r="M192" s="2"/>
      <c r="N192" s="41"/>
    </row>
    <row r="193" spans="12:14" ht="14.25" customHeight="1" x14ac:dyDescent="0.35">
      <c r="L193" s="41"/>
      <c r="M193" s="2"/>
      <c r="N193" s="41"/>
    </row>
    <row r="194" spans="12:14" ht="14.25" customHeight="1" x14ac:dyDescent="0.35">
      <c r="L194" s="41"/>
      <c r="M194" s="2"/>
      <c r="N194" s="41"/>
    </row>
    <row r="195" spans="12:14" ht="14.25" customHeight="1" x14ac:dyDescent="0.35">
      <c r="L195" s="41"/>
      <c r="M195" s="2"/>
      <c r="N195" s="41"/>
    </row>
    <row r="196" spans="12:14" ht="14.25" customHeight="1" x14ac:dyDescent="0.35">
      <c r="L196" s="41"/>
      <c r="M196" s="2"/>
      <c r="N196" s="41"/>
    </row>
    <row r="197" spans="12:14" ht="14.25" customHeight="1" x14ac:dyDescent="0.35">
      <c r="L197" s="41"/>
      <c r="M197" s="2"/>
      <c r="N197" s="41"/>
    </row>
    <row r="198" spans="12:14" ht="14.25" customHeight="1" x14ac:dyDescent="0.35">
      <c r="L198" s="41"/>
      <c r="M198" s="2"/>
      <c r="N198" s="41"/>
    </row>
    <row r="199" spans="12:14" ht="14.25" customHeight="1" x14ac:dyDescent="0.35">
      <c r="L199" s="41"/>
      <c r="M199" s="2"/>
      <c r="N199" s="41"/>
    </row>
    <row r="200" spans="12:14" ht="14.25" customHeight="1" x14ac:dyDescent="0.35">
      <c r="L200" s="41"/>
      <c r="M200" s="2"/>
      <c r="N200" s="41"/>
    </row>
    <row r="201" spans="12:14" ht="14.25" customHeight="1" x14ac:dyDescent="0.35">
      <c r="L201" s="41"/>
      <c r="M201" s="2"/>
      <c r="N201" s="41"/>
    </row>
    <row r="202" spans="12:14" ht="14.25" customHeight="1" x14ac:dyDescent="0.35">
      <c r="L202" s="41"/>
      <c r="M202" s="2"/>
      <c r="N202" s="41"/>
    </row>
    <row r="203" spans="12:14" ht="14.25" customHeight="1" x14ac:dyDescent="0.35">
      <c r="L203" s="41"/>
      <c r="M203" s="2"/>
      <c r="N203" s="41"/>
    </row>
    <row r="204" spans="12:14" ht="14.25" customHeight="1" x14ac:dyDescent="0.35">
      <c r="L204" s="41"/>
      <c r="M204" s="2"/>
      <c r="N204" s="41"/>
    </row>
    <row r="205" spans="12:14" ht="14.25" customHeight="1" x14ac:dyDescent="0.35">
      <c r="L205" s="41"/>
      <c r="M205" s="2"/>
      <c r="N205" s="41"/>
    </row>
    <row r="206" spans="12:14" ht="14.25" customHeight="1" x14ac:dyDescent="0.35">
      <c r="L206" s="41"/>
      <c r="M206" s="2"/>
      <c r="N206" s="41"/>
    </row>
    <row r="207" spans="12:14" ht="14.25" customHeight="1" x14ac:dyDescent="0.35">
      <c r="L207" s="41"/>
      <c r="M207" s="2"/>
      <c r="N207" s="41"/>
    </row>
    <row r="208" spans="12:14" ht="14.25" customHeight="1" x14ac:dyDescent="0.35">
      <c r="L208" s="41"/>
      <c r="M208" s="2"/>
      <c r="N208" s="41"/>
    </row>
    <row r="209" spans="12:14" ht="14.25" customHeight="1" x14ac:dyDescent="0.35">
      <c r="L209" s="41"/>
      <c r="M209" s="2"/>
      <c r="N209" s="41"/>
    </row>
    <row r="210" spans="12:14" ht="14.25" customHeight="1" x14ac:dyDescent="0.35">
      <c r="L210" s="41"/>
      <c r="M210" s="2"/>
      <c r="N210" s="41"/>
    </row>
    <row r="211" spans="12:14" ht="14.25" customHeight="1" x14ac:dyDescent="0.35">
      <c r="L211" s="41"/>
      <c r="M211" s="2"/>
      <c r="N211" s="41"/>
    </row>
    <row r="212" spans="12:14" ht="14.25" customHeight="1" x14ac:dyDescent="0.35">
      <c r="L212" s="41"/>
      <c r="M212" s="2"/>
      <c r="N212" s="41"/>
    </row>
    <row r="213" spans="12:14" ht="14.25" customHeight="1" x14ac:dyDescent="0.35">
      <c r="L213" s="41"/>
      <c r="M213" s="2"/>
      <c r="N213" s="41"/>
    </row>
    <row r="214" spans="12:14" ht="14.25" customHeight="1" x14ac:dyDescent="0.35">
      <c r="L214" s="41"/>
      <c r="M214" s="2"/>
      <c r="N214" s="41"/>
    </row>
    <row r="215" spans="12:14" ht="14.25" customHeight="1" x14ac:dyDescent="0.35">
      <c r="L215" s="41"/>
      <c r="M215" s="2"/>
      <c r="N215" s="41"/>
    </row>
    <row r="216" spans="12:14" ht="14.25" customHeight="1" x14ac:dyDescent="0.35">
      <c r="L216" s="41"/>
      <c r="M216" s="2"/>
      <c r="N216" s="41"/>
    </row>
    <row r="217" spans="12:14" ht="14.25" customHeight="1" x14ac:dyDescent="0.35">
      <c r="L217" s="41"/>
      <c r="M217" s="2"/>
      <c r="N217" s="41"/>
    </row>
    <row r="218" spans="12:14" ht="14.25" customHeight="1" x14ac:dyDescent="0.35">
      <c r="L218" s="41"/>
      <c r="M218" s="2"/>
      <c r="N218" s="41"/>
    </row>
    <row r="219" spans="12:14" ht="14.25" customHeight="1" x14ac:dyDescent="0.35">
      <c r="L219" s="41"/>
      <c r="M219" s="2"/>
      <c r="N219" s="41"/>
    </row>
    <row r="220" spans="12:14" ht="14.25" customHeight="1" x14ac:dyDescent="0.35">
      <c r="L220" s="41"/>
      <c r="M220" s="2"/>
      <c r="N220" s="41"/>
    </row>
    <row r="221" spans="12:14" ht="14.25" customHeight="1" x14ac:dyDescent="0.35">
      <c r="L221" s="41"/>
      <c r="M221" s="2"/>
      <c r="N221" s="41"/>
    </row>
    <row r="222" spans="12:14" ht="14.25" customHeight="1" x14ac:dyDescent="0.35">
      <c r="L222" s="41"/>
      <c r="M222" s="2"/>
      <c r="N222" s="41"/>
    </row>
    <row r="223" spans="12:14" ht="14.25" customHeight="1" x14ac:dyDescent="0.35">
      <c r="L223" s="41"/>
      <c r="M223" s="2"/>
      <c r="N223" s="41"/>
    </row>
    <row r="224" spans="12:14" ht="14.25" customHeight="1" x14ac:dyDescent="0.35">
      <c r="L224" s="41"/>
      <c r="M224" s="2"/>
      <c r="N224" s="41"/>
    </row>
    <row r="225" spans="12:14" ht="14.25" customHeight="1" x14ac:dyDescent="0.35">
      <c r="L225" s="41"/>
      <c r="M225" s="2"/>
      <c r="N225" s="41"/>
    </row>
    <row r="226" spans="12:14" ht="14.25" customHeight="1" x14ac:dyDescent="0.35">
      <c r="L226" s="41"/>
      <c r="M226" s="2"/>
      <c r="N226" s="41"/>
    </row>
    <row r="227" spans="12:14" ht="14.25" customHeight="1" x14ac:dyDescent="0.35">
      <c r="L227" s="41"/>
      <c r="M227" s="2"/>
      <c r="N227" s="41"/>
    </row>
    <row r="228" spans="12:14" ht="14.25" customHeight="1" x14ac:dyDescent="0.35">
      <c r="L228" s="41"/>
      <c r="M228" s="2"/>
      <c r="N228" s="41"/>
    </row>
    <row r="229" spans="12:14" ht="14.25" customHeight="1" x14ac:dyDescent="0.35">
      <c r="L229" s="41"/>
      <c r="M229" s="2"/>
      <c r="N229" s="41"/>
    </row>
    <row r="230" spans="12:14" ht="14.25" customHeight="1" x14ac:dyDescent="0.35">
      <c r="L230" s="41"/>
      <c r="M230" s="2"/>
      <c r="N230" s="41"/>
    </row>
    <row r="231" spans="12:14" ht="14.25" customHeight="1" x14ac:dyDescent="0.35">
      <c r="L231" s="41"/>
      <c r="M231" s="2"/>
      <c r="N231" s="41"/>
    </row>
    <row r="232" spans="12:14" ht="14.25" customHeight="1" x14ac:dyDescent="0.35">
      <c r="L232" s="41"/>
      <c r="M232" s="2"/>
      <c r="N232" s="41"/>
    </row>
    <row r="233" spans="12:14" ht="14.25" customHeight="1" x14ac:dyDescent="0.35">
      <c r="L233" s="41"/>
      <c r="M233" s="2"/>
      <c r="N233" s="41"/>
    </row>
    <row r="234" spans="12:14" ht="14.25" customHeight="1" x14ac:dyDescent="0.35">
      <c r="L234" s="41"/>
      <c r="M234" s="2"/>
      <c r="N234" s="41"/>
    </row>
    <row r="235" spans="12:14" ht="14.25" customHeight="1" x14ac:dyDescent="0.35">
      <c r="L235" s="41"/>
      <c r="M235" s="2"/>
      <c r="N235" s="41"/>
    </row>
    <row r="236" spans="12:14" ht="14.25" customHeight="1" x14ac:dyDescent="0.35">
      <c r="L236" s="41"/>
      <c r="M236" s="2"/>
      <c r="N236" s="41"/>
    </row>
    <row r="237" spans="12:14" ht="14.25" customHeight="1" x14ac:dyDescent="0.35">
      <c r="L237" s="41"/>
      <c r="M237" s="2"/>
      <c r="N237" s="41"/>
    </row>
    <row r="238" spans="12:14" ht="14.25" customHeight="1" x14ac:dyDescent="0.35">
      <c r="L238" s="41"/>
      <c r="M238" s="2"/>
      <c r="N238" s="41"/>
    </row>
    <row r="239" spans="12:14" ht="14.25" customHeight="1" x14ac:dyDescent="0.35">
      <c r="L239" s="41"/>
      <c r="M239" s="2"/>
      <c r="N239" s="41"/>
    </row>
    <row r="240" spans="12:14" ht="14.25" customHeight="1" x14ac:dyDescent="0.35">
      <c r="L240" s="41"/>
      <c r="M240" s="2"/>
      <c r="N240" s="41"/>
    </row>
    <row r="241" spans="12:14" ht="14.25" customHeight="1" x14ac:dyDescent="0.35">
      <c r="L241" s="41"/>
      <c r="M241" s="2"/>
      <c r="N241" s="41"/>
    </row>
    <row r="242" spans="12:14" ht="14.25" customHeight="1" x14ac:dyDescent="0.35">
      <c r="L242" s="41"/>
      <c r="M242" s="2"/>
      <c r="N242" s="41"/>
    </row>
    <row r="243" spans="12:14" ht="14.25" customHeight="1" x14ac:dyDescent="0.35">
      <c r="L243" s="41"/>
      <c r="M243" s="2"/>
      <c r="N243" s="41"/>
    </row>
    <row r="244" spans="12:14" ht="14.25" customHeight="1" x14ac:dyDescent="0.35">
      <c r="L244" s="41"/>
      <c r="M244" s="2"/>
      <c r="N244" s="41"/>
    </row>
    <row r="245" spans="12:14" ht="14.25" customHeight="1" x14ac:dyDescent="0.35">
      <c r="L245" s="41"/>
      <c r="M245" s="2"/>
      <c r="N245" s="41"/>
    </row>
    <row r="246" spans="12:14" ht="14.25" customHeight="1" x14ac:dyDescent="0.35">
      <c r="L246" s="41"/>
      <c r="M246" s="2"/>
      <c r="N246" s="41"/>
    </row>
    <row r="247" spans="12:14" ht="14.25" customHeight="1" x14ac:dyDescent="0.35">
      <c r="L247" s="41"/>
      <c r="M247" s="2"/>
      <c r="N247" s="41"/>
    </row>
    <row r="248" spans="12:14" ht="14.25" customHeight="1" x14ac:dyDescent="0.35">
      <c r="L248" s="41"/>
      <c r="M248" s="2"/>
      <c r="N248" s="41"/>
    </row>
    <row r="249" spans="12:14" ht="14.25" customHeight="1" x14ac:dyDescent="0.35">
      <c r="L249" s="41"/>
      <c r="M249" s="2"/>
      <c r="N249" s="41"/>
    </row>
    <row r="250" spans="12:14" ht="14.25" customHeight="1" x14ac:dyDescent="0.35">
      <c r="L250" s="41"/>
      <c r="M250" s="2"/>
      <c r="N250" s="41"/>
    </row>
    <row r="251" spans="12:14" ht="14.25" customHeight="1" x14ac:dyDescent="0.35">
      <c r="L251" s="41"/>
      <c r="M251" s="2"/>
      <c r="N251" s="41"/>
    </row>
    <row r="252" spans="12:14" ht="14.25" customHeight="1" x14ac:dyDescent="0.35">
      <c r="L252" s="41"/>
      <c r="M252" s="2"/>
      <c r="N252" s="41"/>
    </row>
    <row r="253" spans="12:14" ht="14.25" customHeight="1" x14ac:dyDescent="0.35">
      <c r="L253" s="41"/>
      <c r="M253" s="2"/>
      <c r="N253" s="41"/>
    </row>
    <row r="254" spans="12:14" ht="14.25" customHeight="1" x14ac:dyDescent="0.35">
      <c r="L254" s="41"/>
      <c r="M254" s="2"/>
      <c r="N254" s="41"/>
    </row>
    <row r="255" spans="12:14" ht="14.25" customHeight="1" x14ac:dyDescent="0.35">
      <c r="L255" s="41"/>
      <c r="M255" s="2"/>
      <c r="N255" s="41"/>
    </row>
    <row r="256" spans="12:14" ht="14.25" customHeight="1" x14ac:dyDescent="0.35">
      <c r="L256" s="41"/>
      <c r="M256" s="2"/>
      <c r="N256" s="41"/>
    </row>
    <row r="257" spans="12:14" ht="14.25" customHeight="1" x14ac:dyDescent="0.35">
      <c r="L257" s="41"/>
      <c r="M257" s="2"/>
      <c r="N257" s="41"/>
    </row>
    <row r="258" spans="12:14" ht="14.25" customHeight="1" x14ac:dyDescent="0.35">
      <c r="L258" s="41"/>
      <c r="M258" s="2"/>
      <c r="N258" s="41"/>
    </row>
    <row r="259" spans="12:14" ht="14.25" customHeight="1" x14ac:dyDescent="0.35">
      <c r="L259" s="41"/>
      <c r="M259" s="2"/>
      <c r="N259" s="41"/>
    </row>
    <row r="260" spans="12:14" ht="14.25" customHeight="1" x14ac:dyDescent="0.35">
      <c r="L260" s="41"/>
      <c r="M260" s="2"/>
      <c r="N260" s="41"/>
    </row>
    <row r="261" spans="12:14" ht="14.25" customHeight="1" x14ac:dyDescent="0.35">
      <c r="L261" s="41"/>
      <c r="M261" s="2"/>
      <c r="N261" s="41"/>
    </row>
    <row r="262" spans="12:14" ht="14.25" customHeight="1" x14ac:dyDescent="0.35">
      <c r="L262" s="41"/>
      <c r="M262" s="2"/>
      <c r="N262" s="41"/>
    </row>
    <row r="263" spans="12:14" ht="14.25" customHeight="1" x14ac:dyDescent="0.35">
      <c r="L263" s="41"/>
      <c r="M263" s="2"/>
      <c r="N263" s="41"/>
    </row>
    <row r="264" spans="12:14" ht="14.25" customHeight="1" x14ac:dyDescent="0.35">
      <c r="L264" s="41"/>
      <c r="M264" s="2"/>
      <c r="N264" s="41"/>
    </row>
    <row r="265" spans="12:14" ht="14.25" customHeight="1" x14ac:dyDescent="0.35">
      <c r="L265" s="41"/>
      <c r="M265" s="2"/>
      <c r="N265" s="41"/>
    </row>
    <row r="266" spans="12:14" ht="14.25" customHeight="1" x14ac:dyDescent="0.35">
      <c r="L266" s="41"/>
      <c r="M266" s="2"/>
      <c r="N266" s="41"/>
    </row>
    <row r="267" spans="12:14" ht="14.25" customHeight="1" x14ac:dyDescent="0.35">
      <c r="L267" s="41"/>
      <c r="M267" s="2"/>
      <c r="N267" s="41"/>
    </row>
    <row r="268" spans="12:14" ht="14.25" customHeight="1" x14ac:dyDescent="0.35">
      <c r="L268" s="41"/>
      <c r="M268" s="2"/>
      <c r="N268" s="41"/>
    </row>
    <row r="269" spans="12:14" ht="14.25" customHeight="1" x14ac:dyDescent="0.35">
      <c r="L269" s="41"/>
      <c r="M269" s="2"/>
      <c r="N269" s="41"/>
    </row>
    <row r="270" spans="12:14" ht="14.25" customHeight="1" x14ac:dyDescent="0.35">
      <c r="L270" s="41"/>
      <c r="M270" s="2"/>
      <c r="N270" s="41"/>
    </row>
    <row r="271" spans="12:14" ht="14.25" customHeight="1" x14ac:dyDescent="0.35">
      <c r="L271" s="41"/>
      <c r="M271" s="2"/>
      <c r="N271" s="41"/>
    </row>
    <row r="272" spans="12:14" ht="14.25" customHeight="1" x14ac:dyDescent="0.35">
      <c r="L272" s="41"/>
      <c r="M272" s="2"/>
      <c r="N272" s="41"/>
    </row>
    <row r="273" spans="12:14" ht="14.25" customHeight="1" x14ac:dyDescent="0.35">
      <c r="L273" s="41"/>
      <c r="M273" s="2"/>
      <c r="N273" s="41"/>
    </row>
    <row r="274" spans="12:14" ht="14.25" customHeight="1" x14ac:dyDescent="0.35">
      <c r="L274" s="41"/>
      <c r="M274" s="2"/>
      <c r="N274" s="41"/>
    </row>
    <row r="275" spans="12:14" ht="14.25" customHeight="1" x14ac:dyDescent="0.35">
      <c r="L275" s="41"/>
      <c r="M275" s="2"/>
      <c r="N275" s="41"/>
    </row>
    <row r="276" spans="12:14" ht="14.25" customHeight="1" x14ac:dyDescent="0.35">
      <c r="L276" s="41"/>
      <c r="M276" s="2"/>
      <c r="N276" s="41"/>
    </row>
    <row r="277" spans="12:14" ht="14.25" customHeight="1" x14ac:dyDescent="0.35">
      <c r="L277" s="41"/>
      <c r="M277" s="2"/>
      <c r="N277" s="41"/>
    </row>
    <row r="278" spans="12:14" ht="14.25" customHeight="1" x14ac:dyDescent="0.35">
      <c r="L278" s="41"/>
      <c r="M278" s="2"/>
      <c r="N278" s="41"/>
    </row>
    <row r="279" spans="12:14" ht="14.25" customHeight="1" x14ac:dyDescent="0.35">
      <c r="L279" s="41"/>
      <c r="M279" s="2"/>
      <c r="N279" s="41"/>
    </row>
    <row r="280" spans="12:14" ht="14.25" customHeight="1" x14ac:dyDescent="0.35">
      <c r="L280" s="41"/>
      <c r="M280" s="2"/>
      <c r="N280" s="41"/>
    </row>
    <row r="281" spans="12:14" ht="14.25" customHeight="1" x14ac:dyDescent="0.35">
      <c r="L281" s="41"/>
      <c r="M281" s="2"/>
      <c r="N281" s="41"/>
    </row>
    <row r="282" spans="12:14" ht="14.25" customHeight="1" x14ac:dyDescent="0.35">
      <c r="L282" s="41"/>
      <c r="M282" s="2"/>
      <c r="N282" s="41"/>
    </row>
    <row r="283" spans="12:14" ht="14.25" customHeight="1" x14ac:dyDescent="0.35">
      <c r="L283" s="41"/>
      <c r="M283" s="2"/>
      <c r="N283" s="41"/>
    </row>
    <row r="284" spans="12:14" ht="14.25" customHeight="1" x14ac:dyDescent="0.35">
      <c r="L284" s="41"/>
      <c r="M284" s="2"/>
      <c r="N284" s="41"/>
    </row>
    <row r="285" spans="12:14" ht="14.25" customHeight="1" x14ac:dyDescent="0.35">
      <c r="L285" s="41"/>
      <c r="M285" s="2"/>
      <c r="N285" s="41"/>
    </row>
    <row r="286" spans="12:14" ht="14.25" customHeight="1" x14ac:dyDescent="0.35">
      <c r="L286" s="41"/>
      <c r="M286" s="2"/>
      <c r="N286" s="41"/>
    </row>
    <row r="287" spans="12:14" ht="14.25" customHeight="1" x14ac:dyDescent="0.35">
      <c r="L287" s="41"/>
      <c r="M287" s="2"/>
      <c r="N287" s="41"/>
    </row>
    <row r="288" spans="12:14" ht="14.25" customHeight="1" x14ac:dyDescent="0.35">
      <c r="L288" s="41"/>
      <c r="M288" s="2"/>
      <c r="N288" s="41"/>
    </row>
    <row r="289" spans="12:14" ht="14.25" customHeight="1" x14ac:dyDescent="0.35">
      <c r="L289" s="41"/>
      <c r="M289" s="2"/>
      <c r="N289" s="41"/>
    </row>
    <row r="290" spans="12:14" ht="14.25" customHeight="1" x14ac:dyDescent="0.35">
      <c r="L290" s="41"/>
      <c r="M290" s="2"/>
      <c r="N290" s="41"/>
    </row>
    <row r="291" spans="12:14" ht="14.25" customHeight="1" x14ac:dyDescent="0.35">
      <c r="L291" s="41"/>
      <c r="M291" s="2"/>
      <c r="N291" s="41"/>
    </row>
    <row r="292" spans="12:14" ht="14.25" customHeight="1" x14ac:dyDescent="0.35">
      <c r="L292" s="41"/>
      <c r="M292" s="2"/>
      <c r="N292" s="41"/>
    </row>
    <row r="293" spans="12:14" ht="14.25" customHeight="1" x14ac:dyDescent="0.35">
      <c r="L293" s="41"/>
      <c r="M293" s="2"/>
      <c r="N293" s="41"/>
    </row>
    <row r="294" spans="12:14" ht="14.25" customHeight="1" x14ac:dyDescent="0.35">
      <c r="L294" s="41"/>
      <c r="M294" s="2"/>
      <c r="N294" s="41"/>
    </row>
    <row r="295" spans="12:14" ht="14.25" customHeight="1" x14ac:dyDescent="0.35">
      <c r="L295" s="41"/>
      <c r="M295" s="2"/>
      <c r="N295" s="41"/>
    </row>
    <row r="296" spans="12:14" ht="14.25" customHeight="1" x14ac:dyDescent="0.35">
      <c r="L296" s="41"/>
      <c r="M296" s="2"/>
      <c r="N296" s="41"/>
    </row>
    <row r="297" spans="12:14" ht="14.25" customHeight="1" x14ac:dyDescent="0.35">
      <c r="L297" s="41"/>
      <c r="M297" s="2"/>
      <c r="N297" s="41"/>
    </row>
    <row r="298" spans="12:14" ht="14.25" customHeight="1" x14ac:dyDescent="0.35">
      <c r="L298" s="41"/>
      <c r="M298" s="2"/>
      <c r="N298" s="41"/>
    </row>
    <row r="299" spans="12:14" ht="14.25" customHeight="1" x14ac:dyDescent="0.35">
      <c r="L299" s="41"/>
      <c r="M299" s="2"/>
      <c r="N299" s="41"/>
    </row>
    <row r="300" spans="12:14" ht="14.25" customHeight="1" x14ac:dyDescent="0.35">
      <c r="L300" s="41"/>
      <c r="M300" s="2"/>
      <c r="N300" s="41"/>
    </row>
    <row r="301" spans="12:14" ht="14.25" customHeight="1" x14ac:dyDescent="0.35">
      <c r="L301" s="41"/>
      <c r="M301" s="2"/>
      <c r="N301" s="41"/>
    </row>
    <row r="302" spans="12:14" ht="14.25" customHeight="1" x14ac:dyDescent="0.35">
      <c r="L302" s="41"/>
      <c r="M302" s="2"/>
      <c r="N302" s="41"/>
    </row>
    <row r="303" spans="12:14" ht="14.25" customHeight="1" x14ac:dyDescent="0.35">
      <c r="L303" s="41"/>
      <c r="M303" s="2"/>
      <c r="N303" s="41"/>
    </row>
    <row r="304" spans="12:14" ht="14.25" customHeight="1" x14ac:dyDescent="0.35">
      <c r="L304" s="41"/>
      <c r="M304" s="2"/>
      <c r="N304" s="41"/>
    </row>
    <row r="305" spans="12:14" ht="14.25" customHeight="1" x14ac:dyDescent="0.35">
      <c r="L305" s="41"/>
      <c r="M305" s="2"/>
      <c r="N305" s="41"/>
    </row>
    <row r="306" spans="12:14" ht="14.25" customHeight="1" x14ac:dyDescent="0.35">
      <c r="L306" s="41"/>
      <c r="M306" s="2"/>
      <c r="N306" s="41"/>
    </row>
    <row r="307" spans="12:14" ht="14.25" customHeight="1" x14ac:dyDescent="0.35">
      <c r="L307" s="41"/>
      <c r="M307" s="2"/>
      <c r="N307" s="41"/>
    </row>
    <row r="308" spans="12:14" ht="14.25" customHeight="1" x14ac:dyDescent="0.35">
      <c r="L308" s="41"/>
      <c r="M308" s="2"/>
      <c r="N308" s="41"/>
    </row>
    <row r="309" spans="12:14" ht="14.25" customHeight="1" x14ac:dyDescent="0.35">
      <c r="L309" s="41"/>
      <c r="M309" s="2"/>
      <c r="N309" s="41"/>
    </row>
    <row r="310" spans="12:14" ht="14.25" customHeight="1" x14ac:dyDescent="0.35">
      <c r="L310" s="41"/>
      <c r="M310" s="2"/>
      <c r="N310" s="41"/>
    </row>
    <row r="311" spans="12:14" ht="14.25" customHeight="1" x14ac:dyDescent="0.35">
      <c r="L311" s="41"/>
      <c r="M311" s="2"/>
      <c r="N311" s="41"/>
    </row>
    <row r="312" spans="12:14" ht="14.25" customHeight="1" x14ac:dyDescent="0.35">
      <c r="L312" s="41"/>
      <c r="M312" s="2"/>
      <c r="N312" s="41"/>
    </row>
    <row r="313" spans="12:14" ht="14.25" customHeight="1" x14ac:dyDescent="0.35">
      <c r="L313" s="41"/>
      <c r="M313" s="2"/>
      <c r="N313" s="41"/>
    </row>
    <row r="314" spans="12:14" ht="14.25" customHeight="1" x14ac:dyDescent="0.35">
      <c r="L314" s="41"/>
      <c r="M314" s="2"/>
      <c r="N314" s="41"/>
    </row>
    <row r="315" spans="12:14" ht="14.25" customHeight="1" x14ac:dyDescent="0.35">
      <c r="L315" s="41"/>
      <c r="M315" s="2"/>
      <c r="N315" s="41"/>
    </row>
    <row r="316" spans="12:14" ht="14.25" customHeight="1" x14ac:dyDescent="0.35">
      <c r="L316" s="41"/>
      <c r="M316" s="2"/>
      <c r="N316" s="41"/>
    </row>
    <row r="317" spans="12:14" ht="14.25" customHeight="1" x14ac:dyDescent="0.35">
      <c r="L317" s="41"/>
      <c r="M317" s="2"/>
      <c r="N317" s="41"/>
    </row>
    <row r="318" spans="12:14" ht="14.25" customHeight="1" x14ac:dyDescent="0.35">
      <c r="L318" s="41"/>
      <c r="M318" s="2"/>
      <c r="N318" s="41"/>
    </row>
    <row r="319" spans="12:14" ht="14.25" customHeight="1" x14ac:dyDescent="0.35">
      <c r="L319" s="41"/>
      <c r="M319" s="2"/>
      <c r="N319" s="41"/>
    </row>
    <row r="320" spans="12:14" ht="14.25" customHeight="1" x14ac:dyDescent="0.35">
      <c r="L320" s="41"/>
      <c r="M320" s="2"/>
      <c r="N320" s="41"/>
    </row>
    <row r="321" spans="12:14" ht="14.25" customHeight="1" x14ac:dyDescent="0.35">
      <c r="L321" s="41"/>
      <c r="M321" s="2"/>
      <c r="N321" s="41"/>
    </row>
    <row r="322" spans="12:14" ht="14.25" customHeight="1" x14ac:dyDescent="0.35">
      <c r="L322" s="41"/>
      <c r="M322" s="2"/>
      <c r="N322" s="41"/>
    </row>
    <row r="323" spans="12:14" ht="14.25" customHeight="1" x14ac:dyDescent="0.35">
      <c r="L323" s="41"/>
      <c r="M323" s="2"/>
      <c r="N323" s="41"/>
    </row>
    <row r="324" spans="12:14" ht="14.25" customHeight="1" x14ac:dyDescent="0.35">
      <c r="L324" s="41"/>
      <c r="M324" s="2"/>
      <c r="N324" s="41"/>
    </row>
    <row r="325" spans="12:14" ht="14.25" customHeight="1" x14ac:dyDescent="0.35">
      <c r="L325" s="41"/>
      <c r="M325" s="2"/>
      <c r="N325" s="41"/>
    </row>
    <row r="326" spans="12:14" ht="14.25" customHeight="1" x14ac:dyDescent="0.35">
      <c r="L326" s="41"/>
      <c r="M326" s="2"/>
      <c r="N326" s="41"/>
    </row>
    <row r="327" spans="12:14" ht="14.25" customHeight="1" x14ac:dyDescent="0.35">
      <c r="L327" s="41"/>
      <c r="M327" s="2"/>
      <c r="N327" s="41"/>
    </row>
    <row r="328" spans="12:14" ht="14.25" customHeight="1" x14ac:dyDescent="0.35">
      <c r="L328" s="41"/>
      <c r="M328" s="2"/>
      <c r="N328" s="41"/>
    </row>
    <row r="329" spans="12:14" ht="14.25" customHeight="1" x14ac:dyDescent="0.35">
      <c r="L329" s="41"/>
      <c r="M329" s="2"/>
      <c r="N329" s="41"/>
    </row>
    <row r="330" spans="12:14" ht="14.25" customHeight="1" x14ac:dyDescent="0.35">
      <c r="L330" s="41"/>
      <c r="M330" s="2"/>
      <c r="N330" s="41"/>
    </row>
    <row r="331" spans="12:14" ht="14.25" customHeight="1" x14ac:dyDescent="0.35">
      <c r="L331" s="41"/>
      <c r="M331" s="2"/>
      <c r="N331" s="41"/>
    </row>
    <row r="332" spans="12:14" ht="14.25" customHeight="1" x14ac:dyDescent="0.35">
      <c r="L332" s="41"/>
      <c r="M332" s="2"/>
      <c r="N332" s="41"/>
    </row>
    <row r="333" spans="12:14" ht="14.25" customHeight="1" x14ac:dyDescent="0.35">
      <c r="L333" s="41"/>
      <c r="M333" s="2"/>
      <c r="N333" s="41"/>
    </row>
    <row r="334" spans="12:14" ht="14.25" customHeight="1" x14ac:dyDescent="0.35">
      <c r="L334" s="41"/>
      <c r="M334" s="2"/>
      <c r="N334" s="41"/>
    </row>
    <row r="335" spans="12:14" ht="14.25" customHeight="1" x14ac:dyDescent="0.35">
      <c r="L335" s="41"/>
      <c r="M335" s="2"/>
      <c r="N335" s="41"/>
    </row>
    <row r="336" spans="12:14" ht="14.25" customHeight="1" x14ac:dyDescent="0.35">
      <c r="L336" s="41"/>
      <c r="M336" s="2"/>
      <c r="N336" s="41"/>
    </row>
    <row r="337" spans="12:14" ht="14.25" customHeight="1" x14ac:dyDescent="0.35">
      <c r="L337" s="41"/>
      <c r="M337" s="2"/>
      <c r="N337" s="41"/>
    </row>
    <row r="338" spans="12:14" ht="14.25" customHeight="1" x14ac:dyDescent="0.35">
      <c r="L338" s="41"/>
      <c r="M338" s="2"/>
      <c r="N338" s="41"/>
    </row>
    <row r="339" spans="12:14" ht="14.25" customHeight="1" x14ac:dyDescent="0.35">
      <c r="L339" s="41"/>
      <c r="M339" s="2"/>
      <c r="N339" s="41"/>
    </row>
    <row r="340" spans="12:14" ht="14.25" customHeight="1" x14ac:dyDescent="0.35">
      <c r="L340" s="41"/>
      <c r="M340" s="2"/>
      <c r="N340" s="41"/>
    </row>
    <row r="341" spans="12:14" ht="14.25" customHeight="1" x14ac:dyDescent="0.35">
      <c r="L341" s="41"/>
      <c r="M341" s="2"/>
      <c r="N341" s="41"/>
    </row>
    <row r="342" spans="12:14" ht="14.25" customHeight="1" x14ac:dyDescent="0.35">
      <c r="L342" s="41"/>
      <c r="M342" s="2"/>
      <c r="N342" s="41"/>
    </row>
    <row r="343" spans="12:14" ht="14.25" customHeight="1" x14ac:dyDescent="0.35">
      <c r="L343" s="41"/>
      <c r="M343" s="2"/>
      <c r="N343" s="41"/>
    </row>
    <row r="344" spans="12:14" ht="14.25" customHeight="1" x14ac:dyDescent="0.35">
      <c r="L344" s="41"/>
      <c r="M344" s="2"/>
      <c r="N344" s="41"/>
    </row>
    <row r="345" spans="12:14" ht="14.25" customHeight="1" x14ac:dyDescent="0.35">
      <c r="L345" s="41"/>
      <c r="M345" s="2"/>
      <c r="N345" s="41"/>
    </row>
    <row r="346" spans="12:14" ht="14.25" customHeight="1" x14ac:dyDescent="0.35">
      <c r="L346" s="41"/>
      <c r="M346" s="2"/>
      <c r="N346" s="41"/>
    </row>
    <row r="347" spans="12:14" ht="14.25" customHeight="1" x14ac:dyDescent="0.35">
      <c r="L347" s="41"/>
      <c r="M347" s="2"/>
      <c r="N347" s="41"/>
    </row>
    <row r="348" spans="12:14" ht="14.25" customHeight="1" x14ac:dyDescent="0.35">
      <c r="L348" s="41"/>
      <c r="M348" s="2"/>
      <c r="N348" s="41"/>
    </row>
    <row r="349" spans="12:14" ht="14.25" customHeight="1" x14ac:dyDescent="0.35">
      <c r="L349" s="41"/>
      <c r="M349" s="2"/>
      <c r="N349" s="41"/>
    </row>
    <row r="350" spans="12:14" ht="14.25" customHeight="1" x14ac:dyDescent="0.35">
      <c r="L350" s="41"/>
      <c r="M350" s="2"/>
      <c r="N350" s="41"/>
    </row>
    <row r="351" spans="12:14" ht="14.25" customHeight="1" x14ac:dyDescent="0.35">
      <c r="L351" s="41"/>
      <c r="M351" s="2"/>
      <c r="N351" s="41"/>
    </row>
    <row r="352" spans="12:14" ht="14.25" customHeight="1" x14ac:dyDescent="0.35">
      <c r="L352" s="41"/>
      <c r="M352" s="2"/>
      <c r="N352" s="41"/>
    </row>
    <row r="353" spans="12:14" ht="14.25" customHeight="1" x14ac:dyDescent="0.35">
      <c r="L353" s="41"/>
      <c r="M353" s="2"/>
      <c r="N353" s="41"/>
    </row>
    <row r="354" spans="12:14" ht="14.25" customHeight="1" x14ac:dyDescent="0.35">
      <c r="L354" s="41"/>
      <c r="M354" s="2"/>
      <c r="N354" s="41"/>
    </row>
    <row r="355" spans="12:14" ht="14.25" customHeight="1" x14ac:dyDescent="0.35">
      <c r="L355" s="41"/>
      <c r="M355" s="2"/>
      <c r="N355" s="41"/>
    </row>
    <row r="356" spans="12:14" ht="14.25" customHeight="1" x14ac:dyDescent="0.35">
      <c r="L356" s="41"/>
      <c r="M356" s="2"/>
      <c r="N356" s="41"/>
    </row>
    <row r="357" spans="12:14" ht="14.25" customHeight="1" x14ac:dyDescent="0.35">
      <c r="L357" s="41"/>
      <c r="M357" s="2"/>
      <c r="N357" s="41"/>
    </row>
    <row r="358" spans="12:14" ht="14.25" customHeight="1" x14ac:dyDescent="0.35">
      <c r="L358" s="41"/>
      <c r="M358" s="2"/>
      <c r="N358" s="41"/>
    </row>
    <row r="359" spans="12:14" ht="14.25" customHeight="1" x14ac:dyDescent="0.35">
      <c r="L359" s="41"/>
      <c r="M359" s="2"/>
      <c r="N359" s="41"/>
    </row>
    <row r="360" spans="12:14" ht="14.25" customHeight="1" x14ac:dyDescent="0.35">
      <c r="L360" s="41"/>
      <c r="M360" s="2"/>
      <c r="N360" s="41"/>
    </row>
    <row r="361" spans="12:14" ht="14.25" customHeight="1" x14ac:dyDescent="0.35">
      <c r="L361" s="41"/>
      <c r="M361" s="2"/>
      <c r="N361" s="41"/>
    </row>
    <row r="362" spans="12:14" ht="14.25" customHeight="1" x14ac:dyDescent="0.35">
      <c r="L362" s="41"/>
      <c r="M362" s="2"/>
      <c r="N362" s="41"/>
    </row>
    <row r="363" spans="12:14" ht="14.25" customHeight="1" x14ac:dyDescent="0.35">
      <c r="L363" s="41"/>
      <c r="M363" s="2"/>
      <c r="N363" s="41"/>
    </row>
    <row r="364" spans="12:14" ht="14.25" customHeight="1" x14ac:dyDescent="0.35">
      <c r="L364" s="41"/>
      <c r="M364" s="2"/>
      <c r="N364" s="41"/>
    </row>
    <row r="365" spans="12:14" ht="14.25" customHeight="1" x14ac:dyDescent="0.35">
      <c r="L365" s="41"/>
      <c r="M365" s="2"/>
      <c r="N365" s="41"/>
    </row>
    <row r="366" spans="12:14" ht="14.25" customHeight="1" x14ac:dyDescent="0.35">
      <c r="L366" s="41"/>
      <c r="M366" s="2"/>
      <c r="N366" s="41"/>
    </row>
    <row r="367" spans="12:14" ht="14.25" customHeight="1" x14ac:dyDescent="0.35">
      <c r="L367" s="41"/>
      <c r="M367" s="2"/>
      <c r="N367" s="41"/>
    </row>
    <row r="368" spans="12:14" ht="14.25" customHeight="1" x14ac:dyDescent="0.35">
      <c r="L368" s="41"/>
      <c r="M368" s="2"/>
      <c r="N368" s="41"/>
    </row>
    <row r="369" spans="12:14" ht="14.25" customHeight="1" x14ac:dyDescent="0.35">
      <c r="L369" s="41"/>
      <c r="M369" s="2"/>
      <c r="N369" s="41"/>
    </row>
    <row r="370" spans="12:14" ht="14.25" customHeight="1" x14ac:dyDescent="0.35">
      <c r="L370" s="41"/>
      <c r="M370" s="2"/>
      <c r="N370" s="41"/>
    </row>
    <row r="371" spans="12:14" ht="14.25" customHeight="1" x14ac:dyDescent="0.35">
      <c r="L371" s="41"/>
      <c r="M371" s="2"/>
      <c r="N371" s="41"/>
    </row>
    <row r="372" spans="12:14" ht="14.25" customHeight="1" x14ac:dyDescent="0.35">
      <c r="L372" s="41"/>
      <c r="M372" s="2"/>
      <c r="N372" s="41"/>
    </row>
    <row r="373" spans="12:14" ht="14.25" customHeight="1" x14ac:dyDescent="0.35">
      <c r="L373" s="41"/>
      <c r="M373" s="2"/>
      <c r="N373" s="41"/>
    </row>
    <row r="374" spans="12:14" ht="14.25" customHeight="1" x14ac:dyDescent="0.35">
      <c r="L374" s="41"/>
      <c r="M374" s="2"/>
      <c r="N374" s="41"/>
    </row>
    <row r="375" spans="12:14" ht="14.25" customHeight="1" x14ac:dyDescent="0.35">
      <c r="L375" s="41"/>
      <c r="M375" s="2"/>
      <c r="N375" s="41"/>
    </row>
    <row r="376" spans="12:14" ht="14.25" customHeight="1" x14ac:dyDescent="0.35">
      <c r="L376" s="41"/>
      <c r="M376" s="2"/>
      <c r="N376" s="41"/>
    </row>
    <row r="377" spans="12:14" ht="14.25" customHeight="1" x14ac:dyDescent="0.35">
      <c r="L377" s="41"/>
      <c r="M377" s="2"/>
      <c r="N377" s="41"/>
    </row>
    <row r="378" spans="12:14" ht="14.25" customHeight="1" x14ac:dyDescent="0.35">
      <c r="L378" s="41"/>
      <c r="M378" s="2"/>
      <c r="N378" s="41"/>
    </row>
    <row r="379" spans="12:14" ht="14.25" customHeight="1" x14ac:dyDescent="0.35">
      <c r="L379" s="41"/>
      <c r="M379" s="2"/>
      <c r="N379" s="41"/>
    </row>
    <row r="380" spans="12:14" ht="14.25" customHeight="1" x14ac:dyDescent="0.35">
      <c r="L380" s="41"/>
      <c r="M380" s="2"/>
      <c r="N380" s="41"/>
    </row>
    <row r="381" spans="12:14" ht="14.25" customHeight="1" x14ac:dyDescent="0.35">
      <c r="L381" s="41"/>
      <c r="M381" s="2"/>
      <c r="N381" s="41"/>
    </row>
    <row r="382" spans="12:14" ht="14.25" customHeight="1" x14ac:dyDescent="0.35">
      <c r="L382" s="41"/>
      <c r="M382" s="2"/>
      <c r="N382" s="41"/>
    </row>
    <row r="383" spans="12:14" ht="14.25" customHeight="1" x14ac:dyDescent="0.35">
      <c r="L383" s="41"/>
      <c r="M383" s="2"/>
      <c r="N383" s="41"/>
    </row>
    <row r="384" spans="12:14" ht="14.25" customHeight="1" x14ac:dyDescent="0.35">
      <c r="L384" s="41"/>
      <c r="M384" s="2"/>
      <c r="N384" s="41"/>
    </row>
    <row r="385" spans="12:14" ht="14.25" customHeight="1" x14ac:dyDescent="0.35">
      <c r="L385" s="41"/>
      <c r="M385" s="2"/>
      <c r="N385" s="41"/>
    </row>
    <row r="386" spans="12:14" ht="14.25" customHeight="1" x14ac:dyDescent="0.35">
      <c r="L386" s="41"/>
      <c r="M386" s="2"/>
      <c r="N386" s="41"/>
    </row>
    <row r="387" spans="12:14" ht="14.25" customHeight="1" x14ac:dyDescent="0.35">
      <c r="L387" s="41"/>
      <c r="M387" s="2"/>
      <c r="N387" s="41"/>
    </row>
    <row r="388" spans="12:14" ht="14.25" customHeight="1" x14ac:dyDescent="0.35">
      <c r="L388" s="41"/>
      <c r="M388" s="2"/>
      <c r="N388" s="41"/>
    </row>
    <row r="389" spans="12:14" ht="14.25" customHeight="1" x14ac:dyDescent="0.35">
      <c r="L389" s="41"/>
      <c r="M389" s="2"/>
      <c r="N389" s="41"/>
    </row>
    <row r="390" spans="12:14" ht="14.25" customHeight="1" x14ac:dyDescent="0.35">
      <c r="L390" s="41"/>
      <c r="M390" s="2"/>
      <c r="N390" s="41"/>
    </row>
    <row r="391" spans="12:14" ht="14.25" customHeight="1" x14ac:dyDescent="0.35">
      <c r="L391" s="41"/>
      <c r="M391" s="2"/>
      <c r="N391" s="41"/>
    </row>
    <row r="392" spans="12:14" ht="14.25" customHeight="1" x14ac:dyDescent="0.35">
      <c r="L392" s="41"/>
      <c r="M392" s="2"/>
      <c r="N392" s="41"/>
    </row>
    <row r="393" spans="12:14" ht="14.25" customHeight="1" x14ac:dyDescent="0.35">
      <c r="L393" s="41"/>
      <c r="M393" s="2"/>
      <c r="N393" s="41"/>
    </row>
    <row r="394" spans="12:14" ht="14.25" customHeight="1" x14ac:dyDescent="0.35">
      <c r="L394" s="41"/>
      <c r="M394" s="2"/>
      <c r="N394" s="41"/>
    </row>
    <row r="395" spans="12:14" ht="14.25" customHeight="1" x14ac:dyDescent="0.35">
      <c r="L395" s="41"/>
      <c r="M395" s="2"/>
      <c r="N395" s="41"/>
    </row>
    <row r="396" spans="12:14" ht="14.25" customHeight="1" x14ac:dyDescent="0.35">
      <c r="L396" s="41"/>
      <c r="M396" s="2"/>
      <c r="N396" s="41"/>
    </row>
    <row r="397" spans="12:14" ht="14.25" customHeight="1" x14ac:dyDescent="0.35">
      <c r="L397" s="41"/>
      <c r="M397" s="2"/>
      <c r="N397" s="41"/>
    </row>
    <row r="398" spans="12:14" ht="14.25" customHeight="1" x14ac:dyDescent="0.35">
      <c r="L398" s="41"/>
      <c r="M398" s="2"/>
      <c r="N398" s="41"/>
    </row>
    <row r="399" spans="12:14" ht="14.25" customHeight="1" x14ac:dyDescent="0.35">
      <c r="L399" s="41"/>
      <c r="M399" s="2"/>
      <c r="N399" s="41"/>
    </row>
    <row r="400" spans="12:14" ht="14.25" customHeight="1" x14ac:dyDescent="0.35">
      <c r="L400" s="41"/>
      <c r="M400" s="2"/>
      <c r="N400" s="41"/>
    </row>
    <row r="401" spans="12:14" ht="14.25" customHeight="1" x14ac:dyDescent="0.35">
      <c r="L401" s="41"/>
      <c r="M401" s="2"/>
      <c r="N401" s="41"/>
    </row>
    <row r="402" spans="12:14" ht="14.25" customHeight="1" x14ac:dyDescent="0.35">
      <c r="L402" s="41"/>
      <c r="M402" s="2"/>
      <c r="N402" s="41"/>
    </row>
    <row r="403" spans="12:14" ht="14.25" customHeight="1" x14ac:dyDescent="0.35">
      <c r="L403" s="41"/>
      <c r="M403" s="2"/>
      <c r="N403" s="41"/>
    </row>
    <row r="404" spans="12:14" ht="14.25" customHeight="1" x14ac:dyDescent="0.35">
      <c r="L404" s="41"/>
      <c r="M404" s="2"/>
      <c r="N404" s="41"/>
    </row>
    <row r="405" spans="12:14" ht="14.25" customHeight="1" x14ac:dyDescent="0.35">
      <c r="L405" s="41"/>
      <c r="M405" s="2"/>
      <c r="N405" s="41"/>
    </row>
    <row r="406" spans="12:14" ht="14.25" customHeight="1" x14ac:dyDescent="0.35">
      <c r="L406" s="41"/>
      <c r="M406" s="2"/>
      <c r="N406" s="41"/>
    </row>
    <row r="407" spans="12:14" ht="14.25" customHeight="1" x14ac:dyDescent="0.35">
      <c r="L407" s="41"/>
      <c r="M407" s="2"/>
      <c r="N407" s="41"/>
    </row>
    <row r="408" spans="12:14" ht="14.25" customHeight="1" x14ac:dyDescent="0.35">
      <c r="L408" s="41"/>
      <c r="M408" s="2"/>
      <c r="N408" s="41"/>
    </row>
    <row r="409" spans="12:14" ht="14.25" customHeight="1" x14ac:dyDescent="0.35">
      <c r="L409" s="41"/>
      <c r="M409" s="2"/>
      <c r="N409" s="41"/>
    </row>
    <row r="410" spans="12:14" ht="14.25" customHeight="1" x14ac:dyDescent="0.35">
      <c r="L410" s="41"/>
      <c r="M410" s="2"/>
      <c r="N410" s="41"/>
    </row>
    <row r="411" spans="12:14" ht="14.25" customHeight="1" x14ac:dyDescent="0.35">
      <c r="L411" s="41"/>
      <c r="M411" s="2"/>
      <c r="N411" s="41"/>
    </row>
    <row r="412" spans="12:14" ht="14.25" customHeight="1" x14ac:dyDescent="0.35">
      <c r="L412" s="41"/>
      <c r="M412" s="2"/>
      <c r="N412" s="41"/>
    </row>
    <row r="413" spans="12:14" ht="14.25" customHeight="1" x14ac:dyDescent="0.35">
      <c r="L413" s="41"/>
      <c r="M413" s="2"/>
      <c r="N413" s="41"/>
    </row>
    <row r="414" spans="12:14" ht="14.25" customHeight="1" x14ac:dyDescent="0.35">
      <c r="L414" s="41"/>
      <c r="M414" s="2"/>
      <c r="N414" s="41"/>
    </row>
    <row r="415" spans="12:14" ht="14.25" customHeight="1" x14ac:dyDescent="0.35">
      <c r="L415" s="41"/>
      <c r="M415" s="2"/>
      <c r="N415" s="41"/>
    </row>
    <row r="416" spans="12:14" ht="14.25" customHeight="1" x14ac:dyDescent="0.35">
      <c r="L416" s="41"/>
      <c r="M416" s="2"/>
      <c r="N416" s="41"/>
    </row>
    <row r="417" spans="12:14" ht="14.25" customHeight="1" x14ac:dyDescent="0.35">
      <c r="L417" s="41"/>
      <c r="M417" s="2"/>
      <c r="N417" s="41"/>
    </row>
    <row r="418" spans="12:14" ht="14.25" customHeight="1" x14ac:dyDescent="0.35">
      <c r="L418" s="41"/>
      <c r="M418" s="2"/>
      <c r="N418" s="41"/>
    </row>
    <row r="419" spans="12:14" ht="14.25" customHeight="1" x14ac:dyDescent="0.35">
      <c r="L419" s="41"/>
      <c r="M419" s="2"/>
      <c r="N419" s="41"/>
    </row>
    <row r="420" spans="12:14" ht="14.25" customHeight="1" x14ac:dyDescent="0.35">
      <c r="L420" s="41"/>
      <c r="M420" s="2"/>
      <c r="N420" s="41"/>
    </row>
    <row r="421" spans="12:14" ht="14.25" customHeight="1" x14ac:dyDescent="0.35">
      <c r="L421" s="41"/>
      <c r="M421" s="2"/>
      <c r="N421" s="41"/>
    </row>
    <row r="422" spans="12:14" ht="14.25" customHeight="1" x14ac:dyDescent="0.35">
      <c r="L422" s="41"/>
      <c r="M422" s="2"/>
      <c r="N422" s="41"/>
    </row>
    <row r="423" spans="12:14" ht="14.25" customHeight="1" x14ac:dyDescent="0.35">
      <c r="L423" s="41"/>
      <c r="M423" s="2"/>
      <c r="N423" s="41"/>
    </row>
    <row r="424" spans="12:14" ht="14.25" customHeight="1" x14ac:dyDescent="0.35">
      <c r="L424" s="41"/>
      <c r="M424" s="2"/>
      <c r="N424" s="41"/>
    </row>
    <row r="425" spans="12:14" ht="14.25" customHeight="1" x14ac:dyDescent="0.35">
      <c r="L425" s="41"/>
      <c r="M425" s="2"/>
      <c r="N425" s="41"/>
    </row>
    <row r="426" spans="12:14" ht="14.25" customHeight="1" x14ac:dyDescent="0.35">
      <c r="L426" s="41"/>
      <c r="M426" s="2"/>
      <c r="N426" s="41"/>
    </row>
    <row r="427" spans="12:14" ht="14.25" customHeight="1" x14ac:dyDescent="0.35">
      <c r="L427" s="41"/>
      <c r="M427" s="2"/>
      <c r="N427" s="41"/>
    </row>
    <row r="428" spans="12:14" ht="14.25" customHeight="1" x14ac:dyDescent="0.35">
      <c r="L428" s="41"/>
      <c r="M428" s="2"/>
      <c r="N428" s="41"/>
    </row>
    <row r="429" spans="12:14" ht="14.25" customHeight="1" x14ac:dyDescent="0.35">
      <c r="L429" s="41"/>
      <c r="M429" s="2"/>
      <c r="N429" s="41"/>
    </row>
    <row r="430" spans="12:14" ht="14.25" customHeight="1" x14ac:dyDescent="0.35">
      <c r="L430" s="41"/>
      <c r="M430" s="2"/>
      <c r="N430" s="41"/>
    </row>
    <row r="431" spans="12:14" ht="14.25" customHeight="1" x14ac:dyDescent="0.35">
      <c r="L431" s="41"/>
      <c r="M431" s="2"/>
      <c r="N431" s="41"/>
    </row>
    <row r="432" spans="12:14" ht="14.25" customHeight="1" x14ac:dyDescent="0.35">
      <c r="L432" s="41"/>
      <c r="M432" s="2"/>
      <c r="N432" s="41"/>
    </row>
    <row r="433" spans="12:14" ht="14.25" customHeight="1" x14ac:dyDescent="0.35">
      <c r="L433" s="41"/>
      <c r="M433" s="2"/>
      <c r="N433" s="41"/>
    </row>
    <row r="434" spans="12:14" ht="14.25" customHeight="1" x14ac:dyDescent="0.35">
      <c r="L434" s="41"/>
      <c r="M434" s="2"/>
      <c r="N434" s="41"/>
    </row>
    <row r="435" spans="12:14" ht="14.25" customHeight="1" x14ac:dyDescent="0.35">
      <c r="L435" s="41"/>
      <c r="M435" s="2"/>
      <c r="N435" s="41"/>
    </row>
    <row r="436" spans="12:14" ht="14.25" customHeight="1" x14ac:dyDescent="0.35">
      <c r="L436" s="41"/>
      <c r="M436" s="2"/>
      <c r="N436" s="41"/>
    </row>
    <row r="437" spans="12:14" ht="14.25" customHeight="1" x14ac:dyDescent="0.35">
      <c r="L437" s="41"/>
      <c r="M437" s="2"/>
      <c r="N437" s="41"/>
    </row>
    <row r="438" spans="12:14" ht="14.25" customHeight="1" x14ac:dyDescent="0.35">
      <c r="L438" s="41"/>
      <c r="M438" s="2"/>
      <c r="N438" s="41"/>
    </row>
    <row r="439" spans="12:14" ht="14.25" customHeight="1" x14ac:dyDescent="0.35">
      <c r="L439" s="41"/>
      <c r="M439" s="2"/>
      <c r="N439" s="41"/>
    </row>
    <row r="440" spans="12:14" ht="14.25" customHeight="1" x14ac:dyDescent="0.35">
      <c r="L440" s="41"/>
      <c r="M440" s="2"/>
      <c r="N440" s="41"/>
    </row>
    <row r="441" spans="12:14" ht="14.25" customHeight="1" x14ac:dyDescent="0.35">
      <c r="L441" s="41"/>
      <c r="M441" s="2"/>
      <c r="N441" s="41"/>
    </row>
    <row r="442" spans="12:14" ht="14.25" customHeight="1" x14ac:dyDescent="0.35">
      <c r="L442" s="41"/>
      <c r="M442" s="2"/>
      <c r="N442" s="41"/>
    </row>
    <row r="443" spans="12:14" ht="14.25" customHeight="1" x14ac:dyDescent="0.35">
      <c r="L443" s="41"/>
      <c r="M443" s="2"/>
      <c r="N443" s="41"/>
    </row>
    <row r="444" spans="12:14" ht="14.25" customHeight="1" x14ac:dyDescent="0.35">
      <c r="L444" s="41"/>
      <c r="M444" s="2"/>
      <c r="N444" s="41"/>
    </row>
    <row r="445" spans="12:14" ht="14.25" customHeight="1" x14ac:dyDescent="0.35">
      <c r="L445" s="41"/>
      <c r="M445" s="2"/>
      <c r="N445" s="41"/>
    </row>
    <row r="446" spans="12:14" ht="14.25" customHeight="1" x14ac:dyDescent="0.35">
      <c r="L446" s="41"/>
      <c r="M446" s="2"/>
      <c r="N446" s="41"/>
    </row>
    <row r="447" spans="12:14" ht="14.25" customHeight="1" x14ac:dyDescent="0.35">
      <c r="L447" s="41"/>
      <c r="M447" s="2"/>
      <c r="N447" s="41"/>
    </row>
    <row r="448" spans="12:14" ht="14.25" customHeight="1" x14ac:dyDescent="0.35">
      <c r="L448" s="41"/>
      <c r="M448" s="2"/>
      <c r="N448" s="41"/>
    </row>
    <row r="449" spans="12:14" ht="14.25" customHeight="1" x14ac:dyDescent="0.35">
      <c r="L449" s="41"/>
      <c r="M449" s="2"/>
      <c r="N449" s="41"/>
    </row>
    <row r="450" spans="12:14" ht="14.25" customHeight="1" x14ac:dyDescent="0.35">
      <c r="L450" s="41"/>
      <c r="M450" s="2"/>
      <c r="N450" s="41"/>
    </row>
    <row r="451" spans="12:14" ht="14.25" customHeight="1" x14ac:dyDescent="0.35">
      <c r="L451" s="41"/>
      <c r="M451" s="2"/>
      <c r="N451" s="41"/>
    </row>
    <row r="452" spans="12:14" ht="14.25" customHeight="1" x14ac:dyDescent="0.35">
      <c r="L452" s="41"/>
      <c r="M452" s="2"/>
      <c r="N452" s="41"/>
    </row>
    <row r="453" spans="12:14" ht="14.25" customHeight="1" x14ac:dyDescent="0.35">
      <c r="L453" s="41"/>
      <c r="M453" s="2"/>
      <c r="N453" s="41"/>
    </row>
    <row r="454" spans="12:14" ht="14.25" customHeight="1" x14ac:dyDescent="0.35">
      <c r="L454" s="41"/>
      <c r="M454" s="2"/>
      <c r="N454" s="41"/>
    </row>
    <row r="455" spans="12:14" ht="14.25" customHeight="1" x14ac:dyDescent="0.35">
      <c r="L455" s="41"/>
      <c r="M455" s="2"/>
      <c r="N455" s="41"/>
    </row>
    <row r="456" spans="12:14" ht="14.25" customHeight="1" x14ac:dyDescent="0.35">
      <c r="L456" s="41"/>
      <c r="M456" s="2"/>
      <c r="N456" s="41"/>
    </row>
    <row r="457" spans="12:14" ht="14.25" customHeight="1" x14ac:dyDescent="0.35">
      <c r="L457" s="41"/>
      <c r="M457" s="2"/>
      <c r="N457" s="41"/>
    </row>
    <row r="458" spans="12:14" ht="14.25" customHeight="1" x14ac:dyDescent="0.35">
      <c r="L458" s="41"/>
      <c r="M458" s="2"/>
      <c r="N458" s="41"/>
    </row>
    <row r="459" spans="12:14" ht="14.25" customHeight="1" x14ac:dyDescent="0.35">
      <c r="L459" s="41"/>
      <c r="M459" s="2"/>
      <c r="N459" s="41"/>
    </row>
    <row r="460" spans="12:14" ht="14.25" customHeight="1" x14ac:dyDescent="0.35">
      <c r="L460" s="41"/>
      <c r="M460" s="2"/>
      <c r="N460" s="41"/>
    </row>
    <row r="461" spans="12:14" ht="14.25" customHeight="1" x14ac:dyDescent="0.35">
      <c r="L461" s="41"/>
      <c r="M461" s="2"/>
      <c r="N461" s="41"/>
    </row>
    <row r="462" spans="12:14" ht="14.25" customHeight="1" x14ac:dyDescent="0.35">
      <c r="L462" s="41"/>
      <c r="M462" s="2"/>
      <c r="N462" s="41"/>
    </row>
    <row r="463" spans="12:14" ht="14.25" customHeight="1" x14ac:dyDescent="0.35">
      <c r="L463" s="41"/>
      <c r="M463" s="2"/>
      <c r="N463" s="41"/>
    </row>
    <row r="464" spans="12:14" ht="14.25" customHeight="1" x14ac:dyDescent="0.35">
      <c r="L464" s="41"/>
      <c r="M464" s="2"/>
      <c r="N464" s="41"/>
    </row>
    <row r="465" spans="12:14" ht="14.25" customHeight="1" x14ac:dyDescent="0.35">
      <c r="L465" s="41"/>
      <c r="M465" s="2"/>
      <c r="N465" s="41"/>
    </row>
    <row r="466" spans="12:14" ht="14.25" customHeight="1" x14ac:dyDescent="0.35">
      <c r="L466" s="41"/>
      <c r="M466" s="2"/>
      <c r="N466" s="41"/>
    </row>
    <row r="467" spans="12:14" ht="14.25" customHeight="1" x14ac:dyDescent="0.35">
      <c r="L467" s="41"/>
      <c r="M467" s="2"/>
      <c r="N467" s="41"/>
    </row>
    <row r="468" spans="12:14" ht="14.25" customHeight="1" x14ac:dyDescent="0.35">
      <c r="L468" s="41"/>
      <c r="M468" s="2"/>
      <c r="N468" s="41"/>
    </row>
    <row r="469" spans="12:14" ht="14.25" customHeight="1" x14ac:dyDescent="0.35">
      <c r="L469" s="41"/>
      <c r="M469" s="2"/>
      <c r="N469" s="41"/>
    </row>
    <row r="470" spans="12:14" ht="14.25" customHeight="1" x14ac:dyDescent="0.35">
      <c r="L470" s="41"/>
      <c r="M470" s="2"/>
      <c r="N470" s="41"/>
    </row>
    <row r="471" spans="12:14" ht="14.25" customHeight="1" x14ac:dyDescent="0.35">
      <c r="L471" s="41"/>
      <c r="M471" s="2"/>
      <c r="N471" s="41"/>
    </row>
    <row r="472" spans="12:14" ht="14.25" customHeight="1" x14ac:dyDescent="0.35">
      <c r="L472" s="41"/>
      <c r="M472" s="2"/>
      <c r="N472" s="41"/>
    </row>
    <row r="473" spans="12:14" ht="14.25" customHeight="1" x14ac:dyDescent="0.35">
      <c r="L473" s="41"/>
      <c r="M473" s="2"/>
      <c r="N473" s="41"/>
    </row>
    <row r="474" spans="12:14" ht="14.25" customHeight="1" x14ac:dyDescent="0.35">
      <c r="L474" s="41"/>
      <c r="M474" s="2"/>
      <c r="N474" s="41"/>
    </row>
    <row r="475" spans="12:14" ht="14.25" customHeight="1" x14ac:dyDescent="0.35">
      <c r="L475" s="41"/>
      <c r="M475" s="2"/>
      <c r="N475" s="41"/>
    </row>
    <row r="476" spans="12:14" ht="14.25" customHeight="1" x14ac:dyDescent="0.35">
      <c r="L476" s="41"/>
      <c r="M476" s="2"/>
      <c r="N476" s="41"/>
    </row>
    <row r="477" spans="12:14" ht="14.25" customHeight="1" x14ac:dyDescent="0.35">
      <c r="L477" s="41"/>
      <c r="M477" s="2"/>
      <c r="N477" s="41"/>
    </row>
    <row r="478" spans="12:14" ht="14.25" customHeight="1" x14ac:dyDescent="0.35">
      <c r="L478" s="41"/>
      <c r="M478" s="2"/>
      <c r="N478" s="41"/>
    </row>
    <row r="479" spans="12:14" ht="14.25" customHeight="1" x14ac:dyDescent="0.35">
      <c r="L479" s="41"/>
      <c r="M479" s="2"/>
      <c r="N479" s="41"/>
    </row>
    <row r="480" spans="12:14" ht="14.25" customHeight="1" x14ac:dyDescent="0.35">
      <c r="L480" s="41"/>
      <c r="M480" s="2"/>
      <c r="N480" s="41"/>
    </row>
    <row r="481" spans="12:14" ht="14.25" customHeight="1" x14ac:dyDescent="0.35">
      <c r="L481" s="41"/>
      <c r="M481" s="2"/>
      <c r="N481" s="41"/>
    </row>
    <row r="482" spans="12:14" ht="14.25" customHeight="1" x14ac:dyDescent="0.35">
      <c r="L482" s="41"/>
      <c r="M482" s="2"/>
      <c r="N482" s="41"/>
    </row>
    <row r="483" spans="12:14" ht="14.25" customHeight="1" x14ac:dyDescent="0.35">
      <c r="L483" s="41"/>
      <c r="M483" s="2"/>
      <c r="N483" s="41"/>
    </row>
    <row r="484" spans="12:14" ht="14.25" customHeight="1" x14ac:dyDescent="0.35">
      <c r="L484" s="41"/>
      <c r="M484" s="2"/>
      <c r="N484" s="41"/>
    </row>
    <row r="485" spans="12:14" ht="14.25" customHeight="1" x14ac:dyDescent="0.35">
      <c r="L485" s="41"/>
      <c r="M485" s="2"/>
      <c r="N485" s="41"/>
    </row>
    <row r="486" spans="12:14" ht="14.25" customHeight="1" x14ac:dyDescent="0.35">
      <c r="L486" s="41"/>
      <c r="M486" s="2"/>
      <c r="N486" s="41"/>
    </row>
    <row r="487" spans="12:14" ht="14.25" customHeight="1" x14ac:dyDescent="0.35">
      <c r="L487" s="41"/>
      <c r="M487" s="2"/>
      <c r="N487" s="41"/>
    </row>
    <row r="488" spans="12:14" ht="14.25" customHeight="1" x14ac:dyDescent="0.35">
      <c r="L488" s="41"/>
      <c r="M488" s="2"/>
      <c r="N488" s="41"/>
    </row>
    <row r="489" spans="12:14" ht="14.25" customHeight="1" x14ac:dyDescent="0.35">
      <c r="L489" s="41"/>
      <c r="M489" s="2"/>
      <c r="N489" s="41"/>
    </row>
    <row r="490" spans="12:14" ht="14.25" customHeight="1" x14ac:dyDescent="0.35">
      <c r="L490" s="41"/>
      <c r="M490" s="2"/>
      <c r="N490" s="41"/>
    </row>
    <row r="491" spans="12:14" ht="14.25" customHeight="1" x14ac:dyDescent="0.35">
      <c r="L491" s="41"/>
      <c r="M491" s="2"/>
      <c r="N491" s="41"/>
    </row>
    <row r="492" spans="12:14" ht="14.25" customHeight="1" x14ac:dyDescent="0.35">
      <c r="L492" s="41"/>
      <c r="M492" s="2"/>
      <c r="N492" s="41"/>
    </row>
    <row r="493" spans="12:14" ht="14.25" customHeight="1" x14ac:dyDescent="0.35">
      <c r="L493" s="41"/>
      <c r="M493" s="2"/>
      <c r="N493" s="41"/>
    </row>
    <row r="494" spans="12:14" ht="14.25" customHeight="1" x14ac:dyDescent="0.35">
      <c r="L494" s="41"/>
      <c r="M494" s="2"/>
      <c r="N494" s="41"/>
    </row>
    <row r="495" spans="12:14" ht="14.25" customHeight="1" x14ac:dyDescent="0.35">
      <c r="L495" s="41"/>
      <c r="M495" s="2"/>
      <c r="N495" s="41"/>
    </row>
    <row r="496" spans="12:14" ht="14.25" customHeight="1" x14ac:dyDescent="0.35">
      <c r="L496" s="41"/>
      <c r="M496" s="2"/>
      <c r="N496" s="41"/>
    </row>
    <row r="497" spans="12:14" ht="14.25" customHeight="1" x14ac:dyDescent="0.35">
      <c r="L497" s="41"/>
      <c r="M497" s="2"/>
      <c r="N497" s="41"/>
    </row>
    <row r="498" spans="12:14" ht="14.25" customHeight="1" x14ac:dyDescent="0.35">
      <c r="L498" s="41"/>
      <c r="M498" s="2"/>
      <c r="N498" s="41"/>
    </row>
    <row r="499" spans="12:14" ht="14.25" customHeight="1" x14ac:dyDescent="0.35">
      <c r="L499" s="41"/>
      <c r="M499" s="2"/>
      <c r="N499" s="41"/>
    </row>
    <row r="500" spans="12:14" ht="14.25" customHeight="1" x14ac:dyDescent="0.35">
      <c r="L500" s="41"/>
      <c r="M500" s="2"/>
      <c r="N500" s="41"/>
    </row>
    <row r="501" spans="12:14" ht="14.25" customHeight="1" x14ac:dyDescent="0.35">
      <c r="L501" s="41"/>
      <c r="M501" s="2"/>
      <c r="N501" s="41"/>
    </row>
    <row r="502" spans="12:14" ht="14.25" customHeight="1" x14ac:dyDescent="0.35">
      <c r="L502" s="41"/>
      <c r="M502" s="2"/>
      <c r="N502" s="41"/>
    </row>
    <row r="503" spans="12:14" ht="14.25" customHeight="1" x14ac:dyDescent="0.35">
      <c r="L503" s="41"/>
      <c r="M503" s="2"/>
      <c r="N503" s="41"/>
    </row>
    <row r="504" spans="12:14" ht="14.25" customHeight="1" x14ac:dyDescent="0.35">
      <c r="L504" s="41"/>
      <c r="M504" s="2"/>
      <c r="N504" s="41"/>
    </row>
    <row r="505" spans="12:14" ht="14.25" customHeight="1" x14ac:dyDescent="0.35">
      <c r="L505" s="41"/>
      <c r="M505" s="2"/>
      <c r="N505" s="41"/>
    </row>
    <row r="506" spans="12:14" ht="14.25" customHeight="1" x14ac:dyDescent="0.35">
      <c r="L506" s="41"/>
      <c r="M506" s="2"/>
      <c r="N506" s="41"/>
    </row>
    <row r="507" spans="12:14" ht="14.25" customHeight="1" x14ac:dyDescent="0.35">
      <c r="L507" s="41"/>
      <c r="M507" s="2"/>
      <c r="N507" s="41"/>
    </row>
    <row r="508" spans="12:14" ht="14.25" customHeight="1" x14ac:dyDescent="0.35">
      <c r="L508" s="41"/>
      <c r="M508" s="2"/>
      <c r="N508" s="41"/>
    </row>
    <row r="509" spans="12:14" ht="14.25" customHeight="1" x14ac:dyDescent="0.35">
      <c r="L509" s="41"/>
      <c r="M509" s="2"/>
      <c r="N509" s="41"/>
    </row>
    <row r="510" spans="12:14" ht="14.25" customHeight="1" x14ac:dyDescent="0.35">
      <c r="L510" s="41"/>
      <c r="M510" s="2"/>
      <c r="N510" s="41"/>
    </row>
    <row r="511" spans="12:14" ht="14.25" customHeight="1" x14ac:dyDescent="0.35">
      <c r="L511" s="41"/>
      <c r="M511" s="2"/>
      <c r="N511" s="41"/>
    </row>
    <row r="512" spans="12:14" ht="14.25" customHeight="1" x14ac:dyDescent="0.35">
      <c r="L512" s="41"/>
      <c r="M512" s="2"/>
      <c r="N512" s="41"/>
    </row>
    <row r="513" spans="12:14" ht="14.25" customHeight="1" x14ac:dyDescent="0.35">
      <c r="L513" s="41"/>
      <c r="M513" s="2"/>
      <c r="N513" s="41"/>
    </row>
    <row r="514" spans="12:14" ht="14.25" customHeight="1" x14ac:dyDescent="0.35">
      <c r="L514" s="41"/>
      <c r="M514" s="2"/>
      <c r="N514" s="41"/>
    </row>
    <row r="515" spans="12:14" ht="14.25" customHeight="1" x14ac:dyDescent="0.35">
      <c r="L515" s="41"/>
      <c r="M515" s="2"/>
      <c r="N515" s="41"/>
    </row>
    <row r="516" spans="12:14" ht="14.25" customHeight="1" x14ac:dyDescent="0.35">
      <c r="L516" s="41"/>
      <c r="M516" s="2"/>
      <c r="N516" s="41"/>
    </row>
    <row r="517" spans="12:14" ht="14.25" customHeight="1" x14ac:dyDescent="0.35">
      <c r="L517" s="41"/>
      <c r="M517" s="2"/>
      <c r="N517" s="41"/>
    </row>
    <row r="518" spans="12:14" ht="14.25" customHeight="1" x14ac:dyDescent="0.35">
      <c r="L518" s="41"/>
      <c r="M518" s="2"/>
      <c r="N518" s="41"/>
    </row>
    <row r="519" spans="12:14" ht="14.25" customHeight="1" x14ac:dyDescent="0.35">
      <c r="L519" s="41"/>
      <c r="M519" s="2"/>
      <c r="N519" s="41"/>
    </row>
    <row r="520" spans="12:14" ht="14.25" customHeight="1" x14ac:dyDescent="0.35">
      <c r="L520" s="41"/>
      <c r="M520" s="2"/>
      <c r="N520" s="41"/>
    </row>
    <row r="521" spans="12:14" ht="14.25" customHeight="1" x14ac:dyDescent="0.35">
      <c r="L521" s="41"/>
      <c r="M521" s="2"/>
      <c r="N521" s="41"/>
    </row>
    <row r="522" spans="12:14" ht="14.25" customHeight="1" x14ac:dyDescent="0.35">
      <c r="L522" s="41"/>
      <c r="M522" s="2"/>
      <c r="N522" s="41"/>
    </row>
    <row r="523" spans="12:14" ht="14.25" customHeight="1" x14ac:dyDescent="0.35">
      <c r="L523" s="41"/>
      <c r="M523" s="2"/>
      <c r="N523" s="41"/>
    </row>
    <row r="524" spans="12:14" ht="14.25" customHeight="1" x14ac:dyDescent="0.35">
      <c r="L524" s="41"/>
      <c r="M524" s="2"/>
      <c r="N524" s="41"/>
    </row>
    <row r="525" spans="12:14" ht="14.25" customHeight="1" x14ac:dyDescent="0.35">
      <c r="L525" s="41"/>
      <c r="M525" s="2"/>
      <c r="N525" s="41"/>
    </row>
    <row r="526" spans="12:14" ht="14.25" customHeight="1" x14ac:dyDescent="0.35">
      <c r="L526" s="41"/>
      <c r="M526" s="2"/>
      <c r="N526" s="41"/>
    </row>
    <row r="527" spans="12:14" ht="14.25" customHeight="1" x14ac:dyDescent="0.35">
      <c r="L527" s="41"/>
      <c r="M527" s="2"/>
      <c r="N527" s="41"/>
    </row>
    <row r="528" spans="12:14" ht="14.25" customHeight="1" x14ac:dyDescent="0.35">
      <c r="L528" s="41"/>
      <c r="M528" s="2"/>
      <c r="N528" s="41"/>
    </row>
    <row r="529" spans="12:14" ht="14.25" customHeight="1" x14ac:dyDescent="0.35">
      <c r="L529" s="41"/>
      <c r="M529" s="2"/>
      <c r="N529" s="41"/>
    </row>
    <row r="530" spans="12:14" ht="14.25" customHeight="1" x14ac:dyDescent="0.35">
      <c r="L530" s="41"/>
      <c r="M530" s="2"/>
      <c r="N530" s="41"/>
    </row>
    <row r="531" spans="12:14" ht="14.25" customHeight="1" x14ac:dyDescent="0.35">
      <c r="L531" s="41"/>
      <c r="M531" s="2"/>
      <c r="N531" s="41"/>
    </row>
    <row r="532" spans="12:14" ht="14.25" customHeight="1" x14ac:dyDescent="0.35">
      <c r="L532" s="41"/>
      <c r="M532" s="2"/>
      <c r="N532" s="41"/>
    </row>
    <row r="533" spans="12:14" ht="14.25" customHeight="1" x14ac:dyDescent="0.35">
      <c r="L533" s="41"/>
      <c r="M533" s="2"/>
      <c r="N533" s="41"/>
    </row>
    <row r="534" spans="12:14" ht="14.25" customHeight="1" x14ac:dyDescent="0.35">
      <c r="L534" s="41"/>
      <c r="M534" s="2"/>
      <c r="N534" s="41"/>
    </row>
    <row r="535" spans="12:14" ht="14.25" customHeight="1" x14ac:dyDescent="0.35">
      <c r="L535" s="41"/>
      <c r="M535" s="2"/>
      <c r="N535" s="41"/>
    </row>
    <row r="536" spans="12:14" ht="14.25" customHeight="1" x14ac:dyDescent="0.35">
      <c r="L536" s="41"/>
      <c r="M536" s="2"/>
      <c r="N536" s="41"/>
    </row>
    <row r="537" spans="12:14" ht="14.25" customHeight="1" x14ac:dyDescent="0.35">
      <c r="L537" s="41"/>
      <c r="M537" s="2"/>
      <c r="N537" s="41"/>
    </row>
    <row r="538" spans="12:14" ht="14.25" customHeight="1" x14ac:dyDescent="0.35">
      <c r="L538" s="41"/>
      <c r="M538" s="2"/>
      <c r="N538" s="41"/>
    </row>
    <row r="539" spans="12:14" ht="14.25" customHeight="1" x14ac:dyDescent="0.35">
      <c r="L539" s="41"/>
      <c r="M539" s="2"/>
      <c r="N539" s="41"/>
    </row>
    <row r="540" spans="12:14" ht="14.25" customHeight="1" x14ac:dyDescent="0.35">
      <c r="L540" s="41"/>
      <c r="M540" s="2"/>
      <c r="N540" s="41"/>
    </row>
    <row r="541" spans="12:14" ht="14.25" customHeight="1" x14ac:dyDescent="0.35">
      <c r="L541" s="41"/>
      <c r="M541" s="2"/>
      <c r="N541" s="41"/>
    </row>
    <row r="542" spans="12:14" ht="14.25" customHeight="1" x14ac:dyDescent="0.35">
      <c r="L542" s="41"/>
      <c r="M542" s="2"/>
      <c r="N542" s="41"/>
    </row>
    <row r="543" spans="12:14" ht="14.25" customHeight="1" x14ac:dyDescent="0.35">
      <c r="L543" s="41"/>
      <c r="M543" s="2"/>
      <c r="N543" s="41"/>
    </row>
    <row r="544" spans="12:14" ht="14.25" customHeight="1" x14ac:dyDescent="0.35">
      <c r="L544" s="41"/>
      <c r="M544" s="2"/>
      <c r="N544" s="41"/>
    </row>
    <row r="545" spans="12:14" ht="14.25" customHeight="1" x14ac:dyDescent="0.35">
      <c r="L545" s="41"/>
      <c r="M545" s="2"/>
      <c r="N545" s="41"/>
    </row>
    <row r="546" spans="12:14" ht="14.25" customHeight="1" x14ac:dyDescent="0.35">
      <c r="L546" s="41"/>
      <c r="M546" s="2"/>
      <c r="N546" s="41"/>
    </row>
    <row r="547" spans="12:14" ht="14.25" customHeight="1" x14ac:dyDescent="0.35">
      <c r="L547" s="41"/>
      <c r="M547" s="2"/>
      <c r="N547" s="41"/>
    </row>
    <row r="548" spans="12:14" ht="14.25" customHeight="1" x14ac:dyDescent="0.35">
      <c r="L548" s="41"/>
      <c r="M548" s="2"/>
      <c r="N548" s="41"/>
    </row>
    <row r="549" spans="12:14" ht="14.25" customHeight="1" x14ac:dyDescent="0.35">
      <c r="L549" s="41"/>
      <c r="M549" s="2"/>
      <c r="N549" s="41"/>
    </row>
    <row r="550" spans="12:14" ht="14.25" customHeight="1" x14ac:dyDescent="0.35">
      <c r="L550" s="41"/>
      <c r="M550" s="2"/>
      <c r="N550" s="41"/>
    </row>
    <row r="551" spans="12:14" ht="14.25" customHeight="1" x14ac:dyDescent="0.35">
      <c r="L551" s="41"/>
      <c r="M551" s="2"/>
      <c r="N551" s="41"/>
    </row>
    <row r="552" spans="12:14" ht="14.25" customHeight="1" x14ac:dyDescent="0.35">
      <c r="L552" s="41"/>
      <c r="M552" s="2"/>
      <c r="N552" s="41"/>
    </row>
    <row r="553" spans="12:14" ht="14.25" customHeight="1" x14ac:dyDescent="0.35">
      <c r="L553" s="41"/>
      <c r="M553" s="2"/>
      <c r="N553" s="41"/>
    </row>
    <row r="554" spans="12:14" ht="14.25" customHeight="1" x14ac:dyDescent="0.35">
      <c r="L554" s="41"/>
      <c r="M554" s="2"/>
      <c r="N554" s="41"/>
    </row>
    <row r="555" spans="12:14" ht="14.25" customHeight="1" x14ac:dyDescent="0.35">
      <c r="L555" s="41"/>
      <c r="M555" s="2"/>
      <c r="N555" s="41"/>
    </row>
    <row r="556" spans="12:14" ht="14.25" customHeight="1" x14ac:dyDescent="0.35">
      <c r="L556" s="41"/>
      <c r="M556" s="2"/>
      <c r="N556" s="41"/>
    </row>
    <row r="557" spans="12:14" ht="14.25" customHeight="1" x14ac:dyDescent="0.35">
      <c r="L557" s="41"/>
      <c r="M557" s="2"/>
      <c r="N557" s="41"/>
    </row>
    <row r="558" spans="12:14" ht="14.25" customHeight="1" x14ac:dyDescent="0.35">
      <c r="L558" s="41"/>
      <c r="M558" s="2"/>
      <c r="N558" s="41"/>
    </row>
    <row r="559" spans="12:14" ht="14.25" customHeight="1" x14ac:dyDescent="0.35">
      <c r="L559" s="41"/>
      <c r="M559" s="2"/>
      <c r="N559" s="41"/>
    </row>
    <row r="560" spans="12:14" ht="14.25" customHeight="1" x14ac:dyDescent="0.35">
      <c r="L560" s="41"/>
      <c r="M560" s="2"/>
      <c r="N560" s="41"/>
    </row>
    <row r="561" spans="12:14" ht="14.25" customHeight="1" x14ac:dyDescent="0.35">
      <c r="L561" s="41"/>
      <c r="M561" s="2"/>
      <c r="N561" s="41"/>
    </row>
    <row r="562" spans="12:14" ht="14.25" customHeight="1" x14ac:dyDescent="0.35">
      <c r="L562" s="41"/>
      <c r="M562" s="2"/>
      <c r="N562" s="41"/>
    </row>
    <row r="563" spans="12:14" ht="14.25" customHeight="1" x14ac:dyDescent="0.35">
      <c r="L563" s="41"/>
      <c r="M563" s="2"/>
      <c r="N563" s="41"/>
    </row>
    <row r="564" spans="12:14" ht="14.25" customHeight="1" x14ac:dyDescent="0.35">
      <c r="L564" s="41"/>
      <c r="M564" s="2"/>
      <c r="N564" s="41"/>
    </row>
    <row r="565" spans="12:14" ht="14.25" customHeight="1" x14ac:dyDescent="0.35">
      <c r="L565" s="41"/>
      <c r="M565" s="2"/>
      <c r="N565" s="41"/>
    </row>
    <row r="566" spans="12:14" ht="14.25" customHeight="1" x14ac:dyDescent="0.35">
      <c r="L566" s="41"/>
      <c r="M566" s="2"/>
      <c r="N566" s="41"/>
    </row>
    <row r="567" spans="12:14" ht="14.25" customHeight="1" x14ac:dyDescent="0.35">
      <c r="L567" s="41"/>
      <c r="M567" s="2"/>
      <c r="N567" s="41"/>
    </row>
    <row r="568" spans="12:14" ht="14.25" customHeight="1" x14ac:dyDescent="0.35">
      <c r="L568" s="41"/>
      <c r="M568" s="2"/>
      <c r="N568" s="41"/>
    </row>
    <row r="569" spans="12:14" ht="14.25" customHeight="1" x14ac:dyDescent="0.35">
      <c r="L569" s="41"/>
      <c r="M569" s="2"/>
      <c r="N569" s="41"/>
    </row>
    <row r="570" spans="12:14" ht="14.25" customHeight="1" x14ac:dyDescent="0.35">
      <c r="L570" s="41"/>
      <c r="M570" s="2"/>
      <c r="N570" s="41"/>
    </row>
    <row r="571" spans="12:14" ht="14.25" customHeight="1" x14ac:dyDescent="0.35">
      <c r="L571" s="41"/>
      <c r="M571" s="2"/>
      <c r="N571" s="41"/>
    </row>
    <row r="572" spans="12:14" ht="14.25" customHeight="1" x14ac:dyDescent="0.35">
      <c r="L572" s="41"/>
      <c r="M572" s="2"/>
      <c r="N572" s="41"/>
    </row>
    <row r="573" spans="12:14" ht="14.25" customHeight="1" x14ac:dyDescent="0.35">
      <c r="L573" s="41"/>
      <c r="M573" s="2"/>
      <c r="N573" s="41"/>
    </row>
    <row r="574" spans="12:14" ht="14.25" customHeight="1" x14ac:dyDescent="0.35">
      <c r="L574" s="41"/>
      <c r="M574" s="2"/>
      <c r="N574" s="41"/>
    </row>
    <row r="575" spans="12:14" ht="14.25" customHeight="1" x14ac:dyDescent="0.35">
      <c r="L575" s="41"/>
      <c r="M575" s="2"/>
      <c r="N575" s="41"/>
    </row>
    <row r="576" spans="12:14" ht="14.25" customHeight="1" x14ac:dyDescent="0.35">
      <c r="L576" s="41"/>
      <c r="M576" s="2"/>
      <c r="N576" s="41"/>
    </row>
    <row r="577" spans="12:14" ht="14.25" customHeight="1" x14ac:dyDescent="0.35">
      <c r="L577" s="41"/>
      <c r="M577" s="2"/>
      <c r="N577" s="41"/>
    </row>
    <row r="578" spans="12:14" ht="14.25" customHeight="1" x14ac:dyDescent="0.35">
      <c r="L578" s="41"/>
      <c r="M578" s="2"/>
      <c r="N578" s="41"/>
    </row>
    <row r="579" spans="12:14" ht="14.25" customHeight="1" x14ac:dyDescent="0.35">
      <c r="L579" s="41"/>
      <c r="M579" s="2"/>
      <c r="N579" s="41"/>
    </row>
    <row r="580" spans="12:14" ht="14.25" customHeight="1" x14ac:dyDescent="0.35">
      <c r="L580" s="41"/>
      <c r="M580" s="2"/>
      <c r="N580" s="41"/>
    </row>
    <row r="581" spans="12:14" ht="14.25" customHeight="1" x14ac:dyDescent="0.35">
      <c r="L581" s="41"/>
      <c r="M581" s="2"/>
      <c r="N581" s="41"/>
    </row>
    <row r="582" spans="12:14" ht="14.25" customHeight="1" x14ac:dyDescent="0.35">
      <c r="L582" s="41"/>
      <c r="M582" s="2"/>
      <c r="N582" s="41"/>
    </row>
    <row r="583" spans="12:14" ht="14.25" customHeight="1" x14ac:dyDescent="0.35">
      <c r="L583" s="41"/>
      <c r="M583" s="2"/>
      <c r="N583" s="41"/>
    </row>
    <row r="584" spans="12:14" ht="14.25" customHeight="1" x14ac:dyDescent="0.35">
      <c r="L584" s="41"/>
      <c r="M584" s="2"/>
      <c r="N584" s="41"/>
    </row>
    <row r="585" spans="12:14" ht="14.25" customHeight="1" x14ac:dyDescent="0.35">
      <c r="L585" s="41"/>
      <c r="M585" s="2"/>
      <c r="N585" s="41"/>
    </row>
    <row r="586" spans="12:14" ht="14.25" customHeight="1" x14ac:dyDescent="0.35">
      <c r="L586" s="41"/>
      <c r="M586" s="2"/>
      <c r="N586" s="41"/>
    </row>
    <row r="587" spans="12:14" ht="14.25" customHeight="1" x14ac:dyDescent="0.35">
      <c r="L587" s="41"/>
      <c r="M587" s="2"/>
      <c r="N587" s="41"/>
    </row>
    <row r="588" spans="12:14" ht="14.25" customHeight="1" x14ac:dyDescent="0.35">
      <c r="L588" s="41"/>
      <c r="M588" s="2"/>
      <c r="N588" s="41"/>
    </row>
    <row r="589" spans="12:14" ht="14.25" customHeight="1" x14ac:dyDescent="0.35">
      <c r="L589" s="41"/>
      <c r="M589" s="2"/>
      <c r="N589" s="41"/>
    </row>
    <row r="590" spans="12:14" ht="14.25" customHeight="1" x14ac:dyDescent="0.35">
      <c r="L590" s="41"/>
      <c r="M590" s="2"/>
      <c r="N590" s="41"/>
    </row>
    <row r="591" spans="12:14" ht="14.25" customHeight="1" x14ac:dyDescent="0.35">
      <c r="L591" s="41"/>
      <c r="M591" s="2"/>
      <c r="N591" s="41"/>
    </row>
    <row r="592" spans="12:14" ht="14.25" customHeight="1" x14ac:dyDescent="0.35">
      <c r="L592" s="41"/>
      <c r="M592" s="2"/>
      <c r="N592" s="41"/>
    </row>
    <row r="593" spans="12:14" ht="14.25" customHeight="1" x14ac:dyDescent="0.35">
      <c r="L593" s="41"/>
      <c r="M593" s="2"/>
      <c r="N593" s="41"/>
    </row>
    <row r="594" spans="12:14" ht="14.25" customHeight="1" x14ac:dyDescent="0.35">
      <c r="L594" s="41"/>
      <c r="M594" s="2"/>
      <c r="N594" s="41"/>
    </row>
    <row r="595" spans="12:14" ht="14.25" customHeight="1" x14ac:dyDescent="0.35">
      <c r="L595" s="41"/>
      <c r="M595" s="2"/>
      <c r="N595" s="41"/>
    </row>
    <row r="596" spans="12:14" ht="14.25" customHeight="1" x14ac:dyDescent="0.35">
      <c r="L596" s="41"/>
      <c r="M596" s="2"/>
      <c r="N596" s="41"/>
    </row>
    <row r="597" spans="12:14" ht="14.25" customHeight="1" x14ac:dyDescent="0.35">
      <c r="L597" s="41"/>
      <c r="M597" s="2"/>
      <c r="N597" s="41"/>
    </row>
    <row r="598" spans="12:14" ht="14.25" customHeight="1" x14ac:dyDescent="0.35">
      <c r="L598" s="41"/>
      <c r="M598" s="2"/>
      <c r="N598" s="41"/>
    </row>
    <row r="599" spans="12:14" ht="14.25" customHeight="1" x14ac:dyDescent="0.35">
      <c r="L599" s="41"/>
      <c r="M599" s="2"/>
      <c r="N599" s="41"/>
    </row>
    <row r="600" spans="12:14" ht="14.25" customHeight="1" x14ac:dyDescent="0.35">
      <c r="L600" s="41"/>
      <c r="M600" s="2"/>
      <c r="N600" s="41"/>
    </row>
    <row r="601" spans="12:14" ht="14.25" customHeight="1" x14ac:dyDescent="0.35">
      <c r="L601" s="41"/>
      <c r="M601" s="2"/>
      <c r="N601" s="41"/>
    </row>
    <row r="602" spans="12:14" ht="14.25" customHeight="1" x14ac:dyDescent="0.35">
      <c r="L602" s="41"/>
      <c r="M602" s="2"/>
      <c r="N602" s="41"/>
    </row>
    <row r="603" spans="12:14" ht="14.25" customHeight="1" x14ac:dyDescent="0.35">
      <c r="L603" s="41"/>
      <c r="M603" s="2"/>
      <c r="N603" s="41"/>
    </row>
    <row r="604" spans="12:14" ht="14.25" customHeight="1" x14ac:dyDescent="0.35">
      <c r="L604" s="41"/>
      <c r="M604" s="2"/>
      <c r="N604" s="41"/>
    </row>
    <row r="605" spans="12:14" ht="14.25" customHeight="1" x14ac:dyDescent="0.35">
      <c r="L605" s="41"/>
      <c r="M605" s="2"/>
      <c r="N605" s="41"/>
    </row>
    <row r="606" spans="12:14" ht="14.25" customHeight="1" x14ac:dyDescent="0.35">
      <c r="L606" s="41"/>
      <c r="M606" s="2"/>
      <c r="N606" s="41"/>
    </row>
    <row r="607" spans="12:14" ht="14.25" customHeight="1" x14ac:dyDescent="0.35">
      <c r="L607" s="41"/>
      <c r="M607" s="2"/>
      <c r="N607" s="41"/>
    </row>
    <row r="608" spans="12:14" ht="14.25" customHeight="1" x14ac:dyDescent="0.35">
      <c r="L608" s="41"/>
      <c r="M608" s="2"/>
      <c r="N608" s="41"/>
    </row>
    <row r="609" spans="12:14" ht="14.25" customHeight="1" x14ac:dyDescent="0.35">
      <c r="L609" s="41"/>
      <c r="M609" s="2"/>
      <c r="N609" s="41"/>
    </row>
    <row r="610" spans="12:14" ht="14.25" customHeight="1" x14ac:dyDescent="0.35">
      <c r="L610" s="41"/>
      <c r="M610" s="2"/>
      <c r="N610" s="41"/>
    </row>
    <row r="611" spans="12:14" ht="14.25" customHeight="1" x14ac:dyDescent="0.35">
      <c r="L611" s="41"/>
      <c r="M611" s="2"/>
      <c r="N611" s="41"/>
    </row>
    <row r="612" spans="12:14" ht="14.25" customHeight="1" x14ac:dyDescent="0.35">
      <c r="L612" s="41"/>
      <c r="M612" s="2"/>
      <c r="N612" s="41"/>
    </row>
    <row r="613" spans="12:14" ht="14.25" customHeight="1" x14ac:dyDescent="0.35">
      <c r="L613" s="41"/>
      <c r="M613" s="2"/>
      <c r="N613" s="41"/>
    </row>
    <row r="614" spans="12:14" ht="14.25" customHeight="1" x14ac:dyDescent="0.35">
      <c r="L614" s="41"/>
      <c r="M614" s="2"/>
      <c r="N614" s="41"/>
    </row>
    <row r="615" spans="12:14" ht="14.25" customHeight="1" x14ac:dyDescent="0.35">
      <c r="L615" s="41"/>
      <c r="M615" s="2"/>
      <c r="N615" s="41"/>
    </row>
    <row r="616" spans="12:14" ht="14.25" customHeight="1" x14ac:dyDescent="0.35">
      <c r="L616" s="41"/>
      <c r="M616" s="2"/>
      <c r="N616" s="41"/>
    </row>
    <row r="617" spans="12:14" ht="14.25" customHeight="1" x14ac:dyDescent="0.35">
      <c r="L617" s="41"/>
      <c r="M617" s="2"/>
      <c r="N617" s="41"/>
    </row>
    <row r="618" spans="12:14" ht="14.25" customHeight="1" x14ac:dyDescent="0.35">
      <c r="L618" s="41"/>
      <c r="M618" s="2"/>
      <c r="N618" s="41"/>
    </row>
    <row r="619" spans="12:14" ht="14.25" customHeight="1" x14ac:dyDescent="0.35">
      <c r="L619" s="41"/>
      <c r="M619" s="2"/>
      <c r="N619" s="41"/>
    </row>
    <row r="620" spans="12:14" ht="14.25" customHeight="1" x14ac:dyDescent="0.35">
      <c r="L620" s="41"/>
      <c r="M620" s="2"/>
      <c r="N620" s="41"/>
    </row>
    <row r="621" spans="12:14" ht="14.25" customHeight="1" x14ac:dyDescent="0.35">
      <c r="L621" s="41"/>
      <c r="M621" s="2"/>
      <c r="N621" s="41"/>
    </row>
    <row r="622" spans="12:14" ht="14.25" customHeight="1" x14ac:dyDescent="0.35">
      <c r="L622" s="41"/>
      <c r="M622" s="2"/>
      <c r="N622" s="41"/>
    </row>
    <row r="623" spans="12:14" ht="14.25" customHeight="1" x14ac:dyDescent="0.35">
      <c r="L623" s="41"/>
      <c r="M623" s="2"/>
      <c r="N623" s="41"/>
    </row>
    <row r="624" spans="12:14" ht="14.25" customHeight="1" x14ac:dyDescent="0.35">
      <c r="L624" s="41"/>
      <c r="M624" s="2"/>
      <c r="N624" s="41"/>
    </row>
    <row r="625" spans="12:14" ht="14.25" customHeight="1" x14ac:dyDescent="0.35">
      <c r="L625" s="41"/>
      <c r="M625" s="2"/>
      <c r="N625" s="41"/>
    </row>
    <row r="626" spans="12:14" ht="14.25" customHeight="1" x14ac:dyDescent="0.35">
      <c r="L626" s="41"/>
      <c r="M626" s="2"/>
      <c r="N626" s="41"/>
    </row>
    <row r="627" spans="12:14" ht="14.25" customHeight="1" x14ac:dyDescent="0.35">
      <c r="L627" s="41"/>
      <c r="M627" s="2"/>
      <c r="N627" s="41"/>
    </row>
    <row r="628" spans="12:14" ht="14.25" customHeight="1" x14ac:dyDescent="0.35">
      <c r="L628" s="41"/>
      <c r="M628" s="2"/>
      <c r="N628" s="41"/>
    </row>
    <row r="629" spans="12:14" ht="14.25" customHeight="1" x14ac:dyDescent="0.35">
      <c r="L629" s="41"/>
      <c r="M629" s="2"/>
      <c r="N629" s="41"/>
    </row>
    <row r="630" spans="12:14" ht="14.25" customHeight="1" x14ac:dyDescent="0.35">
      <c r="L630" s="41"/>
      <c r="M630" s="2"/>
      <c r="N630" s="41"/>
    </row>
    <row r="631" spans="12:14" ht="14.25" customHeight="1" x14ac:dyDescent="0.35">
      <c r="L631" s="41"/>
      <c r="M631" s="2"/>
      <c r="N631" s="41"/>
    </row>
    <row r="632" spans="12:14" ht="14.25" customHeight="1" x14ac:dyDescent="0.35">
      <c r="L632" s="41"/>
      <c r="M632" s="2"/>
      <c r="N632" s="41"/>
    </row>
    <row r="633" spans="12:14" ht="14.25" customHeight="1" x14ac:dyDescent="0.35">
      <c r="L633" s="41"/>
      <c r="M633" s="2"/>
      <c r="N633" s="41"/>
    </row>
    <row r="634" spans="12:14" ht="14.25" customHeight="1" x14ac:dyDescent="0.35">
      <c r="L634" s="41"/>
      <c r="M634" s="2"/>
      <c r="N634" s="41"/>
    </row>
    <row r="635" spans="12:14" ht="14.25" customHeight="1" x14ac:dyDescent="0.35">
      <c r="L635" s="41"/>
      <c r="M635" s="2"/>
      <c r="N635" s="41"/>
    </row>
    <row r="636" spans="12:14" ht="14.25" customHeight="1" x14ac:dyDescent="0.35">
      <c r="L636" s="41"/>
      <c r="M636" s="2"/>
      <c r="N636" s="41"/>
    </row>
    <row r="637" spans="12:14" ht="14.25" customHeight="1" x14ac:dyDescent="0.35">
      <c r="L637" s="41"/>
      <c r="M637" s="2"/>
      <c r="N637" s="41"/>
    </row>
    <row r="638" spans="12:14" ht="14.25" customHeight="1" x14ac:dyDescent="0.35">
      <c r="L638" s="41"/>
      <c r="M638" s="2"/>
      <c r="N638" s="41"/>
    </row>
    <row r="639" spans="12:14" ht="14.25" customHeight="1" x14ac:dyDescent="0.35">
      <c r="L639" s="41"/>
      <c r="M639" s="2"/>
      <c r="N639" s="41"/>
    </row>
    <row r="640" spans="12:14" ht="14.25" customHeight="1" x14ac:dyDescent="0.35">
      <c r="L640" s="41"/>
      <c r="M640" s="2"/>
      <c r="N640" s="41"/>
    </row>
    <row r="641" spans="12:14" ht="14.25" customHeight="1" x14ac:dyDescent="0.35">
      <c r="L641" s="41"/>
      <c r="M641" s="2"/>
      <c r="N641" s="41"/>
    </row>
    <row r="642" spans="12:14" ht="14.25" customHeight="1" x14ac:dyDescent="0.35">
      <c r="L642" s="41"/>
      <c r="M642" s="2"/>
      <c r="N642" s="41"/>
    </row>
    <row r="643" spans="12:14" ht="14.25" customHeight="1" x14ac:dyDescent="0.35">
      <c r="L643" s="41"/>
      <c r="M643" s="2"/>
      <c r="N643" s="41"/>
    </row>
    <row r="644" spans="12:14" ht="14.25" customHeight="1" x14ac:dyDescent="0.35">
      <c r="L644" s="41"/>
      <c r="M644" s="2"/>
      <c r="N644" s="41"/>
    </row>
    <row r="645" spans="12:14" ht="14.25" customHeight="1" x14ac:dyDescent="0.35">
      <c r="L645" s="41"/>
      <c r="M645" s="2"/>
      <c r="N645" s="41"/>
    </row>
    <row r="646" spans="12:14" ht="14.25" customHeight="1" x14ac:dyDescent="0.35">
      <c r="L646" s="41"/>
      <c r="M646" s="2"/>
      <c r="N646" s="41"/>
    </row>
    <row r="647" spans="12:14" ht="14.25" customHeight="1" x14ac:dyDescent="0.35">
      <c r="L647" s="41"/>
      <c r="M647" s="2"/>
      <c r="N647" s="41"/>
    </row>
    <row r="648" spans="12:14" ht="14.25" customHeight="1" x14ac:dyDescent="0.35">
      <c r="L648" s="41"/>
      <c r="M648" s="2"/>
      <c r="N648" s="41"/>
    </row>
    <row r="649" spans="12:14" ht="14.25" customHeight="1" x14ac:dyDescent="0.35">
      <c r="L649" s="41"/>
      <c r="M649" s="2"/>
      <c r="N649" s="41"/>
    </row>
    <row r="650" spans="12:14" ht="14.25" customHeight="1" x14ac:dyDescent="0.35">
      <c r="L650" s="41"/>
      <c r="M650" s="2"/>
      <c r="N650" s="41"/>
    </row>
    <row r="651" spans="12:14" ht="14.25" customHeight="1" x14ac:dyDescent="0.35">
      <c r="L651" s="41"/>
      <c r="M651" s="2"/>
      <c r="N651" s="41"/>
    </row>
    <row r="652" spans="12:14" ht="14.25" customHeight="1" x14ac:dyDescent="0.35">
      <c r="L652" s="41"/>
      <c r="M652" s="2"/>
      <c r="N652" s="41"/>
    </row>
    <row r="653" spans="12:14" ht="14.25" customHeight="1" x14ac:dyDescent="0.35">
      <c r="L653" s="41"/>
      <c r="M653" s="2"/>
      <c r="N653" s="41"/>
    </row>
    <row r="654" spans="12:14" ht="14.25" customHeight="1" x14ac:dyDescent="0.35">
      <c r="L654" s="41"/>
      <c r="M654" s="2"/>
      <c r="N654" s="41"/>
    </row>
    <row r="655" spans="12:14" ht="14.25" customHeight="1" x14ac:dyDescent="0.35">
      <c r="L655" s="41"/>
      <c r="M655" s="2"/>
      <c r="N655" s="41"/>
    </row>
    <row r="656" spans="12:14" ht="14.25" customHeight="1" x14ac:dyDescent="0.35">
      <c r="L656" s="41"/>
      <c r="M656" s="2"/>
      <c r="N656" s="41"/>
    </row>
    <row r="657" spans="12:14" ht="14.25" customHeight="1" x14ac:dyDescent="0.35">
      <c r="L657" s="41"/>
      <c r="M657" s="2"/>
      <c r="N657" s="41"/>
    </row>
    <row r="658" spans="12:14" ht="14.25" customHeight="1" x14ac:dyDescent="0.35">
      <c r="L658" s="41"/>
      <c r="M658" s="2"/>
      <c r="N658" s="41"/>
    </row>
    <row r="659" spans="12:14" ht="14.25" customHeight="1" x14ac:dyDescent="0.35">
      <c r="L659" s="41"/>
      <c r="M659" s="2"/>
      <c r="N659" s="41"/>
    </row>
    <row r="660" spans="12:14" ht="14.25" customHeight="1" x14ac:dyDescent="0.35">
      <c r="L660" s="41"/>
      <c r="M660" s="2"/>
      <c r="N660" s="41"/>
    </row>
    <row r="661" spans="12:14" ht="14.25" customHeight="1" x14ac:dyDescent="0.35">
      <c r="L661" s="41"/>
      <c r="M661" s="2"/>
      <c r="N661" s="41"/>
    </row>
    <row r="662" spans="12:14" ht="14.25" customHeight="1" x14ac:dyDescent="0.35">
      <c r="L662" s="41"/>
      <c r="M662" s="2"/>
      <c r="N662" s="41"/>
    </row>
    <row r="663" spans="12:14" ht="14.25" customHeight="1" x14ac:dyDescent="0.35">
      <c r="L663" s="41"/>
      <c r="M663" s="2"/>
      <c r="N663" s="41"/>
    </row>
    <row r="664" spans="12:14" ht="14.25" customHeight="1" x14ac:dyDescent="0.35">
      <c r="L664" s="41"/>
      <c r="M664" s="2"/>
      <c r="N664" s="41"/>
    </row>
    <row r="665" spans="12:14" ht="14.25" customHeight="1" x14ac:dyDescent="0.35">
      <c r="L665" s="41"/>
      <c r="M665" s="2"/>
      <c r="N665" s="41"/>
    </row>
    <row r="666" spans="12:14" ht="14.25" customHeight="1" x14ac:dyDescent="0.35">
      <c r="L666" s="41"/>
      <c r="M666" s="2"/>
      <c r="N666" s="41"/>
    </row>
    <row r="667" spans="12:14" ht="14.25" customHeight="1" x14ac:dyDescent="0.35">
      <c r="L667" s="41"/>
      <c r="M667" s="2"/>
      <c r="N667" s="41"/>
    </row>
    <row r="668" spans="12:14" ht="14.25" customHeight="1" x14ac:dyDescent="0.35">
      <c r="L668" s="41"/>
      <c r="M668" s="2"/>
      <c r="N668" s="41"/>
    </row>
    <row r="669" spans="12:14" ht="14.25" customHeight="1" x14ac:dyDescent="0.35">
      <c r="L669" s="41"/>
      <c r="M669" s="2"/>
      <c r="N669" s="41"/>
    </row>
    <row r="670" spans="12:14" ht="14.25" customHeight="1" x14ac:dyDescent="0.35">
      <c r="L670" s="41"/>
      <c r="M670" s="2"/>
      <c r="N670" s="41"/>
    </row>
    <row r="671" spans="12:14" ht="14.25" customHeight="1" x14ac:dyDescent="0.35">
      <c r="L671" s="41"/>
      <c r="M671" s="2"/>
      <c r="N671" s="41"/>
    </row>
    <row r="672" spans="12:14" ht="14.25" customHeight="1" x14ac:dyDescent="0.35">
      <c r="L672" s="41"/>
      <c r="M672" s="2"/>
      <c r="N672" s="41"/>
    </row>
    <row r="673" spans="12:14" ht="14.25" customHeight="1" x14ac:dyDescent="0.35">
      <c r="L673" s="41"/>
      <c r="M673" s="2"/>
      <c r="N673" s="41"/>
    </row>
    <row r="674" spans="12:14" ht="14.25" customHeight="1" x14ac:dyDescent="0.35">
      <c r="L674" s="41"/>
      <c r="M674" s="2"/>
      <c r="N674" s="41"/>
    </row>
    <row r="675" spans="12:14" ht="14.25" customHeight="1" x14ac:dyDescent="0.35">
      <c r="L675" s="41"/>
      <c r="M675" s="2"/>
      <c r="N675" s="41"/>
    </row>
    <row r="676" spans="12:14" ht="14.25" customHeight="1" x14ac:dyDescent="0.35">
      <c r="L676" s="41"/>
      <c r="M676" s="2"/>
      <c r="N676" s="41"/>
    </row>
    <row r="677" spans="12:14" ht="14.25" customHeight="1" x14ac:dyDescent="0.35">
      <c r="L677" s="41"/>
      <c r="M677" s="2"/>
      <c r="N677" s="41"/>
    </row>
    <row r="678" spans="12:14" ht="14.25" customHeight="1" x14ac:dyDescent="0.35">
      <c r="L678" s="41"/>
      <c r="M678" s="2"/>
      <c r="N678" s="41"/>
    </row>
    <row r="679" spans="12:14" ht="14.25" customHeight="1" x14ac:dyDescent="0.35">
      <c r="L679" s="41"/>
      <c r="M679" s="2"/>
      <c r="N679" s="41"/>
    </row>
    <row r="680" spans="12:14" ht="14.25" customHeight="1" x14ac:dyDescent="0.35">
      <c r="L680" s="41"/>
      <c r="M680" s="2"/>
      <c r="N680" s="41"/>
    </row>
    <row r="681" spans="12:14" ht="14.25" customHeight="1" x14ac:dyDescent="0.35">
      <c r="L681" s="41"/>
      <c r="M681" s="2"/>
      <c r="N681" s="41"/>
    </row>
    <row r="682" spans="12:14" ht="14.25" customHeight="1" x14ac:dyDescent="0.35">
      <c r="L682" s="41"/>
      <c r="M682" s="2"/>
      <c r="N682" s="41"/>
    </row>
    <row r="683" spans="12:14" ht="14.25" customHeight="1" x14ac:dyDescent="0.35">
      <c r="L683" s="41"/>
      <c r="M683" s="2"/>
      <c r="N683" s="41"/>
    </row>
    <row r="684" spans="12:14" ht="14.25" customHeight="1" x14ac:dyDescent="0.35">
      <c r="L684" s="41"/>
      <c r="M684" s="2"/>
      <c r="N684" s="41"/>
    </row>
    <row r="685" spans="12:14" ht="14.25" customHeight="1" x14ac:dyDescent="0.35">
      <c r="L685" s="41"/>
      <c r="M685" s="2"/>
      <c r="N685" s="41"/>
    </row>
    <row r="686" spans="12:14" ht="14.25" customHeight="1" x14ac:dyDescent="0.35">
      <c r="L686" s="41"/>
      <c r="M686" s="2"/>
      <c r="N686" s="41"/>
    </row>
    <row r="687" spans="12:14" ht="14.25" customHeight="1" x14ac:dyDescent="0.35">
      <c r="L687" s="41"/>
      <c r="M687" s="2"/>
      <c r="N687" s="41"/>
    </row>
    <row r="688" spans="12:14" ht="14.25" customHeight="1" x14ac:dyDescent="0.35">
      <c r="L688" s="41"/>
      <c r="M688" s="2"/>
      <c r="N688" s="41"/>
    </row>
    <row r="689" spans="12:14" ht="14.25" customHeight="1" x14ac:dyDescent="0.35">
      <c r="L689" s="41"/>
      <c r="M689" s="2"/>
      <c r="N689" s="41"/>
    </row>
    <row r="690" spans="12:14" ht="14.25" customHeight="1" x14ac:dyDescent="0.35">
      <c r="L690" s="41"/>
      <c r="M690" s="2"/>
      <c r="N690" s="41"/>
    </row>
    <row r="691" spans="12:14" ht="14.25" customHeight="1" x14ac:dyDescent="0.35">
      <c r="L691" s="41"/>
      <c r="M691" s="2"/>
      <c r="N691" s="41"/>
    </row>
    <row r="692" spans="12:14" ht="14.25" customHeight="1" x14ac:dyDescent="0.35">
      <c r="L692" s="41"/>
      <c r="M692" s="2"/>
      <c r="N692" s="41"/>
    </row>
    <row r="693" spans="12:14" ht="14.25" customHeight="1" x14ac:dyDescent="0.35">
      <c r="L693" s="41"/>
      <c r="M693" s="2"/>
      <c r="N693" s="41"/>
    </row>
    <row r="694" spans="12:14" ht="14.25" customHeight="1" x14ac:dyDescent="0.35">
      <c r="L694" s="41"/>
      <c r="M694" s="2"/>
      <c r="N694" s="41"/>
    </row>
    <row r="695" spans="12:14" ht="14.25" customHeight="1" x14ac:dyDescent="0.35">
      <c r="L695" s="41"/>
      <c r="M695" s="2"/>
      <c r="N695" s="41"/>
    </row>
    <row r="696" spans="12:14" ht="14.25" customHeight="1" x14ac:dyDescent="0.35">
      <c r="L696" s="41"/>
      <c r="M696" s="2"/>
      <c r="N696" s="41"/>
    </row>
    <row r="697" spans="12:14" ht="14.25" customHeight="1" x14ac:dyDescent="0.35">
      <c r="L697" s="41"/>
      <c r="M697" s="2"/>
      <c r="N697" s="41"/>
    </row>
    <row r="698" spans="12:14" ht="14.25" customHeight="1" x14ac:dyDescent="0.35">
      <c r="L698" s="41"/>
      <c r="M698" s="2"/>
      <c r="N698" s="41"/>
    </row>
    <row r="699" spans="12:14" ht="14.25" customHeight="1" x14ac:dyDescent="0.35">
      <c r="L699" s="41"/>
      <c r="M699" s="2"/>
      <c r="N699" s="41"/>
    </row>
    <row r="700" spans="12:14" ht="14.25" customHeight="1" x14ac:dyDescent="0.35">
      <c r="L700" s="41"/>
      <c r="M700" s="2"/>
      <c r="N700" s="41"/>
    </row>
    <row r="701" spans="12:14" ht="14.25" customHeight="1" x14ac:dyDescent="0.35">
      <c r="L701" s="41"/>
      <c r="M701" s="2"/>
      <c r="N701" s="41"/>
    </row>
    <row r="702" spans="12:14" ht="14.25" customHeight="1" x14ac:dyDescent="0.35">
      <c r="L702" s="41"/>
      <c r="M702" s="2"/>
      <c r="N702" s="41"/>
    </row>
    <row r="703" spans="12:14" ht="14.25" customHeight="1" x14ac:dyDescent="0.35">
      <c r="L703" s="41"/>
      <c r="M703" s="2"/>
      <c r="N703" s="41"/>
    </row>
    <row r="704" spans="12:14" ht="14.25" customHeight="1" x14ac:dyDescent="0.35">
      <c r="L704" s="41"/>
      <c r="M704" s="2"/>
      <c r="N704" s="41"/>
    </row>
    <row r="705" spans="12:14" ht="14.25" customHeight="1" x14ac:dyDescent="0.35">
      <c r="L705" s="41"/>
      <c r="M705" s="2"/>
      <c r="N705" s="41"/>
    </row>
    <row r="706" spans="12:14" ht="14.25" customHeight="1" x14ac:dyDescent="0.35">
      <c r="L706" s="41"/>
      <c r="M706" s="2"/>
      <c r="N706" s="41"/>
    </row>
    <row r="707" spans="12:14" ht="14.25" customHeight="1" x14ac:dyDescent="0.35">
      <c r="L707" s="41"/>
      <c r="M707" s="2"/>
      <c r="N707" s="41"/>
    </row>
    <row r="708" spans="12:14" ht="14.25" customHeight="1" x14ac:dyDescent="0.35">
      <c r="L708" s="41"/>
      <c r="M708" s="2"/>
      <c r="N708" s="41"/>
    </row>
    <row r="709" spans="12:14" ht="14.25" customHeight="1" x14ac:dyDescent="0.35">
      <c r="L709" s="41"/>
      <c r="M709" s="2"/>
      <c r="N709" s="41"/>
    </row>
    <row r="710" spans="12:14" ht="14.25" customHeight="1" x14ac:dyDescent="0.35">
      <c r="L710" s="41"/>
      <c r="M710" s="2"/>
      <c r="N710" s="41"/>
    </row>
    <row r="711" spans="12:14" ht="14.25" customHeight="1" x14ac:dyDescent="0.35">
      <c r="L711" s="41"/>
      <c r="M711" s="2"/>
      <c r="N711" s="41"/>
    </row>
    <row r="712" spans="12:14" ht="14.25" customHeight="1" x14ac:dyDescent="0.35">
      <c r="L712" s="41"/>
      <c r="M712" s="2"/>
      <c r="N712" s="41"/>
    </row>
    <row r="713" spans="12:14" ht="14.25" customHeight="1" x14ac:dyDescent="0.35">
      <c r="L713" s="41"/>
      <c r="M713" s="2"/>
      <c r="N713" s="41"/>
    </row>
    <row r="714" spans="12:14" ht="14.25" customHeight="1" x14ac:dyDescent="0.35">
      <c r="L714" s="41"/>
      <c r="M714" s="2"/>
      <c r="N714" s="41"/>
    </row>
    <row r="715" spans="12:14" ht="14.25" customHeight="1" x14ac:dyDescent="0.35">
      <c r="L715" s="41"/>
      <c r="M715" s="2"/>
      <c r="N715" s="41"/>
    </row>
    <row r="716" spans="12:14" ht="14.25" customHeight="1" x14ac:dyDescent="0.35">
      <c r="L716" s="41"/>
      <c r="M716" s="2"/>
      <c r="N716" s="41"/>
    </row>
    <row r="717" spans="12:14" ht="14.25" customHeight="1" x14ac:dyDescent="0.35">
      <c r="L717" s="41"/>
      <c r="M717" s="2"/>
      <c r="N717" s="41"/>
    </row>
    <row r="718" spans="12:14" ht="14.25" customHeight="1" x14ac:dyDescent="0.35">
      <c r="L718" s="41"/>
      <c r="M718" s="2"/>
      <c r="N718" s="41"/>
    </row>
    <row r="719" spans="12:14" ht="14.25" customHeight="1" x14ac:dyDescent="0.35">
      <c r="L719" s="41"/>
      <c r="M719" s="2"/>
      <c r="N719" s="41"/>
    </row>
    <row r="720" spans="12:14" ht="14.25" customHeight="1" x14ac:dyDescent="0.35">
      <c r="L720" s="41"/>
      <c r="M720" s="2"/>
      <c r="N720" s="41"/>
    </row>
    <row r="721" spans="12:14" ht="14.25" customHeight="1" x14ac:dyDescent="0.35">
      <c r="L721" s="41"/>
      <c r="M721" s="2"/>
      <c r="N721" s="41"/>
    </row>
    <row r="722" spans="12:14" ht="14.25" customHeight="1" x14ac:dyDescent="0.35">
      <c r="L722" s="41"/>
      <c r="M722" s="2"/>
      <c r="N722" s="41"/>
    </row>
    <row r="723" spans="12:14" ht="14.25" customHeight="1" x14ac:dyDescent="0.35">
      <c r="L723" s="41"/>
      <c r="M723" s="2"/>
      <c r="N723" s="41"/>
    </row>
    <row r="724" spans="12:14" ht="14.25" customHeight="1" x14ac:dyDescent="0.35">
      <c r="L724" s="41"/>
      <c r="M724" s="2"/>
      <c r="N724" s="41"/>
    </row>
    <row r="725" spans="12:14" ht="14.25" customHeight="1" x14ac:dyDescent="0.35">
      <c r="L725" s="41"/>
      <c r="M725" s="2"/>
      <c r="N725" s="41"/>
    </row>
    <row r="726" spans="12:14" ht="14.25" customHeight="1" x14ac:dyDescent="0.35">
      <c r="L726" s="41"/>
      <c r="M726" s="2"/>
      <c r="N726" s="41"/>
    </row>
    <row r="727" spans="12:14" ht="14.25" customHeight="1" x14ac:dyDescent="0.35">
      <c r="L727" s="41"/>
      <c r="M727" s="2"/>
      <c r="N727" s="41"/>
    </row>
    <row r="728" spans="12:14" ht="14.25" customHeight="1" x14ac:dyDescent="0.35">
      <c r="L728" s="41"/>
      <c r="M728" s="2"/>
      <c r="N728" s="41"/>
    </row>
    <row r="729" spans="12:14" ht="14.25" customHeight="1" x14ac:dyDescent="0.35">
      <c r="L729" s="41"/>
      <c r="M729" s="2"/>
      <c r="N729" s="41"/>
    </row>
    <row r="730" spans="12:14" ht="14.25" customHeight="1" x14ac:dyDescent="0.35">
      <c r="L730" s="41"/>
      <c r="M730" s="2"/>
      <c r="N730" s="41"/>
    </row>
    <row r="731" spans="12:14" ht="14.25" customHeight="1" x14ac:dyDescent="0.35">
      <c r="L731" s="41"/>
      <c r="M731" s="2"/>
      <c r="N731" s="41"/>
    </row>
    <row r="732" spans="12:14" ht="14.25" customHeight="1" x14ac:dyDescent="0.35">
      <c r="L732" s="41"/>
      <c r="M732" s="2"/>
      <c r="N732" s="41"/>
    </row>
    <row r="733" spans="12:14" ht="14.25" customHeight="1" x14ac:dyDescent="0.35">
      <c r="L733" s="41"/>
      <c r="M733" s="2"/>
      <c r="N733" s="41"/>
    </row>
    <row r="734" spans="12:14" ht="14.25" customHeight="1" x14ac:dyDescent="0.35">
      <c r="L734" s="41"/>
      <c r="M734" s="2"/>
      <c r="N734" s="41"/>
    </row>
    <row r="735" spans="12:14" ht="14.25" customHeight="1" x14ac:dyDescent="0.35">
      <c r="L735" s="41"/>
      <c r="M735" s="2"/>
      <c r="N735" s="41"/>
    </row>
    <row r="736" spans="12:14" ht="14.25" customHeight="1" x14ac:dyDescent="0.35">
      <c r="L736" s="41"/>
      <c r="M736" s="2"/>
      <c r="N736" s="41"/>
    </row>
    <row r="737" spans="12:14" ht="14.25" customHeight="1" x14ac:dyDescent="0.35">
      <c r="L737" s="41"/>
      <c r="M737" s="2"/>
      <c r="N737" s="41"/>
    </row>
    <row r="738" spans="12:14" ht="14.25" customHeight="1" x14ac:dyDescent="0.35">
      <c r="L738" s="41"/>
      <c r="M738" s="2"/>
      <c r="N738" s="41"/>
    </row>
    <row r="739" spans="12:14" ht="14.25" customHeight="1" x14ac:dyDescent="0.35">
      <c r="L739" s="41"/>
      <c r="M739" s="2"/>
      <c r="N739" s="41"/>
    </row>
    <row r="740" spans="12:14" ht="14.25" customHeight="1" x14ac:dyDescent="0.35">
      <c r="L740" s="41"/>
      <c r="M740" s="2"/>
      <c r="N740" s="41"/>
    </row>
    <row r="741" spans="12:14" ht="14.25" customHeight="1" x14ac:dyDescent="0.35">
      <c r="L741" s="41"/>
      <c r="M741" s="2"/>
      <c r="N741" s="41"/>
    </row>
    <row r="742" spans="12:14" ht="14.25" customHeight="1" x14ac:dyDescent="0.35">
      <c r="L742" s="41"/>
      <c r="M742" s="2"/>
      <c r="N742" s="41"/>
    </row>
    <row r="743" spans="12:14" ht="14.25" customHeight="1" x14ac:dyDescent="0.35">
      <c r="L743" s="41"/>
      <c r="M743" s="2"/>
      <c r="N743" s="41"/>
    </row>
    <row r="744" spans="12:14" ht="14.25" customHeight="1" x14ac:dyDescent="0.35">
      <c r="L744" s="41"/>
      <c r="M744" s="2"/>
      <c r="N744" s="41"/>
    </row>
    <row r="745" spans="12:14" ht="14.25" customHeight="1" x14ac:dyDescent="0.35">
      <c r="L745" s="41"/>
      <c r="M745" s="2"/>
      <c r="N745" s="41"/>
    </row>
    <row r="746" spans="12:14" ht="14.25" customHeight="1" x14ac:dyDescent="0.35">
      <c r="L746" s="41"/>
      <c r="M746" s="2"/>
      <c r="N746" s="41"/>
    </row>
    <row r="747" spans="12:14" ht="14.25" customHeight="1" x14ac:dyDescent="0.35">
      <c r="L747" s="41"/>
      <c r="M747" s="2"/>
      <c r="N747" s="41"/>
    </row>
    <row r="748" spans="12:14" ht="14.25" customHeight="1" x14ac:dyDescent="0.35">
      <c r="L748" s="41"/>
      <c r="M748" s="2"/>
      <c r="N748" s="41"/>
    </row>
    <row r="749" spans="12:14" ht="14.25" customHeight="1" x14ac:dyDescent="0.35">
      <c r="L749" s="41"/>
      <c r="M749" s="2"/>
      <c r="N749" s="41"/>
    </row>
    <row r="750" spans="12:14" ht="14.25" customHeight="1" x14ac:dyDescent="0.35">
      <c r="L750" s="41"/>
      <c r="M750" s="2"/>
      <c r="N750" s="41"/>
    </row>
    <row r="751" spans="12:14" ht="14.25" customHeight="1" x14ac:dyDescent="0.35">
      <c r="L751" s="41"/>
      <c r="M751" s="2"/>
      <c r="N751" s="41"/>
    </row>
    <row r="752" spans="12:14" ht="14.25" customHeight="1" x14ac:dyDescent="0.35">
      <c r="L752" s="41"/>
      <c r="M752" s="2"/>
      <c r="N752" s="41"/>
    </row>
    <row r="753" spans="12:14" ht="14.25" customHeight="1" x14ac:dyDescent="0.35">
      <c r="L753" s="41"/>
      <c r="M753" s="2"/>
      <c r="N753" s="41"/>
    </row>
    <row r="754" spans="12:14" ht="14.25" customHeight="1" x14ac:dyDescent="0.35">
      <c r="L754" s="41"/>
      <c r="M754" s="2"/>
      <c r="N754" s="41"/>
    </row>
    <row r="755" spans="12:14" ht="14.25" customHeight="1" x14ac:dyDescent="0.35">
      <c r="L755" s="41"/>
      <c r="M755" s="2"/>
      <c r="N755" s="41"/>
    </row>
    <row r="756" spans="12:14" ht="14.25" customHeight="1" x14ac:dyDescent="0.35">
      <c r="L756" s="41"/>
      <c r="M756" s="2"/>
      <c r="N756" s="41"/>
    </row>
    <row r="757" spans="12:14" ht="14.25" customHeight="1" x14ac:dyDescent="0.35">
      <c r="L757" s="41"/>
      <c r="M757" s="2"/>
      <c r="N757" s="41"/>
    </row>
    <row r="758" spans="12:14" ht="14.25" customHeight="1" x14ac:dyDescent="0.35">
      <c r="L758" s="41"/>
      <c r="M758" s="2"/>
      <c r="N758" s="41"/>
    </row>
    <row r="759" spans="12:14" ht="14.25" customHeight="1" x14ac:dyDescent="0.35">
      <c r="L759" s="41"/>
      <c r="M759" s="2"/>
      <c r="N759" s="41"/>
    </row>
    <row r="760" spans="12:14" ht="14.25" customHeight="1" x14ac:dyDescent="0.35">
      <c r="L760" s="41"/>
      <c r="M760" s="2"/>
      <c r="N760" s="41"/>
    </row>
    <row r="761" spans="12:14" ht="14.25" customHeight="1" x14ac:dyDescent="0.35">
      <c r="L761" s="41"/>
      <c r="M761" s="2"/>
      <c r="N761" s="41"/>
    </row>
    <row r="762" spans="12:14" ht="14.25" customHeight="1" x14ac:dyDescent="0.35">
      <c r="L762" s="41"/>
      <c r="M762" s="2"/>
      <c r="N762" s="41"/>
    </row>
    <row r="763" spans="12:14" ht="14.25" customHeight="1" x14ac:dyDescent="0.35">
      <c r="L763" s="41"/>
      <c r="M763" s="2"/>
      <c r="N763" s="41"/>
    </row>
    <row r="764" spans="12:14" ht="14.25" customHeight="1" x14ac:dyDescent="0.35">
      <c r="L764" s="41"/>
      <c r="M764" s="2"/>
      <c r="N764" s="41"/>
    </row>
    <row r="765" spans="12:14" ht="14.25" customHeight="1" x14ac:dyDescent="0.35">
      <c r="L765" s="41"/>
      <c r="M765" s="2"/>
      <c r="N765" s="41"/>
    </row>
    <row r="766" spans="12:14" ht="14.25" customHeight="1" x14ac:dyDescent="0.35">
      <c r="L766" s="41"/>
      <c r="M766" s="2"/>
      <c r="N766" s="41"/>
    </row>
    <row r="767" spans="12:14" ht="14.25" customHeight="1" x14ac:dyDescent="0.35">
      <c r="L767" s="41"/>
      <c r="M767" s="2"/>
      <c r="N767" s="41"/>
    </row>
    <row r="768" spans="12:14" ht="14.25" customHeight="1" x14ac:dyDescent="0.35">
      <c r="L768" s="41"/>
      <c r="M768" s="2"/>
      <c r="N768" s="41"/>
    </row>
    <row r="769" spans="12:14" ht="14.25" customHeight="1" x14ac:dyDescent="0.35">
      <c r="L769" s="41"/>
      <c r="M769" s="2"/>
      <c r="N769" s="41"/>
    </row>
    <row r="770" spans="12:14" ht="14.25" customHeight="1" x14ac:dyDescent="0.35">
      <c r="L770" s="41"/>
      <c r="M770" s="2"/>
      <c r="N770" s="41"/>
    </row>
    <row r="771" spans="12:14" ht="14.25" customHeight="1" x14ac:dyDescent="0.35">
      <c r="L771" s="41"/>
      <c r="M771" s="2"/>
      <c r="N771" s="41"/>
    </row>
    <row r="772" spans="12:14" ht="14.25" customHeight="1" x14ac:dyDescent="0.35">
      <c r="L772" s="41"/>
      <c r="M772" s="2"/>
      <c r="N772" s="41"/>
    </row>
    <row r="773" spans="12:14" ht="14.25" customHeight="1" x14ac:dyDescent="0.35">
      <c r="L773" s="41"/>
      <c r="M773" s="2"/>
      <c r="N773" s="41"/>
    </row>
    <row r="774" spans="12:14" ht="14.25" customHeight="1" x14ac:dyDescent="0.35">
      <c r="L774" s="41"/>
      <c r="M774" s="2"/>
      <c r="N774" s="41"/>
    </row>
    <row r="775" spans="12:14" ht="14.25" customHeight="1" x14ac:dyDescent="0.35">
      <c r="L775" s="41"/>
      <c r="M775" s="2"/>
      <c r="N775" s="41"/>
    </row>
    <row r="776" spans="12:14" ht="14.25" customHeight="1" x14ac:dyDescent="0.35">
      <c r="L776" s="41"/>
      <c r="M776" s="2"/>
      <c r="N776" s="41"/>
    </row>
    <row r="777" spans="12:14" ht="14.25" customHeight="1" x14ac:dyDescent="0.35">
      <c r="L777" s="41"/>
      <c r="M777" s="2"/>
      <c r="N777" s="41"/>
    </row>
    <row r="778" spans="12:14" ht="14.25" customHeight="1" x14ac:dyDescent="0.35">
      <c r="L778" s="41"/>
      <c r="M778" s="2"/>
      <c r="N778" s="41"/>
    </row>
    <row r="779" spans="12:14" ht="14.25" customHeight="1" x14ac:dyDescent="0.35">
      <c r="L779" s="41"/>
      <c r="M779" s="2"/>
      <c r="N779" s="41"/>
    </row>
    <row r="780" spans="12:14" ht="14.25" customHeight="1" x14ac:dyDescent="0.35">
      <c r="L780" s="41"/>
      <c r="M780" s="2"/>
      <c r="N780" s="41"/>
    </row>
    <row r="781" spans="12:14" ht="14.25" customHeight="1" x14ac:dyDescent="0.35">
      <c r="L781" s="41"/>
      <c r="M781" s="2"/>
      <c r="N781" s="41"/>
    </row>
    <row r="782" spans="12:14" ht="14.25" customHeight="1" x14ac:dyDescent="0.35">
      <c r="L782" s="41"/>
      <c r="M782" s="2"/>
      <c r="N782" s="41"/>
    </row>
    <row r="783" spans="12:14" ht="14.25" customHeight="1" x14ac:dyDescent="0.35">
      <c r="L783" s="41"/>
      <c r="M783" s="2"/>
      <c r="N783" s="41"/>
    </row>
    <row r="784" spans="12:14" ht="14.25" customHeight="1" x14ac:dyDescent="0.35">
      <c r="L784" s="41"/>
      <c r="M784" s="2"/>
      <c r="N784" s="41"/>
    </row>
    <row r="785" spans="12:14" ht="14.25" customHeight="1" x14ac:dyDescent="0.35">
      <c r="L785" s="41"/>
      <c r="M785" s="2"/>
      <c r="N785" s="41"/>
    </row>
    <row r="786" spans="12:14" ht="14.25" customHeight="1" x14ac:dyDescent="0.35">
      <c r="L786" s="41"/>
      <c r="M786" s="2"/>
      <c r="N786" s="41"/>
    </row>
    <row r="787" spans="12:14" ht="14.25" customHeight="1" x14ac:dyDescent="0.35">
      <c r="L787" s="41"/>
      <c r="M787" s="2"/>
      <c r="N787" s="41"/>
    </row>
    <row r="788" spans="12:14" ht="14.25" customHeight="1" x14ac:dyDescent="0.35">
      <c r="L788" s="41"/>
      <c r="M788" s="2"/>
      <c r="N788" s="41"/>
    </row>
    <row r="789" spans="12:14" ht="14.25" customHeight="1" x14ac:dyDescent="0.35">
      <c r="L789" s="41"/>
      <c r="M789" s="2"/>
      <c r="N789" s="41"/>
    </row>
    <row r="790" spans="12:14" ht="14.25" customHeight="1" x14ac:dyDescent="0.35">
      <c r="L790" s="41"/>
      <c r="M790" s="2"/>
      <c r="N790" s="41"/>
    </row>
    <row r="791" spans="12:14" ht="14.25" customHeight="1" x14ac:dyDescent="0.35">
      <c r="L791" s="41"/>
      <c r="M791" s="2"/>
      <c r="N791" s="41"/>
    </row>
    <row r="792" spans="12:14" ht="14.25" customHeight="1" x14ac:dyDescent="0.35">
      <c r="L792" s="41"/>
      <c r="M792" s="2"/>
      <c r="N792" s="41"/>
    </row>
    <row r="793" spans="12:14" ht="14.25" customHeight="1" x14ac:dyDescent="0.35">
      <c r="L793" s="41"/>
      <c r="M793" s="2"/>
      <c r="N793" s="41"/>
    </row>
    <row r="794" spans="12:14" ht="14.25" customHeight="1" x14ac:dyDescent="0.35">
      <c r="L794" s="41"/>
      <c r="M794" s="2"/>
      <c r="N794" s="41"/>
    </row>
    <row r="795" spans="12:14" ht="14.25" customHeight="1" x14ac:dyDescent="0.35">
      <c r="L795" s="41"/>
      <c r="M795" s="2"/>
      <c r="N795" s="41"/>
    </row>
    <row r="796" spans="12:14" ht="14.25" customHeight="1" x14ac:dyDescent="0.35">
      <c r="L796" s="41"/>
      <c r="M796" s="2"/>
      <c r="N796" s="41"/>
    </row>
    <row r="797" spans="12:14" ht="14.25" customHeight="1" x14ac:dyDescent="0.35">
      <c r="L797" s="41"/>
      <c r="M797" s="2"/>
      <c r="N797" s="41"/>
    </row>
    <row r="798" spans="12:14" ht="14.25" customHeight="1" x14ac:dyDescent="0.35">
      <c r="L798" s="41"/>
      <c r="M798" s="2"/>
      <c r="N798" s="41"/>
    </row>
    <row r="799" spans="12:14" ht="14.25" customHeight="1" x14ac:dyDescent="0.35">
      <c r="L799" s="41"/>
      <c r="M799" s="2"/>
      <c r="N799" s="41"/>
    </row>
    <row r="800" spans="12:14" ht="14.25" customHeight="1" x14ac:dyDescent="0.35">
      <c r="L800" s="41"/>
      <c r="M800" s="2"/>
      <c r="N800" s="41"/>
    </row>
    <row r="801" spans="12:14" ht="14.25" customHeight="1" x14ac:dyDescent="0.35">
      <c r="L801" s="41"/>
      <c r="M801" s="2"/>
      <c r="N801" s="41"/>
    </row>
    <row r="802" spans="12:14" ht="14.25" customHeight="1" x14ac:dyDescent="0.35">
      <c r="L802" s="41"/>
      <c r="M802" s="2"/>
      <c r="N802" s="41"/>
    </row>
    <row r="803" spans="12:14" ht="14.25" customHeight="1" x14ac:dyDescent="0.35">
      <c r="L803" s="41"/>
      <c r="M803" s="2"/>
      <c r="N803" s="41"/>
    </row>
    <row r="804" spans="12:14" ht="14.25" customHeight="1" x14ac:dyDescent="0.35">
      <c r="L804" s="41"/>
      <c r="M804" s="2"/>
      <c r="N804" s="41"/>
    </row>
    <row r="805" spans="12:14" ht="14.25" customHeight="1" x14ac:dyDescent="0.35">
      <c r="L805" s="41"/>
      <c r="M805" s="2"/>
      <c r="N805" s="41"/>
    </row>
    <row r="806" spans="12:14" ht="14.25" customHeight="1" x14ac:dyDescent="0.35">
      <c r="L806" s="41"/>
      <c r="M806" s="2"/>
      <c r="N806" s="41"/>
    </row>
    <row r="807" spans="12:14" ht="14.25" customHeight="1" x14ac:dyDescent="0.35">
      <c r="L807" s="41"/>
      <c r="M807" s="2"/>
      <c r="N807" s="41"/>
    </row>
    <row r="808" spans="12:14" ht="14.25" customHeight="1" x14ac:dyDescent="0.35">
      <c r="L808" s="41"/>
      <c r="M808" s="2"/>
      <c r="N808" s="41"/>
    </row>
    <row r="809" spans="12:14" ht="14.25" customHeight="1" x14ac:dyDescent="0.35">
      <c r="L809" s="41"/>
      <c r="M809" s="2"/>
      <c r="N809" s="41"/>
    </row>
    <row r="810" spans="12:14" ht="14.25" customHeight="1" x14ac:dyDescent="0.35">
      <c r="L810" s="41"/>
      <c r="M810" s="2"/>
      <c r="N810" s="41"/>
    </row>
    <row r="811" spans="12:14" ht="14.25" customHeight="1" x14ac:dyDescent="0.35">
      <c r="L811" s="41"/>
      <c r="M811" s="2"/>
      <c r="N811" s="41"/>
    </row>
    <row r="812" spans="12:14" ht="14.25" customHeight="1" x14ac:dyDescent="0.35">
      <c r="L812" s="41"/>
      <c r="M812" s="2"/>
      <c r="N812" s="41"/>
    </row>
    <row r="813" spans="12:14" ht="14.25" customHeight="1" x14ac:dyDescent="0.35">
      <c r="L813" s="41"/>
      <c r="M813" s="2"/>
      <c r="N813" s="41"/>
    </row>
    <row r="814" spans="12:14" ht="14.25" customHeight="1" x14ac:dyDescent="0.35">
      <c r="L814" s="41"/>
      <c r="M814" s="2"/>
      <c r="N814" s="41"/>
    </row>
    <row r="815" spans="12:14" ht="14.25" customHeight="1" x14ac:dyDescent="0.35">
      <c r="L815" s="41"/>
      <c r="M815" s="2"/>
      <c r="N815" s="41"/>
    </row>
    <row r="816" spans="12:14" ht="14.25" customHeight="1" x14ac:dyDescent="0.35">
      <c r="L816" s="41"/>
      <c r="M816" s="2"/>
      <c r="N816" s="41"/>
    </row>
    <row r="817" spans="12:14" ht="14.25" customHeight="1" x14ac:dyDescent="0.35">
      <c r="L817" s="41"/>
      <c r="M817" s="2"/>
      <c r="N817" s="41"/>
    </row>
    <row r="818" spans="12:14" ht="14.25" customHeight="1" x14ac:dyDescent="0.35">
      <c r="L818" s="41"/>
      <c r="M818" s="2"/>
      <c r="N818" s="41"/>
    </row>
    <row r="819" spans="12:14" ht="14.25" customHeight="1" x14ac:dyDescent="0.35">
      <c r="L819" s="41"/>
      <c r="M819" s="2"/>
      <c r="N819" s="41"/>
    </row>
    <row r="820" spans="12:14" ht="14.25" customHeight="1" x14ac:dyDescent="0.35">
      <c r="L820" s="41"/>
      <c r="M820" s="2"/>
      <c r="N820" s="41"/>
    </row>
    <row r="821" spans="12:14" ht="14.25" customHeight="1" x14ac:dyDescent="0.35">
      <c r="L821" s="41"/>
      <c r="M821" s="2"/>
      <c r="N821" s="41"/>
    </row>
    <row r="822" spans="12:14" ht="14.25" customHeight="1" x14ac:dyDescent="0.35">
      <c r="L822" s="41"/>
      <c r="M822" s="2"/>
      <c r="N822" s="41"/>
    </row>
    <row r="823" spans="12:14" ht="14.25" customHeight="1" x14ac:dyDescent="0.35">
      <c r="L823" s="41"/>
      <c r="M823" s="2"/>
      <c r="N823" s="41"/>
    </row>
    <row r="824" spans="12:14" ht="14.25" customHeight="1" x14ac:dyDescent="0.35">
      <c r="L824" s="41"/>
      <c r="M824" s="2"/>
      <c r="N824" s="41"/>
    </row>
    <row r="825" spans="12:14" ht="14.25" customHeight="1" x14ac:dyDescent="0.35">
      <c r="L825" s="41"/>
      <c r="M825" s="2"/>
      <c r="N825" s="41"/>
    </row>
    <row r="826" spans="12:14" ht="14.25" customHeight="1" x14ac:dyDescent="0.35">
      <c r="L826" s="41"/>
      <c r="M826" s="2"/>
      <c r="N826" s="41"/>
    </row>
    <row r="827" spans="12:14" ht="14.25" customHeight="1" x14ac:dyDescent="0.35">
      <c r="L827" s="41"/>
      <c r="M827" s="2"/>
      <c r="N827" s="41"/>
    </row>
    <row r="828" spans="12:14" ht="14.25" customHeight="1" x14ac:dyDescent="0.35">
      <c r="L828" s="41"/>
      <c r="M828" s="2"/>
      <c r="N828" s="41"/>
    </row>
    <row r="829" spans="12:14" ht="14.25" customHeight="1" x14ac:dyDescent="0.35">
      <c r="L829" s="41"/>
      <c r="M829" s="2"/>
      <c r="N829" s="41"/>
    </row>
    <row r="830" spans="12:14" ht="14.25" customHeight="1" x14ac:dyDescent="0.35">
      <c r="L830" s="41"/>
      <c r="M830" s="2"/>
      <c r="N830" s="41"/>
    </row>
    <row r="831" spans="12:14" ht="14.25" customHeight="1" x14ac:dyDescent="0.35">
      <c r="L831" s="41"/>
      <c r="M831" s="2"/>
      <c r="N831" s="41"/>
    </row>
    <row r="832" spans="12:14" ht="14.25" customHeight="1" x14ac:dyDescent="0.35">
      <c r="L832" s="41"/>
      <c r="M832" s="2"/>
      <c r="N832" s="41"/>
    </row>
    <row r="833" spans="12:14" ht="14.25" customHeight="1" x14ac:dyDescent="0.35">
      <c r="L833" s="41"/>
      <c r="M833" s="2"/>
      <c r="N833" s="41"/>
    </row>
    <row r="834" spans="12:14" ht="14.25" customHeight="1" x14ac:dyDescent="0.35">
      <c r="L834" s="41"/>
      <c r="M834" s="2"/>
      <c r="N834" s="41"/>
    </row>
    <row r="835" spans="12:14" ht="14.25" customHeight="1" x14ac:dyDescent="0.35">
      <c r="L835" s="41"/>
      <c r="M835" s="2"/>
      <c r="N835" s="41"/>
    </row>
    <row r="836" spans="12:14" ht="14.25" customHeight="1" x14ac:dyDescent="0.35">
      <c r="L836" s="41"/>
      <c r="M836" s="2"/>
      <c r="N836" s="41"/>
    </row>
    <row r="837" spans="12:14" ht="14.25" customHeight="1" x14ac:dyDescent="0.35">
      <c r="L837" s="41"/>
      <c r="M837" s="2"/>
      <c r="N837" s="41"/>
    </row>
    <row r="838" spans="12:14" ht="14.25" customHeight="1" x14ac:dyDescent="0.35">
      <c r="L838" s="41"/>
      <c r="M838" s="2"/>
      <c r="N838" s="41"/>
    </row>
    <row r="839" spans="12:14" ht="14.25" customHeight="1" x14ac:dyDescent="0.35">
      <c r="L839" s="41"/>
      <c r="M839" s="2"/>
      <c r="N839" s="41"/>
    </row>
    <row r="840" spans="12:14" ht="14.25" customHeight="1" x14ac:dyDescent="0.35">
      <c r="L840" s="41"/>
      <c r="M840" s="2"/>
      <c r="N840" s="41"/>
    </row>
    <row r="841" spans="12:14" ht="14.25" customHeight="1" x14ac:dyDescent="0.35">
      <c r="L841" s="41"/>
      <c r="M841" s="2"/>
      <c r="N841" s="41"/>
    </row>
    <row r="842" spans="12:14" ht="14.25" customHeight="1" x14ac:dyDescent="0.35">
      <c r="L842" s="41"/>
      <c r="M842" s="2"/>
      <c r="N842" s="41"/>
    </row>
    <row r="843" spans="12:14" ht="14.25" customHeight="1" x14ac:dyDescent="0.35">
      <c r="L843" s="41"/>
      <c r="M843" s="2"/>
      <c r="N843" s="41"/>
    </row>
    <row r="844" spans="12:14" ht="14.25" customHeight="1" x14ac:dyDescent="0.35">
      <c r="L844" s="41"/>
      <c r="M844" s="2"/>
      <c r="N844" s="41"/>
    </row>
    <row r="845" spans="12:14" ht="14.25" customHeight="1" x14ac:dyDescent="0.35">
      <c r="L845" s="41"/>
      <c r="M845" s="2"/>
      <c r="N845" s="41"/>
    </row>
    <row r="846" spans="12:14" ht="14.25" customHeight="1" x14ac:dyDescent="0.35">
      <c r="L846" s="41"/>
      <c r="M846" s="2"/>
      <c r="N846" s="41"/>
    </row>
    <row r="847" spans="12:14" ht="14.25" customHeight="1" x14ac:dyDescent="0.35">
      <c r="L847" s="41"/>
      <c r="M847" s="2"/>
      <c r="N847" s="41"/>
    </row>
    <row r="848" spans="12:14" ht="14.25" customHeight="1" x14ac:dyDescent="0.35">
      <c r="L848" s="41"/>
      <c r="M848" s="2"/>
      <c r="N848" s="41"/>
    </row>
    <row r="849" spans="12:14" ht="14.25" customHeight="1" x14ac:dyDescent="0.35">
      <c r="L849" s="41"/>
      <c r="M849" s="2"/>
      <c r="N849" s="41"/>
    </row>
    <row r="850" spans="12:14" ht="14.25" customHeight="1" x14ac:dyDescent="0.35">
      <c r="L850" s="41"/>
      <c r="M850" s="2"/>
      <c r="N850" s="41"/>
    </row>
    <row r="851" spans="12:14" ht="14.25" customHeight="1" x14ac:dyDescent="0.35">
      <c r="L851" s="41"/>
      <c r="M851" s="2"/>
      <c r="N851" s="41"/>
    </row>
    <row r="852" spans="12:14" ht="14.25" customHeight="1" x14ac:dyDescent="0.35">
      <c r="L852" s="41"/>
      <c r="M852" s="2"/>
      <c r="N852" s="41"/>
    </row>
    <row r="853" spans="12:14" ht="14.25" customHeight="1" x14ac:dyDescent="0.35">
      <c r="L853" s="41"/>
      <c r="M853" s="2"/>
      <c r="N853" s="41"/>
    </row>
    <row r="854" spans="12:14" ht="14.25" customHeight="1" x14ac:dyDescent="0.35">
      <c r="L854" s="41"/>
      <c r="M854" s="2"/>
      <c r="N854" s="41"/>
    </row>
    <row r="855" spans="12:14" ht="14.25" customHeight="1" x14ac:dyDescent="0.35">
      <c r="L855" s="41"/>
      <c r="M855" s="2"/>
      <c r="N855" s="41"/>
    </row>
    <row r="856" spans="12:14" ht="14.25" customHeight="1" x14ac:dyDescent="0.35">
      <c r="L856" s="41"/>
      <c r="M856" s="2"/>
      <c r="N856" s="41"/>
    </row>
    <row r="857" spans="12:14" ht="14.25" customHeight="1" x14ac:dyDescent="0.35">
      <c r="L857" s="41"/>
      <c r="M857" s="2"/>
      <c r="N857" s="41"/>
    </row>
    <row r="858" spans="12:14" ht="14.25" customHeight="1" x14ac:dyDescent="0.35">
      <c r="L858" s="41"/>
      <c r="M858" s="2"/>
      <c r="N858" s="41"/>
    </row>
    <row r="859" spans="12:14" ht="14.25" customHeight="1" x14ac:dyDescent="0.35">
      <c r="L859" s="41"/>
      <c r="M859" s="2"/>
      <c r="N859" s="41"/>
    </row>
    <row r="860" spans="12:14" ht="14.25" customHeight="1" x14ac:dyDescent="0.35">
      <c r="L860" s="41"/>
      <c r="M860" s="2"/>
      <c r="N860" s="41"/>
    </row>
    <row r="861" spans="12:14" ht="14.25" customHeight="1" x14ac:dyDescent="0.35">
      <c r="L861" s="41"/>
      <c r="M861" s="2"/>
      <c r="N861" s="41"/>
    </row>
    <row r="862" spans="12:14" ht="14.25" customHeight="1" x14ac:dyDescent="0.35">
      <c r="L862" s="41"/>
      <c r="M862" s="2"/>
      <c r="N862" s="41"/>
    </row>
    <row r="863" spans="12:14" ht="14.25" customHeight="1" x14ac:dyDescent="0.35">
      <c r="L863" s="41"/>
      <c r="M863" s="2"/>
      <c r="N863" s="41"/>
    </row>
    <row r="864" spans="12:14" ht="14.25" customHeight="1" x14ac:dyDescent="0.35">
      <c r="L864" s="41"/>
      <c r="M864" s="2"/>
      <c r="N864" s="41"/>
    </row>
    <row r="865" spans="12:14" ht="14.25" customHeight="1" x14ac:dyDescent="0.35">
      <c r="L865" s="41"/>
      <c r="M865" s="2"/>
      <c r="N865" s="41"/>
    </row>
    <row r="866" spans="12:14" ht="14.25" customHeight="1" x14ac:dyDescent="0.35">
      <c r="L866" s="41"/>
      <c r="M866" s="2"/>
      <c r="N866" s="41"/>
    </row>
    <row r="867" spans="12:14" ht="14.25" customHeight="1" x14ac:dyDescent="0.35">
      <c r="L867" s="41"/>
      <c r="M867" s="2"/>
      <c r="N867" s="41"/>
    </row>
    <row r="868" spans="12:14" ht="14.25" customHeight="1" x14ac:dyDescent="0.35">
      <c r="L868" s="41"/>
      <c r="M868" s="2"/>
      <c r="N868" s="41"/>
    </row>
    <row r="869" spans="12:14" ht="14.25" customHeight="1" x14ac:dyDescent="0.35">
      <c r="L869" s="41"/>
      <c r="M869" s="2"/>
      <c r="N869" s="41"/>
    </row>
    <row r="870" spans="12:14" ht="14.25" customHeight="1" x14ac:dyDescent="0.35">
      <c r="L870" s="41"/>
      <c r="M870" s="2"/>
      <c r="N870" s="41"/>
    </row>
    <row r="871" spans="12:14" ht="14.25" customHeight="1" x14ac:dyDescent="0.35">
      <c r="L871" s="41"/>
      <c r="M871" s="2"/>
      <c r="N871" s="41"/>
    </row>
    <row r="872" spans="12:14" ht="14.25" customHeight="1" x14ac:dyDescent="0.35">
      <c r="L872" s="41"/>
      <c r="M872" s="2"/>
      <c r="N872" s="41"/>
    </row>
    <row r="873" spans="12:14" ht="14.25" customHeight="1" x14ac:dyDescent="0.35">
      <c r="L873" s="41"/>
      <c r="M873" s="2"/>
      <c r="N873" s="41"/>
    </row>
    <row r="874" spans="12:14" ht="14.25" customHeight="1" x14ac:dyDescent="0.35">
      <c r="L874" s="41"/>
      <c r="M874" s="2"/>
      <c r="N874" s="41"/>
    </row>
    <row r="875" spans="12:14" ht="14.25" customHeight="1" x14ac:dyDescent="0.35">
      <c r="L875" s="41"/>
      <c r="M875" s="2"/>
      <c r="N875" s="41"/>
    </row>
    <row r="876" spans="12:14" ht="14.25" customHeight="1" x14ac:dyDescent="0.35">
      <c r="L876" s="41"/>
      <c r="M876" s="2"/>
      <c r="N876" s="41"/>
    </row>
    <row r="877" spans="12:14" ht="14.25" customHeight="1" x14ac:dyDescent="0.35">
      <c r="L877" s="41"/>
      <c r="M877" s="2"/>
      <c r="N877" s="41"/>
    </row>
    <row r="878" spans="12:14" ht="14.25" customHeight="1" x14ac:dyDescent="0.35">
      <c r="L878" s="41"/>
      <c r="M878" s="2"/>
      <c r="N878" s="41"/>
    </row>
    <row r="879" spans="12:14" ht="14.25" customHeight="1" x14ac:dyDescent="0.35">
      <c r="L879" s="41"/>
      <c r="M879" s="2"/>
      <c r="N879" s="41"/>
    </row>
    <row r="880" spans="12:14" ht="14.25" customHeight="1" x14ac:dyDescent="0.35">
      <c r="L880" s="41"/>
      <c r="M880" s="2"/>
      <c r="N880" s="41"/>
    </row>
    <row r="881" spans="12:14" ht="14.25" customHeight="1" x14ac:dyDescent="0.35">
      <c r="L881" s="41"/>
      <c r="M881" s="2"/>
      <c r="N881" s="41"/>
    </row>
    <row r="882" spans="12:14" ht="14.25" customHeight="1" x14ac:dyDescent="0.35">
      <c r="L882" s="41"/>
      <c r="M882" s="2"/>
      <c r="N882" s="41"/>
    </row>
    <row r="883" spans="12:14" ht="14.25" customHeight="1" x14ac:dyDescent="0.35">
      <c r="L883" s="41"/>
      <c r="M883" s="2"/>
      <c r="N883" s="41"/>
    </row>
    <row r="884" spans="12:14" ht="14.25" customHeight="1" x14ac:dyDescent="0.35">
      <c r="L884" s="41"/>
      <c r="M884" s="2"/>
      <c r="N884" s="41"/>
    </row>
    <row r="885" spans="12:14" ht="14.25" customHeight="1" x14ac:dyDescent="0.35">
      <c r="L885" s="41"/>
      <c r="M885" s="2"/>
      <c r="N885" s="41"/>
    </row>
    <row r="886" spans="12:14" ht="14.25" customHeight="1" x14ac:dyDescent="0.35">
      <c r="L886" s="41"/>
      <c r="M886" s="2"/>
      <c r="N886" s="41"/>
    </row>
    <row r="887" spans="12:14" ht="14.25" customHeight="1" x14ac:dyDescent="0.35">
      <c r="L887" s="41"/>
      <c r="M887" s="2"/>
      <c r="N887" s="41"/>
    </row>
    <row r="888" spans="12:14" ht="14.25" customHeight="1" x14ac:dyDescent="0.35">
      <c r="L888" s="41"/>
      <c r="M888" s="2"/>
      <c r="N888" s="41"/>
    </row>
    <row r="889" spans="12:14" ht="14.25" customHeight="1" x14ac:dyDescent="0.35">
      <c r="L889" s="41"/>
      <c r="M889" s="2"/>
      <c r="N889" s="41"/>
    </row>
    <row r="890" spans="12:14" ht="14.25" customHeight="1" x14ac:dyDescent="0.35">
      <c r="L890" s="41"/>
      <c r="M890" s="2"/>
      <c r="N890" s="41"/>
    </row>
    <row r="891" spans="12:14" ht="14.25" customHeight="1" x14ac:dyDescent="0.35">
      <c r="L891" s="41"/>
      <c r="M891" s="2"/>
      <c r="N891" s="41"/>
    </row>
    <row r="892" spans="12:14" ht="14.25" customHeight="1" x14ac:dyDescent="0.35">
      <c r="L892" s="41"/>
      <c r="M892" s="2"/>
      <c r="N892" s="41"/>
    </row>
    <row r="893" spans="12:14" ht="14.25" customHeight="1" x14ac:dyDescent="0.35">
      <c r="L893" s="41"/>
      <c r="M893" s="2"/>
      <c r="N893" s="41"/>
    </row>
    <row r="894" spans="12:14" ht="14.25" customHeight="1" x14ac:dyDescent="0.35">
      <c r="L894" s="41"/>
      <c r="M894" s="2"/>
      <c r="N894" s="41"/>
    </row>
    <row r="895" spans="12:14" ht="14.25" customHeight="1" x14ac:dyDescent="0.35">
      <c r="L895" s="41"/>
      <c r="M895" s="2"/>
      <c r="N895" s="41"/>
    </row>
    <row r="896" spans="12:14" ht="14.25" customHeight="1" x14ac:dyDescent="0.35">
      <c r="L896" s="41"/>
      <c r="M896" s="2"/>
      <c r="N896" s="41"/>
    </row>
    <row r="897" spans="12:14" ht="14.25" customHeight="1" x14ac:dyDescent="0.35">
      <c r="L897" s="41"/>
      <c r="M897" s="2"/>
      <c r="N897" s="41"/>
    </row>
    <row r="898" spans="12:14" ht="14.25" customHeight="1" x14ac:dyDescent="0.35">
      <c r="L898" s="41"/>
      <c r="M898" s="2"/>
      <c r="N898" s="41"/>
    </row>
    <row r="899" spans="12:14" ht="14.25" customHeight="1" x14ac:dyDescent="0.35">
      <c r="L899" s="41"/>
      <c r="M899" s="2"/>
      <c r="N899" s="41"/>
    </row>
    <row r="900" spans="12:14" ht="14.25" customHeight="1" x14ac:dyDescent="0.35">
      <c r="L900" s="41"/>
      <c r="M900" s="2"/>
      <c r="N900" s="41"/>
    </row>
    <row r="901" spans="12:14" ht="14.25" customHeight="1" x14ac:dyDescent="0.35">
      <c r="L901" s="41"/>
      <c r="M901" s="2"/>
      <c r="N901" s="41"/>
    </row>
    <row r="902" spans="12:14" ht="14.25" customHeight="1" x14ac:dyDescent="0.35">
      <c r="L902" s="41"/>
      <c r="M902" s="2"/>
      <c r="N902" s="41"/>
    </row>
    <row r="903" spans="12:14" ht="14.25" customHeight="1" x14ac:dyDescent="0.35">
      <c r="L903" s="41"/>
      <c r="M903" s="2"/>
      <c r="N903" s="41"/>
    </row>
    <row r="904" spans="12:14" ht="14.25" customHeight="1" x14ac:dyDescent="0.35">
      <c r="L904" s="41"/>
      <c r="M904" s="2"/>
      <c r="N904" s="41"/>
    </row>
    <row r="905" spans="12:14" ht="14.25" customHeight="1" x14ac:dyDescent="0.35">
      <c r="L905" s="41"/>
      <c r="M905" s="2"/>
      <c r="N905" s="41"/>
    </row>
    <row r="906" spans="12:14" ht="14.25" customHeight="1" x14ac:dyDescent="0.35">
      <c r="L906" s="41"/>
      <c r="M906" s="2"/>
      <c r="N906" s="41"/>
    </row>
    <row r="907" spans="12:14" ht="14.25" customHeight="1" x14ac:dyDescent="0.35">
      <c r="L907" s="41"/>
      <c r="M907" s="2"/>
      <c r="N907" s="41"/>
    </row>
    <row r="908" spans="12:14" ht="14.25" customHeight="1" x14ac:dyDescent="0.35">
      <c r="L908" s="41"/>
      <c r="M908" s="2"/>
      <c r="N908" s="41"/>
    </row>
    <row r="909" spans="12:14" ht="14.25" customHeight="1" x14ac:dyDescent="0.35">
      <c r="L909" s="41"/>
      <c r="M909" s="2"/>
      <c r="N909" s="41"/>
    </row>
    <row r="910" spans="12:14" ht="14.25" customHeight="1" x14ac:dyDescent="0.35">
      <c r="L910" s="41"/>
      <c r="M910" s="2"/>
      <c r="N910" s="41"/>
    </row>
    <row r="911" spans="12:14" ht="14.25" customHeight="1" x14ac:dyDescent="0.35">
      <c r="L911" s="41"/>
      <c r="M911" s="2"/>
      <c r="N911" s="41"/>
    </row>
    <row r="912" spans="12:14" ht="14.25" customHeight="1" x14ac:dyDescent="0.35">
      <c r="L912" s="41"/>
      <c r="M912" s="2"/>
      <c r="N912" s="41"/>
    </row>
    <row r="913" spans="12:14" ht="14.25" customHeight="1" x14ac:dyDescent="0.35">
      <c r="L913" s="41"/>
      <c r="M913" s="2"/>
      <c r="N913" s="41"/>
    </row>
    <row r="914" spans="12:14" ht="14.25" customHeight="1" x14ac:dyDescent="0.35">
      <c r="L914" s="41"/>
      <c r="M914" s="2"/>
      <c r="N914" s="41"/>
    </row>
    <row r="915" spans="12:14" ht="14.25" customHeight="1" x14ac:dyDescent="0.35">
      <c r="L915" s="41"/>
      <c r="M915" s="2"/>
      <c r="N915" s="41"/>
    </row>
    <row r="916" spans="12:14" ht="14.25" customHeight="1" x14ac:dyDescent="0.35">
      <c r="L916" s="41"/>
      <c r="M916" s="2"/>
      <c r="N916" s="41"/>
    </row>
    <row r="917" spans="12:14" ht="14.25" customHeight="1" x14ac:dyDescent="0.35">
      <c r="L917" s="41"/>
      <c r="M917" s="2"/>
      <c r="N917" s="41"/>
    </row>
    <row r="918" spans="12:14" ht="14.25" customHeight="1" x14ac:dyDescent="0.35">
      <c r="L918" s="41"/>
      <c r="M918" s="2"/>
      <c r="N918" s="41"/>
    </row>
    <row r="919" spans="12:14" ht="14.25" customHeight="1" x14ac:dyDescent="0.35">
      <c r="L919" s="41"/>
      <c r="M919" s="2"/>
      <c r="N919" s="41"/>
    </row>
    <row r="920" spans="12:14" ht="14.25" customHeight="1" x14ac:dyDescent="0.35">
      <c r="L920" s="41"/>
      <c r="M920" s="2"/>
      <c r="N920" s="41"/>
    </row>
    <row r="921" spans="12:14" ht="14.25" customHeight="1" x14ac:dyDescent="0.35">
      <c r="L921" s="41"/>
      <c r="M921" s="2"/>
      <c r="N921" s="41"/>
    </row>
    <row r="922" spans="12:14" ht="14.25" customHeight="1" x14ac:dyDescent="0.35">
      <c r="L922" s="41"/>
      <c r="M922" s="2"/>
      <c r="N922" s="41"/>
    </row>
    <row r="923" spans="12:14" ht="14.25" customHeight="1" x14ac:dyDescent="0.35">
      <c r="L923" s="41"/>
      <c r="M923" s="2"/>
      <c r="N923" s="41"/>
    </row>
    <row r="924" spans="12:14" ht="14.25" customHeight="1" x14ac:dyDescent="0.35">
      <c r="L924" s="41"/>
      <c r="M924" s="2"/>
      <c r="N924" s="41"/>
    </row>
    <row r="925" spans="12:14" ht="14.25" customHeight="1" x14ac:dyDescent="0.35">
      <c r="L925" s="41"/>
      <c r="M925" s="2"/>
      <c r="N925" s="41"/>
    </row>
    <row r="926" spans="12:14" ht="14.25" customHeight="1" x14ac:dyDescent="0.35">
      <c r="L926" s="41"/>
      <c r="M926" s="2"/>
      <c r="N926" s="41"/>
    </row>
    <row r="927" spans="12:14" ht="14.25" customHeight="1" x14ac:dyDescent="0.35">
      <c r="L927" s="41"/>
      <c r="M927" s="2"/>
      <c r="N927" s="41"/>
    </row>
    <row r="928" spans="12:14" ht="14.25" customHeight="1" x14ac:dyDescent="0.35">
      <c r="L928" s="41"/>
      <c r="M928" s="2"/>
      <c r="N928" s="41"/>
    </row>
    <row r="929" spans="12:14" ht="14.25" customHeight="1" x14ac:dyDescent="0.35">
      <c r="L929" s="41"/>
      <c r="M929" s="2"/>
      <c r="N929" s="41"/>
    </row>
    <row r="930" spans="12:14" ht="14.25" customHeight="1" x14ac:dyDescent="0.35">
      <c r="L930" s="41"/>
      <c r="M930" s="2"/>
      <c r="N930" s="41"/>
    </row>
    <row r="931" spans="12:14" ht="14.25" customHeight="1" x14ac:dyDescent="0.35">
      <c r="L931" s="41"/>
      <c r="M931" s="2"/>
      <c r="N931" s="41"/>
    </row>
    <row r="932" spans="12:14" ht="14.25" customHeight="1" x14ac:dyDescent="0.35">
      <c r="L932" s="41"/>
      <c r="M932" s="2"/>
      <c r="N932" s="41"/>
    </row>
    <row r="933" spans="12:14" ht="14.25" customHeight="1" x14ac:dyDescent="0.35">
      <c r="L933" s="41"/>
      <c r="M933" s="2"/>
      <c r="N933" s="41"/>
    </row>
    <row r="934" spans="12:14" ht="14.25" customHeight="1" x14ac:dyDescent="0.35">
      <c r="L934" s="41"/>
      <c r="M934" s="2"/>
      <c r="N934" s="41"/>
    </row>
    <row r="935" spans="12:14" ht="14.25" customHeight="1" x14ac:dyDescent="0.35">
      <c r="L935" s="41"/>
      <c r="M935" s="2"/>
      <c r="N935" s="41"/>
    </row>
    <row r="936" spans="12:14" ht="14.25" customHeight="1" x14ac:dyDescent="0.35">
      <c r="L936" s="41"/>
      <c r="M936" s="2"/>
      <c r="N936" s="41"/>
    </row>
    <row r="937" spans="12:14" ht="14.25" customHeight="1" x14ac:dyDescent="0.35">
      <c r="L937" s="41"/>
      <c r="M937" s="2"/>
      <c r="N937" s="41"/>
    </row>
    <row r="938" spans="12:14" ht="14.25" customHeight="1" x14ac:dyDescent="0.35">
      <c r="L938" s="41"/>
      <c r="M938" s="2"/>
      <c r="N938" s="41"/>
    </row>
    <row r="939" spans="12:14" ht="14.25" customHeight="1" x14ac:dyDescent="0.35">
      <c r="L939" s="41"/>
      <c r="M939" s="2"/>
      <c r="N939" s="41"/>
    </row>
    <row r="940" spans="12:14" ht="14.25" customHeight="1" x14ac:dyDescent="0.35">
      <c r="L940" s="41"/>
      <c r="M940" s="2"/>
      <c r="N940" s="41"/>
    </row>
    <row r="941" spans="12:14" ht="14.25" customHeight="1" x14ac:dyDescent="0.35">
      <c r="L941" s="41"/>
      <c r="M941" s="2"/>
      <c r="N941" s="41"/>
    </row>
    <row r="942" spans="12:14" ht="14.25" customHeight="1" x14ac:dyDescent="0.35">
      <c r="L942" s="41"/>
      <c r="M942" s="2"/>
      <c r="N942" s="41"/>
    </row>
    <row r="943" spans="12:14" ht="14.25" customHeight="1" x14ac:dyDescent="0.35">
      <c r="L943" s="41"/>
      <c r="M943" s="2"/>
      <c r="N943" s="41"/>
    </row>
    <row r="944" spans="12:14" ht="14.25" customHeight="1" x14ac:dyDescent="0.35">
      <c r="L944" s="41"/>
      <c r="M944" s="2"/>
      <c r="N944" s="41"/>
    </row>
    <row r="945" spans="12:14" ht="14.25" customHeight="1" x14ac:dyDescent="0.35">
      <c r="L945" s="41"/>
      <c r="M945" s="2"/>
      <c r="N945" s="41"/>
    </row>
    <row r="946" spans="12:14" ht="14.25" customHeight="1" x14ac:dyDescent="0.35">
      <c r="L946" s="41"/>
      <c r="M946" s="2"/>
      <c r="N946" s="41"/>
    </row>
    <row r="947" spans="12:14" ht="14.25" customHeight="1" x14ac:dyDescent="0.35">
      <c r="L947" s="41"/>
      <c r="M947" s="2"/>
      <c r="N947" s="41"/>
    </row>
    <row r="948" spans="12:14" ht="14.25" customHeight="1" x14ac:dyDescent="0.35">
      <c r="L948" s="41"/>
      <c r="M948" s="2"/>
      <c r="N948" s="41"/>
    </row>
    <row r="949" spans="12:14" ht="14.25" customHeight="1" x14ac:dyDescent="0.35">
      <c r="L949" s="41"/>
      <c r="M949" s="2"/>
      <c r="N949" s="41"/>
    </row>
    <row r="950" spans="12:14" ht="14.25" customHeight="1" x14ac:dyDescent="0.35">
      <c r="L950" s="41"/>
      <c r="M950" s="2"/>
      <c r="N950" s="41"/>
    </row>
    <row r="951" spans="12:14" ht="14.25" customHeight="1" x14ac:dyDescent="0.35">
      <c r="L951" s="41"/>
      <c r="M951" s="2"/>
      <c r="N951" s="41"/>
    </row>
    <row r="952" spans="12:14" ht="14.25" customHeight="1" x14ac:dyDescent="0.35">
      <c r="L952" s="41"/>
      <c r="M952" s="2"/>
      <c r="N952" s="41"/>
    </row>
    <row r="953" spans="12:14" ht="14.25" customHeight="1" x14ac:dyDescent="0.35">
      <c r="L953" s="41"/>
      <c r="M953" s="2"/>
      <c r="N953" s="41"/>
    </row>
    <row r="954" spans="12:14" ht="14.25" customHeight="1" x14ac:dyDescent="0.35">
      <c r="L954" s="41"/>
      <c r="M954" s="2"/>
      <c r="N954" s="41"/>
    </row>
    <row r="955" spans="12:14" ht="14.25" customHeight="1" x14ac:dyDescent="0.35">
      <c r="L955" s="41"/>
      <c r="M955" s="2"/>
      <c r="N955" s="41"/>
    </row>
    <row r="956" spans="12:14" ht="14.25" customHeight="1" x14ac:dyDescent="0.35">
      <c r="L956" s="41"/>
      <c r="M956" s="2"/>
      <c r="N956" s="41"/>
    </row>
    <row r="957" spans="12:14" ht="14.25" customHeight="1" x14ac:dyDescent="0.35">
      <c r="L957" s="41"/>
      <c r="M957" s="2"/>
      <c r="N957" s="41"/>
    </row>
    <row r="958" spans="12:14" ht="14.25" customHeight="1" x14ac:dyDescent="0.35">
      <c r="L958" s="41"/>
      <c r="M958" s="2"/>
      <c r="N958" s="41"/>
    </row>
    <row r="959" spans="12:14" ht="14.25" customHeight="1" x14ac:dyDescent="0.35">
      <c r="L959" s="41"/>
      <c r="M959" s="2"/>
      <c r="N959" s="41"/>
    </row>
    <row r="960" spans="12:14" ht="14.25" customHeight="1" x14ac:dyDescent="0.35">
      <c r="L960" s="41"/>
      <c r="M960" s="2"/>
      <c r="N960" s="41"/>
    </row>
    <row r="961" spans="12:14" ht="14.25" customHeight="1" x14ac:dyDescent="0.35">
      <c r="L961" s="41"/>
      <c r="M961" s="2"/>
      <c r="N961" s="41"/>
    </row>
    <row r="962" spans="12:14" ht="14.25" customHeight="1" x14ac:dyDescent="0.35">
      <c r="L962" s="41"/>
      <c r="M962" s="2"/>
      <c r="N962" s="41"/>
    </row>
    <row r="963" spans="12:14" ht="14.25" customHeight="1" x14ac:dyDescent="0.35">
      <c r="L963" s="41"/>
      <c r="M963" s="2"/>
      <c r="N963" s="41"/>
    </row>
    <row r="964" spans="12:14" ht="14.25" customHeight="1" x14ac:dyDescent="0.35">
      <c r="L964" s="41"/>
      <c r="M964" s="2"/>
      <c r="N964" s="41"/>
    </row>
    <row r="965" spans="12:14" ht="14.25" customHeight="1" x14ac:dyDescent="0.35">
      <c r="L965" s="41"/>
      <c r="M965" s="2"/>
      <c r="N965" s="41"/>
    </row>
    <row r="966" spans="12:14" ht="14.25" customHeight="1" x14ac:dyDescent="0.35">
      <c r="L966" s="41"/>
      <c r="M966" s="2"/>
      <c r="N966" s="41"/>
    </row>
    <row r="967" spans="12:14" ht="14.25" customHeight="1" x14ac:dyDescent="0.35">
      <c r="L967" s="41"/>
      <c r="M967" s="2"/>
      <c r="N967" s="41"/>
    </row>
    <row r="968" spans="12:14" ht="14.25" customHeight="1" x14ac:dyDescent="0.35">
      <c r="L968" s="41"/>
      <c r="M968" s="2"/>
      <c r="N968" s="41"/>
    </row>
    <row r="969" spans="12:14" ht="14.25" customHeight="1" x14ac:dyDescent="0.35">
      <c r="L969" s="41"/>
      <c r="M969" s="2"/>
      <c r="N969" s="41"/>
    </row>
    <row r="970" spans="12:14" ht="14.25" customHeight="1" x14ac:dyDescent="0.35">
      <c r="L970" s="41"/>
      <c r="M970" s="2"/>
      <c r="N970" s="41"/>
    </row>
    <row r="971" spans="12:14" ht="14.25" customHeight="1" x14ac:dyDescent="0.35">
      <c r="L971" s="41"/>
      <c r="M971" s="2"/>
      <c r="N971" s="41"/>
    </row>
    <row r="972" spans="12:14" ht="14.25" customHeight="1" x14ac:dyDescent="0.35">
      <c r="L972" s="41"/>
      <c r="M972" s="2"/>
      <c r="N972" s="41"/>
    </row>
    <row r="973" spans="12:14" ht="14.25" customHeight="1" x14ac:dyDescent="0.35">
      <c r="L973" s="41"/>
      <c r="M973" s="2"/>
      <c r="N973" s="41"/>
    </row>
    <row r="974" spans="12:14" ht="14.25" customHeight="1" x14ac:dyDescent="0.35">
      <c r="L974" s="41"/>
      <c r="M974" s="2"/>
      <c r="N974" s="41"/>
    </row>
    <row r="975" spans="12:14" ht="14.25" customHeight="1" x14ac:dyDescent="0.35">
      <c r="L975" s="41"/>
      <c r="M975" s="2"/>
      <c r="N975" s="41"/>
    </row>
    <row r="976" spans="12:14" ht="14.25" customHeight="1" x14ac:dyDescent="0.35">
      <c r="L976" s="41"/>
      <c r="M976" s="2"/>
      <c r="N976" s="41"/>
    </row>
    <row r="977" spans="12:14" ht="14.25" customHeight="1" x14ac:dyDescent="0.35">
      <c r="L977" s="41"/>
      <c r="M977" s="2"/>
      <c r="N977" s="41"/>
    </row>
    <row r="978" spans="12:14" ht="14.25" customHeight="1" x14ac:dyDescent="0.35">
      <c r="L978" s="41"/>
      <c r="M978" s="2"/>
      <c r="N978" s="41"/>
    </row>
    <row r="979" spans="12:14" ht="14.25" customHeight="1" x14ac:dyDescent="0.35">
      <c r="L979" s="41"/>
      <c r="M979" s="2"/>
      <c r="N979" s="41"/>
    </row>
    <row r="980" spans="12:14" ht="14.25" customHeight="1" x14ac:dyDescent="0.35">
      <c r="L980" s="41"/>
      <c r="M980" s="2"/>
      <c r="N980" s="41"/>
    </row>
    <row r="981" spans="12:14" ht="14.25" customHeight="1" x14ac:dyDescent="0.35">
      <c r="L981" s="41"/>
      <c r="M981" s="2"/>
      <c r="N981" s="41"/>
    </row>
    <row r="982" spans="12:14" ht="14.25" customHeight="1" x14ac:dyDescent="0.35">
      <c r="L982" s="41"/>
      <c r="M982" s="2"/>
      <c r="N982" s="41"/>
    </row>
    <row r="983" spans="12:14" ht="14.25" customHeight="1" x14ac:dyDescent="0.35">
      <c r="L983" s="41"/>
      <c r="M983" s="2"/>
      <c r="N983" s="41"/>
    </row>
    <row r="984" spans="12:14" ht="14.25" customHeight="1" x14ac:dyDescent="0.35">
      <c r="L984" s="41"/>
      <c r="M984" s="2"/>
      <c r="N984" s="41"/>
    </row>
    <row r="985" spans="12:14" ht="14.25" customHeight="1" x14ac:dyDescent="0.35">
      <c r="L985" s="41"/>
      <c r="M985" s="2"/>
      <c r="N985" s="41"/>
    </row>
    <row r="986" spans="12:14" ht="14.25" customHeight="1" x14ac:dyDescent="0.35">
      <c r="L986" s="41"/>
      <c r="M986" s="2"/>
      <c r="N986" s="41"/>
    </row>
    <row r="987" spans="12:14" ht="14.25" customHeight="1" x14ac:dyDescent="0.35">
      <c r="L987" s="41"/>
      <c r="M987" s="2"/>
      <c r="N987" s="41"/>
    </row>
    <row r="988" spans="12:14" ht="14.25" customHeight="1" x14ac:dyDescent="0.35">
      <c r="L988" s="41"/>
      <c r="M988" s="2"/>
      <c r="N988" s="41"/>
    </row>
    <row r="989" spans="12:14" ht="14.25" customHeight="1" x14ac:dyDescent="0.35">
      <c r="L989" s="41"/>
      <c r="M989" s="2"/>
      <c r="N989" s="41"/>
    </row>
    <row r="990" spans="12:14" ht="14.25" customHeight="1" x14ac:dyDescent="0.35">
      <c r="L990" s="41"/>
      <c r="M990" s="2"/>
      <c r="N990" s="41"/>
    </row>
    <row r="991" spans="12:14" ht="14.25" customHeight="1" x14ac:dyDescent="0.35">
      <c r="L991" s="41"/>
      <c r="M991" s="2"/>
      <c r="N991" s="41"/>
    </row>
    <row r="992" spans="12:14" ht="14.25" customHeight="1" x14ac:dyDescent="0.35">
      <c r="L992" s="41"/>
      <c r="M992" s="2"/>
      <c r="N992" s="41"/>
    </row>
    <row r="993" spans="12:14" ht="14.25" customHeight="1" x14ac:dyDescent="0.35">
      <c r="L993" s="41"/>
      <c r="M993" s="2"/>
      <c r="N993" s="41"/>
    </row>
    <row r="994" spans="12:14" ht="14.25" customHeight="1" x14ac:dyDescent="0.35">
      <c r="L994" s="41"/>
      <c r="M994" s="2"/>
      <c r="N994" s="41"/>
    </row>
    <row r="995" spans="12:14" ht="14.25" customHeight="1" x14ac:dyDescent="0.35">
      <c r="L995" s="41"/>
      <c r="M995" s="2"/>
      <c r="N995" s="41"/>
    </row>
    <row r="996" spans="12:14" ht="14.25" customHeight="1" x14ac:dyDescent="0.35">
      <c r="L996" s="41"/>
      <c r="M996" s="2"/>
      <c r="N996" s="41"/>
    </row>
    <row r="997" spans="12:14" ht="14.25" customHeight="1" x14ac:dyDescent="0.35">
      <c r="L997" s="41"/>
      <c r="M997" s="2"/>
      <c r="N997" s="41"/>
    </row>
    <row r="998" spans="12:14" ht="14.25" customHeight="1" x14ac:dyDescent="0.35">
      <c r="L998" s="41"/>
      <c r="M998" s="2"/>
      <c r="N998" s="41"/>
    </row>
    <row r="999" spans="12:14" ht="14.25" customHeight="1" x14ac:dyDescent="0.35">
      <c r="L999" s="41"/>
      <c r="M999" s="2"/>
      <c r="N999" s="41"/>
    </row>
    <row r="1000" spans="12:14" ht="14.25" customHeight="1" x14ac:dyDescent="0.35">
      <c r="L1000" s="41"/>
      <c r="M1000" s="2"/>
      <c r="N1000" s="41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6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2">
        <v>45502</v>
      </c>
      <c r="D2" s="42">
        <v>45506</v>
      </c>
      <c r="E2" s="42">
        <v>45292</v>
      </c>
      <c r="F2" s="21" t="s">
        <v>20</v>
      </c>
      <c r="G2" s="21" t="s">
        <v>20</v>
      </c>
      <c r="H2" s="43"/>
      <c r="I2" s="43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2">
        <v>45417</v>
      </c>
      <c r="D3" s="42">
        <v>45424</v>
      </c>
      <c r="E3" s="42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9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2">
        <v>45487</v>
      </c>
      <c r="D4" s="42">
        <v>45501</v>
      </c>
      <c r="E4" s="42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9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2">
        <v>45479</v>
      </c>
      <c r="D5" s="42">
        <v>45486</v>
      </c>
      <c r="E5" s="42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9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2">
        <v>45563</v>
      </c>
      <c r="D6" s="42">
        <v>45570</v>
      </c>
      <c r="E6" s="42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2">
        <v>45461</v>
      </c>
      <c r="D7" s="42">
        <v>45464</v>
      </c>
      <c r="E7" s="42">
        <v>45275</v>
      </c>
      <c r="F7" s="21" t="s">
        <v>1758</v>
      </c>
      <c r="G7" s="21" t="s">
        <v>9</v>
      </c>
      <c r="H7" s="10"/>
      <c r="I7" s="10"/>
      <c r="J7" s="12">
        <v>15</v>
      </c>
      <c r="K7" s="52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2">
        <v>45460</v>
      </c>
      <c r="D8" s="42">
        <v>45467</v>
      </c>
      <c r="E8" s="42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2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2">
        <v>45480</v>
      </c>
      <c r="D9" s="42">
        <v>45487</v>
      </c>
      <c r="E9" s="42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9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2">
        <v>45519</v>
      </c>
      <c r="D10" s="42">
        <v>45522</v>
      </c>
      <c r="E10" s="42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2">
        <v>45427</v>
      </c>
      <c r="D11" s="42">
        <v>45430</v>
      </c>
      <c r="E11" s="42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2">
        <v>45473</v>
      </c>
      <c r="D12" s="42">
        <v>45480</v>
      </c>
      <c r="E12" s="42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9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2">
        <v>45553</v>
      </c>
      <c r="D13" s="42">
        <v>45558</v>
      </c>
      <c r="E13" s="42">
        <f t="shared" si="0"/>
        <v>45275</v>
      </c>
      <c r="F13" s="21" t="s">
        <v>1758</v>
      </c>
      <c r="G13" s="21" t="s">
        <v>17</v>
      </c>
      <c r="H13" s="43"/>
      <c r="I13" s="43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2">
        <v>45423</v>
      </c>
      <c r="D14" s="42">
        <v>45428</v>
      </c>
      <c r="E14" s="42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2">
        <v>45486</v>
      </c>
      <c r="D15" s="42">
        <v>45500</v>
      </c>
      <c r="E15" s="42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9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2">
        <v>45483</v>
      </c>
      <c r="D16" s="42">
        <v>45490</v>
      </c>
      <c r="E16" s="42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9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2">
        <v>45454</v>
      </c>
      <c r="D17" s="42">
        <v>45461</v>
      </c>
      <c r="E17" s="42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9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2">
        <v>45453</v>
      </c>
      <c r="D18" s="42">
        <v>45460</v>
      </c>
      <c r="E18" s="42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2">
        <v>45519</v>
      </c>
      <c r="D19" s="42">
        <v>45523</v>
      </c>
      <c r="E19" s="42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2">
        <v>45454</v>
      </c>
      <c r="D20" s="42">
        <v>45461</v>
      </c>
      <c r="E20" s="42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9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2">
        <v>45452</v>
      </c>
      <c r="D21" s="42">
        <v>45459</v>
      </c>
      <c r="E21" s="42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2">
        <v>45454</v>
      </c>
      <c r="D22" s="42">
        <v>45460</v>
      </c>
      <c r="E22" s="42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2">
        <v>45435</v>
      </c>
      <c r="D23" s="42">
        <v>45439</v>
      </c>
      <c r="E23" s="42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2">
        <v>45495</v>
      </c>
      <c r="D24" s="42">
        <v>45500</v>
      </c>
      <c r="E24" s="42">
        <f t="shared" si="0"/>
        <v>45275</v>
      </c>
      <c r="F24" s="21" t="s">
        <v>1759</v>
      </c>
      <c r="G24" s="21" t="s">
        <v>48</v>
      </c>
      <c r="H24" s="43"/>
      <c r="I24" s="43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2">
        <v>45500</v>
      </c>
      <c r="D25" s="42">
        <v>45501</v>
      </c>
      <c r="E25" s="42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2">
        <v>45421</v>
      </c>
      <c r="D26" s="42">
        <v>45424</v>
      </c>
      <c r="E26" s="42">
        <v>45292</v>
      </c>
      <c r="F26" s="21" t="s">
        <v>1758</v>
      </c>
      <c r="G26" s="21" t="s">
        <v>48</v>
      </c>
      <c r="H26" s="10"/>
      <c r="I26" s="10"/>
      <c r="J26" s="12"/>
      <c r="K26" s="52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2">
        <v>45446</v>
      </c>
      <c r="D27" s="42">
        <v>45449</v>
      </c>
      <c r="E27" s="42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2">
        <v>45421</v>
      </c>
      <c r="D28" s="42">
        <v>45425</v>
      </c>
      <c r="E28" s="42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2">
        <v>45434</v>
      </c>
      <c r="D29" s="42">
        <v>45439</v>
      </c>
      <c r="E29" s="42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2">
        <v>45519</v>
      </c>
      <c r="D30" s="42">
        <v>45522</v>
      </c>
      <c r="E30" s="42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2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2">
        <v>45475</v>
      </c>
      <c r="D31" s="42">
        <v>45480</v>
      </c>
      <c r="E31" s="42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2">
        <v>45462</v>
      </c>
      <c r="D32" s="42">
        <v>45467</v>
      </c>
      <c r="E32" s="42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2">
        <v>45465</v>
      </c>
      <c r="D33" s="42">
        <v>45474</v>
      </c>
      <c r="E33" s="42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2">
        <v>45474</v>
      </c>
      <c r="D34" s="42">
        <v>45481</v>
      </c>
      <c r="E34" s="42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2">
        <v>45513</v>
      </c>
      <c r="D35" s="42">
        <v>45518</v>
      </c>
      <c r="E35" s="42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9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2">
        <v>45454</v>
      </c>
      <c r="D36" s="42">
        <v>45461</v>
      </c>
      <c r="E36" s="42">
        <v>45304</v>
      </c>
      <c r="F36" s="21" t="s">
        <v>1758</v>
      </c>
      <c r="G36" s="21" t="s">
        <v>9</v>
      </c>
      <c r="H36" s="43"/>
      <c r="I36" s="43"/>
      <c r="J36" s="12"/>
      <c r="K36" s="12">
        <v>1</v>
      </c>
      <c r="L36" s="12">
        <v>2</v>
      </c>
      <c r="M36" s="89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2">
        <v>45516</v>
      </c>
      <c r="D37" s="42">
        <v>45522</v>
      </c>
      <c r="E37" s="42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2">
        <v>45529</v>
      </c>
      <c r="D38" s="42">
        <v>45533</v>
      </c>
      <c r="E38" s="42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2">
        <v>45446</v>
      </c>
      <c r="D39" s="42">
        <v>45452</v>
      </c>
      <c r="E39" s="42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2">
        <v>45442</v>
      </c>
      <c r="D40" s="42">
        <v>45449</v>
      </c>
      <c r="E40" s="42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2">
        <v>45488</v>
      </c>
      <c r="D41" s="42">
        <v>45495</v>
      </c>
      <c r="E41" s="42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2">
        <v>45448</v>
      </c>
      <c r="D42" s="42">
        <v>45452</v>
      </c>
      <c r="E42" s="42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2">
        <v>45486</v>
      </c>
      <c r="D43" s="42">
        <v>45491</v>
      </c>
      <c r="E43" s="42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2">
        <v>45472</v>
      </c>
      <c r="D44" s="42">
        <v>45479</v>
      </c>
      <c r="E44" s="42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2">
        <v>45446</v>
      </c>
      <c r="D45" s="42">
        <v>45453</v>
      </c>
      <c r="E45" s="42">
        <v>45313</v>
      </c>
      <c r="F45" s="21" t="s">
        <v>1758</v>
      </c>
      <c r="G45" s="21" t="s">
        <v>9</v>
      </c>
      <c r="H45" s="43"/>
      <c r="I45" s="43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2">
        <v>45439</v>
      </c>
      <c r="D46" s="42">
        <v>45446</v>
      </c>
      <c r="E46" s="42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2">
        <v>45495</v>
      </c>
      <c r="D47" s="42">
        <v>45501</v>
      </c>
      <c r="E47" s="42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2">
        <v>45495</v>
      </c>
      <c r="D48" s="42">
        <v>45501</v>
      </c>
      <c r="E48" s="42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2">
        <v>45467</v>
      </c>
      <c r="D49" s="42">
        <v>45471</v>
      </c>
      <c r="E49" s="42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9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2">
        <v>45494</v>
      </c>
      <c r="D50" s="42">
        <v>45501</v>
      </c>
      <c r="E50" s="42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2">
        <v>45511</v>
      </c>
      <c r="D51" s="42">
        <v>45518</v>
      </c>
      <c r="E51" s="42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2">
        <v>45414</v>
      </c>
      <c r="D52" s="42">
        <v>45417</v>
      </c>
      <c r="E52" s="42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2">
        <v>45442</v>
      </c>
      <c r="D53" s="42">
        <v>45448</v>
      </c>
      <c r="E53" s="42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2">
        <v>45434</v>
      </c>
      <c r="D54" s="42">
        <v>45436</v>
      </c>
      <c r="E54" s="42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2">
        <v>45439</v>
      </c>
      <c r="D55" s="42">
        <v>45446</v>
      </c>
      <c r="E55" s="42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2">
        <v>45432</v>
      </c>
      <c r="D56" s="42">
        <v>45436</v>
      </c>
      <c r="E56" s="42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2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2">
        <v>45516</v>
      </c>
      <c r="D57" s="42">
        <v>45521</v>
      </c>
      <c r="E57" s="42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2">
        <v>45524</v>
      </c>
      <c r="D58" s="42">
        <v>45527</v>
      </c>
      <c r="E58" s="42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2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2">
        <v>45548</v>
      </c>
      <c r="D59" s="42">
        <v>45554</v>
      </c>
      <c r="E59" s="42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2">
        <v>45492</v>
      </c>
      <c r="D60" s="42">
        <v>45502</v>
      </c>
      <c r="E60" s="42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2">
        <v>45464</v>
      </c>
      <c r="D61" s="42">
        <v>45471</v>
      </c>
      <c r="E61" s="42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2">
        <v>45480</v>
      </c>
      <c r="D62" s="42">
        <v>45487</v>
      </c>
      <c r="E62" s="42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2">
        <v>45502</v>
      </c>
      <c r="D63" s="42">
        <v>45506</v>
      </c>
      <c r="E63" s="42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2">
        <v>45533</v>
      </c>
      <c r="D64" s="42">
        <v>45537</v>
      </c>
      <c r="E64" s="42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2">
        <v>45506</v>
      </c>
      <c r="D65" s="42">
        <v>45510</v>
      </c>
      <c r="E65" s="42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9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2">
        <v>45560</v>
      </c>
      <c r="D66" s="42">
        <v>45567</v>
      </c>
      <c r="E66" s="42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2">
        <v>45438</v>
      </c>
      <c r="D67" s="42">
        <v>45446</v>
      </c>
      <c r="E67" s="42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2">
        <v>45415</v>
      </c>
      <c r="D68" s="42">
        <v>45419</v>
      </c>
      <c r="E68" s="42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2">
        <v>45436</v>
      </c>
      <c r="D69" s="42">
        <v>45438</v>
      </c>
      <c r="E69" s="42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2">
        <v>45523</v>
      </c>
      <c r="D70" s="42">
        <v>45527</v>
      </c>
      <c r="E70" s="42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2">
        <v>45468</v>
      </c>
      <c r="D71" s="42">
        <v>45473</v>
      </c>
      <c r="E71" s="42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2">
        <v>45511</v>
      </c>
      <c r="D72" s="42">
        <v>45515</v>
      </c>
      <c r="E72" s="42">
        <v>45352</v>
      </c>
      <c r="F72" s="21" t="s">
        <v>1776</v>
      </c>
      <c r="G72" s="21" t="s">
        <v>48</v>
      </c>
      <c r="H72" s="10"/>
      <c r="I72" s="10"/>
      <c r="J72" s="12"/>
      <c r="K72" s="52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2">
        <v>45421</v>
      </c>
      <c r="D73" s="42">
        <v>45423</v>
      </c>
      <c r="E73" s="42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2">
        <v>45503</v>
      </c>
      <c r="D74" s="42">
        <v>45506</v>
      </c>
      <c r="E74" s="42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2">
        <v>2</v>
      </c>
      <c r="L74" s="12">
        <v>4</v>
      </c>
      <c r="M74" s="89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2">
        <v>45502</v>
      </c>
      <c r="D75" s="42">
        <v>45509</v>
      </c>
      <c r="E75" s="42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2">
        <v>45554</v>
      </c>
      <c r="D76" s="42">
        <v>45557</v>
      </c>
      <c r="E76" s="42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2">
        <v>45523</v>
      </c>
      <c r="D77" s="42">
        <v>45529</v>
      </c>
      <c r="E77" s="42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2">
        <v>45470</v>
      </c>
      <c r="D78" s="42">
        <v>45473</v>
      </c>
      <c r="E78" s="42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9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2">
        <v>45490</v>
      </c>
      <c r="D79" s="42">
        <v>45494</v>
      </c>
      <c r="E79" s="42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2">
        <v>45479</v>
      </c>
      <c r="D80" s="42">
        <v>45486</v>
      </c>
      <c r="E80" s="42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9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2">
        <v>45436</v>
      </c>
      <c r="D81" s="42">
        <v>45440</v>
      </c>
      <c r="E81" s="42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2">
        <v>45475</v>
      </c>
      <c r="D82" s="42">
        <v>45482</v>
      </c>
      <c r="E82" s="42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2">
        <v>45473</v>
      </c>
      <c r="D83" s="42">
        <v>45477</v>
      </c>
      <c r="E83" s="42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2">
        <v>45530</v>
      </c>
      <c r="D84" s="42">
        <v>45533</v>
      </c>
      <c r="E84" s="42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9" t="s">
        <v>1156</v>
      </c>
      <c r="N84" s="84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2">
        <v>45429</v>
      </c>
      <c r="D85" s="42">
        <v>45432</v>
      </c>
      <c r="E85" s="42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2">
        <v>45519</v>
      </c>
      <c r="D86" s="42">
        <v>45522</v>
      </c>
      <c r="E86" s="42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9" t="s">
        <v>1158</v>
      </c>
      <c r="N86" s="84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2">
        <v>45527</v>
      </c>
      <c r="D87" s="42">
        <v>45530</v>
      </c>
      <c r="E87" s="42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2">
        <v>45508</v>
      </c>
      <c r="D88" s="42">
        <v>45515</v>
      </c>
      <c r="E88" s="42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9" t="s">
        <v>1161</v>
      </c>
      <c r="N88" s="84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2">
        <v>45508</v>
      </c>
      <c r="D89" s="42">
        <v>45515</v>
      </c>
      <c r="E89" s="42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2">
        <v>45527</v>
      </c>
      <c r="D90" s="42">
        <v>45534</v>
      </c>
      <c r="E90" s="42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2">
        <v>45472</v>
      </c>
      <c r="D91" s="42">
        <v>45478</v>
      </c>
      <c r="E91" s="42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9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2">
        <v>45501</v>
      </c>
      <c r="D92" s="42">
        <v>45506</v>
      </c>
      <c r="E92" s="42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2">
        <v>45449</v>
      </c>
      <c r="D93" s="42">
        <v>45451</v>
      </c>
      <c r="E93" s="42">
        <v>45384</v>
      </c>
      <c r="F93" s="21" t="s">
        <v>1758</v>
      </c>
      <c r="G93" s="21" t="s">
        <v>48</v>
      </c>
      <c r="H93" s="10"/>
      <c r="I93" s="10"/>
      <c r="J93" s="12"/>
      <c r="K93" s="52">
        <v>2</v>
      </c>
      <c r="L93" s="52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2">
        <v>45551</v>
      </c>
      <c r="D94" s="42">
        <v>45558</v>
      </c>
      <c r="E94" s="42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2">
        <v>45558</v>
      </c>
      <c r="D95" s="42">
        <v>45563</v>
      </c>
      <c r="E95" s="42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2">
        <v>45568</v>
      </c>
      <c r="D96" s="42">
        <v>45571</v>
      </c>
      <c r="E96" s="42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2">
        <v>45415</v>
      </c>
      <c r="D97" s="42">
        <v>45417</v>
      </c>
      <c r="E97" s="42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2">
        <v>45508</v>
      </c>
      <c r="D98" s="42">
        <v>45512</v>
      </c>
      <c r="E98" s="42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2">
        <v>45428</v>
      </c>
      <c r="D99" s="42">
        <v>45431</v>
      </c>
      <c r="E99" s="42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2">
        <v>45533</v>
      </c>
      <c r="D100" s="42">
        <v>45537</v>
      </c>
      <c r="E100" s="42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2">
        <v>45414</v>
      </c>
      <c r="D101" s="42">
        <v>45417</v>
      </c>
      <c r="E101" s="42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2">
        <v>45503</v>
      </c>
      <c r="D102" s="42">
        <v>45507</v>
      </c>
      <c r="E102" s="42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2">
        <v>45475</v>
      </c>
      <c r="D103" s="42">
        <v>45478</v>
      </c>
      <c r="E103" s="42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2">
        <v>45522</v>
      </c>
      <c r="D104" s="42">
        <v>45525</v>
      </c>
      <c r="E104" s="42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2">
        <v>45454</v>
      </c>
      <c r="D105" s="42">
        <v>45459</v>
      </c>
      <c r="E105" s="42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9" t="s">
        <v>1194</v>
      </c>
      <c r="N105" s="84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2">
        <v>45454</v>
      </c>
      <c r="D106" s="42">
        <v>45459</v>
      </c>
      <c r="E106" s="42"/>
      <c r="F106" s="21"/>
      <c r="G106" s="21" t="s">
        <v>9</v>
      </c>
      <c r="H106" s="10"/>
      <c r="I106" s="10"/>
      <c r="J106" s="12"/>
      <c r="K106" s="12"/>
      <c r="L106" s="12"/>
      <c r="M106" s="89"/>
      <c r="N106" s="84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2">
        <v>45526</v>
      </c>
      <c r="D107" s="42">
        <v>45532</v>
      </c>
      <c r="E107" s="42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2">
        <v>45467</v>
      </c>
      <c r="D108" s="42">
        <v>45474</v>
      </c>
      <c r="E108" s="42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3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2">
        <v>45523</v>
      </c>
      <c r="D109" s="42">
        <v>45528</v>
      </c>
      <c r="E109" s="42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9" t="s">
        <v>1203</v>
      </c>
      <c r="N109" s="84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2">
        <v>45429</v>
      </c>
      <c r="D110" s="42">
        <v>45432</v>
      </c>
      <c r="E110" s="42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2">
        <v>45415</v>
      </c>
      <c r="D111" s="42">
        <v>45417</v>
      </c>
      <c r="E111" s="42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2">
        <v>45467</v>
      </c>
      <c r="D112" s="42">
        <v>45470</v>
      </c>
      <c r="E112" s="42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9" t="s">
        <v>1209</v>
      </c>
      <c r="N112" s="84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2">
        <v>45544</v>
      </c>
      <c r="D113" s="42">
        <v>45551</v>
      </c>
      <c r="E113" s="42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9" t="s">
        <v>1212</v>
      </c>
      <c r="N113" s="84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2">
        <v>45429</v>
      </c>
      <c r="D114" s="42">
        <v>45431</v>
      </c>
      <c r="E114" s="42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2">
        <v>45500</v>
      </c>
      <c r="D115" s="42">
        <v>45502</v>
      </c>
      <c r="E115" s="42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2">
        <v>45450</v>
      </c>
      <c r="D116" s="42">
        <v>45453</v>
      </c>
      <c r="E116" s="42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9" t="s">
        <v>1217</v>
      </c>
      <c r="N116" s="84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2">
        <v>45451</v>
      </c>
      <c r="D117" s="42">
        <v>45454</v>
      </c>
      <c r="E117" s="42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9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2">
        <v>45543</v>
      </c>
      <c r="D118" s="42">
        <v>45548</v>
      </c>
      <c r="E118" s="42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7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6">
        <v>45473</v>
      </c>
      <c r="D119" s="46">
        <v>45474</v>
      </c>
      <c r="E119" s="46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9" t="s">
        <v>1223</v>
      </c>
      <c r="N119" s="9">
        <v>21265488</v>
      </c>
      <c r="O119" s="10"/>
      <c r="P119" s="12" t="s">
        <v>1796</v>
      </c>
      <c r="Q119" s="12" t="s">
        <v>1796</v>
      </c>
      <c r="R119" s="53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4">
        <v>45527</v>
      </c>
      <c r="D120" s="54">
        <v>45530</v>
      </c>
      <c r="E120" s="54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3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4">
        <v>45457</v>
      </c>
      <c r="D121" s="54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9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4">
        <v>45521</v>
      </c>
      <c r="D122" s="54">
        <v>45523</v>
      </c>
      <c r="E122" s="54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9" t="s">
        <v>1229</v>
      </c>
      <c r="N122" s="9">
        <v>704966964</v>
      </c>
      <c r="O122" s="10"/>
      <c r="P122" s="10"/>
      <c r="Q122" s="12" t="s">
        <v>1796</v>
      </c>
      <c r="R122" s="53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2">
        <v>45471</v>
      </c>
      <c r="D123" s="42">
        <v>45473</v>
      </c>
      <c r="E123" s="42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5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4">
        <v>45474</v>
      </c>
      <c r="D124" s="54">
        <v>45478</v>
      </c>
      <c r="E124" s="54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2">
        <v>45478</v>
      </c>
      <c r="D125" s="42">
        <v>45482</v>
      </c>
      <c r="E125" s="42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2">
        <v>45556</v>
      </c>
      <c r="D126" s="42">
        <v>45558</v>
      </c>
      <c r="E126" s="42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9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2">
        <v>45509</v>
      </c>
      <c r="D127" s="42">
        <v>45511</v>
      </c>
      <c r="E127" s="42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3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2">
        <v>45506</v>
      </c>
      <c r="D128" s="42">
        <v>45508</v>
      </c>
      <c r="E128" s="42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2">
        <v>45509</v>
      </c>
      <c r="D129" s="42">
        <v>45511</v>
      </c>
      <c r="E129" s="42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2">
        <v>45525</v>
      </c>
      <c r="D130" s="42">
        <v>45528</v>
      </c>
      <c r="E130" s="42">
        <v>45502</v>
      </c>
      <c r="F130" s="21" t="s">
        <v>1758</v>
      </c>
      <c r="G130" s="21" t="s">
        <v>48</v>
      </c>
      <c r="H130" s="43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2">
        <v>45548</v>
      </c>
      <c r="D131" s="42">
        <v>45555</v>
      </c>
      <c r="E131" s="42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8">
        <v>2</v>
      </c>
      <c r="M131" s="89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2">
        <v>45558</v>
      </c>
      <c r="D132" s="42">
        <v>45563</v>
      </c>
      <c r="E132" s="42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2">
        <v>45516</v>
      </c>
      <c r="D133" s="42">
        <v>45518</v>
      </c>
      <c r="E133" s="42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5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2">
        <v>45527</v>
      </c>
      <c r="D134" s="42">
        <v>45529</v>
      </c>
      <c r="E134" s="42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5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2">
        <v>45536</v>
      </c>
      <c r="D135" s="42">
        <v>45539</v>
      </c>
      <c r="E135" s="42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9" t="s">
        <v>1257</v>
      </c>
      <c r="N135" s="10"/>
      <c r="O135" s="12"/>
      <c r="P135" s="12" t="s">
        <v>1798</v>
      </c>
      <c r="Q135" s="55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2">
        <v>45528</v>
      </c>
      <c r="D136" s="42">
        <v>45530</v>
      </c>
      <c r="E136" s="42">
        <v>45513</v>
      </c>
      <c r="F136" s="21" t="s">
        <v>1758</v>
      </c>
      <c r="G136" s="21" t="s">
        <v>48</v>
      </c>
      <c r="H136" s="43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5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2">
        <v>45517</v>
      </c>
      <c r="D137" s="42">
        <v>45519</v>
      </c>
      <c r="E137" s="42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5">
        <v>737230930</v>
      </c>
      <c r="O137" s="10"/>
      <c r="P137" s="12" t="s">
        <v>1798</v>
      </c>
      <c r="Q137" s="12" t="s">
        <v>1796</v>
      </c>
      <c r="R137" s="53"/>
      <c r="S137" s="53"/>
      <c r="T137" s="53">
        <v>2430</v>
      </c>
    </row>
    <row r="138" spans="1:20" ht="14.25" customHeight="1" x14ac:dyDescent="0.35">
      <c r="A138" s="12">
        <v>24136</v>
      </c>
      <c r="B138" s="10" t="s">
        <v>1264</v>
      </c>
      <c r="C138" s="42">
        <v>45544</v>
      </c>
      <c r="D138" s="42">
        <v>45546</v>
      </c>
      <c r="E138" s="42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5" t="s">
        <v>2192</v>
      </c>
      <c r="O138" s="10"/>
      <c r="P138" s="12" t="s">
        <v>1796</v>
      </c>
      <c r="Q138" s="12" t="s">
        <v>1798</v>
      </c>
      <c r="R138" s="53"/>
      <c r="S138" s="53"/>
      <c r="T138" s="53">
        <v>1810</v>
      </c>
    </row>
    <row r="139" spans="1:20" ht="14.25" customHeight="1" x14ac:dyDescent="0.35">
      <c r="A139" s="12">
        <v>24137</v>
      </c>
      <c r="B139" s="10" t="s">
        <v>1265</v>
      </c>
      <c r="C139" s="42">
        <v>45560</v>
      </c>
      <c r="D139" s="42">
        <v>45564</v>
      </c>
      <c r="E139" s="42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5"/>
      <c r="O139" s="10"/>
      <c r="P139" s="12" t="s">
        <v>1798</v>
      </c>
      <c r="Q139" s="12" t="s">
        <v>1796</v>
      </c>
      <c r="R139" s="53"/>
      <c r="S139" s="53"/>
      <c r="T139" s="53">
        <v>4380</v>
      </c>
    </row>
    <row r="140" spans="1:20" ht="14.25" customHeight="1" x14ac:dyDescent="0.35">
      <c r="A140" s="12">
        <v>24138</v>
      </c>
      <c r="B140" s="10" t="s">
        <v>1268</v>
      </c>
      <c r="C140" s="42">
        <v>45537</v>
      </c>
      <c r="D140" s="42">
        <v>45540</v>
      </c>
      <c r="E140" s="42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5" t="s">
        <v>1266</v>
      </c>
      <c r="O140" s="10"/>
      <c r="P140" s="12" t="s">
        <v>1798</v>
      </c>
      <c r="Q140" s="12" t="s">
        <v>1798</v>
      </c>
      <c r="R140" s="53"/>
      <c r="S140" s="53"/>
      <c r="T140" s="53"/>
    </row>
    <row r="141" spans="1:20" ht="14.25" customHeight="1" x14ac:dyDescent="0.35">
      <c r="A141" s="12">
        <v>24139</v>
      </c>
      <c r="B141" s="10" t="s">
        <v>1270</v>
      </c>
      <c r="C141" s="42">
        <v>45534</v>
      </c>
      <c r="D141" s="42">
        <v>45538</v>
      </c>
      <c r="E141" s="42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5">
        <v>30563767</v>
      </c>
      <c r="O141" s="10"/>
      <c r="P141" s="12" t="s">
        <v>1796</v>
      </c>
      <c r="Q141" s="12" t="s">
        <v>1798</v>
      </c>
      <c r="R141" s="53"/>
      <c r="S141" s="53"/>
      <c r="T141" s="53">
        <v>3620</v>
      </c>
    </row>
    <row r="142" spans="1:20" ht="14.25" customHeight="1" x14ac:dyDescent="0.35">
      <c r="A142" s="12">
        <v>24140</v>
      </c>
      <c r="B142" s="10" t="s">
        <v>1273</v>
      </c>
      <c r="C142" s="42">
        <v>45533</v>
      </c>
      <c r="D142" s="42">
        <v>45536</v>
      </c>
      <c r="E142" s="42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9" t="s">
        <v>1271</v>
      </c>
      <c r="N142" s="25">
        <v>8824910453</v>
      </c>
      <c r="O142" s="10"/>
      <c r="P142" s="12" t="s">
        <v>1796</v>
      </c>
      <c r="Q142" s="12" t="s">
        <v>1796</v>
      </c>
      <c r="R142" s="53"/>
      <c r="S142" s="53"/>
      <c r="T142" s="53">
        <v>2565</v>
      </c>
    </row>
    <row r="143" spans="1:20" ht="14.25" customHeight="1" x14ac:dyDescent="0.35">
      <c r="A143" s="12">
        <v>24141</v>
      </c>
      <c r="B143" s="10" t="s">
        <v>1276</v>
      </c>
      <c r="C143" s="42">
        <v>45532</v>
      </c>
      <c r="D143" s="42">
        <v>45535</v>
      </c>
      <c r="E143" s="42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5" t="s">
        <v>1274</v>
      </c>
      <c r="O143" s="10"/>
      <c r="P143" s="12" t="s">
        <v>1796</v>
      </c>
      <c r="Q143" s="12" t="s">
        <v>1796</v>
      </c>
      <c r="R143" s="53"/>
      <c r="S143" s="53"/>
      <c r="T143" s="53">
        <v>2700</v>
      </c>
    </row>
    <row r="144" spans="1:20" ht="14.25" customHeight="1" x14ac:dyDescent="0.35">
      <c r="A144" s="12">
        <v>24142</v>
      </c>
      <c r="B144" s="10" t="s">
        <v>1277</v>
      </c>
      <c r="C144" s="42">
        <v>45544</v>
      </c>
      <c r="D144" s="42">
        <v>45549</v>
      </c>
      <c r="E144" s="42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5"/>
      <c r="O144" s="10"/>
      <c r="P144" s="12" t="s">
        <v>1798</v>
      </c>
      <c r="Q144" s="12" t="s">
        <v>1798</v>
      </c>
      <c r="R144" s="53"/>
      <c r="S144" s="53"/>
      <c r="T144" s="53">
        <v>4525</v>
      </c>
    </row>
    <row r="145" spans="1:20" ht="14.25" customHeight="1" x14ac:dyDescent="0.35">
      <c r="A145" s="12">
        <v>24143</v>
      </c>
      <c r="B145" s="10" t="s">
        <v>418</v>
      </c>
      <c r="C145" s="42">
        <v>45557</v>
      </c>
      <c r="D145" s="42">
        <v>45560</v>
      </c>
      <c r="E145" s="42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9" t="s">
        <v>1038</v>
      </c>
      <c r="N145" s="25"/>
      <c r="O145" s="10"/>
      <c r="P145" s="12" t="s">
        <v>1798</v>
      </c>
      <c r="Q145" s="12" t="s">
        <v>1796</v>
      </c>
      <c r="R145" s="53"/>
      <c r="S145" s="53"/>
      <c r="T145" s="53"/>
    </row>
    <row r="146" spans="1:20" ht="14.25" customHeight="1" x14ac:dyDescent="0.35">
      <c r="A146" s="12">
        <v>24144</v>
      </c>
      <c r="B146" s="10" t="s">
        <v>1279</v>
      </c>
      <c r="C146" s="42">
        <v>45559</v>
      </c>
      <c r="D146" s="42">
        <v>45563</v>
      </c>
      <c r="E146" s="42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5"/>
      <c r="O146" s="10"/>
      <c r="P146" s="12"/>
      <c r="Q146" s="12" t="s">
        <v>1796</v>
      </c>
      <c r="R146" s="53"/>
      <c r="S146" s="53"/>
      <c r="T146" s="53"/>
    </row>
    <row r="147" spans="1:20" ht="14.25" customHeight="1" x14ac:dyDescent="0.35">
      <c r="A147" s="12"/>
      <c r="B147" s="10"/>
      <c r="C147" s="42"/>
      <c r="D147" s="42"/>
      <c r="E147" s="42"/>
      <c r="F147" s="21"/>
      <c r="G147" s="21"/>
      <c r="H147" s="9"/>
      <c r="I147" s="10"/>
      <c r="J147" s="12"/>
      <c r="K147" s="12"/>
      <c r="L147" s="12"/>
      <c r="M147" s="10"/>
      <c r="N147" s="25"/>
      <c r="O147" s="10"/>
      <c r="P147" s="12"/>
      <c r="Q147" s="12"/>
      <c r="R147" s="53"/>
      <c r="S147" s="53"/>
      <c r="T147" s="56"/>
    </row>
    <row r="148" spans="1:20" ht="14.25" customHeight="1" x14ac:dyDescent="0.35">
      <c r="A148" s="12"/>
      <c r="B148" s="10"/>
      <c r="C148" s="42"/>
      <c r="D148" s="42"/>
      <c r="E148" s="42"/>
      <c r="F148" s="21"/>
      <c r="G148" s="21"/>
      <c r="H148" s="9"/>
      <c r="I148" s="10"/>
      <c r="J148" s="12"/>
      <c r="K148" s="12"/>
      <c r="L148" s="12"/>
      <c r="M148" s="10"/>
      <c r="N148" s="25"/>
      <c r="O148" s="10"/>
      <c r="P148" s="12"/>
      <c r="Q148" s="12"/>
      <c r="R148" s="53"/>
      <c r="S148" s="53"/>
      <c r="T148" s="56"/>
    </row>
    <row r="149" spans="1:20" ht="14.25" customHeight="1" x14ac:dyDescent="0.35">
      <c r="A149" s="12"/>
      <c r="B149" s="10"/>
      <c r="C149" s="42"/>
      <c r="D149" s="42"/>
      <c r="E149" s="42"/>
      <c r="F149" s="21"/>
      <c r="G149" s="21"/>
      <c r="H149" s="9"/>
      <c r="I149" s="10"/>
      <c r="J149" s="12"/>
      <c r="K149" s="12"/>
      <c r="L149" s="12"/>
      <c r="M149" s="10"/>
      <c r="N149" s="25"/>
      <c r="O149" s="10"/>
      <c r="P149" s="12"/>
      <c r="Q149" s="12"/>
      <c r="R149" s="53"/>
      <c r="S149" s="53"/>
      <c r="T149" s="56"/>
    </row>
    <row r="150" spans="1:20" ht="14.25" customHeight="1" x14ac:dyDescent="0.35">
      <c r="A150" s="12">
        <v>24220</v>
      </c>
      <c r="B150" s="10" t="s">
        <v>1281</v>
      </c>
      <c r="C150" s="54">
        <v>45566</v>
      </c>
      <c r="D150" s="54">
        <v>45570</v>
      </c>
      <c r="E150" s="54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9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4">
        <v>45566</v>
      </c>
      <c r="D151" s="54">
        <v>45571</v>
      </c>
      <c r="E151" s="54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9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6"/>
      <c r="Q152" s="3"/>
      <c r="S152" s="3"/>
    </row>
    <row r="153" spans="1:20" ht="14.25" customHeight="1" x14ac:dyDescent="0.35">
      <c r="N153" s="36"/>
      <c r="Q153" s="3"/>
      <c r="S153" s="3"/>
    </row>
    <row r="154" spans="1:20" ht="14.25" customHeight="1" x14ac:dyDescent="0.35">
      <c r="N154" s="36"/>
      <c r="Q154" s="3"/>
      <c r="S154" s="3"/>
    </row>
    <row r="155" spans="1:20" ht="14.25" customHeight="1" x14ac:dyDescent="0.35">
      <c r="N155" s="36"/>
      <c r="Q155" s="3"/>
      <c r="S155" s="3"/>
    </row>
    <row r="156" spans="1:20" ht="14.25" customHeight="1" x14ac:dyDescent="0.35">
      <c r="N156" s="36"/>
      <c r="Q156" s="3"/>
      <c r="S156" s="3"/>
    </row>
    <row r="157" spans="1:20" ht="14.25" customHeight="1" x14ac:dyDescent="0.35">
      <c r="N157" s="36"/>
      <c r="Q157" s="3"/>
      <c r="S157" s="3"/>
    </row>
    <row r="158" spans="1:20" ht="14.25" customHeight="1" x14ac:dyDescent="0.35">
      <c r="N158" s="36"/>
      <c r="Q158" s="3"/>
      <c r="S158" s="3"/>
    </row>
    <row r="159" spans="1:20" ht="14.25" customHeight="1" x14ac:dyDescent="0.35">
      <c r="N159" s="36"/>
      <c r="Q159" s="3"/>
      <c r="S159" s="3"/>
    </row>
    <row r="160" spans="1:20" ht="14.25" customHeight="1" x14ac:dyDescent="0.35">
      <c r="N160" s="36"/>
      <c r="Q160" s="3"/>
      <c r="S160" s="3"/>
    </row>
    <row r="161" spans="14:19" ht="14.25" customHeight="1" x14ac:dyDescent="0.35">
      <c r="N161" s="36"/>
      <c r="Q161" s="3"/>
      <c r="S161" s="3"/>
    </row>
    <row r="162" spans="14:19" ht="14.25" customHeight="1" x14ac:dyDescent="0.35">
      <c r="N162" s="36"/>
      <c r="Q162" s="3"/>
      <c r="S162" s="3"/>
    </row>
    <row r="163" spans="14:19" ht="14.25" customHeight="1" x14ac:dyDescent="0.35">
      <c r="N163" s="36"/>
      <c r="Q163" s="3"/>
      <c r="S163" s="3"/>
    </row>
    <row r="164" spans="14:19" ht="14.25" customHeight="1" x14ac:dyDescent="0.35">
      <c r="N164" s="36"/>
      <c r="Q164" s="3"/>
      <c r="S164" s="3"/>
    </row>
    <row r="165" spans="14:19" ht="14.25" customHeight="1" x14ac:dyDescent="0.35">
      <c r="N165" s="36"/>
      <c r="Q165" s="3"/>
      <c r="S165" s="3"/>
    </row>
    <row r="166" spans="14:19" ht="14.25" customHeight="1" x14ac:dyDescent="0.35">
      <c r="N166" s="36"/>
      <c r="Q166" s="3"/>
      <c r="S166" s="3"/>
    </row>
    <row r="167" spans="14:19" ht="14.25" customHeight="1" x14ac:dyDescent="0.35">
      <c r="N167" s="36"/>
      <c r="Q167" s="3"/>
      <c r="S167" s="3"/>
    </row>
    <row r="168" spans="14:19" ht="14.25" customHeight="1" x14ac:dyDescent="0.35">
      <c r="N168" s="36"/>
      <c r="Q168" s="3"/>
      <c r="S168" s="3"/>
    </row>
    <row r="169" spans="14:19" ht="14.25" customHeight="1" x14ac:dyDescent="0.35">
      <c r="N169" s="36"/>
      <c r="Q169" s="3"/>
      <c r="S169" s="3"/>
    </row>
    <row r="170" spans="14:19" ht="14.25" customHeight="1" x14ac:dyDescent="0.35">
      <c r="N170" s="36"/>
      <c r="Q170" s="3"/>
      <c r="S170" s="3"/>
    </row>
    <row r="171" spans="14:19" ht="14.25" customHeight="1" x14ac:dyDescent="0.35">
      <c r="N171" s="36"/>
      <c r="Q171" s="3"/>
      <c r="S171" s="3"/>
    </row>
    <row r="172" spans="14:19" ht="14.25" customHeight="1" x14ac:dyDescent="0.35">
      <c r="N172" s="36"/>
      <c r="Q172" s="3"/>
      <c r="S172" s="3"/>
    </row>
    <row r="173" spans="14:19" ht="14.25" customHeight="1" x14ac:dyDescent="0.35">
      <c r="N173" s="36"/>
      <c r="Q173" s="3"/>
      <c r="S173" s="3"/>
    </row>
    <row r="174" spans="14:19" ht="14.25" customHeight="1" x14ac:dyDescent="0.35">
      <c r="N174" s="36"/>
      <c r="Q174" s="3"/>
      <c r="S174" s="3"/>
    </row>
    <row r="175" spans="14:19" ht="14.25" customHeight="1" x14ac:dyDescent="0.35">
      <c r="N175" s="36"/>
      <c r="Q175" s="3"/>
      <c r="S175" s="3"/>
    </row>
    <row r="176" spans="14:19" ht="14.25" customHeight="1" x14ac:dyDescent="0.35">
      <c r="N176" s="36"/>
      <c r="Q176" s="3"/>
      <c r="S176" s="3"/>
    </row>
    <row r="177" spans="14:19" ht="14.25" customHeight="1" x14ac:dyDescent="0.35">
      <c r="N177" s="36"/>
      <c r="Q177" s="3"/>
      <c r="S177" s="3"/>
    </row>
    <row r="178" spans="14:19" ht="14.25" customHeight="1" x14ac:dyDescent="0.35">
      <c r="N178" s="36"/>
      <c r="Q178" s="3"/>
      <c r="S178" s="3"/>
    </row>
    <row r="179" spans="14:19" ht="14.25" customHeight="1" x14ac:dyDescent="0.35">
      <c r="N179" s="36"/>
      <c r="Q179" s="3"/>
      <c r="S179" s="3"/>
    </row>
    <row r="180" spans="14:19" ht="14.25" customHeight="1" x14ac:dyDescent="0.35">
      <c r="N180" s="36"/>
      <c r="Q180" s="3"/>
      <c r="S180" s="3"/>
    </row>
    <row r="181" spans="14:19" ht="14.25" customHeight="1" x14ac:dyDescent="0.35">
      <c r="N181" s="36"/>
      <c r="Q181" s="3"/>
      <c r="S181" s="3"/>
    </row>
    <row r="182" spans="14:19" ht="14.25" customHeight="1" x14ac:dyDescent="0.35">
      <c r="N182" s="36"/>
      <c r="Q182" s="3"/>
      <c r="S182" s="3"/>
    </row>
    <row r="183" spans="14:19" ht="14.25" customHeight="1" x14ac:dyDescent="0.35">
      <c r="N183" s="36"/>
      <c r="Q183" s="3"/>
      <c r="S183" s="3"/>
    </row>
    <row r="184" spans="14:19" ht="14.25" customHeight="1" x14ac:dyDescent="0.35">
      <c r="N184" s="36"/>
      <c r="Q184" s="3"/>
      <c r="S184" s="3"/>
    </row>
    <row r="185" spans="14:19" ht="14.25" customHeight="1" x14ac:dyDescent="0.35">
      <c r="N185" s="36"/>
      <c r="Q185" s="3"/>
      <c r="S185" s="3"/>
    </row>
    <row r="186" spans="14:19" ht="14.25" customHeight="1" x14ac:dyDescent="0.35">
      <c r="N186" s="36"/>
      <c r="Q186" s="3"/>
      <c r="S186" s="3"/>
    </row>
    <row r="187" spans="14:19" ht="14.25" customHeight="1" x14ac:dyDescent="0.35">
      <c r="N187" s="36"/>
      <c r="Q187" s="3"/>
      <c r="S187" s="3"/>
    </row>
    <row r="188" spans="14:19" ht="14.25" customHeight="1" x14ac:dyDescent="0.35">
      <c r="N188" s="36"/>
      <c r="Q188" s="3"/>
      <c r="S188" s="3"/>
    </row>
    <row r="189" spans="14:19" ht="14.25" customHeight="1" x14ac:dyDescent="0.35">
      <c r="N189" s="36"/>
      <c r="Q189" s="3"/>
      <c r="S189" s="3"/>
    </row>
    <row r="190" spans="14:19" ht="14.25" customHeight="1" x14ac:dyDescent="0.35">
      <c r="N190" s="36"/>
      <c r="Q190" s="3"/>
      <c r="S190" s="3"/>
    </row>
    <row r="191" spans="14:19" ht="14.25" customHeight="1" x14ac:dyDescent="0.35">
      <c r="N191" s="36"/>
      <c r="Q191" s="3"/>
      <c r="S191" s="3"/>
    </row>
    <row r="192" spans="14:19" ht="14.25" customHeight="1" x14ac:dyDescent="0.35">
      <c r="N192" s="36"/>
      <c r="Q192" s="3"/>
      <c r="S192" s="3"/>
    </row>
    <row r="193" spans="14:19" ht="14.25" customHeight="1" x14ac:dyDescent="0.35">
      <c r="N193" s="36"/>
      <c r="Q193" s="3"/>
      <c r="S193" s="3"/>
    </row>
    <row r="194" spans="14:19" ht="14.25" customHeight="1" x14ac:dyDescent="0.35">
      <c r="N194" s="36"/>
      <c r="Q194" s="3"/>
      <c r="S194" s="3"/>
    </row>
    <row r="195" spans="14:19" ht="14.25" customHeight="1" x14ac:dyDescent="0.35">
      <c r="N195" s="36"/>
      <c r="Q195" s="3"/>
      <c r="S195" s="3"/>
    </row>
    <row r="196" spans="14:19" ht="14.25" customHeight="1" x14ac:dyDescent="0.35">
      <c r="N196" s="36"/>
      <c r="Q196" s="3"/>
      <c r="S196" s="3"/>
    </row>
    <row r="197" spans="14:19" ht="14.25" customHeight="1" x14ac:dyDescent="0.35">
      <c r="N197" s="36"/>
      <c r="Q197" s="3"/>
      <c r="S197" s="3"/>
    </row>
    <row r="198" spans="14:19" ht="14.25" customHeight="1" x14ac:dyDescent="0.35">
      <c r="N198" s="36"/>
      <c r="Q198" s="3"/>
      <c r="S198" s="3"/>
    </row>
    <row r="199" spans="14:19" ht="14.25" customHeight="1" x14ac:dyDescent="0.35">
      <c r="N199" s="36"/>
      <c r="Q199" s="3"/>
      <c r="S199" s="3"/>
    </row>
    <row r="200" spans="14:19" ht="14.25" customHeight="1" x14ac:dyDescent="0.35">
      <c r="N200" s="36"/>
      <c r="Q200" s="3"/>
      <c r="S200" s="3"/>
    </row>
    <row r="201" spans="14:19" ht="14.25" customHeight="1" x14ac:dyDescent="0.35">
      <c r="N201" s="36"/>
      <c r="Q201" s="3"/>
      <c r="S201" s="3"/>
    </row>
    <row r="202" spans="14:19" ht="14.25" customHeight="1" x14ac:dyDescent="0.35">
      <c r="N202" s="36"/>
      <c r="Q202" s="3"/>
      <c r="S202" s="3"/>
    </row>
    <row r="203" spans="14:19" ht="14.25" customHeight="1" x14ac:dyDescent="0.35">
      <c r="N203" s="36"/>
      <c r="Q203" s="3"/>
      <c r="S203" s="3"/>
    </row>
    <row r="204" spans="14:19" ht="14.25" customHeight="1" x14ac:dyDescent="0.35">
      <c r="N204" s="36"/>
      <c r="Q204" s="3"/>
      <c r="S204" s="3"/>
    </row>
    <row r="205" spans="14:19" ht="14.25" customHeight="1" x14ac:dyDescent="0.35">
      <c r="N205" s="36"/>
      <c r="Q205" s="3"/>
      <c r="S205" s="3"/>
    </row>
    <row r="206" spans="14:19" ht="14.25" customHeight="1" x14ac:dyDescent="0.35">
      <c r="N206" s="36"/>
      <c r="Q206" s="3"/>
      <c r="S206" s="3"/>
    </row>
    <row r="207" spans="14:19" ht="14.25" customHeight="1" x14ac:dyDescent="0.35">
      <c r="N207" s="36"/>
      <c r="Q207" s="3"/>
      <c r="S207" s="3"/>
    </row>
    <row r="208" spans="14:19" ht="14.25" customHeight="1" x14ac:dyDescent="0.35">
      <c r="N208" s="36"/>
      <c r="Q208" s="3"/>
      <c r="S208" s="3"/>
    </row>
    <row r="209" spans="14:19" ht="14.25" customHeight="1" x14ac:dyDescent="0.35">
      <c r="N209" s="36"/>
      <c r="Q209" s="3"/>
      <c r="S209" s="3"/>
    </row>
    <row r="210" spans="14:19" ht="14.25" customHeight="1" x14ac:dyDescent="0.35">
      <c r="N210" s="36"/>
      <c r="Q210" s="3"/>
      <c r="S210" s="3"/>
    </row>
    <row r="211" spans="14:19" ht="14.25" customHeight="1" x14ac:dyDescent="0.35">
      <c r="N211" s="36"/>
      <c r="Q211" s="3"/>
      <c r="S211" s="3"/>
    </row>
    <row r="212" spans="14:19" ht="14.25" customHeight="1" x14ac:dyDescent="0.35">
      <c r="N212" s="36"/>
      <c r="Q212" s="3"/>
      <c r="S212" s="3"/>
    </row>
    <row r="213" spans="14:19" ht="14.25" customHeight="1" x14ac:dyDescent="0.35">
      <c r="N213" s="36"/>
      <c r="Q213" s="3"/>
      <c r="S213" s="3"/>
    </row>
    <row r="214" spans="14:19" ht="14.25" customHeight="1" x14ac:dyDescent="0.35">
      <c r="N214" s="36"/>
      <c r="Q214" s="3"/>
      <c r="S214" s="3"/>
    </row>
    <row r="215" spans="14:19" ht="14.25" customHeight="1" x14ac:dyDescent="0.35">
      <c r="N215" s="36"/>
      <c r="Q215" s="3"/>
      <c r="S215" s="3"/>
    </row>
    <row r="216" spans="14:19" ht="14.25" customHeight="1" x14ac:dyDescent="0.35">
      <c r="N216" s="36"/>
      <c r="Q216" s="3"/>
      <c r="S216" s="3"/>
    </row>
    <row r="217" spans="14:19" ht="14.25" customHeight="1" x14ac:dyDescent="0.35">
      <c r="N217" s="36"/>
      <c r="Q217" s="3"/>
      <c r="S217" s="3"/>
    </row>
    <row r="218" spans="14:19" ht="14.25" customHeight="1" x14ac:dyDescent="0.35">
      <c r="N218" s="36"/>
      <c r="Q218" s="3"/>
      <c r="S218" s="3"/>
    </row>
    <row r="219" spans="14:19" ht="14.25" customHeight="1" x14ac:dyDescent="0.35">
      <c r="N219" s="36"/>
      <c r="Q219" s="3"/>
      <c r="S219" s="3"/>
    </row>
    <row r="220" spans="14:19" ht="14.25" customHeight="1" x14ac:dyDescent="0.35">
      <c r="N220" s="36"/>
      <c r="Q220" s="3"/>
      <c r="S220" s="3"/>
    </row>
    <row r="221" spans="14:19" ht="14.25" customHeight="1" x14ac:dyDescent="0.35">
      <c r="N221" s="36"/>
      <c r="Q221" s="3"/>
      <c r="S221" s="3"/>
    </row>
    <row r="222" spans="14:19" ht="14.25" customHeight="1" x14ac:dyDescent="0.35">
      <c r="N222" s="36"/>
      <c r="Q222" s="3"/>
      <c r="S222" s="3"/>
    </row>
    <row r="223" spans="14:19" ht="14.25" customHeight="1" x14ac:dyDescent="0.35">
      <c r="N223" s="36"/>
      <c r="Q223" s="3"/>
      <c r="S223" s="3"/>
    </row>
    <row r="224" spans="14:19" ht="14.25" customHeight="1" x14ac:dyDescent="0.35">
      <c r="N224" s="36"/>
      <c r="Q224" s="3"/>
      <c r="S224" s="3"/>
    </row>
    <row r="225" spans="14:19" ht="14.25" customHeight="1" x14ac:dyDescent="0.35">
      <c r="N225" s="36"/>
      <c r="Q225" s="3"/>
      <c r="S225" s="3"/>
    </row>
    <row r="226" spans="14:19" ht="14.25" customHeight="1" x14ac:dyDescent="0.35">
      <c r="N226" s="36"/>
      <c r="Q226" s="3"/>
      <c r="S226" s="3"/>
    </row>
    <row r="227" spans="14:19" ht="14.25" customHeight="1" x14ac:dyDescent="0.35">
      <c r="N227" s="36"/>
      <c r="Q227" s="3"/>
      <c r="S227" s="3"/>
    </row>
    <row r="228" spans="14:19" ht="14.25" customHeight="1" x14ac:dyDescent="0.35">
      <c r="N228" s="36"/>
      <c r="Q228" s="3"/>
      <c r="S228" s="3"/>
    </row>
    <row r="229" spans="14:19" ht="14.25" customHeight="1" x14ac:dyDescent="0.35">
      <c r="N229" s="36"/>
      <c r="Q229" s="3"/>
      <c r="S229" s="3"/>
    </row>
    <row r="230" spans="14:19" ht="14.25" customHeight="1" x14ac:dyDescent="0.35">
      <c r="N230" s="36"/>
      <c r="Q230" s="3"/>
      <c r="S230" s="3"/>
    </row>
    <row r="231" spans="14:19" ht="14.25" customHeight="1" x14ac:dyDescent="0.35">
      <c r="N231" s="36"/>
      <c r="Q231" s="3"/>
      <c r="S231" s="3"/>
    </row>
    <row r="232" spans="14:19" ht="14.25" customHeight="1" x14ac:dyDescent="0.35">
      <c r="N232" s="36"/>
      <c r="Q232" s="3"/>
      <c r="S232" s="3"/>
    </row>
    <row r="233" spans="14:19" ht="14.25" customHeight="1" x14ac:dyDescent="0.35">
      <c r="N233" s="36"/>
      <c r="Q233" s="3"/>
      <c r="S233" s="3"/>
    </row>
    <row r="234" spans="14:19" ht="14.25" customHeight="1" x14ac:dyDescent="0.35">
      <c r="N234" s="36"/>
      <c r="Q234" s="3"/>
      <c r="S234" s="3"/>
    </row>
    <row r="235" spans="14:19" ht="14.25" customHeight="1" x14ac:dyDescent="0.35">
      <c r="N235" s="36"/>
      <c r="Q235" s="3"/>
      <c r="S235" s="3"/>
    </row>
    <row r="236" spans="14:19" ht="14.25" customHeight="1" x14ac:dyDescent="0.35">
      <c r="N236" s="36"/>
      <c r="Q236" s="3"/>
      <c r="S236" s="3"/>
    </row>
    <row r="237" spans="14:19" ht="14.25" customHeight="1" x14ac:dyDescent="0.35">
      <c r="N237" s="36"/>
      <c r="Q237" s="3"/>
      <c r="S237" s="3"/>
    </row>
    <row r="238" spans="14:19" ht="14.25" customHeight="1" x14ac:dyDescent="0.35">
      <c r="N238" s="36"/>
      <c r="Q238" s="3"/>
      <c r="S238" s="3"/>
    </row>
    <row r="239" spans="14:19" ht="14.25" customHeight="1" x14ac:dyDescent="0.35">
      <c r="N239" s="36"/>
      <c r="Q239" s="3"/>
      <c r="S239" s="3"/>
    </row>
    <row r="240" spans="14:19" ht="14.25" customHeight="1" x14ac:dyDescent="0.35">
      <c r="N240" s="36"/>
      <c r="Q240" s="3"/>
      <c r="S240" s="3"/>
    </row>
    <row r="241" spans="14:19" ht="14.25" customHeight="1" x14ac:dyDescent="0.35">
      <c r="N241" s="36"/>
      <c r="Q241" s="3"/>
      <c r="S241" s="3"/>
    </row>
    <row r="242" spans="14:19" ht="14.25" customHeight="1" x14ac:dyDescent="0.35">
      <c r="N242" s="36"/>
      <c r="Q242" s="3"/>
      <c r="S242" s="3"/>
    </row>
    <row r="243" spans="14:19" ht="14.25" customHeight="1" x14ac:dyDescent="0.35">
      <c r="N243" s="36"/>
      <c r="Q243" s="3"/>
      <c r="S243" s="3"/>
    </row>
    <row r="244" spans="14:19" ht="14.25" customHeight="1" x14ac:dyDescent="0.35">
      <c r="N244" s="36"/>
      <c r="Q244" s="3"/>
      <c r="S244" s="3"/>
    </row>
    <row r="245" spans="14:19" ht="14.25" customHeight="1" x14ac:dyDescent="0.35">
      <c r="N245" s="36"/>
      <c r="Q245" s="3"/>
      <c r="S245" s="3"/>
    </row>
    <row r="246" spans="14:19" ht="14.25" customHeight="1" x14ac:dyDescent="0.35">
      <c r="N246" s="36"/>
      <c r="Q246" s="3"/>
      <c r="S246" s="3"/>
    </row>
    <row r="247" spans="14:19" ht="14.25" customHeight="1" x14ac:dyDescent="0.35">
      <c r="N247" s="36"/>
      <c r="Q247" s="3"/>
      <c r="S247" s="3"/>
    </row>
    <row r="248" spans="14:19" ht="14.25" customHeight="1" x14ac:dyDescent="0.35">
      <c r="N248" s="36"/>
      <c r="Q248" s="3"/>
      <c r="S248" s="3"/>
    </row>
    <row r="249" spans="14:19" ht="14.25" customHeight="1" x14ac:dyDescent="0.35">
      <c r="N249" s="36"/>
      <c r="Q249" s="3"/>
      <c r="S249" s="3"/>
    </row>
    <row r="250" spans="14:19" ht="14.25" customHeight="1" x14ac:dyDescent="0.35">
      <c r="N250" s="36"/>
      <c r="Q250" s="3"/>
      <c r="S250" s="3"/>
    </row>
    <row r="251" spans="14:19" ht="14.25" customHeight="1" x14ac:dyDescent="0.35">
      <c r="N251" s="36"/>
      <c r="Q251" s="3"/>
      <c r="S251" s="3"/>
    </row>
    <row r="252" spans="14:19" ht="14.25" customHeight="1" x14ac:dyDescent="0.35">
      <c r="N252" s="36"/>
      <c r="Q252" s="3"/>
      <c r="S252" s="3"/>
    </row>
    <row r="253" spans="14:19" ht="14.25" customHeight="1" x14ac:dyDescent="0.35">
      <c r="N253" s="36"/>
      <c r="Q253" s="3"/>
      <c r="S253" s="3"/>
    </row>
    <row r="254" spans="14:19" ht="14.25" customHeight="1" x14ac:dyDescent="0.35">
      <c r="N254" s="36"/>
      <c r="Q254" s="3"/>
      <c r="S254" s="3"/>
    </row>
    <row r="255" spans="14:19" ht="14.25" customHeight="1" x14ac:dyDescent="0.35">
      <c r="N255" s="36"/>
      <c r="Q255" s="3"/>
      <c r="S255" s="3"/>
    </row>
    <row r="256" spans="14:19" ht="14.25" customHeight="1" x14ac:dyDescent="0.35">
      <c r="N256" s="36"/>
      <c r="Q256" s="3"/>
      <c r="S256" s="3"/>
    </row>
    <row r="257" spans="14:19" ht="14.25" customHeight="1" x14ac:dyDescent="0.35">
      <c r="N257" s="36"/>
      <c r="Q257" s="3"/>
      <c r="S257" s="3"/>
    </row>
    <row r="258" spans="14:19" ht="14.25" customHeight="1" x14ac:dyDescent="0.35">
      <c r="N258" s="36"/>
      <c r="Q258" s="3"/>
      <c r="S258" s="3"/>
    </row>
    <row r="259" spans="14:19" ht="14.25" customHeight="1" x14ac:dyDescent="0.35">
      <c r="N259" s="36"/>
      <c r="Q259" s="3"/>
      <c r="S259" s="3"/>
    </row>
    <row r="260" spans="14:19" ht="14.25" customHeight="1" x14ac:dyDescent="0.35">
      <c r="N260" s="36"/>
      <c r="Q260" s="3"/>
      <c r="S260" s="3"/>
    </row>
    <row r="261" spans="14:19" ht="14.25" customHeight="1" x14ac:dyDescent="0.35">
      <c r="N261" s="36"/>
      <c r="Q261" s="3"/>
      <c r="S261" s="3"/>
    </row>
    <row r="262" spans="14:19" ht="14.25" customHeight="1" x14ac:dyDescent="0.35">
      <c r="N262" s="36"/>
      <c r="Q262" s="3"/>
      <c r="S262" s="3"/>
    </row>
    <row r="263" spans="14:19" ht="14.25" customHeight="1" x14ac:dyDescent="0.35">
      <c r="N263" s="36"/>
      <c r="Q263" s="3"/>
      <c r="S263" s="3"/>
    </row>
    <row r="264" spans="14:19" ht="14.25" customHeight="1" x14ac:dyDescent="0.35">
      <c r="N264" s="36"/>
      <c r="Q264" s="3"/>
      <c r="S264" s="3"/>
    </row>
    <row r="265" spans="14:19" ht="14.25" customHeight="1" x14ac:dyDescent="0.35">
      <c r="N265" s="36"/>
      <c r="Q265" s="3"/>
      <c r="S265" s="3"/>
    </row>
    <row r="266" spans="14:19" ht="14.25" customHeight="1" x14ac:dyDescent="0.35">
      <c r="N266" s="36"/>
      <c r="Q266" s="3"/>
      <c r="S266" s="3"/>
    </row>
    <row r="267" spans="14:19" ht="14.25" customHeight="1" x14ac:dyDescent="0.35">
      <c r="N267" s="36"/>
      <c r="Q267" s="3"/>
      <c r="S267" s="3"/>
    </row>
    <row r="268" spans="14:19" ht="14.25" customHeight="1" x14ac:dyDescent="0.35">
      <c r="N268" s="36"/>
      <c r="Q268" s="3"/>
      <c r="S268" s="3"/>
    </row>
    <row r="269" spans="14:19" ht="14.25" customHeight="1" x14ac:dyDescent="0.35">
      <c r="N269" s="36"/>
      <c r="Q269" s="3"/>
      <c r="S269" s="3"/>
    </row>
    <row r="270" spans="14:19" ht="14.25" customHeight="1" x14ac:dyDescent="0.35">
      <c r="N270" s="36"/>
      <c r="Q270" s="3"/>
      <c r="S270" s="3"/>
    </row>
    <row r="271" spans="14:19" ht="14.25" customHeight="1" x14ac:dyDescent="0.35">
      <c r="N271" s="36"/>
      <c r="Q271" s="3"/>
      <c r="S271" s="3"/>
    </row>
    <row r="272" spans="14:19" ht="14.25" customHeight="1" x14ac:dyDescent="0.35">
      <c r="N272" s="36"/>
      <c r="Q272" s="3"/>
      <c r="S272" s="3"/>
    </row>
    <row r="273" spans="14:19" ht="14.25" customHeight="1" x14ac:dyDescent="0.35">
      <c r="N273" s="36"/>
      <c r="Q273" s="3"/>
      <c r="S273" s="3"/>
    </row>
    <row r="274" spans="14:19" ht="14.25" customHeight="1" x14ac:dyDescent="0.35">
      <c r="N274" s="36"/>
      <c r="Q274" s="3"/>
      <c r="S274" s="3"/>
    </row>
    <row r="275" spans="14:19" ht="14.25" customHeight="1" x14ac:dyDescent="0.35">
      <c r="N275" s="36"/>
      <c r="Q275" s="3"/>
      <c r="S275" s="3"/>
    </row>
    <row r="276" spans="14:19" ht="14.25" customHeight="1" x14ac:dyDescent="0.35">
      <c r="N276" s="36"/>
      <c r="Q276" s="3"/>
      <c r="S276" s="3"/>
    </row>
    <row r="277" spans="14:19" ht="14.25" customHeight="1" x14ac:dyDescent="0.35">
      <c r="N277" s="36"/>
      <c r="Q277" s="3"/>
      <c r="S277" s="3"/>
    </row>
    <row r="278" spans="14:19" ht="14.25" customHeight="1" x14ac:dyDescent="0.35">
      <c r="N278" s="36"/>
      <c r="Q278" s="3"/>
      <c r="S278" s="3"/>
    </row>
    <row r="279" spans="14:19" ht="14.25" customHeight="1" x14ac:dyDescent="0.35">
      <c r="N279" s="36"/>
      <c r="Q279" s="3"/>
      <c r="S279" s="3"/>
    </row>
    <row r="280" spans="14:19" ht="14.25" customHeight="1" x14ac:dyDescent="0.35">
      <c r="N280" s="36"/>
      <c r="Q280" s="3"/>
      <c r="S280" s="3"/>
    </row>
    <row r="281" spans="14:19" ht="14.25" customHeight="1" x14ac:dyDescent="0.35">
      <c r="N281" s="36"/>
      <c r="Q281" s="3"/>
      <c r="S281" s="3"/>
    </row>
    <row r="282" spans="14:19" ht="14.25" customHeight="1" x14ac:dyDescent="0.35">
      <c r="N282" s="36"/>
      <c r="Q282" s="3"/>
      <c r="S282" s="3"/>
    </row>
    <row r="283" spans="14:19" ht="14.25" customHeight="1" x14ac:dyDescent="0.35">
      <c r="N283" s="36"/>
      <c r="Q283" s="3"/>
      <c r="S283" s="3"/>
    </row>
    <row r="284" spans="14:19" ht="14.25" customHeight="1" x14ac:dyDescent="0.35">
      <c r="N284" s="36"/>
      <c r="Q284" s="3"/>
      <c r="S284" s="3"/>
    </row>
    <row r="285" spans="14:19" ht="14.25" customHeight="1" x14ac:dyDescent="0.35">
      <c r="N285" s="36"/>
      <c r="Q285" s="3"/>
      <c r="S285" s="3"/>
    </row>
    <row r="286" spans="14:19" ht="14.25" customHeight="1" x14ac:dyDescent="0.35">
      <c r="N286" s="36"/>
      <c r="Q286" s="3"/>
      <c r="S286" s="3"/>
    </row>
    <row r="287" spans="14:19" ht="14.25" customHeight="1" x14ac:dyDescent="0.35">
      <c r="N287" s="36"/>
      <c r="Q287" s="3"/>
      <c r="S287" s="3"/>
    </row>
    <row r="288" spans="14:19" ht="14.25" customHeight="1" x14ac:dyDescent="0.35">
      <c r="N288" s="36"/>
      <c r="Q288" s="3"/>
      <c r="S288" s="3"/>
    </row>
    <row r="289" spans="14:19" ht="14.25" customHeight="1" x14ac:dyDescent="0.35">
      <c r="N289" s="36"/>
      <c r="Q289" s="3"/>
      <c r="S289" s="3"/>
    </row>
    <row r="290" spans="14:19" ht="14.25" customHeight="1" x14ac:dyDescent="0.35">
      <c r="N290" s="36"/>
      <c r="Q290" s="3"/>
      <c r="S290" s="3"/>
    </row>
    <row r="291" spans="14:19" ht="14.25" customHeight="1" x14ac:dyDescent="0.35">
      <c r="N291" s="36"/>
      <c r="Q291" s="3"/>
      <c r="S291" s="3"/>
    </row>
    <row r="292" spans="14:19" ht="14.25" customHeight="1" x14ac:dyDescent="0.35">
      <c r="N292" s="36"/>
      <c r="Q292" s="3"/>
      <c r="S292" s="3"/>
    </row>
    <row r="293" spans="14:19" ht="14.25" customHeight="1" x14ac:dyDescent="0.35">
      <c r="N293" s="36"/>
      <c r="Q293" s="3"/>
      <c r="S293" s="3"/>
    </row>
    <row r="294" spans="14:19" ht="14.25" customHeight="1" x14ac:dyDescent="0.35">
      <c r="N294" s="36"/>
      <c r="Q294" s="3"/>
      <c r="S294" s="3"/>
    </row>
    <row r="295" spans="14:19" ht="14.25" customHeight="1" x14ac:dyDescent="0.35">
      <c r="N295" s="36"/>
      <c r="Q295" s="3"/>
      <c r="S295" s="3"/>
    </row>
    <row r="296" spans="14:19" ht="14.25" customHeight="1" x14ac:dyDescent="0.35">
      <c r="N296" s="36"/>
      <c r="Q296" s="3"/>
      <c r="S296" s="3"/>
    </row>
    <row r="297" spans="14:19" ht="14.25" customHeight="1" x14ac:dyDescent="0.35">
      <c r="N297" s="36"/>
      <c r="Q297" s="3"/>
      <c r="S297" s="3"/>
    </row>
    <row r="298" spans="14:19" ht="14.25" customHeight="1" x14ac:dyDescent="0.35">
      <c r="N298" s="36"/>
      <c r="Q298" s="3"/>
      <c r="S298" s="3"/>
    </row>
    <row r="299" spans="14:19" ht="14.25" customHeight="1" x14ac:dyDescent="0.35">
      <c r="N299" s="36"/>
      <c r="Q299" s="3"/>
      <c r="S299" s="3"/>
    </row>
    <row r="300" spans="14:19" ht="14.25" customHeight="1" x14ac:dyDescent="0.35">
      <c r="N300" s="36"/>
      <c r="Q300" s="3"/>
      <c r="S300" s="3"/>
    </row>
    <row r="301" spans="14:19" ht="14.25" customHeight="1" x14ac:dyDescent="0.35">
      <c r="N301" s="36"/>
      <c r="Q301" s="3"/>
      <c r="S301" s="3"/>
    </row>
    <row r="302" spans="14:19" ht="14.25" customHeight="1" x14ac:dyDescent="0.35">
      <c r="N302" s="36"/>
      <c r="Q302" s="3"/>
      <c r="S302" s="3"/>
    </row>
    <row r="303" spans="14:19" ht="14.25" customHeight="1" x14ac:dyDescent="0.35">
      <c r="N303" s="36"/>
      <c r="Q303" s="3"/>
      <c r="S303" s="3"/>
    </row>
    <row r="304" spans="14:19" ht="14.25" customHeight="1" x14ac:dyDescent="0.35">
      <c r="N304" s="36"/>
      <c r="Q304" s="3"/>
      <c r="S304" s="3"/>
    </row>
    <row r="305" spans="14:19" ht="14.25" customHeight="1" x14ac:dyDescent="0.35">
      <c r="N305" s="36"/>
      <c r="Q305" s="3"/>
      <c r="S305" s="3"/>
    </row>
    <row r="306" spans="14:19" ht="14.25" customHeight="1" x14ac:dyDescent="0.35">
      <c r="N306" s="36"/>
      <c r="Q306" s="3"/>
      <c r="S306" s="3"/>
    </row>
    <row r="307" spans="14:19" ht="14.25" customHeight="1" x14ac:dyDescent="0.35">
      <c r="N307" s="36"/>
      <c r="Q307" s="3"/>
      <c r="S307" s="3"/>
    </row>
    <row r="308" spans="14:19" ht="14.25" customHeight="1" x14ac:dyDescent="0.35">
      <c r="N308" s="36"/>
      <c r="Q308" s="3"/>
      <c r="S308" s="3"/>
    </row>
    <row r="309" spans="14:19" ht="14.25" customHeight="1" x14ac:dyDescent="0.35">
      <c r="N309" s="36"/>
      <c r="Q309" s="3"/>
      <c r="S309" s="3"/>
    </row>
    <row r="310" spans="14:19" ht="14.25" customHeight="1" x14ac:dyDescent="0.35">
      <c r="N310" s="36"/>
      <c r="Q310" s="3"/>
      <c r="S310" s="3"/>
    </row>
    <row r="311" spans="14:19" ht="14.25" customHeight="1" x14ac:dyDescent="0.35">
      <c r="N311" s="36"/>
      <c r="Q311" s="3"/>
      <c r="S311" s="3"/>
    </row>
    <row r="312" spans="14:19" ht="14.25" customHeight="1" x14ac:dyDescent="0.35">
      <c r="N312" s="36"/>
      <c r="Q312" s="3"/>
      <c r="S312" s="3"/>
    </row>
    <row r="313" spans="14:19" ht="14.25" customHeight="1" x14ac:dyDescent="0.35">
      <c r="N313" s="36"/>
      <c r="Q313" s="3"/>
      <c r="S313" s="3"/>
    </row>
    <row r="314" spans="14:19" ht="14.25" customHeight="1" x14ac:dyDescent="0.35">
      <c r="N314" s="36"/>
      <c r="Q314" s="3"/>
      <c r="S314" s="3"/>
    </row>
    <row r="315" spans="14:19" ht="14.25" customHeight="1" x14ac:dyDescent="0.35">
      <c r="N315" s="36"/>
      <c r="Q315" s="3"/>
      <c r="S315" s="3"/>
    </row>
    <row r="316" spans="14:19" ht="14.25" customHeight="1" x14ac:dyDescent="0.35">
      <c r="N316" s="36"/>
      <c r="Q316" s="3"/>
      <c r="S316" s="3"/>
    </row>
    <row r="317" spans="14:19" ht="14.25" customHeight="1" x14ac:dyDescent="0.35">
      <c r="N317" s="36"/>
      <c r="Q317" s="3"/>
      <c r="S317" s="3"/>
    </row>
    <row r="318" spans="14:19" ht="14.25" customHeight="1" x14ac:dyDescent="0.35">
      <c r="N318" s="36"/>
      <c r="Q318" s="3"/>
      <c r="S318" s="3"/>
    </row>
    <row r="319" spans="14:19" ht="14.25" customHeight="1" x14ac:dyDescent="0.35">
      <c r="N319" s="36"/>
      <c r="Q319" s="3"/>
      <c r="S319" s="3"/>
    </row>
    <row r="320" spans="14:19" ht="14.25" customHeight="1" x14ac:dyDescent="0.35">
      <c r="N320" s="36"/>
      <c r="Q320" s="3"/>
      <c r="S320" s="3"/>
    </row>
    <row r="321" spans="14:19" ht="14.25" customHeight="1" x14ac:dyDescent="0.35">
      <c r="N321" s="36"/>
      <c r="Q321" s="3"/>
      <c r="S321" s="3"/>
    </row>
    <row r="322" spans="14:19" ht="14.25" customHeight="1" x14ac:dyDescent="0.35">
      <c r="N322" s="36"/>
      <c r="Q322" s="3"/>
      <c r="S322" s="3"/>
    </row>
    <row r="323" spans="14:19" ht="14.25" customHeight="1" x14ac:dyDescent="0.35">
      <c r="N323" s="36"/>
      <c r="Q323" s="3"/>
      <c r="S323" s="3"/>
    </row>
    <row r="324" spans="14:19" ht="14.25" customHeight="1" x14ac:dyDescent="0.35">
      <c r="N324" s="36"/>
      <c r="Q324" s="3"/>
      <c r="S324" s="3"/>
    </row>
    <row r="325" spans="14:19" ht="14.25" customHeight="1" x14ac:dyDescent="0.35">
      <c r="N325" s="36"/>
      <c r="Q325" s="3"/>
      <c r="S325" s="3"/>
    </row>
    <row r="326" spans="14:19" ht="14.25" customHeight="1" x14ac:dyDescent="0.35">
      <c r="N326" s="36"/>
      <c r="Q326" s="3"/>
      <c r="S326" s="3"/>
    </row>
    <row r="327" spans="14:19" ht="14.25" customHeight="1" x14ac:dyDescent="0.35">
      <c r="N327" s="36"/>
      <c r="Q327" s="3"/>
      <c r="S327" s="3"/>
    </row>
    <row r="328" spans="14:19" ht="14.25" customHeight="1" x14ac:dyDescent="0.35">
      <c r="N328" s="36"/>
      <c r="Q328" s="3"/>
      <c r="S328" s="3"/>
    </row>
    <row r="329" spans="14:19" ht="14.25" customHeight="1" x14ac:dyDescent="0.35">
      <c r="N329" s="36"/>
      <c r="Q329" s="3"/>
      <c r="S329" s="3"/>
    </row>
    <row r="330" spans="14:19" ht="14.25" customHeight="1" x14ac:dyDescent="0.35">
      <c r="N330" s="36"/>
      <c r="Q330" s="3"/>
      <c r="S330" s="3"/>
    </row>
    <row r="331" spans="14:19" ht="14.25" customHeight="1" x14ac:dyDescent="0.35">
      <c r="N331" s="36"/>
      <c r="Q331" s="3"/>
      <c r="S331" s="3"/>
    </row>
    <row r="332" spans="14:19" ht="14.25" customHeight="1" x14ac:dyDescent="0.35">
      <c r="N332" s="36"/>
      <c r="Q332" s="3"/>
      <c r="S332" s="3"/>
    </row>
    <row r="333" spans="14:19" ht="14.25" customHeight="1" x14ac:dyDescent="0.35">
      <c r="N333" s="36"/>
      <c r="Q333" s="3"/>
      <c r="S333" s="3"/>
    </row>
    <row r="334" spans="14:19" ht="14.25" customHeight="1" x14ac:dyDescent="0.35">
      <c r="N334" s="36"/>
      <c r="Q334" s="3"/>
      <c r="S334" s="3"/>
    </row>
    <row r="335" spans="14:19" ht="14.25" customHeight="1" x14ac:dyDescent="0.35">
      <c r="N335" s="36"/>
      <c r="Q335" s="3"/>
      <c r="S335" s="3"/>
    </row>
    <row r="336" spans="14:19" ht="14.25" customHeight="1" x14ac:dyDescent="0.35">
      <c r="N336" s="36"/>
      <c r="Q336" s="3"/>
      <c r="S336" s="3"/>
    </row>
    <row r="337" spans="14:19" ht="14.25" customHeight="1" x14ac:dyDescent="0.35">
      <c r="N337" s="36"/>
      <c r="Q337" s="3"/>
      <c r="S337" s="3"/>
    </row>
    <row r="338" spans="14:19" ht="14.25" customHeight="1" x14ac:dyDescent="0.35">
      <c r="N338" s="36"/>
      <c r="Q338" s="3"/>
      <c r="S338" s="3"/>
    </row>
    <row r="339" spans="14:19" ht="14.25" customHeight="1" x14ac:dyDescent="0.35">
      <c r="N339" s="36"/>
      <c r="Q339" s="3"/>
      <c r="S339" s="3"/>
    </row>
    <row r="340" spans="14:19" ht="14.25" customHeight="1" x14ac:dyDescent="0.35">
      <c r="N340" s="36"/>
      <c r="Q340" s="3"/>
      <c r="S340" s="3"/>
    </row>
    <row r="341" spans="14:19" ht="14.25" customHeight="1" x14ac:dyDescent="0.35">
      <c r="N341" s="36"/>
      <c r="Q341" s="3"/>
      <c r="S341" s="3"/>
    </row>
    <row r="342" spans="14:19" ht="14.25" customHeight="1" x14ac:dyDescent="0.35">
      <c r="N342" s="36"/>
      <c r="Q342" s="3"/>
      <c r="S342" s="3"/>
    </row>
    <row r="343" spans="14:19" ht="14.25" customHeight="1" x14ac:dyDescent="0.35">
      <c r="N343" s="36"/>
      <c r="Q343" s="3"/>
      <c r="S343" s="3"/>
    </row>
    <row r="344" spans="14:19" ht="14.25" customHeight="1" x14ac:dyDescent="0.35">
      <c r="N344" s="36"/>
      <c r="Q344" s="3"/>
      <c r="S344" s="3"/>
    </row>
    <row r="345" spans="14:19" ht="14.25" customHeight="1" x14ac:dyDescent="0.35">
      <c r="N345" s="36"/>
      <c r="Q345" s="3"/>
      <c r="S345" s="3"/>
    </row>
    <row r="346" spans="14:19" ht="14.25" customHeight="1" x14ac:dyDescent="0.35">
      <c r="N346" s="36"/>
      <c r="Q346" s="3"/>
      <c r="S346" s="3"/>
    </row>
    <row r="347" spans="14:19" ht="14.25" customHeight="1" x14ac:dyDescent="0.35">
      <c r="N347" s="36"/>
      <c r="Q347" s="3"/>
      <c r="S347" s="3"/>
    </row>
    <row r="348" spans="14:19" ht="14.25" customHeight="1" x14ac:dyDescent="0.35">
      <c r="N348" s="36"/>
      <c r="Q348" s="3"/>
      <c r="S348" s="3"/>
    </row>
    <row r="349" spans="14:19" ht="14.25" customHeight="1" x14ac:dyDescent="0.35">
      <c r="N349" s="36"/>
      <c r="Q349" s="3"/>
      <c r="S349" s="3"/>
    </row>
    <row r="350" spans="14:19" ht="14.25" customHeight="1" x14ac:dyDescent="0.35">
      <c r="N350" s="36"/>
      <c r="Q350" s="3"/>
      <c r="S350" s="3"/>
    </row>
    <row r="351" spans="14:19" ht="14.25" customHeight="1" x14ac:dyDescent="0.35">
      <c r="N351" s="36"/>
      <c r="Q351" s="3"/>
      <c r="S351" s="3"/>
    </row>
    <row r="352" spans="14:19" ht="14.25" customHeight="1" x14ac:dyDescent="0.35">
      <c r="N352" s="36"/>
      <c r="Q352" s="3"/>
      <c r="S352" s="3"/>
    </row>
    <row r="353" spans="14:19" ht="14.25" customHeight="1" x14ac:dyDescent="0.35">
      <c r="N353" s="36"/>
      <c r="Q353" s="3"/>
      <c r="S353" s="3"/>
    </row>
    <row r="354" spans="14:19" ht="14.25" customHeight="1" x14ac:dyDescent="0.35">
      <c r="N354" s="36"/>
      <c r="Q354" s="3"/>
      <c r="S354" s="3"/>
    </row>
    <row r="355" spans="14:19" ht="14.25" customHeight="1" x14ac:dyDescent="0.35">
      <c r="N355" s="36"/>
      <c r="Q355" s="3"/>
      <c r="S355" s="3"/>
    </row>
    <row r="356" spans="14:19" ht="14.25" customHeight="1" x14ac:dyDescent="0.35">
      <c r="N356" s="36"/>
      <c r="Q356" s="3"/>
      <c r="S356" s="3"/>
    </row>
    <row r="357" spans="14:19" ht="14.25" customHeight="1" x14ac:dyDescent="0.35">
      <c r="N357" s="36"/>
      <c r="Q357" s="3"/>
      <c r="S357" s="3"/>
    </row>
    <row r="358" spans="14:19" ht="14.25" customHeight="1" x14ac:dyDescent="0.35">
      <c r="N358" s="36"/>
      <c r="Q358" s="3"/>
      <c r="S358" s="3"/>
    </row>
    <row r="359" spans="14:19" ht="14.25" customHeight="1" x14ac:dyDescent="0.35">
      <c r="N359" s="36"/>
      <c r="Q359" s="3"/>
      <c r="S359" s="3"/>
    </row>
    <row r="360" spans="14:19" ht="14.25" customHeight="1" x14ac:dyDescent="0.35">
      <c r="N360" s="36"/>
      <c r="Q360" s="3"/>
      <c r="S360" s="3"/>
    </row>
    <row r="361" spans="14:19" ht="14.25" customHeight="1" x14ac:dyDescent="0.35">
      <c r="N361" s="36"/>
      <c r="Q361" s="3"/>
      <c r="S361" s="3"/>
    </row>
    <row r="362" spans="14:19" ht="14.25" customHeight="1" x14ac:dyDescent="0.35">
      <c r="N362" s="36"/>
      <c r="Q362" s="3"/>
      <c r="S362" s="3"/>
    </row>
    <row r="363" spans="14:19" ht="14.25" customHeight="1" x14ac:dyDescent="0.35">
      <c r="N363" s="36"/>
      <c r="Q363" s="3"/>
      <c r="S363" s="3"/>
    </row>
    <row r="364" spans="14:19" ht="14.25" customHeight="1" x14ac:dyDescent="0.35">
      <c r="N364" s="36"/>
      <c r="Q364" s="3"/>
      <c r="S364" s="3"/>
    </row>
    <row r="365" spans="14:19" ht="14.25" customHeight="1" x14ac:dyDescent="0.35">
      <c r="N365" s="36"/>
      <c r="Q365" s="3"/>
      <c r="S365" s="3"/>
    </row>
    <row r="366" spans="14:19" ht="14.25" customHeight="1" x14ac:dyDescent="0.35">
      <c r="N366" s="36"/>
      <c r="Q366" s="3"/>
      <c r="S366" s="3"/>
    </row>
    <row r="367" spans="14:19" ht="14.25" customHeight="1" x14ac:dyDescent="0.35">
      <c r="N367" s="36"/>
      <c r="Q367" s="3"/>
      <c r="S367" s="3"/>
    </row>
    <row r="368" spans="14:19" ht="14.25" customHeight="1" x14ac:dyDescent="0.35">
      <c r="N368" s="36"/>
      <c r="Q368" s="3"/>
      <c r="S368" s="3"/>
    </row>
    <row r="369" spans="14:19" ht="14.25" customHeight="1" x14ac:dyDescent="0.35">
      <c r="N369" s="36"/>
      <c r="Q369" s="3"/>
      <c r="S369" s="3"/>
    </row>
    <row r="370" spans="14:19" ht="14.25" customHeight="1" x14ac:dyDescent="0.35">
      <c r="N370" s="36"/>
      <c r="Q370" s="3"/>
      <c r="S370" s="3"/>
    </row>
    <row r="371" spans="14:19" ht="14.25" customHeight="1" x14ac:dyDescent="0.35">
      <c r="N371" s="36"/>
      <c r="Q371" s="3"/>
      <c r="S371" s="3"/>
    </row>
    <row r="372" spans="14:19" ht="14.25" customHeight="1" x14ac:dyDescent="0.35">
      <c r="N372" s="36"/>
      <c r="Q372" s="3"/>
      <c r="S372" s="3"/>
    </row>
    <row r="373" spans="14:19" ht="14.25" customHeight="1" x14ac:dyDescent="0.35">
      <c r="N373" s="36"/>
      <c r="Q373" s="3"/>
      <c r="S373" s="3"/>
    </row>
    <row r="374" spans="14:19" ht="14.25" customHeight="1" x14ac:dyDescent="0.35">
      <c r="N374" s="36"/>
      <c r="Q374" s="3"/>
      <c r="S374" s="3"/>
    </row>
    <row r="375" spans="14:19" ht="14.25" customHeight="1" x14ac:dyDescent="0.35">
      <c r="N375" s="36"/>
      <c r="Q375" s="3"/>
      <c r="S375" s="3"/>
    </row>
    <row r="376" spans="14:19" ht="14.25" customHeight="1" x14ac:dyDescent="0.35">
      <c r="N376" s="36"/>
      <c r="Q376" s="3"/>
      <c r="S376" s="3"/>
    </row>
    <row r="377" spans="14:19" ht="14.25" customHeight="1" x14ac:dyDescent="0.35">
      <c r="N377" s="36"/>
      <c r="Q377" s="3"/>
      <c r="S377" s="3"/>
    </row>
    <row r="378" spans="14:19" ht="14.25" customHeight="1" x14ac:dyDescent="0.35">
      <c r="N378" s="36"/>
      <c r="Q378" s="3"/>
      <c r="S378" s="3"/>
    </row>
    <row r="379" spans="14:19" ht="14.25" customHeight="1" x14ac:dyDescent="0.35">
      <c r="N379" s="36"/>
      <c r="Q379" s="3"/>
      <c r="S379" s="3"/>
    </row>
    <row r="380" spans="14:19" ht="14.25" customHeight="1" x14ac:dyDescent="0.35">
      <c r="N380" s="36"/>
      <c r="Q380" s="3"/>
      <c r="S380" s="3"/>
    </row>
    <row r="381" spans="14:19" ht="14.25" customHeight="1" x14ac:dyDescent="0.35">
      <c r="N381" s="36"/>
      <c r="Q381" s="3"/>
      <c r="S381" s="3"/>
    </row>
    <row r="382" spans="14:19" ht="14.25" customHeight="1" x14ac:dyDescent="0.35">
      <c r="N382" s="36"/>
      <c r="Q382" s="3"/>
      <c r="S382" s="3"/>
    </row>
    <row r="383" spans="14:19" ht="14.25" customHeight="1" x14ac:dyDescent="0.35">
      <c r="N383" s="36"/>
      <c r="Q383" s="3"/>
      <c r="S383" s="3"/>
    </row>
    <row r="384" spans="14:19" ht="14.25" customHeight="1" x14ac:dyDescent="0.35">
      <c r="N384" s="36"/>
      <c r="Q384" s="3"/>
      <c r="S384" s="3"/>
    </row>
    <row r="385" spans="14:19" ht="14.25" customHeight="1" x14ac:dyDescent="0.35">
      <c r="N385" s="36"/>
      <c r="Q385" s="3"/>
      <c r="S385" s="3"/>
    </row>
    <row r="386" spans="14:19" ht="14.25" customHeight="1" x14ac:dyDescent="0.35">
      <c r="N386" s="36"/>
      <c r="Q386" s="3"/>
      <c r="S386" s="3"/>
    </row>
    <row r="387" spans="14:19" ht="14.25" customHeight="1" x14ac:dyDescent="0.35">
      <c r="N387" s="36"/>
      <c r="Q387" s="3"/>
      <c r="S387" s="3"/>
    </row>
    <row r="388" spans="14:19" ht="14.25" customHeight="1" x14ac:dyDescent="0.35">
      <c r="N388" s="36"/>
      <c r="Q388" s="3"/>
      <c r="S388" s="3"/>
    </row>
    <row r="389" spans="14:19" ht="14.25" customHeight="1" x14ac:dyDescent="0.35">
      <c r="N389" s="36"/>
      <c r="Q389" s="3"/>
      <c r="S389" s="3"/>
    </row>
    <row r="390" spans="14:19" ht="14.25" customHeight="1" x14ac:dyDescent="0.35">
      <c r="N390" s="36"/>
      <c r="Q390" s="3"/>
      <c r="S390" s="3"/>
    </row>
    <row r="391" spans="14:19" ht="14.25" customHeight="1" x14ac:dyDescent="0.35">
      <c r="N391" s="36"/>
      <c r="Q391" s="3"/>
      <c r="S391" s="3"/>
    </row>
    <row r="392" spans="14:19" ht="14.25" customHeight="1" x14ac:dyDescent="0.35">
      <c r="N392" s="36"/>
      <c r="Q392" s="3"/>
      <c r="S392" s="3"/>
    </row>
    <row r="393" spans="14:19" ht="14.25" customHeight="1" x14ac:dyDescent="0.35">
      <c r="N393" s="36"/>
      <c r="Q393" s="3"/>
      <c r="S393" s="3"/>
    </row>
    <row r="394" spans="14:19" ht="14.25" customHeight="1" x14ac:dyDescent="0.35">
      <c r="N394" s="36"/>
      <c r="Q394" s="3"/>
      <c r="S394" s="3"/>
    </row>
    <row r="395" spans="14:19" ht="14.25" customHeight="1" x14ac:dyDescent="0.35">
      <c r="N395" s="36"/>
      <c r="Q395" s="3"/>
      <c r="S395" s="3"/>
    </row>
    <row r="396" spans="14:19" ht="14.25" customHeight="1" x14ac:dyDescent="0.35">
      <c r="N396" s="36"/>
      <c r="Q396" s="3"/>
      <c r="S396" s="3"/>
    </row>
    <row r="397" spans="14:19" ht="14.25" customHeight="1" x14ac:dyDescent="0.35">
      <c r="N397" s="36"/>
      <c r="Q397" s="3"/>
      <c r="S397" s="3"/>
    </row>
    <row r="398" spans="14:19" ht="14.25" customHeight="1" x14ac:dyDescent="0.35">
      <c r="N398" s="36"/>
      <c r="Q398" s="3"/>
      <c r="S398" s="3"/>
    </row>
    <row r="399" spans="14:19" ht="14.25" customHeight="1" x14ac:dyDescent="0.35">
      <c r="N399" s="36"/>
      <c r="Q399" s="3"/>
      <c r="S399" s="3"/>
    </row>
    <row r="400" spans="14:19" ht="14.25" customHeight="1" x14ac:dyDescent="0.35">
      <c r="N400" s="36"/>
      <c r="Q400" s="3"/>
      <c r="S400" s="3"/>
    </row>
    <row r="401" spans="14:19" ht="14.25" customHeight="1" x14ac:dyDescent="0.35">
      <c r="N401" s="36"/>
      <c r="Q401" s="3"/>
      <c r="S401" s="3"/>
    </row>
    <row r="402" spans="14:19" ht="14.25" customHeight="1" x14ac:dyDescent="0.35">
      <c r="N402" s="36"/>
      <c r="Q402" s="3"/>
      <c r="S402" s="3"/>
    </row>
    <row r="403" spans="14:19" ht="14.25" customHeight="1" x14ac:dyDescent="0.35">
      <c r="N403" s="36"/>
      <c r="Q403" s="3"/>
      <c r="S403" s="3"/>
    </row>
    <row r="404" spans="14:19" ht="14.25" customHeight="1" x14ac:dyDescent="0.35">
      <c r="N404" s="36"/>
      <c r="Q404" s="3"/>
      <c r="S404" s="3"/>
    </row>
    <row r="405" spans="14:19" ht="14.25" customHeight="1" x14ac:dyDescent="0.35">
      <c r="N405" s="36"/>
      <c r="Q405" s="3"/>
      <c r="S405" s="3"/>
    </row>
    <row r="406" spans="14:19" ht="14.25" customHeight="1" x14ac:dyDescent="0.35">
      <c r="N406" s="36"/>
      <c r="Q406" s="3"/>
      <c r="S406" s="3"/>
    </row>
    <row r="407" spans="14:19" ht="14.25" customHeight="1" x14ac:dyDescent="0.35">
      <c r="N407" s="36"/>
      <c r="Q407" s="3"/>
      <c r="S407" s="3"/>
    </row>
    <row r="408" spans="14:19" ht="14.25" customHeight="1" x14ac:dyDescent="0.35">
      <c r="N408" s="36"/>
      <c r="Q408" s="3"/>
      <c r="S408" s="3"/>
    </row>
    <row r="409" spans="14:19" ht="14.25" customHeight="1" x14ac:dyDescent="0.35">
      <c r="N409" s="36"/>
      <c r="Q409" s="3"/>
      <c r="S409" s="3"/>
    </row>
    <row r="410" spans="14:19" ht="14.25" customHeight="1" x14ac:dyDescent="0.35">
      <c r="N410" s="36"/>
      <c r="Q410" s="3"/>
      <c r="S410" s="3"/>
    </row>
    <row r="411" spans="14:19" ht="14.25" customHeight="1" x14ac:dyDescent="0.35">
      <c r="N411" s="36"/>
      <c r="Q411" s="3"/>
      <c r="S411" s="3"/>
    </row>
    <row r="412" spans="14:19" ht="14.25" customHeight="1" x14ac:dyDescent="0.35">
      <c r="N412" s="36"/>
      <c r="Q412" s="3"/>
      <c r="S412" s="3"/>
    </row>
    <row r="413" spans="14:19" ht="14.25" customHeight="1" x14ac:dyDescent="0.35">
      <c r="N413" s="36"/>
      <c r="Q413" s="3"/>
      <c r="S413" s="3"/>
    </row>
    <row r="414" spans="14:19" ht="14.25" customHeight="1" x14ac:dyDescent="0.35">
      <c r="N414" s="36"/>
      <c r="Q414" s="3"/>
      <c r="S414" s="3"/>
    </row>
    <row r="415" spans="14:19" ht="14.25" customHeight="1" x14ac:dyDescent="0.35">
      <c r="N415" s="36"/>
      <c r="Q415" s="3"/>
      <c r="S415" s="3"/>
    </row>
    <row r="416" spans="14:19" ht="14.25" customHeight="1" x14ac:dyDescent="0.35">
      <c r="N416" s="36"/>
      <c r="Q416" s="3"/>
      <c r="S416" s="3"/>
    </row>
    <row r="417" spans="14:19" ht="14.25" customHeight="1" x14ac:dyDescent="0.35">
      <c r="N417" s="36"/>
      <c r="Q417" s="3"/>
      <c r="S417" s="3"/>
    </row>
    <row r="418" spans="14:19" ht="14.25" customHeight="1" x14ac:dyDescent="0.35">
      <c r="N418" s="36"/>
      <c r="Q418" s="3"/>
      <c r="S418" s="3"/>
    </row>
    <row r="419" spans="14:19" ht="14.25" customHeight="1" x14ac:dyDescent="0.35">
      <c r="N419" s="36"/>
      <c r="Q419" s="3"/>
      <c r="S419" s="3"/>
    </row>
    <row r="420" spans="14:19" ht="14.25" customHeight="1" x14ac:dyDescent="0.35">
      <c r="N420" s="36"/>
      <c r="Q420" s="3"/>
      <c r="S420" s="3"/>
    </row>
    <row r="421" spans="14:19" ht="14.25" customHeight="1" x14ac:dyDescent="0.35">
      <c r="N421" s="36"/>
      <c r="Q421" s="3"/>
      <c r="S421" s="3"/>
    </row>
    <row r="422" spans="14:19" ht="14.25" customHeight="1" x14ac:dyDescent="0.35">
      <c r="N422" s="36"/>
      <c r="Q422" s="3"/>
      <c r="S422" s="3"/>
    </row>
    <row r="423" spans="14:19" ht="14.25" customHeight="1" x14ac:dyDescent="0.35">
      <c r="N423" s="36"/>
      <c r="Q423" s="3"/>
      <c r="S423" s="3"/>
    </row>
    <row r="424" spans="14:19" ht="14.25" customHeight="1" x14ac:dyDescent="0.35">
      <c r="N424" s="36"/>
      <c r="Q424" s="3"/>
      <c r="S424" s="3"/>
    </row>
    <row r="425" spans="14:19" ht="14.25" customHeight="1" x14ac:dyDescent="0.35">
      <c r="N425" s="36"/>
      <c r="Q425" s="3"/>
      <c r="S425" s="3"/>
    </row>
    <row r="426" spans="14:19" ht="14.25" customHeight="1" x14ac:dyDescent="0.35">
      <c r="N426" s="36"/>
      <c r="Q426" s="3"/>
      <c r="S426" s="3"/>
    </row>
    <row r="427" spans="14:19" ht="14.25" customHeight="1" x14ac:dyDescent="0.35">
      <c r="N427" s="36"/>
      <c r="Q427" s="3"/>
      <c r="S427" s="3"/>
    </row>
    <row r="428" spans="14:19" ht="14.25" customHeight="1" x14ac:dyDescent="0.35">
      <c r="N428" s="36"/>
      <c r="Q428" s="3"/>
      <c r="S428" s="3"/>
    </row>
    <row r="429" spans="14:19" ht="14.25" customHeight="1" x14ac:dyDescent="0.35">
      <c r="N429" s="36"/>
      <c r="Q429" s="3"/>
      <c r="S429" s="3"/>
    </row>
    <row r="430" spans="14:19" ht="14.25" customHeight="1" x14ac:dyDescent="0.35">
      <c r="N430" s="36"/>
      <c r="Q430" s="3"/>
      <c r="S430" s="3"/>
    </row>
    <row r="431" spans="14:19" ht="14.25" customHeight="1" x14ac:dyDescent="0.35">
      <c r="N431" s="36"/>
      <c r="Q431" s="3"/>
      <c r="S431" s="3"/>
    </row>
    <row r="432" spans="14:19" ht="14.25" customHeight="1" x14ac:dyDescent="0.35">
      <c r="N432" s="36"/>
      <c r="Q432" s="3"/>
      <c r="S432" s="3"/>
    </row>
    <row r="433" spans="14:19" ht="14.25" customHeight="1" x14ac:dyDescent="0.35">
      <c r="N433" s="36"/>
      <c r="Q433" s="3"/>
      <c r="S433" s="3"/>
    </row>
    <row r="434" spans="14:19" ht="14.25" customHeight="1" x14ac:dyDescent="0.35">
      <c r="N434" s="36"/>
      <c r="Q434" s="3"/>
      <c r="S434" s="3"/>
    </row>
    <row r="435" spans="14:19" ht="14.25" customHeight="1" x14ac:dyDescent="0.35">
      <c r="N435" s="36"/>
      <c r="Q435" s="3"/>
      <c r="S435" s="3"/>
    </row>
    <row r="436" spans="14:19" ht="14.25" customHeight="1" x14ac:dyDescent="0.35">
      <c r="N436" s="36"/>
      <c r="Q436" s="3"/>
      <c r="S436" s="3"/>
    </row>
    <row r="437" spans="14:19" ht="14.25" customHeight="1" x14ac:dyDescent="0.35">
      <c r="N437" s="36"/>
      <c r="Q437" s="3"/>
      <c r="S437" s="3"/>
    </row>
    <row r="438" spans="14:19" ht="14.25" customHeight="1" x14ac:dyDescent="0.35">
      <c r="N438" s="36"/>
      <c r="Q438" s="3"/>
      <c r="S438" s="3"/>
    </row>
    <row r="439" spans="14:19" ht="14.25" customHeight="1" x14ac:dyDescent="0.35">
      <c r="N439" s="36"/>
      <c r="Q439" s="3"/>
      <c r="S439" s="3"/>
    </row>
    <row r="440" spans="14:19" ht="14.25" customHeight="1" x14ac:dyDescent="0.35">
      <c r="N440" s="36"/>
      <c r="Q440" s="3"/>
      <c r="S440" s="3"/>
    </row>
    <row r="441" spans="14:19" ht="14.25" customHeight="1" x14ac:dyDescent="0.35">
      <c r="N441" s="36"/>
      <c r="Q441" s="3"/>
      <c r="S441" s="3"/>
    </row>
    <row r="442" spans="14:19" ht="14.25" customHeight="1" x14ac:dyDescent="0.35">
      <c r="N442" s="36"/>
      <c r="Q442" s="3"/>
      <c r="S442" s="3"/>
    </row>
    <row r="443" spans="14:19" ht="14.25" customHeight="1" x14ac:dyDescent="0.35">
      <c r="N443" s="36"/>
      <c r="Q443" s="3"/>
      <c r="S443" s="3"/>
    </row>
    <row r="444" spans="14:19" ht="14.25" customHeight="1" x14ac:dyDescent="0.35">
      <c r="N444" s="36"/>
      <c r="Q444" s="3"/>
      <c r="S444" s="3"/>
    </row>
    <row r="445" spans="14:19" ht="14.25" customHeight="1" x14ac:dyDescent="0.35">
      <c r="N445" s="36"/>
      <c r="Q445" s="3"/>
      <c r="S445" s="3"/>
    </row>
    <row r="446" spans="14:19" ht="14.25" customHeight="1" x14ac:dyDescent="0.35">
      <c r="N446" s="36"/>
      <c r="Q446" s="3"/>
      <c r="S446" s="3"/>
    </row>
    <row r="447" spans="14:19" ht="14.25" customHeight="1" x14ac:dyDescent="0.35">
      <c r="N447" s="36"/>
      <c r="Q447" s="3"/>
      <c r="S447" s="3"/>
    </row>
    <row r="448" spans="14:19" ht="14.25" customHeight="1" x14ac:dyDescent="0.35">
      <c r="N448" s="36"/>
      <c r="Q448" s="3"/>
      <c r="S448" s="3"/>
    </row>
    <row r="449" spans="14:19" ht="14.25" customHeight="1" x14ac:dyDescent="0.35">
      <c r="N449" s="36"/>
      <c r="Q449" s="3"/>
      <c r="S449" s="3"/>
    </row>
    <row r="450" spans="14:19" ht="14.25" customHeight="1" x14ac:dyDescent="0.35">
      <c r="N450" s="36"/>
      <c r="Q450" s="3"/>
      <c r="S450" s="3"/>
    </row>
    <row r="451" spans="14:19" ht="14.25" customHeight="1" x14ac:dyDescent="0.35">
      <c r="N451" s="36"/>
      <c r="Q451" s="3"/>
      <c r="S451" s="3"/>
    </row>
    <row r="452" spans="14:19" ht="14.25" customHeight="1" x14ac:dyDescent="0.35">
      <c r="N452" s="36"/>
      <c r="Q452" s="3"/>
      <c r="S452" s="3"/>
    </row>
    <row r="453" spans="14:19" ht="14.25" customHeight="1" x14ac:dyDescent="0.35">
      <c r="N453" s="36"/>
      <c r="Q453" s="3"/>
      <c r="S453" s="3"/>
    </row>
    <row r="454" spans="14:19" ht="14.25" customHeight="1" x14ac:dyDescent="0.35">
      <c r="N454" s="36"/>
      <c r="Q454" s="3"/>
      <c r="S454" s="3"/>
    </row>
    <row r="455" spans="14:19" ht="14.25" customHeight="1" x14ac:dyDescent="0.35">
      <c r="N455" s="36"/>
      <c r="Q455" s="3"/>
      <c r="S455" s="3"/>
    </row>
    <row r="456" spans="14:19" ht="14.25" customHeight="1" x14ac:dyDescent="0.35">
      <c r="N456" s="36"/>
      <c r="Q456" s="3"/>
      <c r="S456" s="3"/>
    </row>
    <row r="457" spans="14:19" ht="14.25" customHeight="1" x14ac:dyDescent="0.35">
      <c r="N457" s="36"/>
      <c r="Q457" s="3"/>
      <c r="S457" s="3"/>
    </row>
    <row r="458" spans="14:19" ht="14.25" customHeight="1" x14ac:dyDescent="0.35">
      <c r="N458" s="36"/>
      <c r="Q458" s="3"/>
      <c r="S458" s="3"/>
    </row>
    <row r="459" spans="14:19" ht="14.25" customHeight="1" x14ac:dyDescent="0.35">
      <c r="N459" s="36"/>
      <c r="Q459" s="3"/>
      <c r="S459" s="3"/>
    </row>
    <row r="460" spans="14:19" ht="14.25" customHeight="1" x14ac:dyDescent="0.35">
      <c r="N460" s="36"/>
      <c r="Q460" s="3"/>
      <c r="S460" s="3"/>
    </row>
    <row r="461" spans="14:19" ht="14.25" customHeight="1" x14ac:dyDescent="0.35">
      <c r="N461" s="36"/>
      <c r="Q461" s="3"/>
      <c r="S461" s="3"/>
    </row>
    <row r="462" spans="14:19" ht="14.25" customHeight="1" x14ac:dyDescent="0.35">
      <c r="N462" s="36"/>
      <c r="Q462" s="3"/>
      <c r="S462" s="3"/>
    </row>
    <row r="463" spans="14:19" ht="14.25" customHeight="1" x14ac:dyDescent="0.35">
      <c r="N463" s="36"/>
      <c r="Q463" s="3"/>
      <c r="S463" s="3"/>
    </row>
    <row r="464" spans="14:19" ht="14.25" customHeight="1" x14ac:dyDescent="0.35">
      <c r="N464" s="36"/>
      <c r="Q464" s="3"/>
      <c r="S464" s="3"/>
    </row>
    <row r="465" spans="14:19" ht="14.25" customHeight="1" x14ac:dyDescent="0.35">
      <c r="N465" s="36"/>
      <c r="Q465" s="3"/>
      <c r="S465" s="3"/>
    </row>
    <row r="466" spans="14:19" ht="14.25" customHeight="1" x14ac:dyDescent="0.35">
      <c r="N466" s="36"/>
      <c r="Q466" s="3"/>
      <c r="S466" s="3"/>
    </row>
    <row r="467" spans="14:19" ht="14.25" customHeight="1" x14ac:dyDescent="0.35">
      <c r="N467" s="36"/>
      <c r="Q467" s="3"/>
      <c r="S467" s="3"/>
    </row>
    <row r="468" spans="14:19" ht="14.25" customHeight="1" x14ac:dyDescent="0.35">
      <c r="N468" s="36"/>
      <c r="Q468" s="3"/>
      <c r="S468" s="3"/>
    </row>
    <row r="469" spans="14:19" ht="14.25" customHeight="1" x14ac:dyDescent="0.35">
      <c r="N469" s="36"/>
      <c r="Q469" s="3"/>
      <c r="S469" s="3"/>
    </row>
    <row r="470" spans="14:19" ht="14.25" customHeight="1" x14ac:dyDescent="0.35">
      <c r="N470" s="36"/>
      <c r="Q470" s="3"/>
      <c r="S470" s="3"/>
    </row>
    <row r="471" spans="14:19" ht="14.25" customHeight="1" x14ac:dyDescent="0.35">
      <c r="N471" s="36"/>
      <c r="Q471" s="3"/>
      <c r="S471" s="3"/>
    </row>
    <row r="472" spans="14:19" ht="14.25" customHeight="1" x14ac:dyDescent="0.35">
      <c r="N472" s="36"/>
      <c r="Q472" s="3"/>
      <c r="S472" s="3"/>
    </row>
    <row r="473" spans="14:19" ht="14.25" customHeight="1" x14ac:dyDescent="0.35">
      <c r="N473" s="36"/>
      <c r="Q473" s="3"/>
      <c r="S473" s="3"/>
    </row>
    <row r="474" spans="14:19" ht="14.25" customHeight="1" x14ac:dyDescent="0.35">
      <c r="N474" s="36"/>
      <c r="Q474" s="3"/>
      <c r="S474" s="3"/>
    </row>
    <row r="475" spans="14:19" ht="14.25" customHeight="1" x14ac:dyDescent="0.35">
      <c r="N475" s="36"/>
      <c r="Q475" s="3"/>
      <c r="S475" s="3"/>
    </row>
    <row r="476" spans="14:19" ht="14.25" customHeight="1" x14ac:dyDescent="0.35">
      <c r="N476" s="36"/>
      <c r="Q476" s="3"/>
      <c r="S476" s="3"/>
    </row>
    <row r="477" spans="14:19" ht="14.25" customHeight="1" x14ac:dyDescent="0.35">
      <c r="N477" s="36"/>
      <c r="Q477" s="3"/>
      <c r="S477" s="3"/>
    </row>
    <row r="478" spans="14:19" ht="14.25" customHeight="1" x14ac:dyDescent="0.35">
      <c r="N478" s="36"/>
      <c r="Q478" s="3"/>
      <c r="S478" s="3"/>
    </row>
    <row r="479" spans="14:19" ht="14.25" customHeight="1" x14ac:dyDescent="0.35">
      <c r="N479" s="36"/>
      <c r="Q479" s="3"/>
      <c r="S479" s="3"/>
    </row>
    <row r="480" spans="14:19" ht="14.25" customHeight="1" x14ac:dyDescent="0.35">
      <c r="N480" s="36"/>
      <c r="Q480" s="3"/>
      <c r="S480" s="3"/>
    </row>
    <row r="481" spans="14:19" ht="14.25" customHeight="1" x14ac:dyDescent="0.35">
      <c r="N481" s="36"/>
      <c r="Q481" s="3"/>
      <c r="S481" s="3"/>
    </row>
    <row r="482" spans="14:19" ht="14.25" customHeight="1" x14ac:dyDescent="0.35">
      <c r="N482" s="36"/>
      <c r="Q482" s="3"/>
      <c r="S482" s="3"/>
    </row>
    <row r="483" spans="14:19" ht="14.25" customHeight="1" x14ac:dyDescent="0.35">
      <c r="N483" s="36"/>
      <c r="Q483" s="3"/>
      <c r="S483" s="3"/>
    </row>
    <row r="484" spans="14:19" ht="14.25" customHeight="1" x14ac:dyDescent="0.35">
      <c r="N484" s="36"/>
      <c r="Q484" s="3"/>
      <c r="S484" s="3"/>
    </row>
    <row r="485" spans="14:19" ht="14.25" customHeight="1" x14ac:dyDescent="0.35">
      <c r="N485" s="36"/>
      <c r="Q485" s="3"/>
      <c r="S485" s="3"/>
    </row>
    <row r="486" spans="14:19" ht="14.25" customHeight="1" x14ac:dyDescent="0.35">
      <c r="N486" s="36"/>
      <c r="Q486" s="3"/>
      <c r="S486" s="3"/>
    </row>
    <row r="487" spans="14:19" ht="14.25" customHeight="1" x14ac:dyDescent="0.35">
      <c r="N487" s="36"/>
      <c r="Q487" s="3"/>
      <c r="S487" s="3"/>
    </row>
    <row r="488" spans="14:19" ht="14.25" customHeight="1" x14ac:dyDescent="0.35">
      <c r="N488" s="36"/>
      <c r="Q488" s="3"/>
      <c r="S488" s="3"/>
    </row>
    <row r="489" spans="14:19" ht="14.25" customHeight="1" x14ac:dyDescent="0.35">
      <c r="N489" s="36"/>
      <c r="Q489" s="3"/>
      <c r="S489" s="3"/>
    </row>
    <row r="490" spans="14:19" ht="14.25" customHeight="1" x14ac:dyDescent="0.35">
      <c r="N490" s="36"/>
      <c r="Q490" s="3"/>
      <c r="S490" s="3"/>
    </row>
    <row r="491" spans="14:19" ht="14.25" customHeight="1" x14ac:dyDescent="0.35">
      <c r="N491" s="36"/>
      <c r="Q491" s="3"/>
      <c r="S491" s="3"/>
    </row>
    <row r="492" spans="14:19" ht="14.25" customHeight="1" x14ac:dyDescent="0.35">
      <c r="N492" s="36"/>
      <c r="Q492" s="3"/>
      <c r="S492" s="3"/>
    </row>
    <row r="493" spans="14:19" ht="14.25" customHeight="1" x14ac:dyDescent="0.35">
      <c r="N493" s="36"/>
      <c r="Q493" s="3"/>
      <c r="S493" s="3"/>
    </row>
    <row r="494" spans="14:19" ht="14.25" customHeight="1" x14ac:dyDescent="0.35">
      <c r="N494" s="36"/>
      <c r="Q494" s="3"/>
      <c r="S494" s="3"/>
    </row>
    <row r="495" spans="14:19" ht="14.25" customHeight="1" x14ac:dyDescent="0.35">
      <c r="N495" s="36"/>
      <c r="Q495" s="3"/>
      <c r="S495" s="3"/>
    </row>
    <row r="496" spans="14:19" ht="14.25" customHeight="1" x14ac:dyDescent="0.35">
      <c r="N496" s="36"/>
      <c r="Q496" s="3"/>
      <c r="S496" s="3"/>
    </row>
    <row r="497" spans="14:19" ht="14.25" customHeight="1" x14ac:dyDescent="0.35">
      <c r="N497" s="36"/>
      <c r="Q497" s="3"/>
      <c r="S497" s="3"/>
    </row>
    <row r="498" spans="14:19" ht="14.25" customHeight="1" x14ac:dyDescent="0.35">
      <c r="N498" s="36"/>
      <c r="Q498" s="3"/>
      <c r="S498" s="3"/>
    </row>
    <row r="499" spans="14:19" ht="14.25" customHeight="1" x14ac:dyDescent="0.35">
      <c r="N499" s="36"/>
      <c r="Q499" s="3"/>
      <c r="S499" s="3"/>
    </row>
    <row r="500" spans="14:19" ht="14.25" customHeight="1" x14ac:dyDescent="0.35">
      <c r="N500" s="36"/>
      <c r="Q500" s="3"/>
      <c r="S500" s="3"/>
    </row>
    <row r="501" spans="14:19" ht="14.25" customHeight="1" x14ac:dyDescent="0.35">
      <c r="N501" s="36"/>
      <c r="Q501" s="3"/>
      <c r="S501" s="3"/>
    </row>
    <row r="502" spans="14:19" ht="14.25" customHeight="1" x14ac:dyDescent="0.35">
      <c r="N502" s="36"/>
      <c r="Q502" s="3"/>
      <c r="S502" s="3"/>
    </row>
    <row r="503" spans="14:19" ht="14.25" customHeight="1" x14ac:dyDescent="0.35">
      <c r="N503" s="36"/>
      <c r="Q503" s="3"/>
      <c r="S503" s="3"/>
    </row>
    <row r="504" spans="14:19" ht="14.25" customHeight="1" x14ac:dyDescent="0.35">
      <c r="N504" s="36"/>
      <c r="Q504" s="3"/>
      <c r="S504" s="3"/>
    </row>
    <row r="505" spans="14:19" ht="14.25" customHeight="1" x14ac:dyDescent="0.35">
      <c r="N505" s="36"/>
      <c r="Q505" s="3"/>
      <c r="S505" s="3"/>
    </row>
    <row r="506" spans="14:19" ht="14.25" customHeight="1" x14ac:dyDescent="0.35">
      <c r="N506" s="36"/>
      <c r="Q506" s="3"/>
      <c r="S506" s="3"/>
    </row>
    <row r="507" spans="14:19" ht="14.25" customHeight="1" x14ac:dyDescent="0.35">
      <c r="N507" s="36"/>
      <c r="Q507" s="3"/>
      <c r="S507" s="3"/>
    </row>
    <row r="508" spans="14:19" ht="14.25" customHeight="1" x14ac:dyDescent="0.35">
      <c r="N508" s="36"/>
      <c r="Q508" s="3"/>
      <c r="S508" s="3"/>
    </row>
    <row r="509" spans="14:19" ht="14.25" customHeight="1" x14ac:dyDescent="0.35">
      <c r="N509" s="36"/>
      <c r="Q509" s="3"/>
      <c r="S509" s="3"/>
    </row>
    <row r="510" spans="14:19" ht="14.25" customHeight="1" x14ac:dyDescent="0.35">
      <c r="N510" s="36"/>
      <c r="Q510" s="3"/>
      <c r="S510" s="3"/>
    </row>
    <row r="511" spans="14:19" ht="14.25" customHeight="1" x14ac:dyDescent="0.35">
      <c r="N511" s="36"/>
      <c r="Q511" s="3"/>
      <c r="S511" s="3"/>
    </row>
    <row r="512" spans="14:19" ht="14.25" customHeight="1" x14ac:dyDescent="0.35">
      <c r="N512" s="36"/>
      <c r="Q512" s="3"/>
      <c r="S512" s="3"/>
    </row>
    <row r="513" spans="14:19" ht="14.25" customHeight="1" x14ac:dyDescent="0.35">
      <c r="N513" s="36"/>
      <c r="Q513" s="3"/>
      <c r="S513" s="3"/>
    </row>
    <row r="514" spans="14:19" ht="14.25" customHeight="1" x14ac:dyDescent="0.35">
      <c r="N514" s="36"/>
      <c r="Q514" s="3"/>
      <c r="S514" s="3"/>
    </row>
    <row r="515" spans="14:19" ht="14.25" customHeight="1" x14ac:dyDescent="0.35">
      <c r="N515" s="36"/>
      <c r="Q515" s="3"/>
      <c r="S515" s="3"/>
    </row>
    <row r="516" spans="14:19" ht="14.25" customHeight="1" x14ac:dyDescent="0.35">
      <c r="N516" s="36"/>
      <c r="Q516" s="3"/>
      <c r="S516" s="3"/>
    </row>
    <row r="517" spans="14:19" ht="14.25" customHeight="1" x14ac:dyDescent="0.35">
      <c r="N517" s="36"/>
      <c r="Q517" s="3"/>
      <c r="S517" s="3"/>
    </row>
    <row r="518" spans="14:19" ht="14.25" customHeight="1" x14ac:dyDescent="0.35">
      <c r="N518" s="36"/>
      <c r="Q518" s="3"/>
      <c r="S518" s="3"/>
    </row>
    <row r="519" spans="14:19" ht="14.25" customHeight="1" x14ac:dyDescent="0.35">
      <c r="N519" s="36"/>
      <c r="Q519" s="3"/>
      <c r="S519" s="3"/>
    </row>
    <row r="520" spans="14:19" ht="14.25" customHeight="1" x14ac:dyDescent="0.35">
      <c r="N520" s="36"/>
      <c r="Q520" s="3"/>
      <c r="S520" s="3"/>
    </row>
    <row r="521" spans="14:19" ht="14.25" customHeight="1" x14ac:dyDescent="0.35">
      <c r="N521" s="36"/>
      <c r="Q521" s="3"/>
      <c r="S521" s="3"/>
    </row>
    <row r="522" spans="14:19" ht="14.25" customHeight="1" x14ac:dyDescent="0.35">
      <c r="N522" s="36"/>
      <c r="Q522" s="3"/>
      <c r="S522" s="3"/>
    </row>
    <row r="523" spans="14:19" ht="14.25" customHeight="1" x14ac:dyDescent="0.35">
      <c r="N523" s="36"/>
      <c r="Q523" s="3"/>
      <c r="S523" s="3"/>
    </row>
    <row r="524" spans="14:19" ht="14.25" customHeight="1" x14ac:dyDescent="0.35">
      <c r="N524" s="36"/>
      <c r="Q524" s="3"/>
      <c r="S524" s="3"/>
    </row>
    <row r="525" spans="14:19" ht="14.25" customHeight="1" x14ac:dyDescent="0.35">
      <c r="N525" s="36"/>
      <c r="Q525" s="3"/>
      <c r="S525" s="3"/>
    </row>
    <row r="526" spans="14:19" ht="14.25" customHeight="1" x14ac:dyDescent="0.35">
      <c r="N526" s="36"/>
      <c r="Q526" s="3"/>
      <c r="S526" s="3"/>
    </row>
    <row r="527" spans="14:19" ht="14.25" customHeight="1" x14ac:dyDescent="0.35">
      <c r="N527" s="36"/>
      <c r="Q527" s="3"/>
      <c r="S527" s="3"/>
    </row>
    <row r="528" spans="14:19" ht="14.25" customHeight="1" x14ac:dyDescent="0.35">
      <c r="N528" s="36"/>
      <c r="Q528" s="3"/>
      <c r="S528" s="3"/>
    </row>
    <row r="529" spans="14:19" ht="14.25" customHeight="1" x14ac:dyDescent="0.35">
      <c r="N529" s="36"/>
      <c r="Q529" s="3"/>
      <c r="S529" s="3"/>
    </row>
    <row r="530" spans="14:19" ht="14.25" customHeight="1" x14ac:dyDescent="0.35">
      <c r="N530" s="36"/>
      <c r="Q530" s="3"/>
      <c r="S530" s="3"/>
    </row>
    <row r="531" spans="14:19" ht="14.25" customHeight="1" x14ac:dyDescent="0.35">
      <c r="N531" s="36"/>
      <c r="Q531" s="3"/>
      <c r="S531" s="3"/>
    </row>
    <row r="532" spans="14:19" ht="14.25" customHeight="1" x14ac:dyDescent="0.35">
      <c r="N532" s="36"/>
      <c r="Q532" s="3"/>
      <c r="S532" s="3"/>
    </row>
    <row r="533" spans="14:19" ht="14.25" customHeight="1" x14ac:dyDescent="0.35">
      <c r="N533" s="36"/>
      <c r="Q533" s="3"/>
      <c r="S533" s="3"/>
    </row>
    <row r="534" spans="14:19" ht="14.25" customHeight="1" x14ac:dyDescent="0.35">
      <c r="N534" s="36"/>
      <c r="Q534" s="3"/>
      <c r="S534" s="3"/>
    </row>
    <row r="535" spans="14:19" ht="14.25" customHeight="1" x14ac:dyDescent="0.35">
      <c r="N535" s="36"/>
      <c r="Q535" s="3"/>
      <c r="S535" s="3"/>
    </row>
    <row r="536" spans="14:19" ht="14.25" customHeight="1" x14ac:dyDescent="0.35">
      <c r="N536" s="36"/>
      <c r="Q536" s="3"/>
      <c r="S536" s="3"/>
    </row>
    <row r="537" spans="14:19" ht="14.25" customHeight="1" x14ac:dyDescent="0.35">
      <c r="N537" s="36"/>
      <c r="Q537" s="3"/>
      <c r="S537" s="3"/>
    </row>
    <row r="538" spans="14:19" ht="14.25" customHeight="1" x14ac:dyDescent="0.35">
      <c r="N538" s="36"/>
      <c r="Q538" s="3"/>
      <c r="S538" s="3"/>
    </row>
    <row r="539" spans="14:19" ht="14.25" customHeight="1" x14ac:dyDescent="0.35">
      <c r="N539" s="36"/>
      <c r="Q539" s="3"/>
      <c r="S539" s="3"/>
    </row>
    <row r="540" spans="14:19" ht="14.25" customHeight="1" x14ac:dyDescent="0.35">
      <c r="N540" s="36"/>
      <c r="Q540" s="3"/>
      <c r="S540" s="3"/>
    </row>
    <row r="541" spans="14:19" ht="14.25" customHeight="1" x14ac:dyDescent="0.35">
      <c r="N541" s="36"/>
      <c r="Q541" s="3"/>
      <c r="S541" s="3"/>
    </row>
    <row r="542" spans="14:19" ht="14.25" customHeight="1" x14ac:dyDescent="0.35">
      <c r="N542" s="36"/>
      <c r="Q542" s="3"/>
      <c r="S542" s="3"/>
    </row>
    <row r="543" spans="14:19" ht="14.25" customHeight="1" x14ac:dyDescent="0.35">
      <c r="N543" s="36"/>
      <c r="Q543" s="3"/>
      <c r="S543" s="3"/>
    </row>
    <row r="544" spans="14:19" ht="14.25" customHeight="1" x14ac:dyDescent="0.35">
      <c r="N544" s="36"/>
      <c r="Q544" s="3"/>
      <c r="S544" s="3"/>
    </row>
    <row r="545" spans="14:19" ht="14.25" customHeight="1" x14ac:dyDescent="0.35">
      <c r="N545" s="36"/>
      <c r="Q545" s="3"/>
      <c r="S545" s="3"/>
    </row>
    <row r="546" spans="14:19" ht="14.25" customHeight="1" x14ac:dyDescent="0.35">
      <c r="N546" s="36"/>
      <c r="Q546" s="3"/>
      <c r="S546" s="3"/>
    </row>
    <row r="547" spans="14:19" ht="14.25" customHeight="1" x14ac:dyDescent="0.35">
      <c r="N547" s="36"/>
      <c r="Q547" s="3"/>
      <c r="S547" s="3"/>
    </row>
    <row r="548" spans="14:19" ht="14.25" customHeight="1" x14ac:dyDescent="0.35">
      <c r="N548" s="36"/>
      <c r="Q548" s="3"/>
      <c r="S548" s="3"/>
    </row>
    <row r="549" spans="14:19" ht="14.25" customHeight="1" x14ac:dyDescent="0.35">
      <c r="N549" s="36"/>
      <c r="Q549" s="3"/>
      <c r="S549" s="3"/>
    </row>
    <row r="550" spans="14:19" ht="14.25" customHeight="1" x14ac:dyDescent="0.35">
      <c r="N550" s="36"/>
      <c r="Q550" s="3"/>
      <c r="S550" s="3"/>
    </row>
    <row r="551" spans="14:19" ht="14.25" customHeight="1" x14ac:dyDescent="0.35">
      <c r="N551" s="36"/>
      <c r="Q551" s="3"/>
      <c r="S551" s="3"/>
    </row>
    <row r="552" spans="14:19" ht="14.25" customHeight="1" x14ac:dyDescent="0.35">
      <c r="N552" s="36"/>
      <c r="Q552" s="3"/>
      <c r="S552" s="3"/>
    </row>
    <row r="553" spans="14:19" ht="14.25" customHeight="1" x14ac:dyDescent="0.35">
      <c r="N553" s="36"/>
      <c r="Q553" s="3"/>
      <c r="S553" s="3"/>
    </row>
    <row r="554" spans="14:19" ht="14.25" customHeight="1" x14ac:dyDescent="0.35">
      <c r="N554" s="36"/>
      <c r="Q554" s="3"/>
      <c r="S554" s="3"/>
    </row>
    <row r="555" spans="14:19" ht="14.25" customHeight="1" x14ac:dyDescent="0.35">
      <c r="N555" s="36"/>
      <c r="Q555" s="3"/>
      <c r="S555" s="3"/>
    </row>
    <row r="556" spans="14:19" ht="14.25" customHeight="1" x14ac:dyDescent="0.35">
      <c r="N556" s="36"/>
      <c r="Q556" s="3"/>
      <c r="S556" s="3"/>
    </row>
    <row r="557" spans="14:19" ht="14.25" customHeight="1" x14ac:dyDescent="0.35">
      <c r="N557" s="36"/>
      <c r="Q557" s="3"/>
      <c r="S557" s="3"/>
    </row>
    <row r="558" spans="14:19" ht="14.25" customHeight="1" x14ac:dyDescent="0.35">
      <c r="N558" s="36"/>
      <c r="Q558" s="3"/>
      <c r="S558" s="3"/>
    </row>
    <row r="559" spans="14:19" ht="14.25" customHeight="1" x14ac:dyDescent="0.35">
      <c r="N559" s="36"/>
      <c r="Q559" s="3"/>
      <c r="S559" s="3"/>
    </row>
    <row r="560" spans="14:19" ht="14.25" customHeight="1" x14ac:dyDescent="0.35">
      <c r="N560" s="36"/>
      <c r="Q560" s="3"/>
      <c r="S560" s="3"/>
    </row>
    <row r="561" spans="14:19" ht="14.25" customHeight="1" x14ac:dyDescent="0.35">
      <c r="N561" s="36"/>
      <c r="Q561" s="3"/>
      <c r="S561" s="3"/>
    </row>
    <row r="562" spans="14:19" ht="14.25" customHeight="1" x14ac:dyDescent="0.35">
      <c r="N562" s="36"/>
      <c r="Q562" s="3"/>
      <c r="S562" s="3"/>
    </row>
    <row r="563" spans="14:19" ht="14.25" customHeight="1" x14ac:dyDescent="0.35">
      <c r="N563" s="36"/>
      <c r="Q563" s="3"/>
      <c r="S563" s="3"/>
    </row>
    <row r="564" spans="14:19" ht="14.25" customHeight="1" x14ac:dyDescent="0.35">
      <c r="N564" s="36"/>
      <c r="Q564" s="3"/>
      <c r="S564" s="3"/>
    </row>
    <row r="565" spans="14:19" ht="14.25" customHeight="1" x14ac:dyDescent="0.35">
      <c r="N565" s="36"/>
      <c r="Q565" s="3"/>
      <c r="S565" s="3"/>
    </row>
    <row r="566" spans="14:19" ht="14.25" customHeight="1" x14ac:dyDescent="0.35">
      <c r="N566" s="36"/>
      <c r="Q566" s="3"/>
      <c r="S566" s="3"/>
    </row>
    <row r="567" spans="14:19" ht="14.25" customHeight="1" x14ac:dyDescent="0.35">
      <c r="N567" s="36"/>
      <c r="Q567" s="3"/>
      <c r="S567" s="3"/>
    </row>
    <row r="568" spans="14:19" ht="14.25" customHeight="1" x14ac:dyDescent="0.35">
      <c r="N568" s="36"/>
      <c r="Q568" s="3"/>
      <c r="S568" s="3"/>
    </row>
    <row r="569" spans="14:19" ht="14.25" customHeight="1" x14ac:dyDescent="0.35">
      <c r="N569" s="36"/>
      <c r="Q569" s="3"/>
      <c r="S569" s="3"/>
    </row>
    <row r="570" spans="14:19" ht="14.25" customHeight="1" x14ac:dyDescent="0.35">
      <c r="N570" s="36"/>
      <c r="Q570" s="3"/>
      <c r="S570" s="3"/>
    </row>
    <row r="571" spans="14:19" ht="14.25" customHeight="1" x14ac:dyDescent="0.35">
      <c r="N571" s="36"/>
      <c r="Q571" s="3"/>
      <c r="S571" s="3"/>
    </row>
    <row r="572" spans="14:19" ht="14.25" customHeight="1" x14ac:dyDescent="0.35">
      <c r="N572" s="36"/>
      <c r="Q572" s="3"/>
      <c r="S572" s="3"/>
    </row>
    <row r="573" spans="14:19" ht="14.25" customHeight="1" x14ac:dyDescent="0.35">
      <c r="N573" s="36"/>
      <c r="Q573" s="3"/>
      <c r="S573" s="3"/>
    </row>
    <row r="574" spans="14:19" ht="14.25" customHeight="1" x14ac:dyDescent="0.35">
      <c r="N574" s="36"/>
      <c r="Q574" s="3"/>
      <c r="S574" s="3"/>
    </row>
    <row r="575" spans="14:19" ht="14.25" customHeight="1" x14ac:dyDescent="0.35">
      <c r="N575" s="36"/>
      <c r="Q575" s="3"/>
      <c r="S575" s="3"/>
    </row>
    <row r="576" spans="14:19" ht="14.25" customHeight="1" x14ac:dyDescent="0.35">
      <c r="N576" s="36"/>
      <c r="Q576" s="3"/>
      <c r="S576" s="3"/>
    </row>
    <row r="577" spans="14:19" ht="14.25" customHeight="1" x14ac:dyDescent="0.35">
      <c r="N577" s="36"/>
      <c r="Q577" s="3"/>
      <c r="S577" s="3"/>
    </row>
    <row r="578" spans="14:19" ht="14.25" customHeight="1" x14ac:dyDescent="0.35">
      <c r="N578" s="36"/>
      <c r="Q578" s="3"/>
      <c r="S578" s="3"/>
    </row>
    <row r="579" spans="14:19" ht="14.25" customHeight="1" x14ac:dyDescent="0.35">
      <c r="N579" s="36"/>
      <c r="Q579" s="3"/>
      <c r="S579" s="3"/>
    </row>
    <row r="580" spans="14:19" ht="14.25" customHeight="1" x14ac:dyDescent="0.35">
      <c r="N580" s="36"/>
      <c r="Q580" s="3"/>
      <c r="S580" s="3"/>
    </row>
    <row r="581" spans="14:19" ht="14.25" customHeight="1" x14ac:dyDescent="0.35">
      <c r="N581" s="36"/>
      <c r="Q581" s="3"/>
      <c r="S581" s="3"/>
    </row>
    <row r="582" spans="14:19" ht="14.25" customHeight="1" x14ac:dyDescent="0.35">
      <c r="N582" s="36"/>
      <c r="Q582" s="3"/>
      <c r="S582" s="3"/>
    </row>
    <row r="583" spans="14:19" ht="14.25" customHeight="1" x14ac:dyDescent="0.35">
      <c r="N583" s="36"/>
      <c r="Q583" s="3"/>
      <c r="S583" s="3"/>
    </row>
    <row r="584" spans="14:19" ht="14.25" customHeight="1" x14ac:dyDescent="0.35">
      <c r="N584" s="36"/>
      <c r="Q584" s="3"/>
      <c r="S584" s="3"/>
    </row>
    <row r="585" spans="14:19" ht="14.25" customHeight="1" x14ac:dyDescent="0.35">
      <c r="N585" s="36"/>
      <c r="Q585" s="3"/>
      <c r="S585" s="3"/>
    </row>
    <row r="586" spans="14:19" ht="14.25" customHeight="1" x14ac:dyDescent="0.35">
      <c r="N586" s="36"/>
      <c r="Q586" s="3"/>
      <c r="S586" s="3"/>
    </row>
    <row r="587" spans="14:19" ht="14.25" customHeight="1" x14ac:dyDescent="0.35">
      <c r="N587" s="36"/>
      <c r="Q587" s="3"/>
      <c r="S587" s="3"/>
    </row>
    <row r="588" spans="14:19" ht="14.25" customHeight="1" x14ac:dyDescent="0.35">
      <c r="N588" s="36"/>
      <c r="Q588" s="3"/>
      <c r="S588" s="3"/>
    </row>
    <row r="589" spans="14:19" ht="14.25" customHeight="1" x14ac:dyDescent="0.35">
      <c r="N589" s="36"/>
      <c r="Q589" s="3"/>
      <c r="S589" s="3"/>
    </row>
    <row r="590" spans="14:19" ht="14.25" customHeight="1" x14ac:dyDescent="0.35">
      <c r="N590" s="36"/>
      <c r="Q590" s="3"/>
      <c r="S590" s="3"/>
    </row>
    <row r="591" spans="14:19" ht="14.25" customHeight="1" x14ac:dyDescent="0.35">
      <c r="N591" s="36"/>
      <c r="Q591" s="3"/>
      <c r="S591" s="3"/>
    </row>
    <row r="592" spans="14:19" ht="14.25" customHeight="1" x14ac:dyDescent="0.35">
      <c r="N592" s="36"/>
      <c r="Q592" s="3"/>
      <c r="S592" s="3"/>
    </row>
    <row r="593" spans="14:19" ht="14.25" customHeight="1" x14ac:dyDescent="0.35">
      <c r="N593" s="36"/>
      <c r="Q593" s="3"/>
      <c r="S593" s="3"/>
    </row>
    <row r="594" spans="14:19" ht="14.25" customHeight="1" x14ac:dyDescent="0.35">
      <c r="N594" s="36"/>
      <c r="Q594" s="3"/>
      <c r="S594" s="3"/>
    </row>
    <row r="595" spans="14:19" ht="14.25" customHeight="1" x14ac:dyDescent="0.35">
      <c r="N595" s="36"/>
      <c r="Q595" s="3"/>
      <c r="S595" s="3"/>
    </row>
    <row r="596" spans="14:19" ht="14.25" customHeight="1" x14ac:dyDescent="0.35">
      <c r="N596" s="36"/>
      <c r="Q596" s="3"/>
      <c r="S596" s="3"/>
    </row>
    <row r="597" spans="14:19" ht="14.25" customHeight="1" x14ac:dyDescent="0.35">
      <c r="N597" s="36"/>
      <c r="Q597" s="3"/>
      <c r="S597" s="3"/>
    </row>
    <row r="598" spans="14:19" ht="14.25" customHeight="1" x14ac:dyDescent="0.35">
      <c r="N598" s="36"/>
      <c r="Q598" s="3"/>
      <c r="S598" s="3"/>
    </row>
    <row r="599" spans="14:19" ht="14.25" customHeight="1" x14ac:dyDescent="0.35">
      <c r="N599" s="36"/>
      <c r="Q599" s="3"/>
      <c r="S599" s="3"/>
    </row>
    <row r="600" spans="14:19" ht="14.25" customHeight="1" x14ac:dyDescent="0.35">
      <c r="N600" s="36"/>
      <c r="Q600" s="3"/>
      <c r="S600" s="3"/>
    </row>
    <row r="601" spans="14:19" ht="14.25" customHeight="1" x14ac:dyDescent="0.35">
      <c r="N601" s="36"/>
      <c r="Q601" s="3"/>
      <c r="S601" s="3"/>
    </row>
    <row r="602" spans="14:19" ht="14.25" customHeight="1" x14ac:dyDescent="0.35">
      <c r="N602" s="36"/>
      <c r="Q602" s="3"/>
      <c r="S602" s="3"/>
    </row>
    <row r="603" spans="14:19" ht="14.25" customHeight="1" x14ac:dyDescent="0.35">
      <c r="N603" s="36"/>
      <c r="Q603" s="3"/>
      <c r="S603" s="3"/>
    </row>
    <row r="604" spans="14:19" ht="14.25" customHeight="1" x14ac:dyDescent="0.35">
      <c r="N604" s="36"/>
      <c r="Q604" s="3"/>
      <c r="S604" s="3"/>
    </row>
    <row r="605" spans="14:19" ht="14.25" customHeight="1" x14ac:dyDescent="0.35">
      <c r="N605" s="36"/>
      <c r="Q605" s="3"/>
      <c r="S605" s="3"/>
    </row>
    <row r="606" spans="14:19" ht="14.25" customHeight="1" x14ac:dyDescent="0.35">
      <c r="N606" s="36"/>
      <c r="Q606" s="3"/>
      <c r="S606" s="3"/>
    </row>
    <row r="607" spans="14:19" ht="14.25" customHeight="1" x14ac:dyDescent="0.35">
      <c r="N607" s="36"/>
      <c r="Q607" s="3"/>
      <c r="S607" s="3"/>
    </row>
    <row r="608" spans="14:19" ht="14.25" customHeight="1" x14ac:dyDescent="0.35">
      <c r="N608" s="36"/>
      <c r="Q608" s="3"/>
      <c r="S608" s="3"/>
    </row>
    <row r="609" spans="14:19" ht="14.25" customHeight="1" x14ac:dyDescent="0.35">
      <c r="N609" s="36"/>
      <c r="Q609" s="3"/>
      <c r="S609" s="3"/>
    </row>
    <row r="610" spans="14:19" ht="14.25" customHeight="1" x14ac:dyDescent="0.35">
      <c r="N610" s="36"/>
      <c r="Q610" s="3"/>
      <c r="S610" s="3"/>
    </row>
    <row r="611" spans="14:19" ht="14.25" customHeight="1" x14ac:dyDescent="0.35">
      <c r="N611" s="36"/>
      <c r="Q611" s="3"/>
      <c r="S611" s="3"/>
    </row>
    <row r="612" spans="14:19" ht="14.25" customHeight="1" x14ac:dyDescent="0.35">
      <c r="N612" s="36"/>
      <c r="Q612" s="3"/>
      <c r="S612" s="3"/>
    </row>
    <row r="613" spans="14:19" ht="14.25" customHeight="1" x14ac:dyDescent="0.35">
      <c r="N613" s="36"/>
      <c r="Q613" s="3"/>
      <c r="S613" s="3"/>
    </row>
    <row r="614" spans="14:19" ht="14.25" customHeight="1" x14ac:dyDescent="0.35">
      <c r="N614" s="36"/>
      <c r="Q614" s="3"/>
      <c r="S614" s="3"/>
    </row>
    <row r="615" spans="14:19" ht="14.25" customHeight="1" x14ac:dyDescent="0.35">
      <c r="N615" s="36"/>
      <c r="Q615" s="3"/>
      <c r="S615" s="3"/>
    </row>
    <row r="616" spans="14:19" ht="14.25" customHeight="1" x14ac:dyDescent="0.35">
      <c r="N616" s="36"/>
      <c r="Q616" s="3"/>
      <c r="S616" s="3"/>
    </row>
    <row r="617" spans="14:19" ht="14.25" customHeight="1" x14ac:dyDescent="0.35">
      <c r="N617" s="36"/>
      <c r="Q617" s="3"/>
      <c r="S617" s="3"/>
    </row>
    <row r="618" spans="14:19" ht="14.25" customHeight="1" x14ac:dyDescent="0.35">
      <c r="N618" s="36"/>
      <c r="Q618" s="3"/>
      <c r="S618" s="3"/>
    </row>
    <row r="619" spans="14:19" ht="14.25" customHeight="1" x14ac:dyDescent="0.35">
      <c r="N619" s="36"/>
      <c r="Q619" s="3"/>
      <c r="S619" s="3"/>
    </row>
    <row r="620" spans="14:19" ht="14.25" customHeight="1" x14ac:dyDescent="0.35">
      <c r="N620" s="36"/>
      <c r="Q620" s="3"/>
      <c r="S620" s="3"/>
    </row>
    <row r="621" spans="14:19" ht="14.25" customHeight="1" x14ac:dyDescent="0.35">
      <c r="N621" s="36"/>
      <c r="Q621" s="3"/>
      <c r="S621" s="3"/>
    </row>
    <row r="622" spans="14:19" ht="14.25" customHeight="1" x14ac:dyDescent="0.35">
      <c r="N622" s="36"/>
      <c r="Q622" s="3"/>
      <c r="S622" s="3"/>
    </row>
    <row r="623" spans="14:19" ht="14.25" customHeight="1" x14ac:dyDescent="0.35">
      <c r="N623" s="36"/>
      <c r="Q623" s="3"/>
      <c r="S623" s="3"/>
    </row>
    <row r="624" spans="14:19" ht="14.25" customHeight="1" x14ac:dyDescent="0.35">
      <c r="N624" s="36"/>
      <c r="Q624" s="3"/>
      <c r="S624" s="3"/>
    </row>
    <row r="625" spans="14:19" ht="14.25" customHeight="1" x14ac:dyDescent="0.35">
      <c r="N625" s="36"/>
      <c r="Q625" s="3"/>
      <c r="S625" s="3"/>
    </row>
    <row r="626" spans="14:19" ht="14.25" customHeight="1" x14ac:dyDescent="0.35">
      <c r="N626" s="36"/>
      <c r="Q626" s="3"/>
      <c r="S626" s="3"/>
    </row>
    <row r="627" spans="14:19" ht="14.25" customHeight="1" x14ac:dyDescent="0.35">
      <c r="N627" s="36"/>
      <c r="Q627" s="3"/>
      <c r="S627" s="3"/>
    </row>
    <row r="628" spans="14:19" ht="14.25" customHeight="1" x14ac:dyDescent="0.35">
      <c r="N628" s="36"/>
      <c r="Q628" s="3"/>
      <c r="S628" s="3"/>
    </row>
    <row r="629" spans="14:19" ht="14.25" customHeight="1" x14ac:dyDescent="0.35">
      <c r="N629" s="36"/>
      <c r="Q629" s="3"/>
      <c r="S629" s="3"/>
    </row>
    <row r="630" spans="14:19" ht="14.25" customHeight="1" x14ac:dyDescent="0.35">
      <c r="N630" s="36"/>
      <c r="Q630" s="3"/>
      <c r="S630" s="3"/>
    </row>
    <row r="631" spans="14:19" ht="14.25" customHeight="1" x14ac:dyDescent="0.35">
      <c r="N631" s="36"/>
      <c r="Q631" s="3"/>
      <c r="S631" s="3"/>
    </row>
    <row r="632" spans="14:19" ht="14.25" customHeight="1" x14ac:dyDescent="0.35">
      <c r="N632" s="36"/>
      <c r="Q632" s="3"/>
      <c r="S632" s="3"/>
    </row>
    <row r="633" spans="14:19" ht="14.25" customHeight="1" x14ac:dyDescent="0.35">
      <c r="N633" s="36"/>
      <c r="Q633" s="3"/>
      <c r="S633" s="3"/>
    </row>
    <row r="634" spans="14:19" ht="14.25" customHeight="1" x14ac:dyDescent="0.35">
      <c r="N634" s="36"/>
      <c r="Q634" s="3"/>
      <c r="S634" s="3"/>
    </row>
    <row r="635" spans="14:19" ht="14.25" customHeight="1" x14ac:dyDescent="0.35">
      <c r="N635" s="36"/>
      <c r="Q635" s="3"/>
      <c r="S635" s="3"/>
    </row>
    <row r="636" spans="14:19" ht="14.25" customHeight="1" x14ac:dyDescent="0.35">
      <c r="N636" s="36"/>
      <c r="Q636" s="3"/>
      <c r="S636" s="3"/>
    </row>
    <row r="637" spans="14:19" ht="14.25" customHeight="1" x14ac:dyDescent="0.35">
      <c r="N637" s="36"/>
      <c r="Q637" s="3"/>
      <c r="S637" s="3"/>
    </row>
    <row r="638" spans="14:19" ht="14.25" customHeight="1" x14ac:dyDescent="0.35">
      <c r="N638" s="36"/>
      <c r="Q638" s="3"/>
      <c r="S638" s="3"/>
    </row>
    <row r="639" spans="14:19" ht="14.25" customHeight="1" x14ac:dyDescent="0.35">
      <c r="N639" s="36"/>
      <c r="Q639" s="3"/>
      <c r="S639" s="3"/>
    </row>
    <row r="640" spans="14:19" ht="14.25" customHeight="1" x14ac:dyDescent="0.35">
      <c r="N640" s="36"/>
      <c r="Q640" s="3"/>
      <c r="S640" s="3"/>
    </row>
    <row r="641" spans="14:19" ht="14.25" customHeight="1" x14ac:dyDescent="0.35">
      <c r="N641" s="36"/>
      <c r="Q641" s="3"/>
      <c r="S641" s="3"/>
    </row>
    <row r="642" spans="14:19" ht="14.25" customHeight="1" x14ac:dyDescent="0.35">
      <c r="N642" s="36"/>
      <c r="Q642" s="3"/>
      <c r="S642" s="3"/>
    </row>
    <row r="643" spans="14:19" ht="14.25" customHeight="1" x14ac:dyDescent="0.35">
      <c r="N643" s="36"/>
      <c r="Q643" s="3"/>
      <c r="S643" s="3"/>
    </row>
    <row r="644" spans="14:19" ht="14.25" customHeight="1" x14ac:dyDescent="0.35">
      <c r="N644" s="36"/>
      <c r="Q644" s="3"/>
      <c r="S644" s="3"/>
    </row>
    <row r="645" spans="14:19" ht="14.25" customHeight="1" x14ac:dyDescent="0.35">
      <c r="N645" s="36"/>
      <c r="Q645" s="3"/>
      <c r="S645" s="3"/>
    </row>
    <row r="646" spans="14:19" ht="14.25" customHeight="1" x14ac:dyDescent="0.35">
      <c r="N646" s="36"/>
      <c r="Q646" s="3"/>
      <c r="S646" s="3"/>
    </row>
    <row r="647" spans="14:19" ht="14.25" customHeight="1" x14ac:dyDescent="0.35">
      <c r="N647" s="36"/>
      <c r="Q647" s="3"/>
      <c r="S647" s="3"/>
    </row>
    <row r="648" spans="14:19" ht="14.25" customHeight="1" x14ac:dyDescent="0.35">
      <c r="N648" s="36"/>
      <c r="Q648" s="3"/>
      <c r="S648" s="3"/>
    </row>
    <row r="649" spans="14:19" ht="14.25" customHeight="1" x14ac:dyDescent="0.35">
      <c r="N649" s="36"/>
      <c r="Q649" s="3"/>
      <c r="S649" s="3"/>
    </row>
    <row r="650" spans="14:19" ht="14.25" customHeight="1" x14ac:dyDescent="0.35">
      <c r="N650" s="36"/>
      <c r="Q650" s="3"/>
      <c r="S650" s="3"/>
    </row>
    <row r="651" spans="14:19" ht="14.25" customHeight="1" x14ac:dyDescent="0.35">
      <c r="N651" s="36"/>
      <c r="Q651" s="3"/>
      <c r="S651" s="3"/>
    </row>
    <row r="652" spans="14:19" ht="14.25" customHeight="1" x14ac:dyDescent="0.35">
      <c r="N652" s="36"/>
      <c r="Q652" s="3"/>
      <c r="S652" s="3"/>
    </row>
    <row r="653" spans="14:19" ht="14.25" customHeight="1" x14ac:dyDescent="0.35">
      <c r="N653" s="36"/>
      <c r="Q653" s="3"/>
      <c r="S653" s="3"/>
    </row>
    <row r="654" spans="14:19" ht="14.25" customHeight="1" x14ac:dyDescent="0.35">
      <c r="N654" s="36"/>
      <c r="Q654" s="3"/>
      <c r="S654" s="3"/>
    </row>
    <row r="655" spans="14:19" ht="14.25" customHeight="1" x14ac:dyDescent="0.35">
      <c r="N655" s="36"/>
      <c r="Q655" s="3"/>
      <c r="S655" s="3"/>
    </row>
    <row r="656" spans="14:19" ht="14.25" customHeight="1" x14ac:dyDescent="0.35">
      <c r="N656" s="36"/>
      <c r="Q656" s="3"/>
      <c r="S656" s="3"/>
    </row>
    <row r="657" spans="14:19" ht="14.25" customHeight="1" x14ac:dyDescent="0.35">
      <c r="N657" s="36"/>
      <c r="Q657" s="3"/>
      <c r="S657" s="3"/>
    </row>
    <row r="658" spans="14:19" ht="14.25" customHeight="1" x14ac:dyDescent="0.35">
      <c r="N658" s="36"/>
      <c r="Q658" s="3"/>
      <c r="S658" s="3"/>
    </row>
    <row r="659" spans="14:19" ht="14.25" customHeight="1" x14ac:dyDescent="0.35">
      <c r="N659" s="36"/>
      <c r="Q659" s="3"/>
      <c r="S659" s="3"/>
    </row>
    <row r="660" spans="14:19" ht="14.25" customHeight="1" x14ac:dyDescent="0.35">
      <c r="N660" s="36"/>
      <c r="Q660" s="3"/>
      <c r="S660" s="3"/>
    </row>
    <row r="661" spans="14:19" ht="14.25" customHeight="1" x14ac:dyDescent="0.35">
      <c r="N661" s="36"/>
      <c r="Q661" s="3"/>
      <c r="S661" s="3"/>
    </row>
    <row r="662" spans="14:19" ht="14.25" customHeight="1" x14ac:dyDescent="0.35">
      <c r="N662" s="36"/>
      <c r="Q662" s="3"/>
      <c r="S662" s="3"/>
    </row>
    <row r="663" spans="14:19" ht="14.25" customHeight="1" x14ac:dyDescent="0.35">
      <c r="N663" s="36"/>
      <c r="Q663" s="3"/>
      <c r="S663" s="3"/>
    </row>
    <row r="664" spans="14:19" ht="14.25" customHeight="1" x14ac:dyDescent="0.35">
      <c r="N664" s="36"/>
      <c r="Q664" s="3"/>
      <c r="S664" s="3"/>
    </row>
    <row r="665" spans="14:19" ht="14.25" customHeight="1" x14ac:dyDescent="0.35">
      <c r="N665" s="36"/>
      <c r="Q665" s="3"/>
      <c r="S665" s="3"/>
    </row>
    <row r="666" spans="14:19" ht="14.25" customHeight="1" x14ac:dyDescent="0.35">
      <c r="N666" s="36"/>
      <c r="Q666" s="3"/>
      <c r="S666" s="3"/>
    </row>
    <row r="667" spans="14:19" ht="14.25" customHeight="1" x14ac:dyDescent="0.35">
      <c r="N667" s="36"/>
      <c r="Q667" s="3"/>
      <c r="S667" s="3"/>
    </row>
    <row r="668" spans="14:19" ht="14.25" customHeight="1" x14ac:dyDescent="0.35">
      <c r="N668" s="36"/>
      <c r="Q668" s="3"/>
      <c r="S668" s="3"/>
    </row>
    <row r="669" spans="14:19" ht="14.25" customHeight="1" x14ac:dyDescent="0.35">
      <c r="N669" s="36"/>
      <c r="Q669" s="3"/>
      <c r="S669" s="3"/>
    </row>
    <row r="670" spans="14:19" ht="14.25" customHeight="1" x14ac:dyDescent="0.35">
      <c r="N670" s="36"/>
      <c r="Q670" s="3"/>
      <c r="S670" s="3"/>
    </row>
    <row r="671" spans="14:19" ht="14.25" customHeight="1" x14ac:dyDescent="0.35">
      <c r="N671" s="36"/>
      <c r="Q671" s="3"/>
      <c r="S671" s="3"/>
    </row>
    <row r="672" spans="14:19" ht="14.25" customHeight="1" x14ac:dyDescent="0.35">
      <c r="N672" s="36"/>
      <c r="Q672" s="3"/>
      <c r="S672" s="3"/>
    </row>
    <row r="673" spans="14:19" ht="14.25" customHeight="1" x14ac:dyDescent="0.35">
      <c r="N673" s="36"/>
      <c r="Q673" s="3"/>
      <c r="S673" s="3"/>
    </row>
    <row r="674" spans="14:19" ht="14.25" customHeight="1" x14ac:dyDescent="0.35">
      <c r="N674" s="36"/>
      <c r="Q674" s="3"/>
      <c r="S674" s="3"/>
    </row>
    <row r="675" spans="14:19" ht="14.25" customHeight="1" x14ac:dyDescent="0.35">
      <c r="N675" s="36"/>
      <c r="Q675" s="3"/>
      <c r="S675" s="3"/>
    </row>
    <row r="676" spans="14:19" ht="14.25" customHeight="1" x14ac:dyDescent="0.35">
      <c r="N676" s="36"/>
      <c r="Q676" s="3"/>
      <c r="S676" s="3"/>
    </row>
    <row r="677" spans="14:19" ht="14.25" customHeight="1" x14ac:dyDescent="0.35">
      <c r="N677" s="36"/>
      <c r="Q677" s="3"/>
      <c r="S677" s="3"/>
    </row>
    <row r="678" spans="14:19" ht="14.25" customHeight="1" x14ac:dyDescent="0.35">
      <c r="N678" s="36"/>
      <c r="Q678" s="3"/>
      <c r="S678" s="3"/>
    </row>
    <row r="679" spans="14:19" ht="14.25" customHeight="1" x14ac:dyDescent="0.35">
      <c r="N679" s="36"/>
      <c r="Q679" s="3"/>
      <c r="S679" s="3"/>
    </row>
    <row r="680" spans="14:19" ht="14.25" customHeight="1" x14ac:dyDescent="0.35">
      <c r="N680" s="36"/>
      <c r="Q680" s="3"/>
      <c r="S680" s="3"/>
    </row>
    <row r="681" spans="14:19" ht="14.25" customHeight="1" x14ac:dyDescent="0.35">
      <c r="N681" s="36"/>
      <c r="Q681" s="3"/>
      <c r="S681" s="3"/>
    </row>
    <row r="682" spans="14:19" ht="14.25" customHeight="1" x14ac:dyDescent="0.35">
      <c r="N682" s="36"/>
      <c r="Q682" s="3"/>
      <c r="S682" s="3"/>
    </row>
    <row r="683" spans="14:19" ht="14.25" customHeight="1" x14ac:dyDescent="0.35">
      <c r="N683" s="36"/>
      <c r="Q683" s="3"/>
      <c r="S683" s="3"/>
    </row>
    <row r="684" spans="14:19" ht="14.25" customHeight="1" x14ac:dyDescent="0.35">
      <c r="N684" s="36"/>
      <c r="Q684" s="3"/>
      <c r="S684" s="3"/>
    </row>
    <row r="685" spans="14:19" ht="14.25" customHeight="1" x14ac:dyDescent="0.35">
      <c r="N685" s="36"/>
      <c r="Q685" s="3"/>
      <c r="S685" s="3"/>
    </row>
    <row r="686" spans="14:19" ht="14.25" customHeight="1" x14ac:dyDescent="0.35">
      <c r="N686" s="36"/>
      <c r="Q686" s="3"/>
      <c r="S686" s="3"/>
    </row>
    <row r="687" spans="14:19" ht="14.25" customHeight="1" x14ac:dyDescent="0.35">
      <c r="N687" s="36"/>
      <c r="Q687" s="3"/>
      <c r="S687" s="3"/>
    </row>
    <row r="688" spans="14:19" ht="14.25" customHeight="1" x14ac:dyDescent="0.35">
      <c r="N688" s="36"/>
      <c r="Q688" s="3"/>
      <c r="S688" s="3"/>
    </row>
    <row r="689" spans="14:19" ht="14.25" customHeight="1" x14ac:dyDescent="0.35">
      <c r="N689" s="36"/>
      <c r="Q689" s="3"/>
      <c r="S689" s="3"/>
    </row>
    <row r="690" spans="14:19" ht="14.25" customHeight="1" x14ac:dyDescent="0.35">
      <c r="N690" s="36"/>
      <c r="Q690" s="3"/>
      <c r="S690" s="3"/>
    </row>
    <row r="691" spans="14:19" ht="14.25" customHeight="1" x14ac:dyDescent="0.35">
      <c r="N691" s="36"/>
      <c r="Q691" s="3"/>
      <c r="S691" s="3"/>
    </row>
    <row r="692" spans="14:19" ht="14.25" customHeight="1" x14ac:dyDescent="0.35">
      <c r="N692" s="36"/>
      <c r="Q692" s="3"/>
      <c r="S692" s="3"/>
    </row>
    <row r="693" spans="14:19" ht="14.25" customHeight="1" x14ac:dyDescent="0.35">
      <c r="N693" s="36"/>
      <c r="Q693" s="3"/>
      <c r="S693" s="3"/>
    </row>
    <row r="694" spans="14:19" ht="14.25" customHeight="1" x14ac:dyDescent="0.35">
      <c r="N694" s="36"/>
      <c r="Q694" s="3"/>
      <c r="S694" s="3"/>
    </row>
    <row r="695" spans="14:19" ht="14.25" customHeight="1" x14ac:dyDescent="0.35">
      <c r="N695" s="36"/>
      <c r="Q695" s="3"/>
      <c r="S695" s="3"/>
    </row>
    <row r="696" spans="14:19" ht="14.25" customHeight="1" x14ac:dyDescent="0.35">
      <c r="N696" s="36"/>
      <c r="Q696" s="3"/>
      <c r="S696" s="3"/>
    </row>
    <row r="697" spans="14:19" ht="14.25" customHeight="1" x14ac:dyDescent="0.35">
      <c r="N697" s="36"/>
      <c r="Q697" s="3"/>
      <c r="S697" s="3"/>
    </row>
    <row r="698" spans="14:19" ht="14.25" customHeight="1" x14ac:dyDescent="0.35">
      <c r="N698" s="36"/>
      <c r="Q698" s="3"/>
      <c r="S698" s="3"/>
    </row>
    <row r="699" spans="14:19" ht="14.25" customHeight="1" x14ac:dyDescent="0.35">
      <c r="N699" s="36"/>
      <c r="Q699" s="3"/>
      <c r="S699" s="3"/>
    </row>
    <row r="700" spans="14:19" ht="14.25" customHeight="1" x14ac:dyDescent="0.35">
      <c r="N700" s="36"/>
      <c r="Q700" s="3"/>
      <c r="S700" s="3"/>
    </row>
    <row r="701" spans="14:19" ht="14.25" customHeight="1" x14ac:dyDescent="0.35">
      <c r="N701" s="36"/>
      <c r="Q701" s="3"/>
      <c r="S701" s="3"/>
    </row>
    <row r="702" spans="14:19" ht="14.25" customHeight="1" x14ac:dyDescent="0.35">
      <c r="N702" s="36"/>
      <c r="Q702" s="3"/>
      <c r="S702" s="3"/>
    </row>
    <row r="703" spans="14:19" ht="14.25" customHeight="1" x14ac:dyDescent="0.35">
      <c r="N703" s="36"/>
      <c r="Q703" s="3"/>
      <c r="S703" s="3"/>
    </row>
    <row r="704" spans="14:19" ht="14.25" customHeight="1" x14ac:dyDescent="0.35">
      <c r="N704" s="36"/>
      <c r="Q704" s="3"/>
      <c r="S704" s="3"/>
    </row>
    <row r="705" spans="14:19" ht="14.25" customHeight="1" x14ac:dyDescent="0.35">
      <c r="N705" s="36"/>
      <c r="Q705" s="3"/>
      <c r="S705" s="3"/>
    </row>
    <row r="706" spans="14:19" ht="14.25" customHeight="1" x14ac:dyDescent="0.35">
      <c r="N706" s="36"/>
      <c r="Q706" s="3"/>
      <c r="S706" s="3"/>
    </row>
    <row r="707" spans="14:19" ht="14.25" customHeight="1" x14ac:dyDescent="0.35">
      <c r="N707" s="36"/>
      <c r="Q707" s="3"/>
      <c r="S707" s="3"/>
    </row>
    <row r="708" spans="14:19" ht="14.25" customHeight="1" x14ac:dyDescent="0.35">
      <c r="N708" s="36"/>
      <c r="Q708" s="3"/>
      <c r="S708" s="3"/>
    </row>
    <row r="709" spans="14:19" ht="14.25" customHeight="1" x14ac:dyDescent="0.35">
      <c r="N709" s="36"/>
      <c r="Q709" s="3"/>
      <c r="S709" s="3"/>
    </row>
    <row r="710" spans="14:19" ht="14.25" customHeight="1" x14ac:dyDescent="0.35">
      <c r="N710" s="36"/>
      <c r="Q710" s="3"/>
      <c r="S710" s="3"/>
    </row>
    <row r="711" spans="14:19" ht="14.25" customHeight="1" x14ac:dyDescent="0.35">
      <c r="N711" s="36"/>
      <c r="Q711" s="3"/>
      <c r="S711" s="3"/>
    </row>
    <row r="712" spans="14:19" ht="14.25" customHeight="1" x14ac:dyDescent="0.35">
      <c r="N712" s="36"/>
      <c r="Q712" s="3"/>
      <c r="S712" s="3"/>
    </row>
    <row r="713" spans="14:19" ht="14.25" customHeight="1" x14ac:dyDescent="0.35">
      <c r="N713" s="36"/>
      <c r="Q713" s="3"/>
      <c r="S713" s="3"/>
    </row>
    <row r="714" spans="14:19" ht="14.25" customHeight="1" x14ac:dyDescent="0.35">
      <c r="N714" s="36"/>
      <c r="Q714" s="3"/>
      <c r="S714" s="3"/>
    </row>
    <row r="715" spans="14:19" ht="14.25" customHeight="1" x14ac:dyDescent="0.35">
      <c r="N715" s="36"/>
      <c r="Q715" s="3"/>
      <c r="S715" s="3"/>
    </row>
    <row r="716" spans="14:19" ht="14.25" customHeight="1" x14ac:dyDescent="0.35">
      <c r="N716" s="36"/>
      <c r="Q716" s="3"/>
      <c r="S716" s="3"/>
    </row>
    <row r="717" spans="14:19" ht="14.25" customHeight="1" x14ac:dyDescent="0.35">
      <c r="N717" s="36"/>
      <c r="Q717" s="3"/>
      <c r="S717" s="3"/>
    </row>
    <row r="718" spans="14:19" ht="14.25" customHeight="1" x14ac:dyDescent="0.35">
      <c r="N718" s="36"/>
      <c r="Q718" s="3"/>
      <c r="S718" s="3"/>
    </row>
    <row r="719" spans="14:19" ht="14.25" customHeight="1" x14ac:dyDescent="0.35">
      <c r="N719" s="36"/>
      <c r="Q719" s="3"/>
      <c r="S719" s="3"/>
    </row>
    <row r="720" spans="14:19" ht="14.25" customHeight="1" x14ac:dyDescent="0.35">
      <c r="N720" s="36"/>
      <c r="Q720" s="3"/>
      <c r="S720" s="3"/>
    </row>
    <row r="721" spans="14:19" ht="14.25" customHeight="1" x14ac:dyDescent="0.35">
      <c r="N721" s="36"/>
      <c r="Q721" s="3"/>
      <c r="S721" s="3"/>
    </row>
    <row r="722" spans="14:19" ht="14.25" customHeight="1" x14ac:dyDescent="0.35">
      <c r="N722" s="36"/>
      <c r="Q722" s="3"/>
      <c r="S722" s="3"/>
    </row>
    <row r="723" spans="14:19" ht="14.25" customHeight="1" x14ac:dyDescent="0.35">
      <c r="N723" s="36"/>
      <c r="Q723" s="3"/>
      <c r="S723" s="3"/>
    </row>
    <row r="724" spans="14:19" ht="14.25" customHeight="1" x14ac:dyDescent="0.35">
      <c r="N724" s="36"/>
      <c r="Q724" s="3"/>
      <c r="S724" s="3"/>
    </row>
    <row r="725" spans="14:19" ht="14.25" customHeight="1" x14ac:dyDescent="0.35">
      <c r="N725" s="36"/>
      <c r="Q725" s="3"/>
      <c r="S725" s="3"/>
    </row>
    <row r="726" spans="14:19" ht="14.25" customHeight="1" x14ac:dyDescent="0.35">
      <c r="N726" s="36"/>
      <c r="Q726" s="3"/>
      <c r="S726" s="3"/>
    </row>
    <row r="727" spans="14:19" ht="14.25" customHeight="1" x14ac:dyDescent="0.35">
      <c r="N727" s="36"/>
      <c r="Q727" s="3"/>
      <c r="S727" s="3"/>
    </row>
    <row r="728" spans="14:19" ht="14.25" customHeight="1" x14ac:dyDescent="0.35">
      <c r="N728" s="36"/>
      <c r="Q728" s="3"/>
      <c r="S728" s="3"/>
    </row>
    <row r="729" spans="14:19" ht="14.25" customHeight="1" x14ac:dyDescent="0.35">
      <c r="N729" s="36"/>
      <c r="Q729" s="3"/>
      <c r="S729" s="3"/>
    </row>
    <row r="730" spans="14:19" ht="14.25" customHeight="1" x14ac:dyDescent="0.35">
      <c r="N730" s="36"/>
      <c r="Q730" s="3"/>
      <c r="S730" s="3"/>
    </row>
    <row r="731" spans="14:19" ht="14.25" customHeight="1" x14ac:dyDescent="0.35">
      <c r="N731" s="36"/>
      <c r="Q731" s="3"/>
      <c r="S731" s="3"/>
    </row>
    <row r="732" spans="14:19" ht="14.25" customHeight="1" x14ac:dyDescent="0.35">
      <c r="N732" s="36"/>
      <c r="Q732" s="3"/>
      <c r="S732" s="3"/>
    </row>
    <row r="733" spans="14:19" ht="14.25" customHeight="1" x14ac:dyDescent="0.35">
      <c r="N733" s="36"/>
      <c r="Q733" s="3"/>
      <c r="S733" s="3"/>
    </row>
    <row r="734" spans="14:19" ht="14.25" customHeight="1" x14ac:dyDescent="0.35">
      <c r="N734" s="36"/>
      <c r="Q734" s="3"/>
      <c r="S734" s="3"/>
    </row>
    <row r="735" spans="14:19" ht="14.25" customHeight="1" x14ac:dyDescent="0.35">
      <c r="N735" s="36"/>
      <c r="Q735" s="3"/>
      <c r="S735" s="3"/>
    </row>
    <row r="736" spans="14:19" ht="14.25" customHeight="1" x14ac:dyDescent="0.35">
      <c r="N736" s="36"/>
      <c r="Q736" s="3"/>
      <c r="S736" s="3"/>
    </row>
    <row r="737" spans="14:19" ht="14.25" customHeight="1" x14ac:dyDescent="0.35">
      <c r="N737" s="36"/>
      <c r="Q737" s="3"/>
      <c r="S737" s="3"/>
    </row>
    <row r="738" spans="14:19" ht="14.25" customHeight="1" x14ac:dyDescent="0.35">
      <c r="N738" s="36"/>
      <c r="Q738" s="3"/>
      <c r="S738" s="3"/>
    </row>
    <row r="739" spans="14:19" ht="14.25" customHeight="1" x14ac:dyDescent="0.35">
      <c r="N739" s="36"/>
      <c r="Q739" s="3"/>
      <c r="S739" s="3"/>
    </row>
    <row r="740" spans="14:19" ht="14.25" customHeight="1" x14ac:dyDescent="0.35">
      <c r="N740" s="36"/>
      <c r="Q740" s="3"/>
      <c r="S740" s="3"/>
    </row>
    <row r="741" spans="14:19" ht="14.25" customHeight="1" x14ac:dyDescent="0.35">
      <c r="N741" s="36"/>
      <c r="Q741" s="3"/>
      <c r="S741" s="3"/>
    </row>
    <row r="742" spans="14:19" ht="14.25" customHeight="1" x14ac:dyDescent="0.35">
      <c r="N742" s="36"/>
      <c r="Q742" s="3"/>
      <c r="S742" s="3"/>
    </row>
    <row r="743" spans="14:19" ht="14.25" customHeight="1" x14ac:dyDescent="0.35">
      <c r="N743" s="36"/>
      <c r="Q743" s="3"/>
      <c r="S743" s="3"/>
    </row>
    <row r="744" spans="14:19" ht="14.25" customHeight="1" x14ac:dyDescent="0.35">
      <c r="N744" s="36"/>
      <c r="Q744" s="3"/>
      <c r="S744" s="3"/>
    </row>
    <row r="745" spans="14:19" ht="14.25" customHeight="1" x14ac:dyDescent="0.35">
      <c r="N745" s="36"/>
      <c r="Q745" s="3"/>
      <c r="S745" s="3"/>
    </row>
    <row r="746" spans="14:19" ht="14.25" customHeight="1" x14ac:dyDescent="0.35">
      <c r="N746" s="36"/>
      <c r="Q746" s="3"/>
      <c r="S746" s="3"/>
    </row>
    <row r="747" spans="14:19" ht="14.25" customHeight="1" x14ac:dyDescent="0.35">
      <c r="N747" s="36"/>
      <c r="Q747" s="3"/>
      <c r="S747" s="3"/>
    </row>
    <row r="748" spans="14:19" ht="14.25" customHeight="1" x14ac:dyDescent="0.35">
      <c r="N748" s="36"/>
      <c r="Q748" s="3"/>
      <c r="S748" s="3"/>
    </row>
    <row r="749" spans="14:19" ht="14.25" customHeight="1" x14ac:dyDescent="0.35">
      <c r="N749" s="36"/>
      <c r="Q749" s="3"/>
      <c r="S749" s="3"/>
    </row>
    <row r="750" spans="14:19" ht="14.25" customHeight="1" x14ac:dyDescent="0.35">
      <c r="N750" s="36"/>
      <c r="Q750" s="3"/>
      <c r="S750" s="3"/>
    </row>
    <row r="751" spans="14:19" ht="14.25" customHeight="1" x14ac:dyDescent="0.35">
      <c r="N751" s="36"/>
      <c r="Q751" s="3"/>
      <c r="S751" s="3"/>
    </row>
    <row r="752" spans="14:19" ht="14.25" customHeight="1" x14ac:dyDescent="0.35">
      <c r="N752" s="36"/>
      <c r="Q752" s="3"/>
      <c r="S752" s="3"/>
    </row>
    <row r="753" spans="14:19" ht="14.25" customHeight="1" x14ac:dyDescent="0.35">
      <c r="N753" s="36"/>
      <c r="Q753" s="3"/>
      <c r="S753" s="3"/>
    </row>
    <row r="754" spans="14:19" ht="14.25" customHeight="1" x14ac:dyDescent="0.35">
      <c r="N754" s="36"/>
      <c r="Q754" s="3"/>
      <c r="S754" s="3"/>
    </row>
    <row r="755" spans="14:19" ht="14.25" customHeight="1" x14ac:dyDescent="0.35">
      <c r="N755" s="36"/>
      <c r="Q755" s="3"/>
      <c r="S755" s="3"/>
    </row>
    <row r="756" spans="14:19" ht="14.25" customHeight="1" x14ac:dyDescent="0.35">
      <c r="N756" s="36"/>
      <c r="Q756" s="3"/>
      <c r="S756" s="3"/>
    </row>
    <row r="757" spans="14:19" ht="14.25" customHeight="1" x14ac:dyDescent="0.35">
      <c r="N757" s="36"/>
      <c r="Q757" s="3"/>
      <c r="S757" s="3"/>
    </row>
    <row r="758" spans="14:19" ht="14.25" customHeight="1" x14ac:dyDescent="0.35">
      <c r="N758" s="36"/>
      <c r="Q758" s="3"/>
      <c r="S758" s="3"/>
    </row>
    <row r="759" spans="14:19" ht="14.25" customHeight="1" x14ac:dyDescent="0.35">
      <c r="N759" s="36"/>
      <c r="Q759" s="3"/>
      <c r="S759" s="3"/>
    </row>
    <row r="760" spans="14:19" ht="14.25" customHeight="1" x14ac:dyDescent="0.35">
      <c r="N760" s="36"/>
      <c r="Q760" s="3"/>
      <c r="S760" s="3"/>
    </row>
    <row r="761" spans="14:19" ht="14.25" customHeight="1" x14ac:dyDescent="0.35">
      <c r="N761" s="36"/>
      <c r="Q761" s="3"/>
      <c r="S761" s="3"/>
    </row>
    <row r="762" spans="14:19" ht="14.25" customHeight="1" x14ac:dyDescent="0.35">
      <c r="N762" s="36"/>
      <c r="Q762" s="3"/>
      <c r="S762" s="3"/>
    </row>
    <row r="763" spans="14:19" ht="14.25" customHeight="1" x14ac:dyDescent="0.35">
      <c r="N763" s="36"/>
      <c r="Q763" s="3"/>
      <c r="S763" s="3"/>
    </row>
    <row r="764" spans="14:19" ht="14.25" customHeight="1" x14ac:dyDescent="0.35">
      <c r="N764" s="36"/>
      <c r="Q764" s="3"/>
      <c r="S764" s="3"/>
    </row>
    <row r="765" spans="14:19" ht="14.25" customHeight="1" x14ac:dyDescent="0.35">
      <c r="N765" s="36"/>
      <c r="Q765" s="3"/>
      <c r="S765" s="3"/>
    </row>
    <row r="766" spans="14:19" ht="14.25" customHeight="1" x14ac:dyDescent="0.35">
      <c r="N766" s="36"/>
      <c r="Q766" s="3"/>
      <c r="S766" s="3"/>
    </row>
    <row r="767" spans="14:19" ht="14.25" customHeight="1" x14ac:dyDescent="0.35">
      <c r="N767" s="36"/>
      <c r="Q767" s="3"/>
      <c r="S767" s="3"/>
    </row>
    <row r="768" spans="14:19" ht="14.25" customHeight="1" x14ac:dyDescent="0.35">
      <c r="N768" s="36"/>
      <c r="Q768" s="3"/>
      <c r="S768" s="3"/>
    </row>
    <row r="769" spans="14:19" ht="14.25" customHeight="1" x14ac:dyDescent="0.35">
      <c r="N769" s="36"/>
      <c r="Q769" s="3"/>
      <c r="S769" s="3"/>
    </row>
    <row r="770" spans="14:19" ht="14.25" customHeight="1" x14ac:dyDescent="0.35">
      <c r="N770" s="36"/>
      <c r="Q770" s="3"/>
      <c r="S770" s="3"/>
    </row>
    <row r="771" spans="14:19" ht="14.25" customHeight="1" x14ac:dyDescent="0.35">
      <c r="N771" s="36"/>
      <c r="Q771" s="3"/>
      <c r="S771" s="3"/>
    </row>
    <row r="772" spans="14:19" ht="14.25" customHeight="1" x14ac:dyDescent="0.35">
      <c r="N772" s="36"/>
      <c r="Q772" s="3"/>
      <c r="S772" s="3"/>
    </row>
    <row r="773" spans="14:19" ht="14.25" customHeight="1" x14ac:dyDescent="0.35">
      <c r="N773" s="36"/>
      <c r="Q773" s="3"/>
      <c r="S773" s="3"/>
    </row>
    <row r="774" spans="14:19" ht="14.25" customHeight="1" x14ac:dyDescent="0.35">
      <c r="N774" s="36"/>
      <c r="Q774" s="3"/>
      <c r="S774" s="3"/>
    </row>
    <row r="775" spans="14:19" ht="14.25" customHeight="1" x14ac:dyDescent="0.35">
      <c r="N775" s="36"/>
      <c r="Q775" s="3"/>
      <c r="S775" s="3"/>
    </row>
    <row r="776" spans="14:19" ht="14.25" customHeight="1" x14ac:dyDescent="0.35">
      <c r="N776" s="36"/>
      <c r="Q776" s="3"/>
      <c r="S776" s="3"/>
    </row>
    <row r="777" spans="14:19" ht="14.25" customHeight="1" x14ac:dyDescent="0.35">
      <c r="N777" s="36"/>
      <c r="Q777" s="3"/>
      <c r="S777" s="3"/>
    </row>
    <row r="778" spans="14:19" ht="14.25" customHeight="1" x14ac:dyDescent="0.35">
      <c r="N778" s="36"/>
      <c r="Q778" s="3"/>
      <c r="S778" s="3"/>
    </row>
    <row r="779" spans="14:19" ht="14.25" customHeight="1" x14ac:dyDescent="0.35">
      <c r="N779" s="36"/>
      <c r="Q779" s="3"/>
      <c r="S779" s="3"/>
    </row>
    <row r="780" spans="14:19" ht="14.25" customHeight="1" x14ac:dyDescent="0.35">
      <c r="N780" s="36"/>
      <c r="Q780" s="3"/>
      <c r="S780" s="3"/>
    </row>
    <row r="781" spans="14:19" ht="14.25" customHeight="1" x14ac:dyDescent="0.35">
      <c r="N781" s="36"/>
      <c r="Q781" s="3"/>
      <c r="S781" s="3"/>
    </row>
    <row r="782" spans="14:19" ht="14.25" customHeight="1" x14ac:dyDescent="0.35">
      <c r="N782" s="36"/>
      <c r="Q782" s="3"/>
      <c r="S782" s="3"/>
    </row>
    <row r="783" spans="14:19" ht="14.25" customHeight="1" x14ac:dyDescent="0.35">
      <c r="N783" s="36"/>
      <c r="Q783" s="3"/>
      <c r="S783" s="3"/>
    </row>
    <row r="784" spans="14:19" ht="14.25" customHeight="1" x14ac:dyDescent="0.35">
      <c r="N784" s="36"/>
      <c r="Q784" s="3"/>
      <c r="S784" s="3"/>
    </row>
    <row r="785" spans="14:19" ht="14.25" customHeight="1" x14ac:dyDescent="0.35">
      <c r="N785" s="36"/>
      <c r="Q785" s="3"/>
      <c r="S785" s="3"/>
    </row>
    <row r="786" spans="14:19" ht="14.25" customHeight="1" x14ac:dyDescent="0.35">
      <c r="N786" s="36"/>
      <c r="Q786" s="3"/>
      <c r="S786" s="3"/>
    </row>
    <row r="787" spans="14:19" ht="14.25" customHeight="1" x14ac:dyDescent="0.35">
      <c r="N787" s="36"/>
      <c r="Q787" s="3"/>
      <c r="S787" s="3"/>
    </row>
    <row r="788" spans="14:19" ht="14.25" customHeight="1" x14ac:dyDescent="0.35">
      <c r="N788" s="36"/>
      <c r="Q788" s="3"/>
      <c r="S788" s="3"/>
    </row>
    <row r="789" spans="14:19" ht="14.25" customHeight="1" x14ac:dyDescent="0.35">
      <c r="N789" s="36"/>
      <c r="Q789" s="3"/>
      <c r="S789" s="3"/>
    </row>
    <row r="790" spans="14:19" ht="14.25" customHeight="1" x14ac:dyDescent="0.35">
      <c r="N790" s="36"/>
      <c r="Q790" s="3"/>
      <c r="S790" s="3"/>
    </row>
    <row r="791" spans="14:19" ht="14.25" customHeight="1" x14ac:dyDescent="0.35">
      <c r="N791" s="36"/>
      <c r="Q791" s="3"/>
      <c r="S791" s="3"/>
    </row>
    <row r="792" spans="14:19" ht="14.25" customHeight="1" x14ac:dyDescent="0.35">
      <c r="N792" s="36"/>
      <c r="Q792" s="3"/>
      <c r="S792" s="3"/>
    </row>
    <row r="793" spans="14:19" ht="14.25" customHeight="1" x14ac:dyDescent="0.35">
      <c r="N793" s="36"/>
      <c r="Q793" s="3"/>
      <c r="S793" s="3"/>
    </row>
    <row r="794" spans="14:19" ht="14.25" customHeight="1" x14ac:dyDescent="0.35">
      <c r="N794" s="36"/>
      <c r="Q794" s="3"/>
      <c r="S794" s="3"/>
    </row>
    <row r="795" spans="14:19" ht="14.25" customHeight="1" x14ac:dyDescent="0.35">
      <c r="N795" s="36"/>
      <c r="Q795" s="3"/>
      <c r="S795" s="3"/>
    </row>
    <row r="796" spans="14:19" ht="14.25" customHeight="1" x14ac:dyDescent="0.35">
      <c r="N796" s="36"/>
      <c r="Q796" s="3"/>
      <c r="S796" s="3"/>
    </row>
    <row r="797" spans="14:19" ht="14.25" customHeight="1" x14ac:dyDescent="0.35">
      <c r="N797" s="36"/>
      <c r="Q797" s="3"/>
      <c r="S797" s="3"/>
    </row>
    <row r="798" spans="14:19" ht="14.25" customHeight="1" x14ac:dyDescent="0.35">
      <c r="N798" s="36"/>
      <c r="Q798" s="3"/>
      <c r="S798" s="3"/>
    </row>
    <row r="799" spans="14:19" ht="14.25" customHeight="1" x14ac:dyDescent="0.35">
      <c r="N799" s="36"/>
      <c r="Q799" s="3"/>
      <c r="S799" s="3"/>
    </row>
    <row r="800" spans="14:19" ht="14.25" customHeight="1" x14ac:dyDescent="0.35">
      <c r="N800" s="36"/>
      <c r="Q800" s="3"/>
      <c r="S800" s="3"/>
    </row>
    <row r="801" spans="14:19" ht="14.25" customHeight="1" x14ac:dyDescent="0.35">
      <c r="N801" s="36"/>
      <c r="Q801" s="3"/>
      <c r="S801" s="3"/>
    </row>
    <row r="802" spans="14:19" ht="14.25" customHeight="1" x14ac:dyDescent="0.35">
      <c r="N802" s="36"/>
      <c r="Q802" s="3"/>
      <c r="S802" s="3"/>
    </row>
    <row r="803" spans="14:19" ht="14.25" customHeight="1" x14ac:dyDescent="0.35">
      <c r="N803" s="36"/>
      <c r="Q803" s="3"/>
      <c r="S803" s="3"/>
    </row>
    <row r="804" spans="14:19" ht="14.25" customHeight="1" x14ac:dyDescent="0.35">
      <c r="N804" s="36"/>
      <c r="Q804" s="3"/>
      <c r="S804" s="3"/>
    </row>
    <row r="805" spans="14:19" ht="14.25" customHeight="1" x14ac:dyDescent="0.35">
      <c r="N805" s="36"/>
      <c r="Q805" s="3"/>
      <c r="S805" s="3"/>
    </row>
    <row r="806" spans="14:19" ht="14.25" customHeight="1" x14ac:dyDescent="0.35">
      <c r="N806" s="36"/>
      <c r="Q806" s="3"/>
      <c r="S806" s="3"/>
    </row>
    <row r="807" spans="14:19" ht="14.25" customHeight="1" x14ac:dyDescent="0.35">
      <c r="N807" s="36"/>
      <c r="Q807" s="3"/>
      <c r="S807" s="3"/>
    </row>
    <row r="808" spans="14:19" ht="14.25" customHeight="1" x14ac:dyDescent="0.35">
      <c r="N808" s="36"/>
      <c r="Q808" s="3"/>
      <c r="S808" s="3"/>
    </row>
    <row r="809" spans="14:19" ht="14.25" customHeight="1" x14ac:dyDescent="0.35">
      <c r="N809" s="36"/>
      <c r="Q809" s="3"/>
      <c r="S809" s="3"/>
    </row>
    <row r="810" spans="14:19" ht="14.25" customHeight="1" x14ac:dyDescent="0.35">
      <c r="N810" s="36"/>
      <c r="Q810" s="3"/>
      <c r="S810" s="3"/>
    </row>
    <row r="811" spans="14:19" ht="14.25" customHeight="1" x14ac:dyDescent="0.35">
      <c r="N811" s="36"/>
      <c r="Q811" s="3"/>
      <c r="S811" s="3"/>
    </row>
    <row r="812" spans="14:19" ht="14.25" customHeight="1" x14ac:dyDescent="0.35">
      <c r="N812" s="36"/>
      <c r="Q812" s="3"/>
      <c r="S812" s="3"/>
    </row>
    <row r="813" spans="14:19" ht="14.25" customHeight="1" x14ac:dyDescent="0.35">
      <c r="N813" s="36"/>
      <c r="Q813" s="3"/>
      <c r="S813" s="3"/>
    </row>
    <row r="814" spans="14:19" ht="14.25" customHeight="1" x14ac:dyDescent="0.35">
      <c r="N814" s="36"/>
      <c r="Q814" s="3"/>
      <c r="S814" s="3"/>
    </row>
    <row r="815" spans="14:19" ht="14.25" customHeight="1" x14ac:dyDescent="0.35">
      <c r="N815" s="36"/>
      <c r="Q815" s="3"/>
      <c r="S815" s="3"/>
    </row>
    <row r="816" spans="14:19" ht="14.25" customHeight="1" x14ac:dyDescent="0.35">
      <c r="N816" s="36"/>
      <c r="Q816" s="3"/>
      <c r="S816" s="3"/>
    </row>
    <row r="817" spans="14:19" ht="14.25" customHeight="1" x14ac:dyDescent="0.35">
      <c r="N817" s="36"/>
      <c r="Q817" s="3"/>
      <c r="S817" s="3"/>
    </row>
    <row r="818" spans="14:19" ht="14.25" customHeight="1" x14ac:dyDescent="0.35">
      <c r="N818" s="36"/>
      <c r="Q818" s="3"/>
      <c r="S818" s="3"/>
    </row>
    <row r="819" spans="14:19" ht="14.25" customHeight="1" x14ac:dyDescent="0.35">
      <c r="N819" s="36"/>
      <c r="Q819" s="3"/>
      <c r="S819" s="3"/>
    </row>
    <row r="820" spans="14:19" ht="14.25" customHeight="1" x14ac:dyDescent="0.35">
      <c r="N820" s="36"/>
      <c r="Q820" s="3"/>
      <c r="S820" s="3"/>
    </row>
    <row r="821" spans="14:19" ht="14.25" customHeight="1" x14ac:dyDescent="0.35">
      <c r="N821" s="36"/>
      <c r="Q821" s="3"/>
      <c r="S821" s="3"/>
    </row>
    <row r="822" spans="14:19" ht="14.25" customHeight="1" x14ac:dyDescent="0.35">
      <c r="N822" s="36"/>
      <c r="Q822" s="3"/>
      <c r="S822" s="3"/>
    </row>
    <row r="823" spans="14:19" ht="14.25" customHeight="1" x14ac:dyDescent="0.35">
      <c r="N823" s="36"/>
      <c r="Q823" s="3"/>
      <c r="S823" s="3"/>
    </row>
    <row r="824" spans="14:19" ht="14.25" customHeight="1" x14ac:dyDescent="0.35">
      <c r="N824" s="36"/>
      <c r="Q824" s="3"/>
      <c r="S824" s="3"/>
    </row>
    <row r="825" spans="14:19" ht="14.25" customHeight="1" x14ac:dyDescent="0.35">
      <c r="N825" s="36"/>
      <c r="Q825" s="3"/>
      <c r="S825" s="3"/>
    </row>
    <row r="826" spans="14:19" ht="14.25" customHeight="1" x14ac:dyDescent="0.35">
      <c r="N826" s="36"/>
      <c r="Q826" s="3"/>
      <c r="S826" s="3"/>
    </row>
    <row r="827" spans="14:19" ht="14.25" customHeight="1" x14ac:dyDescent="0.35">
      <c r="N827" s="36"/>
      <c r="Q827" s="3"/>
      <c r="S827" s="3"/>
    </row>
    <row r="828" spans="14:19" ht="14.25" customHeight="1" x14ac:dyDescent="0.35">
      <c r="N828" s="36"/>
      <c r="Q828" s="3"/>
      <c r="S828" s="3"/>
    </row>
    <row r="829" spans="14:19" ht="14.25" customHeight="1" x14ac:dyDescent="0.35">
      <c r="N829" s="36"/>
      <c r="Q829" s="3"/>
      <c r="S829" s="3"/>
    </row>
    <row r="830" spans="14:19" ht="14.25" customHeight="1" x14ac:dyDescent="0.35">
      <c r="N830" s="36"/>
      <c r="Q830" s="3"/>
      <c r="S830" s="3"/>
    </row>
    <row r="831" spans="14:19" ht="14.25" customHeight="1" x14ac:dyDescent="0.35">
      <c r="N831" s="36"/>
      <c r="Q831" s="3"/>
      <c r="S831" s="3"/>
    </row>
    <row r="832" spans="14:19" ht="14.25" customHeight="1" x14ac:dyDescent="0.35">
      <c r="N832" s="36"/>
      <c r="Q832" s="3"/>
      <c r="S832" s="3"/>
    </row>
    <row r="833" spans="14:19" ht="14.25" customHeight="1" x14ac:dyDescent="0.35">
      <c r="N833" s="36"/>
      <c r="Q833" s="3"/>
      <c r="S833" s="3"/>
    </row>
    <row r="834" spans="14:19" ht="14.25" customHeight="1" x14ac:dyDescent="0.35">
      <c r="N834" s="36"/>
      <c r="Q834" s="3"/>
      <c r="S834" s="3"/>
    </row>
    <row r="835" spans="14:19" ht="14.25" customHeight="1" x14ac:dyDescent="0.35">
      <c r="N835" s="36"/>
      <c r="Q835" s="3"/>
      <c r="S835" s="3"/>
    </row>
    <row r="836" spans="14:19" ht="14.25" customHeight="1" x14ac:dyDescent="0.35">
      <c r="N836" s="36"/>
      <c r="Q836" s="3"/>
      <c r="S836" s="3"/>
    </row>
    <row r="837" spans="14:19" ht="14.25" customHeight="1" x14ac:dyDescent="0.35">
      <c r="N837" s="36"/>
      <c r="Q837" s="3"/>
      <c r="S837" s="3"/>
    </row>
    <row r="838" spans="14:19" ht="14.25" customHeight="1" x14ac:dyDescent="0.35">
      <c r="N838" s="36"/>
      <c r="Q838" s="3"/>
      <c r="S838" s="3"/>
    </row>
    <row r="839" spans="14:19" ht="14.25" customHeight="1" x14ac:dyDescent="0.35">
      <c r="N839" s="36"/>
      <c r="Q839" s="3"/>
      <c r="S839" s="3"/>
    </row>
    <row r="840" spans="14:19" ht="14.25" customHeight="1" x14ac:dyDescent="0.35">
      <c r="N840" s="36"/>
      <c r="Q840" s="3"/>
      <c r="S840" s="3"/>
    </row>
    <row r="841" spans="14:19" ht="14.25" customHeight="1" x14ac:dyDescent="0.35">
      <c r="N841" s="36"/>
      <c r="Q841" s="3"/>
      <c r="S841" s="3"/>
    </row>
    <row r="842" spans="14:19" ht="14.25" customHeight="1" x14ac:dyDescent="0.35">
      <c r="N842" s="36"/>
      <c r="Q842" s="3"/>
      <c r="S842" s="3"/>
    </row>
    <row r="843" spans="14:19" ht="14.25" customHeight="1" x14ac:dyDescent="0.35">
      <c r="N843" s="36"/>
      <c r="Q843" s="3"/>
      <c r="S843" s="3"/>
    </row>
    <row r="844" spans="14:19" ht="14.25" customHeight="1" x14ac:dyDescent="0.35">
      <c r="N844" s="36"/>
      <c r="Q844" s="3"/>
      <c r="S844" s="3"/>
    </row>
    <row r="845" spans="14:19" ht="14.25" customHeight="1" x14ac:dyDescent="0.35">
      <c r="N845" s="36"/>
      <c r="Q845" s="3"/>
      <c r="S845" s="3"/>
    </row>
    <row r="846" spans="14:19" ht="14.25" customHeight="1" x14ac:dyDescent="0.35">
      <c r="N846" s="36"/>
      <c r="Q846" s="3"/>
      <c r="S846" s="3"/>
    </row>
    <row r="847" spans="14:19" ht="14.25" customHeight="1" x14ac:dyDescent="0.35">
      <c r="N847" s="36"/>
      <c r="Q847" s="3"/>
      <c r="S847" s="3"/>
    </row>
    <row r="848" spans="14:19" ht="14.25" customHeight="1" x14ac:dyDescent="0.35">
      <c r="N848" s="36"/>
      <c r="Q848" s="3"/>
      <c r="S848" s="3"/>
    </row>
    <row r="849" spans="14:19" ht="14.25" customHeight="1" x14ac:dyDescent="0.35">
      <c r="N849" s="36"/>
      <c r="Q849" s="3"/>
      <c r="S849" s="3"/>
    </row>
    <row r="850" spans="14:19" ht="14.25" customHeight="1" x14ac:dyDescent="0.35">
      <c r="N850" s="36"/>
      <c r="Q850" s="3"/>
      <c r="S850" s="3"/>
    </row>
    <row r="851" spans="14:19" ht="14.25" customHeight="1" x14ac:dyDescent="0.35">
      <c r="N851" s="36"/>
      <c r="Q851" s="3"/>
      <c r="S851" s="3"/>
    </row>
    <row r="852" spans="14:19" ht="14.25" customHeight="1" x14ac:dyDescent="0.35">
      <c r="N852" s="36"/>
      <c r="Q852" s="3"/>
      <c r="S852" s="3"/>
    </row>
    <row r="853" spans="14:19" ht="14.25" customHeight="1" x14ac:dyDescent="0.35">
      <c r="N853" s="36"/>
      <c r="Q853" s="3"/>
      <c r="S853" s="3"/>
    </row>
    <row r="854" spans="14:19" ht="14.25" customHeight="1" x14ac:dyDescent="0.35">
      <c r="N854" s="36"/>
      <c r="Q854" s="3"/>
      <c r="S854" s="3"/>
    </row>
    <row r="855" spans="14:19" ht="14.25" customHeight="1" x14ac:dyDescent="0.35">
      <c r="N855" s="36"/>
      <c r="Q855" s="3"/>
      <c r="S855" s="3"/>
    </row>
    <row r="856" spans="14:19" ht="14.25" customHeight="1" x14ac:dyDescent="0.35">
      <c r="N856" s="36"/>
      <c r="Q856" s="3"/>
      <c r="S856" s="3"/>
    </row>
    <row r="857" spans="14:19" ht="14.25" customHeight="1" x14ac:dyDescent="0.35">
      <c r="N857" s="36"/>
      <c r="Q857" s="3"/>
      <c r="S857" s="3"/>
    </row>
    <row r="858" spans="14:19" ht="14.25" customHeight="1" x14ac:dyDescent="0.35">
      <c r="N858" s="36"/>
      <c r="Q858" s="3"/>
      <c r="S858" s="3"/>
    </row>
    <row r="859" spans="14:19" ht="14.25" customHeight="1" x14ac:dyDescent="0.35">
      <c r="N859" s="36"/>
      <c r="Q859" s="3"/>
      <c r="S859" s="3"/>
    </row>
    <row r="860" spans="14:19" ht="14.25" customHeight="1" x14ac:dyDescent="0.35">
      <c r="N860" s="36"/>
      <c r="Q860" s="3"/>
      <c r="S860" s="3"/>
    </row>
    <row r="861" spans="14:19" ht="14.25" customHeight="1" x14ac:dyDescent="0.35">
      <c r="N861" s="36"/>
      <c r="Q861" s="3"/>
      <c r="S861" s="3"/>
    </row>
    <row r="862" spans="14:19" ht="14.25" customHeight="1" x14ac:dyDescent="0.35">
      <c r="N862" s="36"/>
      <c r="Q862" s="3"/>
      <c r="S862" s="3"/>
    </row>
    <row r="863" spans="14:19" ht="14.25" customHeight="1" x14ac:dyDescent="0.35">
      <c r="N863" s="36"/>
      <c r="Q863" s="3"/>
      <c r="S863" s="3"/>
    </row>
    <row r="864" spans="14:19" ht="14.25" customHeight="1" x14ac:dyDescent="0.35">
      <c r="N864" s="36"/>
      <c r="Q864" s="3"/>
      <c r="S864" s="3"/>
    </row>
    <row r="865" spans="14:19" ht="14.25" customHeight="1" x14ac:dyDescent="0.35">
      <c r="N865" s="36"/>
      <c r="Q865" s="3"/>
      <c r="S865" s="3"/>
    </row>
    <row r="866" spans="14:19" ht="14.25" customHeight="1" x14ac:dyDescent="0.35">
      <c r="N866" s="36"/>
      <c r="Q866" s="3"/>
      <c r="S866" s="3"/>
    </row>
    <row r="867" spans="14:19" ht="14.25" customHeight="1" x14ac:dyDescent="0.35">
      <c r="N867" s="36"/>
      <c r="Q867" s="3"/>
      <c r="S867" s="3"/>
    </row>
    <row r="868" spans="14:19" ht="14.25" customHeight="1" x14ac:dyDescent="0.35">
      <c r="N868" s="36"/>
      <c r="Q868" s="3"/>
      <c r="S868" s="3"/>
    </row>
    <row r="869" spans="14:19" ht="14.25" customHeight="1" x14ac:dyDescent="0.35">
      <c r="N869" s="36"/>
      <c r="Q869" s="3"/>
      <c r="S869" s="3"/>
    </row>
    <row r="870" spans="14:19" ht="14.25" customHeight="1" x14ac:dyDescent="0.35">
      <c r="N870" s="36"/>
      <c r="Q870" s="3"/>
      <c r="S870" s="3"/>
    </row>
    <row r="871" spans="14:19" ht="14.25" customHeight="1" x14ac:dyDescent="0.35">
      <c r="N871" s="36"/>
      <c r="Q871" s="3"/>
      <c r="S871" s="3"/>
    </row>
    <row r="872" spans="14:19" ht="14.25" customHeight="1" x14ac:dyDescent="0.35">
      <c r="N872" s="36"/>
      <c r="Q872" s="3"/>
      <c r="S872" s="3"/>
    </row>
    <row r="873" spans="14:19" ht="14.25" customHeight="1" x14ac:dyDescent="0.35">
      <c r="N873" s="36"/>
      <c r="Q873" s="3"/>
      <c r="S873" s="3"/>
    </row>
    <row r="874" spans="14:19" ht="14.25" customHeight="1" x14ac:dyDescent="0.35">
      <c r="N874" s="36"/>
      <c r="Q874" s="3"/>
      <c r="S874" s="3"/>
    </row>
    <row r="875" spans="14:19" ht="14.25" customHeight="1" x14ac:dyDescent="0.35">
      <c r="N875" s="36"/>
      <c r="Q875" s="3"/>
      <c r="S875" s="3"/>
    </row>
    <row r="876" spans="14:19" ht="14.25" customHeight="1" x14ac:dyDescent="0.35">
      <c r="N876" s="36"/>
      <c r="Q876" s="3"/>
      <c r="S876" s="3"/>
    </row>
    <row r="877" spans="14:19" ht="14.25" customHeight="1" x14ac:dyDescent="0.35">
      <c r="N877" s="36"/>
      <c r="Q877" s="3"/>
      <c r="S877" s="3"/>
    </row>
    <row r="878" spans="14:19" ht="14.25" customHeight="1" x14ac:dyDescent="0.35">
      <c r="N878" s="36"/>
      <c r="Q878" s="3"/>
      <c r="S878" s="3"/>
    </row>
    <row r="879" spans="14:19" ht="14.25" customHeight="1" x14ac:dyDescent="0.35">
      <c r="N879" s="36"/>
      <c r="Q879" s="3"/>
      <c r="S879" s="3"/>
    </row>
    <row r="880" spans="14:19" ht="14.25" customHeight="1" x14ac:dyDescent="0.35">
      <c r="N880" s="36"/>
      <c r="Q880" s="3"/>
      <c r="S880" s="3"/>
    </row>
    <row r="881" spans="14:19" ht="14.25" customHeight="1" x14ac:dyDescent="0.35">
      <c r="N881" s="36"/>
      <c r="Q881" s="3"/>
      <c r="S881" s="3"/>
    </row>
    <row r="882" spans="14:19" ht="14.25" customHeight="1" x14ac:dyDescent="0.35">
      <c r="N882" s="36"/>
      <c r="Q882" s="3"/>
      <c r="S882" s="3"/>
    </row>
    <row r="883" spans="14:19" ht="14.25" customHeight="1" x14ac:dyDescent="0.35">
      <c r="N883" s="36"/>
      <c r="Q883" s="3"/>
      <c r="S883" s="3"/>
    </row>
    <row r="884" spans="14:19" ht="14.25" customHeight="1" x14ac:dyDescent="0.35">
      <c r="N884" s="36"/>
      <c r="Q884" s="3"/>
      <c r="S884" s="3"/>
    </row>
    <row r="885" spans="14:19" ht="14.25" customHeight="1" x14ac:dyDescent="0.35">
      <c r="N885" s="36"/>
      <c r="Q885" s="3"/>
      <c r="S885" s="3"/>
    </row>
    <row r="886" spans="14:19" ht="14.25" customHeight="1" x14ac:dyDescent="0.35">
      <c r="N886" s="36"/>
      <c r="Q886" s="3"/>
      <c r="S886" s="3"/>
    </row>
    <row r="887" spans="14:19" ht="14.25" customHeight="1" x14ac:dyDescent="0.35">
      <c r="N887" s="36"/>
      <c r="Q887" s="3"/>
      <c r="S887" s="3"/>
    </row>
    <row r="888" spans="14:19" ht="14.25" customHeight="1" x14ac:dyDescent="0.35">
      <c r="N888" s="36"/>
      <c r="Q888" s="3"/>
      <c r="S888" s="3"/>
    </row>
    <row r="889" spans="14:19" ht="14.25" customHeight="1" x14ac:dyDescent="0.35">
      <c r="N889" s="36"/>
      <c r="Q889" s="3"/>
      <c r="S889" s="3"/>
    </row>
    <row r="890" spans="14:19" ht="14.25" customHeight="1" x14ac:dyDescent="0.35">
      <c r="N890" s="36"/>
      <c r="Q890" s="3"/>
      <c r="S890" s="3"/>
    </row>
    <row r="891" spans="14:19" ht="14.25" customHeight="1" x14ac:dyDescent="0.35">
      <c r="N891" s="36"/>
      <c r="Q891" s="3"/>
      <c r="S891" s="3"/>
    </row>
    <row r="892" spans="14:19" ht="14.25" customHeight="1" x14ac:dyDescent="0.35">
      <c r="N892" s="36"/>
      <c r="Q892" s="3"/>
      <c r="S892" s="3"/>
    </row>
    <row r="893" spans="14:19" ht="14.25" customHeight="1" x14ac:dyDescent="0.35">
      <c r="N893" s="36"/>
      <c r="Q893" s="3"/>
      <c r="S893" s="3"/>
    </row>
    <row r="894" spans="14:19" ht="14.25" customHeight="1" x14ac:dyDescent="0.35">
      <c r="N894" s="36"/>
      <c r="Q894" s="3"/>
      <c r="S894" s="3"/>
    </row>
    <row r="895" spans="14:19" ht="14.25" customHeight="1" x14ac:dyDescent="0.35">
      <c r="N895" s="36"/>
      <c r="Q895" s="3"/>
      <c r="S895" s="3"/>
    </row>
    <row r="896" spans="14:19" ht="14.25" customHeight="1" x14ac:dyDescent="0.35">
      <c r="N896" s="36"/>
      <c r="Q896" s="3"/>
      <c r="S896" s="3"/>
    </row>
    <row r="897" spans="14:19" ht="14.25" customHeight="1" x14ac:dyDescent="0.35">
      <c r="N897" s="36"/>
      <c r="Q897" s="3"/>
      <c r="S897" s="3"/>
    </row>
    <row r="898" spans="14:19" ht="14.25" customHeight="1" x14ac:dyDescent="0.35">
      <c r="N898" s="36"/>
      <c r="Q898" s="3"/>
      <c r="S898" s="3"/>
    </row>
    <row r="899" spans="14:19" ht="14.25" customHeight="1" x14ac:dyDescent="0.35">
      <c r="N899" s="36"/>
      <c r="Q899" s="3"/>
      <c r="S899" s="3"/>
    </row>
    <row r="900" spans="14:19" ht="14.25" customHeight="1" x14ac:dyDescent="0.35">
      <c r="N900" s="36"/>
      <c r="Q900" s="3"/>
      <c r="S900" s="3"/>
    </row>
    <row r="901" spans="14:19" ht="14.25" customHeight="1" x14ac:dyDescent="0.35">
      <c r="N901" s="36"/>
      <c r="Q901" s="3"/>
      <c r="S901" s="3"/>
    </row>
    <row r="902" spans="14:19" ht="14.25" customHeight="1" x14ac:dyDescent="0.35">
      <c r="N902" s="36"/>
      <c r="Q902" s="3"/>
      <c r="S902" s="3"/>
    </row>
    <row r="903" spans="14:19" ht="14.25" customHeight="1" x14ac:dyDescent="0.35">
      <c r="N903" s="36"/>
      <c r="Q903" s="3"/>
      <c r="S903" s="3"/>
    </row>
    <row r="904" spans="14:19" ht="14.25" customHeight="1" x14ac:dyDescent="0.35">
      <c r="N904" s="36"/>
      <c r="Q904" s="3"/>
      <c r="S904" s="3"/>
    </row>
    <row r="905" spans="14:19" ht="14.25" customHeight="1" x14ac:dyDescent="0.35">
      <c r="N905" s="36"/>
      <c r="Q905" s="3"/>
      <c r="S905" s="3"/>
    </row>
    <row r="906" spans="14:19" ht="14.25" customHeight="1" x14ac:dyDescent="0.35">
      <c r="N906" s="36"/>
      <c r="Q906" s="3"/>
      <c r="S906" s="3"/>
    </row>
    <row r="907" spans="14:19" ht="14.25" customHeight="1" x14ac:dyDescent="0.35">
      <c r="N907" s="36"/>
      <c r="Q907" s="3"/>
      <c r="S907" s="3"/>
    </row>
    <row r="908" spans="14:19" ht="14.25" customHeight="1" x14ac:dyDescent="0.35">
      <c r="N908" s="36"/>
      <c r="Q908" s="3"/>
      <c r="S908" s="3"/>
    </row>
    <row r="909" spans="14:19" ht="14.25" customHeight="1" x14ac:dyDescent="0.35">
      <c r="N909" s="36"/>
      <c r="Q909" s="3"/>
      <c r="S909" s="3"/>
    </row>
    <row r="910" spans="14:19" ht="14.25" customHeight="1" x14ac:dyDescent="0.35">
      <c r="N910" s="36"/>
      <c r="Q910" s="3"/>
      <c r="S910" s="3"/>
    </row>
    <row r="911" spans="14:19" ht="14.25" customHeight="1" x14ac:dyDescent="0.35">
      <c r="N911" s="36"/>
      <c r="Q911" s="3"/>
      <c r="S911" s="3"/>
    </row>
    <row r="912" spans="14:19" ht="14.25" customHeight="1" x14ac:dyDescent="0.35">
      <c r="N912" s="36"/>
      <c r="Q912" s="3"/>
      <c r="S912" s="3"/>
    </row>
    <row r="913" spans="14:19" ht="14.25" customHeight="1" x14ac:dyDescent="0.35">
      <c r="N913" s="36"/>
      <c r="Q913" s="3"/>
      <c r="S913" s="3"/>
    </row>
    <row r="914" spans="14:19" ht="14.25" customHeight="1" x14ac:dyDescent="0.35">
      <c r="N914" s="36"/>
      <c r="Q914" s="3"/>
      <c r="S914" s="3"/>
    </row>
    <row r="915" spans="14:19" ht="14.25" customHeight="1" x14ac:dyDescent="0.35">
      <c r="N915" s="36"/>
      <c r="Q915" s="3"/>
      <c r="S915" s="3"/>
    </row>
    <row r="916" spans="14:19" ht="14.25" customHeight="1" x14ac:dyDescent="0.35">
      <c r="N916" s="36"/>
      <c r="Q916" s="3"/>
      <c r="S916" s="3"/>
    </row>
    <row r="917" spans="14:19" ht="14.25" customHeight="1" x14ac:dyDescent="0.35">
      <c r="N917" s="36"/>
      <c r="Q917" s="3"/>
      <c r="S917" s="3"/>
    </row>
    <row r="918" spans="14:19" ht="14.25" customHeight="1" x14ac:dyDescent="0.35">
      <c r="N918" s="36"/>
      <c r="Q918" s="3"/>
      <c r="S918" s="3"/>
    </row>
    <row r="919" spans="14:19" ht="14.25" customHeight="1" x14ac:dyDescent="0.35">
      <c r="N919" s="36"/>
      <c r="Q919" s="3"/>
      <c r="S919" s="3"/>
    </row>
    <row r="920" spans="14:19" ht="14.25" customHeight="1" x14ac:dyDescent="0.35">
      <c r="N920" s="36"/>
      <c r="Q920" s="3"/>
      <c r="S920" s="3"/>
    </row>
    <row r="921" spans="14:19" ht="14.25" customHeight="1" x14ac:dyDescent="0.35">
      <c r="N921" s="36"/>
      <c r="Q921" s="3"/>
      <c r="S921" s="3"/>
    </row>
    <row r="922" spans="14:19" ht="14.25" customHeight="1" x14ac:dyDescent="0.35">
      <c r="N922" s="36"/>
      <c r="Q922" s="3"/>
      <c r="S922" s="3"/>
    </row>
    <row r="923" spans="14:19" ht="14.25" customHeight="1" x14ac:dyDescent="0.35">
      <c r="N923" s="36"/>
      <c r="Q923" s="3"/>
      <c r="S923" s="3"/>
    </row>
    <row r="924" spans="14:19" ht="14.25" customHeight="1" x14ac:dyDescent="0.35">
      <c r="N924" s="36"/>
      <c r="Q924" s="3"/>
      <c r="S924" s="3"/>
    </row>
    <row r="925" spans="14:19" ht="14.25" customHeight="1" x14ac:dyDescent="0.35">
      <c r="N925" s="36"/>
      <c r="Q925" s="3"/>
      <c r="S925" s="3"/>
    </row>
    <row r="926" spans="14:19" ht="14.25" customHeight="1" x14ac:dyDescent="0.35">
      <c r="N926" s="36"/>
      <c r="Q926" s="3"/>
      <c r="S926" s="3"/>
    </row>
    <row r="927" spans="14:19" ht="14.25" customHeight="1" x14ac:dyDescent="0.35">
      <c r="N927" s="36"/>
      <c r="Q927" s="3"/>
      <c r="S927" s="3"/>
    </row>
    <row r="928" spans="14:19" ht="14.25" customHeight="1" x14ac:dyDescent="0.35">
      <c r="N928" s="36"/>
      <c r="Q928" s="3"/>
      <c r="S928" s="3"/>
    </row>
    <row r="929" spans="14:19" ht="14.25" customHeight="1" x14ac:dyDescent="0.35">
      <c r="N929" s="36"/>
      <c r="Q929" s="3"/>
      <c r="S929" s="3"/>
    </row>
    <row r="930" spans="14:19" ht="14.25" customHeight="1" x14ac:dyDescent="0.35">
      <c r="N930" s="36"/>
      <c r="Q930" s="3"/>
      <c r="S930" s="3"/>
    </row>
    <row r="931" spans="14:19" ht="14.25" customHeight="1" x14ac:dyDescent="0.35">
      <c r="N931" s="36"/>
      <c r="Q931" s="3"/>
      <c r="S931" s="3"/>
    </row>
    <row r="932" spans="14:19" ht="14.25" customHeight="1" x14ac:dyDescent="0.35">
      <c r="N932" s="36"/>
      <c r="Q932" s="3"/>
      <c r="S932" s="3"/>
    </row>
    <row r="933" spans="14:19" ht="14.25" customHeight="1" x14ac:dyDescent="0.35">
      <c r="N933" s="36"/>
      <c r="Q933" s="3"/>
      <c r="S933" s="3"/>
    </row>
    <row r="934" spans="14:19" ht="14.25" customHeight="1" x14ac:dyDescent="0.35">
      <c r="N934" s="36"/>
      <c r="Q934" s="3"/>
      <c r="S934" s="3"/>
    </row>
    <row r="935" spans="14:19" ht="14.25" customHeight="1" x14ac:dyDescent="0.35">
      <c r="N935" s="36"/>
      <c r="Q935" s="3"/>
      <c r="S935" s="3"/>
    </row>
    <row r="936" spans="14:19" ht="14.25" customHeight="1" x14ac:dyDescent="0.35">
      <c r="N936" s="36"/>
      <c r="Q936" s="3"/>
      <c r="S936" s="3"/>
    </row>
    <row r="937" spans="14:19" ht="14.25" customHeight="1" x14ac:dyDescent="0.35">
      <c r="N937" s="36"/>
      <c r="Q937" s="3"/>
      <c r="S937" s="3"/>
    </row>
    <row r="938" spans="14:19" ht="14.25" customHeight="1" x14ac:dyDescent="0.35">
      <c r="N938" s="36"/>
      <c r="Q938" s="3"/>
      <c r="S938" s="3"/>
    </row>
    <row r="939" spans="14:19" ht="14.25" customHeight="1" x14ac:dyDescent="0.35">
      <c r="N939" s="36"/>
      <c r="Q939" s="3"/>
      <c r="S939" s="3"/>
    </row>
    <row r="940" spans="14:19" ht="14.25" customHeight="1" x14ac:dyDescent="0.35">
      <c r="N940" s="36"/>
      <c r="Q940" s="3"/>
      <c r="S940" s="3"/>
    </row>
    <row r="941" spans="14:19" ht="14.25" customHeight="1" x14ac:dyDescent="0.35">
      <c r="N941" s="36"/>
      <c r="Q941" s="3"/>
      <c r="S941" s="3"/>
    </row>
    <row r="942" spans="14:19" ht="14.25" customHeight="1" x14ac:dyDescent="0.35">
      <c r="N942" s="36"/>
      <c r="Q942" s="3"/>
      <c r="S942" s="3"/>
    </row>
    <row r="943" spans="14:19" ht="14.25" customHeight="1" x14ac:dyDescent="0.35">
      <c r="N943" s="36"/>
      <c r="Q943" s="3"/>
      <c r="S943" s="3"/>
    </row>
    <row r="944" spans="14:19" ht="14.25" customHeight="1" x14ac:dyDescent="0.35">
      <c r="N944" s="36"/>
      <c r="Q944" s="3"/>
      <c r="S944" s="3"/>
    </row>
    <row r="945" spans="14:19" ht="14.25" customHeight="1" x14ac:dyDescent="0.35">
      <c r="N945" s="36"/>
      <c r="Q945" s="3"/>
      <c r="S945" s="3"/>
    </row>
    <row r="946" spans="14:19" ht="14.25" customHeight="1" x14ac:dyDescent="0.35">
      <c r="N946" s="36"/>
      <c r="Q946" s="3"/>
      <c r="S946" s="3"/>
    </row>
    <row r="947" spans="14:19" ht="14.25" customHeight="1" x14ac:dyDescent="0.35">
      <c r="N947" s="36"/>
      <c r="Q947" s="3"/>
      <c r="S947" s="3"/>
    </row>
    <row r="948" spans="14:19" ht="14.25" customHeight="1" x14ac:dyDescent="0.35">
      <c r="N948" s="36"/>
      <c r="Q948" s="3"/>
      <c r="S948" s="3"/>
    </row>
    <row r="949" spans="14:19" ht="14.25" customHeight="1" x14ac:dyDescent="0.35">
      <c r="N949" s="36"/>
      <c r="Q949" s="3"/>
      <c r="S949" s="3"/>
    </row>
    <row r="950" spans="14:19" ht="14.25" customHeight="1" x14ac:dyDescent="0.35">
      <c r="N950" s="36"/>
      <c r="Q950" s="3"/>
      <c r="S950" s="3"/>
    </row>
    <row r="951" spans="14:19" ht="14.25" customHeight="1" x14ac:dyDescent="0.35">
      <c r="N951" s="36"/>
      <c r="Q951" s="3"/>
      <c r="S951" s="3"/>
    </row>
    <row r="952" spans="14:19" ht="14.25" customHeight="1" x14ac:dyDescent="0.35">
      <c r="N952" s="36"/>
      <c r="Q952" s="3"/>
      <c r="S952" s="3"/>
    </row>
    <row r="953" spans="14:19" ht="14.25" customHeight="1" x14ac:dyDescent="0.35">
      <c r="N953" s="36"/>
      <c r="Q953" s="3"/>
      <c r="S953" s="3"/>
    </row>
    <row r="954" spans="14:19" ht="14.25" customHeight="1" x14ac:dyDescent="0.35">
      <c r="N954" s="36"/>
      <c r="Q954" s="3"/>
      <c r="S954" s="3"/>
    </row>
    <row r="955" spans="14:19" ht="14.25" customHeight="1" x14ac:dyDescent="0.35">
      <c r="N955" s="36"/>
      <c r="Q955" s="3"/>
      <c r="S955" s="3"/>
    </row>
    <row r="956" spans="14:19" ht="14.25" customHeight="1" x14ac:dyDescent="0.35">
      <c r="N956" s="36"/>
      <c r="Q956" s="3"/>
      <c r="S956" s="3"/>
    </row>
    <row r="957" spans="14:19" ht="14.25" customHeight="1" x14ac:dyDescent="0.35">
      <c r="N957" s="36"/>
      <c r="Q957" s="3"/>
      <c r="S957" s="3"/>
    </row>
    <row r="958" spans="14:19" ht="14.25" customHeight="1" x14ac:dyDescent="0.35">
      <c r="N958" s="36"/>
      <c r="Q958" s="3"/>
      <c r="S958" s="3"/>
    </row>
    <row r="959" spans="14:19" ht="14.25" customHeight="1" x14ac:dyDescent="0.35">
      <c r="N959" s="36"/>
      <c r="Q959" s="3"/>
      <c r="S959" s="3"/>
    </row>
    <row r="960" spans="14:19" ht="14.25" customHeight="1" x14ac:dyDescent="0.35">
      <c r="N960" s="36"/>
      <c r="Q960" s="3"/>
      <c r="S960" s="3"/>
    </row>
    <row r="961" spans="14:19" ht="14.25" customHeight="1" x14ac:dyDescent="0.35">
      <c r="N961" s="36"/>
      <c r="Q961" s="3"/>
      <c r="S961" s="3"/>
    </row>
    <row r="962" spans="14:19" ht="14.25" customHeight="1" x14ac:dyDescent="0.35">
      <c r="N962" s="36"/>
      <c r="Q962" s="3"/>
      <c r="S962" s="3"/>
    </row>
    <row r="963" spans="14:19" ht="14.25" customHeight="1" x14ac:dyDescent="0.35">
      <c r="N963" s="36"/>
      <c r="Q963" s="3"/>
      <c r="S963" s="3"/>
    </row>
    <row r="964" spans="14:19" ht="14.25" customHeight="1" x14ac:dyDescent="0.35">
      <c r="N964" s="36"/>
      <c r="Q964" s="3"/>
      <c r="S964" s="3"/>
    </row>
    <row r="965" spans="14:19" ht="14.25" customHeight="1" x14ac:dyDescent="0.35">
      <c r="N965" s="36"/>
      <c r="Q965" s="3"/>
      <c r="S965" s="3"/>
    </row>
    <row r="966" spans="14:19" ht="14.25" customHeight="1" x14ac:dyDescent="0.35">
      <c r="N966" s="36"/>
      <c r="Q966" s="3"/>
      <c r="S966" s="3"/>
    </row>
    <row r="967" spans="14:19" ht="14.25" customHeight="1" x14ac:dyDescent="0.35">
      <c r="N967" s="36"/>
      <c r="Q967" s="3"/>
      <c r="S967" s="3"/>
    </row>
    <row r="968" spans="14:19" ht="14.25" customHeight="1" x14ac:dyDescent="0.35">
      <c r="N968" s="36"/>
      <c r="Q968" s="3"/>
      <c r="S968" s="3"/>
    </row>
    <row r="969" spans="14:19" ht="14.25" customHeight="1" x14ac:dyDescent="0.35">
      <c r="N969" s="36"/>
      <c r="Q969" s="3"/>
      <c r="S969" s="3"/>
    </row>
    <row r="970" spans="14:19" ht="14.25" customHeight="1" x14ac:dyDescent="0.35">
      <c r="N970" s="36"/>
      <c r="Q970" s="3"/>
      <c r="S970" s="3"/>
    </row>
    <row r="971" spans="14:19" ht="14.25" customHeight="1" x14ac:dyDescent="0.35">
      <c r="N971" s="36"/>
      <c r="Q971" s="3"/>
      <c r="S971" s="3"/>
    </row>
    <row r="972" spans="14:19" ht="14.25" customHeight="1" x14ac:dyDescent="0.35">
      <c r="N972" s="36"/>
      <c r="Q972" s="3"/>
      <c r="S972" s="3"/>
    </row>
    <row r="973" spans="14:19" ht="14.25" customHeight="1" x14ac:dyDescent="0.35">
      <c r="N973" s="36"/>
      <c r="Q973" s="3"/>
      <c r="S973" s="3"/>
    </row>
    <row r="974" spans="14:19" ht="14.25" customHeight="1" x14ac:dyDescent="0.35">
      <c r="N974" s="36"/>
      <c r="Q974" s="3"/>
      <c r="S974" s="3"/>
    </row>
    <row r="975" spans="14:19" ht="14.25" customHeight="1" x14ac:dyDescent="0.35">
      <c r="N975" s="36"/>
      <c r="Q975" s="3"/>
      <c r="S975" s="3"/>
    </row>
    <row r="976" spans="14:19" ht="14.25" customHeight="1" x14ac:dyDescent="0.35">
      <c r="N976" s="36"/>
      <c r="Q976" s="3"/>
      <c r="S976" s="3"/>
    </row>
    <row r="977" spans="14:19" ht="14.25" customHeight="1" x14ac:dyDescent="0.35">
      <c r="N977" s="36"/>
      <c r="Q977" s="3"/>
      <c r="S977" s="3"/>
    </row>
    <row r="978" spans="14:19" ht="14.25" customHeight="1" x14ac:dyDescent="0.35">
      <c r="N978" s="36"/>
      <c r="Q978" s="3"/>
      <c r="S978" s="3"/>
    </row>
    <row r="979" spans="14:19" ht="14.25" customHeight="1" x14ac:dyDescent="0.35">
      <c r="N979" s="36"/>
      <c r="Q979" s="3"/>
      <c r="S979" s="3"/>
    </row>
    <row r="980" spans="14:19" ht="14.25" customHeight="1" x14ac:dyDescent="0.35">
      <c r="N980" s="36"/>
      <c r="Q980" s="3"/>
      <c r="S980" s="3"/>
    </row>
    <row r="981" spans="14:19" ht="14.25" customHeight="1" x14ac:dyDescent="0.35">
      <c r="N981" s="36"/>
      <c r="Q981" s="3"/>
      <c r="S981" s="3"/>
    </row>
    <row r="982" spans="14:19" ht="14.25" customHeight="1" x14ac:dyDescent="0.35">
      <c r="N982" s="36"/>
      <c r="Q982" s="3"/>
      <c r="S982" s="3"/>
    </row>
    <row r="983" spans="14:19" ht="14.25" customHeight="1" x14ac:dyDescent="0.35">
      <c r="N983" s="36"/>
      <c r="Q983" s="3"/>
      <c r="S983" s="3"/>
    </row>
    <row r="984" spans="14:19" ht="14.25" customHeight="1" x14ac:dyDescent="0.35">
      <c r="N984" s="36"/>
      <c r="Q984" s="3"/>
      <c r="S984" s="3"/>
    </row>
    <row r="985" spans="14:19" ht="14.25" customHeight="1" x14ac:dyDescent="0.35">
      <c r="N985" s="36"/>
      <c r="Q985" s="3"/>
      <c r="S985" s="3"/>
    </row>
    <row r="986" spans="14:19" ht="14.25" customHeight="1" x14ac:dyDescent="0.35">
      <c r="N986" s="36"/>
      <c r="Q986" s="3"/>
      <c r="S986" s="3"/>
    </row>
    <row r="987" spans="14:19" ht="14.25" customHeight="1" x14ac:dyDescent="0.35">
      <c r="N987" s="36"/>
      <c r="Q987" s="3"/>
      <c r="S987" s="3"/>
    </row>
    <row r="988" spans="14:19" ht="14.25" customHeight="1" x14ac:dyDescent="0.35">
      <c r="N988" s="36"/>
      <c r="Q988" s="3"/>
      <c r="S988" s="3"/>
    </row>
    <row r="989" spans="14:19" ht="14.25" customHeight="1" x14ac:dyDescent="0.35">
      <c r="N989" s="36"/>
      <c r="Q989" s="3"/>
      <c r="S989" s="3"/>
    </row>
    <row r="990" spans="14:19" ht="14.25" customHeight="1" x14ac:dyDescent="0.35">
      <c r="N990" s="36"/>
      <c r="Q990" s="3"/>
      <c r="S990" s="3"/>
    </row>
    <row r="991" spans="14:19" ht="14.25" customHeight="1" x14ac:dyDescent="0.35">
      <c r="N991" s="36"/>
      <c r="Q991" s="3"/>
      <c r="S991" s="3"/>
    </row>
    <row r="992" spans="14:19" ht="14.25" customHeight="1" x14ac:dyDescent="0.35">
      <c r="N992" s="36"/>
      <c r="Q992" s="3"/>
      <c r="S992" s="3"/>
    </row>
    <row r="993" spans="14:19" ht="14.25" customHeight="1" x14ac:dyDescent="0.35">
      <c r="N993" s="36"/>
      <c r="Q993" s="3"/>
      <c r="S993" s="3"/>
    </row>
    <row r="994" spans="14:19" ht="14.25" customHeight="1" x14ac:dyDescent="0.35">
      <c r="N994" s="36"/>
      <c r="Q994" s="3"/>
      <c r="S994" s="3"/>
    </row>
    <row r="995" spans="14:19" ht="14.25" customHeight="1" x14ac:dyDescent="0.35">
      <c r="N995" s="36"/>
      <c r="Q995" s="3"/>
      <c r="S995" s="3"/>
    </row>
    <row r="996" spans="14:19" ht="14.25" customHeight="1" x14ac:dyDescent="0.35">
      <c r="N996" s="36"/>
      <c r="Q996" s="3"/>
      <c r="S996" s="3"/>
    </row>
    <row r="997" spans="14:19" ht="14.25" customHeight="1" x14ac:dyDescent="0.35">
      <c r="N997" s="36"/>
      <c r="Q997" s="3"/>
      <c r="S997" s="3"/>
    </row>
    <row r="998" spans="14:19" ht="14.25" customHeight="1" x14ac:dyDescent="0.35">
      <c r="N998" s="36"/>
      <c r="Q998" s="3"/>
      <c r="S998" s="3"/>
    </row>
    <row r="999" spans="14:19" ht="14.25" customHeight="1" x14ac:dyDescent="0.35">
      <c r="N999" s="36"/>
      <c r="Q999" s="3"/>
      <c r="S999" s="3"/>
    </row>
    <row r="1000" spans="14:19" ht="14.25" customHeight="1" x14ac:dyDescent="0.35">
      <c r="N1000" s="36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80" activePane="bottomLeft" state="frozen"/>
      <selection pane="bottomLeft" activeCell="B89" sqref="B89"/>
    </sheetView>
  </sheetViews>
  <sheetFormatPr defaultColWidth="12.54296875" defaultRowHeight="15" customHeight="1" x14ac:dyDescent="0.35"/>
  <cols>
    <col min="1" max="1" width="8.54296875" style="71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7" t="s">
        <v>1783</v>
      </c>
      <c r="B1" s="57" t="s">
        <v>1297</v>
      </c>
      <c r="C1" s="57" t="s">
        <v>1806</v>
      </c>
      <c r="D1" s="57" t="s">
        <v>1807</v>
      </c>
      <c r="E1" s="57" t="s">
        <v>1774</v>
      </c>
      <c r="F1" s="57" t="s">
        <v>1808</v>
      </c>
      <c r="G1" s="57" t="s">
        <v>9</v>
      </c>
      <c r="H1" s="57" t="s">
        <v>1786</v>
      </c>
      <c r="I1" s="57" t="s">
        <v>1809</v>
      </c>
      <c r="J1" s="57" t="s">
        <v>1810</v>
      </c>
      <c r="K1" s="57" t="s">
        <v>1542</v>
      </c>
      <c r="L1" s="57" t="s">
        <v>1811</v>
      </c>
      <c r="M1" s="57" t="s">
        <v>0</v>
      </c>
      <c r="N1" s="57" t="s">
        <v>1</v>
      </c>
      <c r="O1" s="57" t="s">
        <v>1547</v>
      </c>
      <c r="P1" s="57" t="s">
        <v>1812</v>
      </c>
      <c r="Q1" s="57" t="s">
        <v>1813</v>
      </c>
      <c r="R1" s="56" t="s">
        <v>1814</v>
      </c>
      <c r="S1" s="57" t="s">
        <v>1295</v>
      </c>
      <c r="T1" s="112" t="s">
        <v>2161</v>
      </c>
    </row>
    <row r="2" spans="1:20" ht="14.25" customHeight="1" x14ac:dyDescent="0.35">
      <c r="A2" s="133">
        <v>1</v>
      </c>
      <c r="B2" s="134" t="s">
        <v>1028</v>
      </c>
      <c r="C2" s="135">
        <v>45805</v>
      </c>
      <c r="D2" s="135">
        <v>45809</v>
      </c>
      <c r="E2" s="135">
        <v>45433</v>
      </c>
      <c r="F2" s="134" t="s">
        <v>1815</v>
      </c>
      <c r="G2" s="134" t="s">
        <v>20</v>
      </c>
      <c r="H2" s="134"/>
      <c r="I2" s="136"/>
      <c r="J2" s="134">
        <v>10</v>
      </c>
      <c r="K2" s="134"/>
      <c r="L2" s="134"/>
      <c r="M2" s="134" t="s">
        <v>1816</v>
      </c>
      <c r="N2" s="137"/>
      <c r="O2" s="134" t="s">
        <v>1817</v>
      </c>
      <c r="P2" s="136" t="s">
        <v>487</v>
      </c>
      <c r="Q2" s="136" t="s">
        <v>1818</v>
      </c>
      <c r="R2" s="134"/>
      <c r="S2" s="138" t="s">
        <v>487</v>
      </c>
    </row>
    <row r="3" spans="1:20" ht="14.25" customHeight="1" x14ac:dyDescent="0.35">
      <c r="A3" s="139">
        <v>2</v>
      </c>
      <c r="B3" s="140" t="s">
        <v>1819</v>
      </c>
      <c r="C3" s="141">
        <v>45776</v>
      </c>
      <c r="D3" s="141">
        <v>45778</v>
      </c>
      <c r="E3" s="141">
        <v>45499</v>
      </c>
      <c r="F3" s="140" t="s">
        <v>1815</v>
      </c>
      <c r="G3" s="140" t="s">
        <v>20</v>
      </c>
      <c r="H3" s="140"/>
      <c r="I3" s="142"/>
      <c r="J3" s="140">
        <v>10</v>
      </c>
      <c r="K3" s="140"/>
      <c r="L3" s="140"/>
      <c r="M3" s="140" t="s">
        <v>1820</v>
      </c>
      <c r="N3" s="143"/>
      <c r="O3" s="140"/>
      <c r="P3" s="142" t="s">
        <v>487</v>
      </c>
      <c r="Q3" s="142" t="s">
        <v>1818</v>
      </c>
      <c r="R3" s="140"/>
      <c r="S3" s="144" t="s">
        <v>1818</v>
      </c>
    </row>
    <row r="4" spans="1:20" ht="14.25" customHeight="1" x14ac:dyDescent="0.35">
      <c r="A4" s="133">
        <v>3</v>
      </c>
      <c r="B4" s="134" t="s">
        <v>1821</v>
      </c>
      <c r="C4" s="135">
        <v>45813</v>
      </c>
      <c r="D4" s="135">
        <v>45817</v>
      </c>
      <c r="E4" s="135">
        <v>45515</v>
      </c>
      <c r="F4" s="134" t="s">
        <v>1815</v>
      </c>
      <c r="G4" s="134" t="s">
        <v>9</v>
      </c>
      <c r="H4" s="134"/>
      <c r="I4" s="136"/>
      <c r="J4" s="134">
        <v>10</v>
      </c>
      <c r="K4" s="134">
        <v>2</v>
      </c>
      <c r="L4" s="134">
        <v>5</v>
      </c>
      <c r="M4" s="134" t="s">
        <v>1822</v>
      </c>
      <c r="N4" s="137" t="s">
        <v>2130</v>
      </c>
      <c r="O4" s="134" t="s">
        <v>2308</v>
      </c>
      <c r="P4" s="136" t="s">
        <v>487</v>
      </c>
      <c r="Q4" s="136" t="s">
        <v>1818</v>
      </c>
      <c r="R4" s="134"/>
      <c r="S4" s="138" t="s">
        <v>1818</v>
      </c>
      <c r="T4" s="145" t="s">
        <v>1823</v>
      </c>
    </row>
    <row r="5" spans="1:20" ht="14.25" customHeight="1" x14ac:dyDescent="0.35">
      <c r="A5" s="139">
        <v>4</v>
      </c>
      <c r="B5" s="140" t="s">
        <v>1824</v>
      </c>
      <c r="C5" s="141">
        <v>45850</v>
      </c>
      <c r="D5" s="141">
        <v>45864</v>
      </c>
      <c r="E5" s="141">
        <v>45612</v>
      </c>
      <c r="F5" s="140" t="s">
        <v>1760</v>
      </c>
      <c r="G5" s="140" t="s">
        <v>9</v>
      </c>
      <c r="H5" s="140"/>
      <c r="I5" s="142" t="s">
        <v>1797</v>
      </c>
      <c r="J5" s="140">
        <v>10</v>
      </c>
      <c r="K5" s="140">
        <v>1</v>
      </c>
      <c r="L5" s="140">
        <v>2</v>
      </c>
      <c r="M5" s="140" t="s">
        <v>1032</v>
      </c>
      <c r="N5" s="143" t="s">
        <v>1033</v>
      </c>
      <c r="O5" s="140" t="s">
        <v>1825</v>
      </c>
      <c r="P5" s="142" t="s">
        <v>487</v>
      </c>
      <c r="Q5" s="142" t="s">
        <v>487</v>
      </c>
      <c r="R5" s="146">
        <v>13230</v>
      </c>
      <c r="S5" s="144" t="s">
        <v>1826</v>
      </c>
    </row>
    <row r="6" spans="1:20" ht="14.25" customHeight="1" x14ac:dyDescent="0.35">
      <c r="A6" s="133">
        <v>5</v>
      </c>
      <c r="B6" s="134" t="s">
        <v>793</v>
      </c>
      <c r="C6" s="135">
        <v>45792</v>
      </c>
      <c r="D6" s="135">
        <v>45799</v>
      </c>
      <c r="E6" s="135">
        <v>45610</v>
      </c>
      <c r="F6" s="134" t="s">
        <v>1760</v>
      </c>
      <c r="G6" s="134" t="s">
        <v>9</v>
      </c>
      <c r="H6" s="134"/>
      <c r="I6" s="136" t="s">
        <v>1827</v>
      </c>
      <c r="J6" s="134">
        <v>10</v>
      </c>
      <c r="K6" s="134">
        <v>1</v>
      </c>
      <c r="L6" s="134">
        <v>2</v>
      </c>
      <c r="M6" s="134" t="s">
        <v>1828</v>
      </c>
      <c r="N6" s="137">
        <v>49407112141</v>
      </c>
      <c r="O6" s="134" t="s">
        <v>1829</v>
      </c>
      <c r="P6" s="136" t="s">
        <v>487</v>
      </c>
      <c r="Q6" s="136" t="s">
        <v>1818</v>
      </c>
      <c r="R6" s="146">
        <v>8136</v>
      </c>
      <c r="S6" s="138" t="s">
        <v>1818</v>
      </c>
    </row>
    <row r="7" spans="1:20" ht="14.25" customHeight="1" x14ac:dyDescent="0.35">
      <c r="A7" s="133">
        <v>6</v>
      </c>
      <c r="B7" s="147" t="s">
        <v>1830</v>
      </c>
      <c r="C7" s="148">
        <v>45873</v>
      </c>
      <c r="D7" s="148">
        <v>45879</v>
      </c>
      <c r="E7" s="148">
        <v>45592</v>
      </c>
      <c r="F7" s="147" t="s">
        <v>487</v>
      </c>
      <c r="G7" s="71" t="s">
        <v>9</v>
      </c>
      <c r="H7" s="71"/>
      <c r="I7" s="71"/>
      <c r="J7" s="149">
        <v>10</v>
      </c>
      <c r="K7" s="149">
        <v>1</v>
      </c>
      <c r="L7" s="149">
        <v>2</v>
      </c>
      <c r="M7" s="150" t="s">
        <v>1831</v>
      </c>
      <c r="N7" s="115" t="s">
        <v>2309</v>
      </c>
      <c r="O7" s="71" t="s">
        <v>1832</v>
      </c>
      <c r="P7" s="71"/>
      <c r="Q7" s="71"/>
      <c r="R7" s="151">
        <v>5670</v>
      </c>
      <c r="S7" s="71"/>
      <c r="T7" t="s">
        <v>1833</v>
      </c>
    </row>
    <row r="8" spans="1:20" ht="14.25" customHeight="1" x14ac:dyDescent="0.35">
      <c r="A8" s="139">
        <v>7</v>
      </c>
      <c r="B8" s="147" t="s">
        <v>1834</v>
      </c>
      <c r="C8" s="148">
        <v>45873</v>
      </c>
      <c r="D8" s="148">
        <v>45879</v>
      </c>
      <c r="E8" s="148">
        <v>45592</v>
      </c>
      <c r="F8" s="147" t="s">
        <v>487</v>
      </c>
      <c r="G8" s="71" t="s">
        <v>9</v>
      </c>
      <c r="H8" s="71"/>
      <c r="I8" s="71" t="s">
        <v>1827</v>
      </c>
      <c r="J8" s="149">
        <v>10</v>
      </c>
      <c r="K8" s="149">
        <v>1</v>
      </c>
      <c r="L8" s="149">
        <v>2</v>
      </c>
      <c r="M8" s="152" t="s">
        <v>2310</v>
      </c>
      <c r="N8" s="115" t="s">
        <v>2311</v>
      </c>
      <c r="O8" s="71" t="s">
        <v>1835</v>
      </c>
      <c r="P8" s="71"/>
      <c r="Q8" s="71" t="s">
        <v>487</v>
      </c>
      <c r="R8" s="151">
        <v>5670</v>
      </c>
      <c r="S8" s="71"/>
      <c r="T8" t="s">
        <v>1836</v>
      </c>
    </row>
    <row r="9" spans="1:20" ht="14.25" customHeight="1" x14ac:dyDescent="0.35">
      <c r="A9" s="133">
        <v>8</v>
      </c>
      <c r="B9" s="147" t="s">
        <v>1837</v>
      </c>
      <c r="C9" s="148">
        <v>45841</v>
      </c>
      <c r="D9" s="148">
        <v>45848</v>
      </c>
      <c r="E9" s="148">
        <v>45575</v>
      </c>
      <c r="F9" s="147" t="s">
        <v>1758</v>
      </c>
      <c r="G9" s="71" t="s">
        <v>9</v>
      </c>
      <c r="H9" s="71"/>
      <c r="I9" s="71"/>
      <c r="J9" s="149">
        <v>10</v>
      </c>
      <c r="K9" s="149">
        <v>1</v>
      </c>
      <c r="L9" s="149">
        <v>2</v>
      </c>
      <c r="M9" s="150" t="s">
        <v>1838</v>
      </c>
      <c r="N9" s="115" t="s">
        <v>2312</v>
      </c>
      <c r="O9" s="71"/>
      <c r="P9" s="71"/>
      <c r="Q9" s="71" t="s">
        <v>1818</v>
      </c>
      <c r="R9" s="151">
        <v>7975</v>
      </c>
      <c r="S9" s="71"/>
      <c r="T9" t="s">
        <v>1839</v>
      </c>
    </row>
    <row r="10" spans="1:20" ht="14.25" customHeight="1" x14ac:dyDescent="0.35">
      <c r="A10" s="133">
        <v>9</v>
      </c>
      <c r="B10" s="147" t="s">
        <v>2313</v>
      </c>
      <c r="C10" s="148">
        <v>45842</v>
      </c>
      <c r="D10" s="148">
        <v>45846</v>
      </c>
      <c r="E10" s="148">
        <v>45575</v>
      </c>
      <c r="F10" s="147" t="s">
        <v>1758</v>
      </c>
      <c r="G10" s="71" t="s">
        <v>9</v>
      </c>
      <c r="H10" s="71"/>
      <c r="I10" s="71"/>
      <c r="J10" s="149">
        <v>10</v>
      </c>
      <c r="K10" s="149">
        <v>1</v>
      </c>
      <c r="L10" s="149">
        <v>2</v>
      </c>
      <c r="M10" s="150" t="s">
        <v>1840</v>
      </c>
      <c r="N10" s="115" t="s">
        <v>2314</v>
      </c>
      <c r="O10" s="71"/>
      <c r="P10" s="71"/>
      <c r="Q10" s="71" t="s">
        <v>1818</v>
      </c>
      <c r="R10" s="151">
        <v>4500</v>
      </c>
      <c r="S10" s="147" t="s">
        <v>1818</v>
      </c>
    </row>
    <row r="11" spans="1:20" ht="14.25" customHeight="1" x14ac:dyDescent="0.35">
      <c r="A11" s="139">
        <v>10</v>
      </c>
      <c r="B11" s="147" t="s">
        <v>652</v>
      </c>
      <c r="C11" s="148">
        <v>45848</v>
      </c>
      <c r="D11" s="148">
        <v>45855</v>
      </c>
      <c r="E11" s="148">
        <v>45565</v>
      </c>
      <c r="F11" s="147" t="s">
        <v>1758</v>
      </c>
      <c r="G11" s="71" t="s">
        <v>9</v>
      </c>
      <c r="H11" s="71"/>
      <c r="I11" s="71" t="s">
        <v>1841</v>
      </c>
      <c r="J11" s="149">
        <v>10</v>
      </c>
      <c r="K11" s="149">
        <v>1</v>
      </c>
      <c r="L11" s="149">
        <v>2</v>
      </c>
      <c r="M11" s="152" t="s">
        <v>1842</v>
      </c>
      <c r="N11" s="115" t="s">
        <v>2315</v>
      </c>
      <c r="O11" s="71" t="s">
        <v>1843</v>
      </c>
      <c r="P11" s="71"/>
      <c r="Q11" s="71" t="s">
        <v>1818</v>
      </c>
      <c r="R11" s="151">
        <v>7875</v>
      </c>
      <c r="S11" s="147" t="s">
        <v>1818</v>
      </c>
    </row>
    <row r="12" spans="1:20" ht="14.25" customHeight="1" x14ac:dyDescent="0.35">
      <c r="A12" s="133">
        <v>11</v>
      </c>
      <c r="B12" s="147" t="s">
        <v>1844</v>
      </c>
      <c r="C12" s="90">
        <v>45823</v>
      </c>
      <c r="D12" s="90">
        <v>45830</v>
      </c>
      <c r="E12" s="90">
        <v>45552</v>
      </c>
      <c r="F12" s="147" t="s">
        <v>1760</v>
      </c>
      <c r="G12" s="71" t="s">
        <v>9</v>
      </c>
      <c r="H12" s="71"/>
      <c r="I12" s="71" t="s">
        <v>1841</v>
      </c>
      <c r="J12" s="149">
        <v>10</v>
      </c>
      <c r="K12" s="149">
        <v>1</v>
      </c>
      <c r="L12" s="149">
        <v>2</v>
      </c>
      <c r="M12" s="150" t="s">
        <v>1845</v>
      </c>
      <c r="N12" s="115" t="s">
        <v>2316</v>
      </c>
      <c r="O12" s="71" t="s">
        <v>1846</v>
      </c>
      <c r="P12" s="71"/>
      <c r="Q12" s="71" t="s">
        <v>1818</v>
      </c>
      <c r="R12" s="151">
        <v>7719</v>
      </c>
      <c r="S12" s="71"/>
    </row>
    <row r="13" spans="1:20" ht="14.25" customHeight="1" x14ac:dyDescent="0.35">
      <c r="A13" s="133">
        <v>12</v>
      </c>
      <c r="B13" s="147" t="s">
        <v>1028</v>
      </c>
      <c r="C13" s="148">
        <v>45791</v>
      </c>
      <c r="D13" s="148">
        <v>45795</v>
      </c>
      <c r="E13" s="148">
        <v>45669</v>
      </c>
      <c r="F13" s="147" t="s">
        <v>1758</v>
      </c>
      <c r="G13" s="71" t="s">
        <v>9</v>
      </c>
      <c r="H13" s="71"/>
      <c r="I13" s="71" t="s">
        <v>1841</v>
      </c>
      <c r="J13" s="149">
        <v>10</v>
      </c>
      <c r="K13" s="149">
        <v>1</v>
      </c>
      <c r="L13" s="149">
        <v>2</v>
      </c>
      <c r="M13" s="152" t="s">
        <v>1847</v>
      </c>
      <c r="N13" s="115" t="s">
        <v>2317</v>
      </c>
      <c r="O13" s="71" t="s">
        <v>1848</v>
      </c>
      <c r="P13" s="71"/>
      <c r="Q13" s="71" t="s">
        <v>1818</v>
      </c>
      <c r="R13" s="151">
        <v>4068</v>
      </c>
      <c r="S13" s="147" t="s">
        <v>1818</v>
      </c>
    </row>
    <row r="14" spans="1:20" ht="14.25" customHeight="1" x14ac:dyDescent="0.35">
      <c r="A14" s="139">
        <v>13</v>
      </c>
      <c r="B14" t="s">
        <v>737</v>
      </c>
      <c r="C14" s="90">
        <v>45844</v>
      </c>
      <c r="D14" s="90">
        <v>45851</v>
      </c>
      <c r="E14" s="90">
        <v>45669</v>
      </c>
      <c r="F14" s="147" t="s">
        <v>1758</v>
      </c>
      <c r="G14" t="s">
        <v>9</v>
      </c>
      <c r="H14" s="91"/>
      <c r="I14" s="71"/>
      <c r="J14">
        <v>10</v>
      </c>
      <c r="K14">
        <v>1</v>
      </c>
      <c r="L14">
        <v>2</v>
      </c>
      <c r="M14" s="92" t="s">
        <v>1849</v>
      </c>
      <c r="N14" s="115" t="s">
        <v>2088</v>
      </c>
      <c r="O14" t="s">
        <v>65</v>
      </c>
      <c r="P14" s="71"/>
      <c r="Q14" s="71" t="s">
        <v>487</v>
      </c>
      <c r="R14" s="93">
        <v>6615</v>
      </c>
    </row>
    <row r="15" spans="1:20" ht="14.25" customHeight="1" x14ac:dyDescent="0.35">
      <c r="A15" s="133">
        <v>14</v>
      </c>
      <c r="B15" t="s">
        <v>832</v>
      </c>
      <c r="C15" s="90">
        <v>45826</v>
      </c>
      <c r="D15" s="90">
        <v>45831</v>
      </c>
      <c r="E15" s="90">
        <v>45622</v>
      </c>
      <c r="F15" s="147" t="s">
        <v>1759</v>
      </c>
      <c r="G15" t="s">
        <v>20</v>
      </c>
      <c r="H15" s="91"/>
      <c r="I15" s="71"/>
      <c r="M15" s="92" t="s">
        <v>1850</v>
      </c>
      <c r="N15" s="115"/>
      <c r="P15" s="71"/>
      <c r="Q15" s="71"/>
      <c r="R15" s="93"/>
    </row>
    <row r="16" spans="1:20" ht="14.25" customHeight="1" x14ac:dyDescent="0.35">
      <c r="A16" s="133">
        <v>15</v>
      </c>
      <c r="B16" t="s">
        <v>1851</v>
      </c>
      <c r="C16" s="90">
        <v>45882</v>
      </c>
      <c r="D16" s="90">
        <v>45886</v>
      </c>
      <c r="E16" s="90">
        <v>45622</v>
      </c>
      <c r="F16" s="147" t="s">
        <v>1758</v>
      </c>
      <c r="G16" t="s">
        <v>9</v>
      </c>
      <c r="H16" s="91"/>
      <c r="I16" s="71"/>
      <c r="J16">
        <v>8</v>
      </c>
      <c r="K16">
        <v>2</v>
      </c>
      <c r="L16">
        <v>4</v>
      </c>
      <c r="M16" s="92" t="s">
        <v>1852</v>
      </c>
      <c r="N16" s="115" t="s">
        <v>2318</v>
      </c>
      <c r="P16" s="71"/>
      <c r="Q16" s="71" t="s">
        <v>1818</v>
      </c>
      <c r="R16" s="93">
        <v>9200</v>
      </c>
      <c r="T16" t="s">
        <v>1853</v>
      </c>
    </row>
    <row r="17" spans="1:20" ht="14.25" customHeight="1" x14ac:dyDescent="0.35">
      <c r="A17" s="139">
        <v>16</v>
      </c>
      <c r="B17" t="s">
        <v>1129</v>
      </c>
      <c r="C17" s="90">
        <v>45878</v>
      </c>
      <c r="D17" s="90">
        <v>45882</v>
      </c>
      <c r="E17" s="90">
        <v>45623</v>
      </c>
      <c r="F17" t="s">
        <v>1758</v>
      </c>
      <c r="G17" t="s">
        <v>9</v>
      </c>
      <c r="H17" s="91" t="s">
        <v>2319</v>
      </c>
      <c r="I17" s="71" t="s">
        <v>1827</v>
      </c>
      <c r="J17">
        <v>10</v>
      </c>
      <c r="K17">
        <v>1</v>
      </c>
      <c r="L17">
        <v>2</v>
      </c>
      <c r="M17" s="92" t="s">
        <v>1854</v>
      </c>
      <c r="N17" s="115" t="s">
        <v>2320</v>
      </c>
      <c r="P17" s="71"/>
      <c r="Q17" s="71" t="s">
        <v>1818</v>
      </c>
      <c r="R17" s="93">
        <v>4500</v>
      </c>
      <c r="T17" t="s">
        <v>1855</v>
      </c>
    </row>
    <row r="18" spans="1:20" ht="14.25" customHeight="1" x14ac:dyDescent="0.35">
      <c r="A18" s="133">
        <v>17</v>
      </c>
      <c r="B18" t="s">
        <v>8</v>
      </c>
      <c r="C18" s="90">
        <v>45851</v>
      </c>
      <c r="D18" s="90">
        <v>45865</v>
      </c>
      <c r="E18" s="90">
        <v>45642</v>
      </c>
      <c r="F18" t="s">
        <v>1758</v>
      </c>
      <c r="G18" t="s">
        <v>9</v>
      </c>
      <c r="H18" s="91"/>
      <c r="I18" s="71" t="s">
        <v>1827</v>
      </c>
      <c r="K18">
        <v>1</v>
      </c>
      <c r="L18">
        <v>1</v>
      </c>
      <c r="M18" s="92" t="s">
        <v>6</v>
      </c>
      <c r="N18" s="115"/>
      <c r="P18" s="71" t="s">
        <v>1818</v>
      </c>
      <c r="Q18" s="71" t="s">
        <v>1818</v>
      </c>
      <c r="R18" s="93"/>
      <c r="S18" t="s">
        <v>1826</v>
      </c>
    </row>
    <row r="19" spans="1:20" ht="14.25" customHeight="1" x14ac:dyDescent="0.35">
      <c r="A19" s="133">
        <v>18</v>
      </c>
      <c r="B19" t="s">
        <v>1856</v>
      </c>
      <c r="C19" s="90">
        <v>45818</v>
      </c>
      <c r="D19" s="90">
        <v>45824</v>
      </c>
      <c r="E19" s="90">
        <v>45642</v>
      </c>
      <c r="F19" t="s">
        <v>1758</v>
      </c>
      <c r="G19" t="s">
        <v>9</v>
      </c>
      <c r="H19" s="91"/>
      <c r="I19" s="71"/>
      <c r="K19">
        <v>1</v>
      </c>
      <c r="L19">
        <v>2</v>
      </c>
      <c r="M19" s="92" t="s">
        <v>1857</v>
      </c>
      <c r="N19" s="115">
        <v>4530604703</v>
      </c>
      <c r="P19" s="71"/>
      <c r="Q19" s="71" t="s">
        <v>1818</v>
      </c>
      <c r="R19" s="93"/>
      <c r="T19" t="s">
        <v>728</v>
      </c>
    </row>
    <row r="20" spans="1:20" ht="14.25" customHeight="1" x14ac:dyDescent="0.35">
      <c r="A20" s="139">
        <v>19</v>
      </c>
      <c r="B20" t="s">
        <v>1858</v>
      </c>
      <c r="C20" s="90">
        <v>45882</v>
      </c>
      <c r="D20" s="90">
        <v>45886</v>
      </c>
      <c r="E20" s="90">
        <v>45642</v>
      </c>
      <c r="F20" t="s">
        <v>1758</v>
      </c>
      <c r="G20" t="s">
        <v>9</v>
      </c>
      <c r="H20" s="91"/>
      <c r="I20" s="71"/>
      <c r="K20">
        <v>2</v>
      </c>
      <c r="L20">
        <v>3</v>
      </c>
      <c r="M20" s="92" t="s">
        <v>2321</v>
      </c>
      <c r="N20" s="115" t="s">
        <v>2322</v>
      </c>
      <c r="P20" s="71"/>
      <c r="Q20" s="71" t="s">
        <v>1818</v>
      </c>
      <c r="R20" s="93">
        <v>7820</v>
      </c>
      <c r="S20" t="s">
        <v>1826</v>
      </c>
      <c r="T20" t="s">
        <v>2323</v>
      </c>
    </row>
    <row r="21" spans="1:20" ht="14.25" customHeight="1" x14ac:dyDescent="0.35">
      <c r="A21" s="133">
        <v>20</v>
      </c>
      <c r="B21" t="s">
        <v>185</v>
      </c>
      <c r="C21" s="90">
        <v>45788</v>
      </c>
      <c r="D21" s="90">
        <v>45792</v>
      </c>
      <c r="E21" s="90">
        <v>45642</v>
      </c>
      <c r="F21" t="s">
        <v>1758</v>
      </c>
      <c r="G21" t="s">
        <v>9</v>
      </c>
      <c r="H21" s="91"/>
      <c r="I21" s="71"/>
      <c r="J21">
        <v>15</v>
      </c>
      <c r="K21">
        <v>1</v>
      </c>
      <c r="L21">
        <v>2</v>
      </c>
      <c r="N21" s="115" t="s">
        <v>2065</v>
      </c>
      <c r="O21" t="s">
        <v>408</v>
      </c>
      <c r="P21" s="71"/>
      <c r="Q21" s="71" t="s">
        <v>1818</v>
      </c>
      <c r="R21" s="93"/>
      <c r="S21" t="s">
        <v>1826</v>
      </c>
    </row>
    <row r="22" spans="1:20" ht="14.25" customHeight="1" x14ac:dyDescent="0.35">
      <c r="A22" s="133">
        <v>21</v>
      </c>
      <c r="B22" t="s">
        <v>51</v>
      </c>
      <c r="C22" s="90">
        <v>45847</v>
      </c>
      <c r="D22" s="90">
        <v>45854</v>
      </c>
      <c r="E22" s="90">
        <v>45642</v>
      </c>
      <c r="F22" t="s">
        <v>1758</v>
      </c>
      <c r="G22" t="s">
        <v>9</v>
      </c>
      <c r="H22" s="91"/>
      <c r="I22" s="71" t="s">
        <v>1841</v>
      </c>
      <c r="K22">
        <v>1</v>
      </c>
      <c r="L22">
        <v>2</v>
      </c>
      <c r="M22" s="92" t="s">
        <v>49</v>
      </c>
      <c r="N22" s="115" t="s">
        <v>1965</v>
      </c>
      <c r="O22" t="s">
        <v>179</v>
      </c>
      <c r="P22" s="71"/>
      <c r="Q22" s="71" t="s">
        <v>1818</v>
      </c>
      <c r="R22" s="93"/>
      <c r="S22" t="s">
        <v>1826</v>
      </c>
    </row>
    <row r="23" spans="1:20" ht="14.25" customHeight="1" x14ac:dyDescent="0.35">
      <c r="A23" s="139">
        <v>22</v>
      </c>
      <c r="B23" t="s">
        <v>1859</v>
      </c>
      <c r="C23" s="90">
        <v>45854</v>
      </c>
      <c r="D23" s="90">
        <v>45861</v>
      </c>
      <c r="E23" s="90">
        <v>45669</v>
      </c>
      <c r="F23" t="s">
        <v>1758</v>
      </c>
      <c r="G23" t="s">
        <v>9</v>
      </c>
      <c r="H23" s="91"/>
      <c r="I23" s="71" t="s">
        <v>1841</v>
      </c>
      <c r="K23">
        <v>1</v>
      </c>
      <c r="L23">
        <v>2</v>
      </c>
      <c r="M23" s="92" t="s">
        <v>1860</v>
      </c>
      <c r="N23" s="115" t="s">
        <v>2324</v>
      </c>
      <c r="P23" s="71"/>
      <c r="Q23" s="71" t="s">
        <v>1818</v>
      </c>
      <c r="R23" s="93"/>
    </row>
    <row r="24" spans="1:20" ht="14.25" customHeight="1" x14ac:dyDescent="0.35">
      <c r="A24" s="133">
        <v>23</v>
      </c>
      <c r="B24" t="s">
        <v>1861</v>
      </c>
      <c r="C24" s="90">
        <v>45843</v>
      </c>
      <c r="D24" s="90">
        <v>45850</v>
      </c>
      <c r="E24" s="90">
        <v>45654</v>
      </c>
      <c r="F24" t="s">
        <v>487</v>
      </c>
      <c r="G24" t="s">
        <v>1771</v>
      </c>
      <c r="H24" s="91"/>
      <c r="I24" s="71"/>
      <c r="N24" s="115"/>
      <c r="P24" s="71"/>
      <c r="Q24" s="71"/>
      <c r="R24" s="93"/>
    </row>
    <row r="25" spans="1:20" ht="14.25" customHeight="1" x14ac:dyDescent="0.35">
      <c r="A25" s="133">
        <v>24</v>
      </c>
      <c r="B25" t="s">
        <v>1026</v>
      </c>
      <c r="C25" s="90">
        <v>45883</v>
      </c>
      <c r="D25" s="90">
        <v>45886</v>
      </c>
      <c r="E25" s="90">
        <v>45655</v>
      </c>
      <c r="F25" t="s">
        <v>1758</v>
      </c>
      <c r="G25" t="s">
        <v>9</v>
      </c>
      <c r="H25" s="91"/>
      <c r="I25" s="71" t="s">
        <v>1841</v>
      </c>
      <c r="K25">
        <v>1</v>
      </c>
      <c r="L25">
        <v>2</v>
      </c>
      <c r="M25" s="92" t="s">
        <v>1863</v>
      </c>
      <c r="N25" s="115">
        <v>4551251135</v>
      </c>
      <c r="P25" s="71"/>
      <c r="Q25" s="71" t="s">
        <v>487</v>
      </c>
      <c r="R25" s="93">
        <v>2835</v>
      </c>
      <c r="S25" t="s">
        <v>1826</v>
      </c>
      <c r="T25" t="s">
        <v>1855</v>
      </c>
    </row>
    <row r="26" spans="1:20" ht="14.25" customHeight="1" x14ac:dyDescent="0.35">
      <c r="A26" s="139">
        <v>25</v>
      </c>
      <c r="B26" t="s">
        <v>1042</v>
      </c>
      <c r="C26" s="90">
        <v>45817</v>
      </c>
      <c r="D26" s="90">
        <v>45823</v>
      </c>
      <c r="E26" s="90">
        <v>45655</v>
      </c>
      <c r="F26" t="s">
        <v>1758</v>
      </c>
      <c r="G26" t="s">
        <v>9</v>
      </c>
      <c r="H26" s="91"/>
      <c r="I26" s="71"/>
      <c r="K26">
        <v>1</v>
      </c>
      <c r="L26">
        <v>2</v>
      </c>
      <c r="M26" s="92" t="s">
        <v>1040</v>
      </c>
      <c r="N26" s="115" t="s">
        <v>2132</v>
      </c>
      <c r="O26" t="s">
        <v>1864</v>
      </c>
      <c r="P26" s="71"/>
      <c r="Q26" s="71" t="s">
        <v>1818</v>
      </c>
      <c r="R26" s="93"/>
      <c r="S26" t="s">
        <v>1826</v>
      </c>
      <c r="T26" t="s">
        <v>728</v>
      </c>
    </row>
    <row r="27" spans="1:20" ht="14.25" customHeight="1" x14ac:dyDescent="0.35">
      <c r="A27" s="133">
        <v>26</v>
      </c>
      <c r="B27" t="s">
        <v>126</v>
      </c>
      <c r="C27" s="90">
        <v>45819</v>
      </c>
      <c r="D27" s="90">
        <v>45826</v>
      </c>
      <c r="E27" s="90">
        <v>45704</v>
      </c>
      <c r="F27" t="s">
        <v>1758</v>
      </c>
      <c r="G27" t="s">
        <v>9</v>
      </c>
      <c r="H27" s="91"/>
      <c r="I27" s="71"/>
      <c r="K27">
        <v>1</v>
      </c>
      <c r="L27">
        <v>2</v>
      </c>
      <c r="N27" s="153" t="s">
        <v>1985</v>
      </c>
      <c r="O27" t="s">
        <v>1069</v>
      </c>
      <c r="P27" s="71"/>
      <c r="Q27" s="71" t="s">
        <v>1818</v>
      </c>
      <c r="R27" s="93">
        <v>8750</v>
      </c>
      <c r="S27" t="s">
        <v>1826</v>
      </c>
      <c r="T27" t="s">
        <v>728</v>
      </c>
    </row>
    <row r="28" spans="1:20" ht="14.25" customHeight="1" x14ac:dyDescent="0.35">
      <c r="A28" s="133">
        <v>27</v>
      </c>
      <c r="B28" t="s">
        <v>623</v>
      </c>
      <c r="C28" s="90">
        <v>45857</v>
      </c>
      <c r="D28" s="90">
        <v>45864</v>
      </c>
      <c r="E28" s="90">
        <v>45656</v>
      </c>
      <c r="F28" t="s">
        <v>1758</v>
      </c>
      <c r="G28" t="s">
        <v>17</v>
      </c>
      <c r="H28" s="91"/>
      <c r="I28" s="71" t="s">
        <v>1865</v>
      </c>
      <c r="J28">
        <v>10</v>
      </c>
      <c r="K28">
        <v>1</v>
      </c>
      <c r="L28">
        <v>2</v>
      </c>
      <c r="M28" s="92" t="s">
        <v>621</v>
      </c>
      <c r="N28" s="115" t="s">
        <v>2159</v>
      </c>
      <c r="P28" s="71"/>
      <c r="Q28" s="71" t="s">
        <v>1818</v>
      </c>
      <c r="R28" s="93"/>
      <c r="S28" t="s">
        <v>1826</v>
      </c>
    </row>
    <row r="29" spans="1:20" ht="14.25" customHeight="1" x14ac:dyDescent="0.35">
      <c r="A29" s="139">
        <v>28</v>
      </c>
      <c r="B29" t="s">
        <v>1079</v>
      </c>
      <c r="C29" s="90">
        <v>45809</v>
      </c>
      <c r="D29" s="90">
        <v>45813</v>
      </c>
      <c r="E29" s="90">
        <v>45659</v>
      </c>
      <c r="F29" t="s">
        <v>1758</v>
      </c>
      <c r="G29" t="s">
        <v>17</v>
      </c>
      <c r="H29" s="91"/>
      <c r="I29" s="71"/>
      <c r="J29">
        <v>10</v>
      </c>
      <c r="K29">
        <v>1</v>
      </c>
      <c r="L29">
        <v>2</v>
      </c>
      <c r="M29" s="92" t="s">
        <v>1866</v>
      </c>
      <c r="N29" s="115" t="s">
        <v>2325</v>
      </c>
      <c r="O29" t="s">
        <v>1080</v>
      </c>
      <c r="P29" s="71"/>
      <c r="Q29" s="71" t="s">
        <v>487</v>
      </c>
      <c r="R29" s="93">
        <v>3348</v>
      </c>
      <c r="S29" t="s">
        <v>1826</v>
      </c>
    </row>
    <row r="30" spans="1:20" ht="14.25" customHeight="1" x14ac:dyDescent="0.35">
      <c r="A30" s="133">
        <v>29</v>
      </c>
      <c r="B30" t="s">
        <v>1867</v>
      </c>
      <c r="C30" s="90">
        <v>45894</v>
      </c>
      <c r="D30" s="90">
        <v>45900</v>
      </c>
      <c r="E30" s="90">
        <v>45659</v>
      </c>
      <c r="F30" t="s">
        <v>1759</v>
      </c>
      <c r="G30" t="s">
        <v>17</v>
      </c>
      <c r="H30" s="91"/>
      <c r="I30" s="71"/>
      <c r="J30">
        <v>10</v>
      </c>
      <c r="K30">
        <v>1</v>
      </c>
      <c r="L30">
        <v>2</v>
      </c>
      <c r="M30" s="92" t="s">
        <v>1441</v>
      </c>
      <c r="N30" s="115" t="s">
        <v>2377</v>
      </c>
      <c r="O30" t="s">
        <v>708</v>
      </c>
      <c r="P30" s="71"/>
      <c r="Q30" s="71" t="s">
        <v>487</v>
      </c>
      <c r="R30" s="93">
        <v>5022</v>
      </c>
      <c r="S30" t="s">
        <v>1826</v>
      </c>
    </row>
    <row r="31" spans="1:20" ht="14.25" customHeight="1" x14ac:dyDescent="0.35">
      <c r="A31" s="133">
        <v>30</v>
      </c>
      <c r="B31" t="s">
        <v>1868</v>
      </c>
      <c r="C31" s="90">
        <v>45847</v>
      </c>
      <c r="D31" s="90">
        <v>45857</v>
      </c>
      <c r="E31" s="90">
        <v>45659</v>
      </c>
      <c r="F31" t="s">
        <v>1760</v>
      </c>
      <c r="G31" t="s">
        <v>20</v>
      </c>
      <c r="H31" s="91"/>
      <c r="I31" s="71"/>
      <c r="N31" s="115"/>
      <c r="P31" s="71"/>
      <c r="Q31" s="71"/>
      <c r="R31" s="93"/>
    </row>
    <row r="32" spans="1:20" ht="14.25" customHeight="1" x14ac:dyDescent="0.35">
      <c r="A32" s="139">
        <v>31</v>
      </c>
      <c r="B32" t="s">
        <v>1869</v>
      </c>
      <c r="C32" s="90">
        <v>45840</v>
      </c>
      <c r="D32" s="90">
        <v>45845</v>
      </c>
      <c r="E32" s="90">
        <v>45662</v>
      </c>
      <c r="F32" t="s">
        <v>1760</v>
      </c>
      <c r="G32" t="s">
        <v>1862</v>
      </c>
      <c r="H32" s="91"/>
      <c r="I32" s="71" t="s">
        <v>1797</v>
      </c>
      <c r="K32">
        <v>1</v>
      </c>
      <c r="L32">
        <v>2</v>
      </c>
      <c r="N32" s="115" t="s">
        <v>2326</v>
      </c>
      <c r="P32" s="71"/>
      <c r="Q32" s="71" t="s">
        <v>1818</v>
      </c>
      <c r="R32" s="93">
        <v>6250</v>
      </c>
    </row>
    <row r="33" spans="1:20" ht="14.25" customHeight="1" x14ac:dyDescent="0.35">
      <c r="A33" s="133">
        <v>32</v>
      </c>
      <c r="B33" t="s">
        <v>996</v>
      </c>
      <c r="C33" s="90">
        <v>45913</v>
      </c>
      <c r="D33" s="90">
        <v>45921</v>
      </c>
      <c r="E33" s="90">
        <v>45669</v>
      </c>
      <c r="F33" t="s">
        <v>1758</v>
      </c>
      <c r="G33" t="s">
        <v>17</v>
      </c>
      <c r="H33" s="91"/>
      <c r="I33" s="71" t="s">
        <v>1841</v>
      </c>
      <c r="K33">
        <v>1</v>
      </c>
      <c r="L33">
        <v>2</v>
      </c>
      <c r="N33" s="115"/>
      <c r="O33" t="s">
        <v>1511</v>
      </c>
      <c r="P33" s="71"/>
      <c r="Q33" s="71" t="s">
        <v>1818</v>
      </c>
      <c r="R33" s="93">
        <v>8136</v>
      </c>
      <c r="S33" t="s">
        <v>1826</v>
      </c>
    </row>
    <row r="34" spans="1:20" ht="14.25" customHeight="1" x14ac:dyDescent="0.35">
      <c r="A34" s="133">
        <v>33</v>
      </c>
      <c r="B34" t="s">
        <v>16</v>
      </c>
      <c r="C34" s="90">
        <v>45917</v>
      </c>
      <c r="D34" s="90">
        <v>45922</v>
      </c>
      <c r="E34" s="90">
        <v>45668</v>
      </c>
      <c r="F34" t="s">
        <v>1758</v>
      </c>
      <c r="G34" t="s">
        <v>20</v>
      </c>
      <c r="H34" s="91"/>
      <c r="I34" s="71"/>
      <c r="M34" s="92" t="s">
        <v>1870</v>
      </c>
      <c r="N34" s="115"/>
      <c r="P34" s="71"/>
      <c r="Q34" s="71"/>
      <c r="R34" s="93"/>
    </row>
    <row r="35" spans="1:20" ht="14.25" customHeight="1" x14ac:dyDescent="0.35">
      <c r="A35" s="139">
        <v>34</v>
      </c>
      <c r="B35" t="s">
        <v>1871</v>
      </c>
      <c r="C35" s="90">
        <v>45864</v>
      </c>
      <c r="D35" s="90">
        <v>45870</v>
      </c>
      <c r="E35" s="90">
        <v>45669</v>
      </c>
      <c r="F35" t="s">
        <v>1872</v>
      </c>
      <c r="G35" t="s">
        <v>1862</v>
      </c>
      <c r="H35" s="91" t="s">
        <v>2327</v>
      </c>
      <c r="I35" s="71" t="s">
        <v>1797</v>
      </c>
      <c r="K35">
        <v>1</v>
      </c>
      <c r="L35">
        <v>2</v>
      </c>
      <c r="N35" s="115" t="s">
        <v>2328</v>
      </c>
      <c r="P35" s="71"/>
      <c r="Q35" s="71" t="s">
        <v>1818</v>
      </c>
      <c r="R35" s="93">
        <v>7500</v>
      </c>
    </row>
    <row r="36" spans="1:20" ht="14.25" customHeight="1" x14ac:dyDescent="0.35">
      <c r="A36" s="133">
        <v>35</v>
      </c>
      <c r="B36" t="s">
        <v>1873</v>
      </c>
      <c r="C36" s="90">
        <v>45810</v>
      </c>
      <c r="D36" s="90">
        <v>45813</v>
      </c>
      <c r="E36" s="90">
        <v>45673</v>
      </c>
      <c r="F36" t="s">
        <v>1758</v>
      </c>
      <c r="G36" t="s">
        <v>20</v>
      </c>
      <c r="H36" s="91"/>
      <c r="I36" s="71"/>
      <c r="N36" s="115"/>
      <c r="P36" s="71"/>
      <c r="Q36" s="71"/>
      <c r="R36" s="93"/>
    </row>
    <row r="37" spans="1:20" ht="14.25" customHeight="1" x14ac:dyDescent="0.35">
      <c r="A37" s="133">
        <v>36</v>
      </c>
      <c r="B37" t="s">
        <v>943</v>
      </c>
      <c r="C37" s="90">
        <v>45807</v>
      </c>
      <c r="D37" s="90">
        <v>45809</v>
      </c>
      <c r="E37" s="90">
        <v>45673</v>
      </c>
      <c r="F37" t="s">
        <v>1758</v>
      </c>
      <c r="G37" t="s">
        <v>9</v>
      </c>
      <c r="H37" s="91"/>
      <c r="I37" s="71"/>
      <c r="J37">
        <v>10</v>
      </c>
      <c r="K37">
        <v>2</v>
      </c>
      <c r="L37">
        <v>4</v>
      </c>
      <c r="M37" s="92" t="s">
        <v>1480</v>
      </c>
      <c r="N37" s="115">
        <v>4520143818</v>
      </c>
      <c r="O37" t="s">
        <v>2329</v>
      </c>
      <c r="P37" s="71"/>
      <c r="Q37" s="71" t="s">
        <v>1818</v>
      </c>
      <c r="R37" s="93">
        <v>4068</v>
      </c>
      <c r="S37" t="s">
        <v>1826</v>
      </c>
    </row>
    <row r="38" spans="1:20" ht="14.25" customHeight="1" x14ac:dyDescent="0.35">
      <c r="A38" s="139">
        <v>37</v>
      </c>
      <c r="B38" t="s">
        <v>1874</v>
      </c>
      <c r="C38" s="90">
        <v>45855</v>
      </c>
      <c r="D38" s="90">
        <v>45860</v>
      </c>
      <c r="E38" s="90">
        <v>45675</v>
      </c>
      <c r="F38" t="s">
        <v>1759</v>
      </c>
      <c r="G38" t="s">
        <v>20</v>
      </c>
      <c r="H38" s="91"/>
      <c r="I38" s="71"/>
      <c r="M38" s="92"/>
      <c r="N38" s="115"/>
      <c r="P38" s="71"/>
      <c r="Q38" s="71"/>
      <c r="R38" s="93"/>
    </row>
    <row r="39" spans="1:20" ht="14.25" customHeight="1" x14ac:dyDescent="0.35">
      <c r="A39" s="133">
        <v>38</v>
      </c>
      <c r="B39" t="s">
        <v>888</v>
      </c>
      <c r="C39" s="90">
        <v>45825</v>
      </c>
      <c r="D39" s="90">
        <v>45830</v>
      </c>
      <c r="E39" s="90">
        <v>45675</v>
      </c>
      <c r="F39" t="s">
        <v>1758</v>
      </c>
      <c r="G39" t="s">
        <v>17</v>
      </c>
      <c r="H39" s="91"/>
      <c r="I39" s="71" t="s">
        <v>1841</v>
      </c>
      <c r="J39">
        <v>10</v>
      </c>
      <c r="K39">
        <v>1</v>
      </c>
      <c r="L39">
        <v>2</v>
      </c>
      <c r="M39" s="92" t="s">
        <v>1093</v>
      </c>
      <c r="N39" s="115">
        <v>4561792423</v>
      </c>
      <c r="O39" t="s">
        <v>1521</v>
      </c>
      <c r="P39" s="71"/>
      <c r="Q39" s="71" t="s">
        <v>1818</v>
      </c>
      <c r="R39" s="93">
        <v>5085</v>
      </c>
      <c r="S39" t="s">
        <v>1826</v>
      </c>
    </row>
    <row r="40" spans="1:20" ht="14.25" customHeight="1" x14ac:dyDescent="0.35">
      <c r="A40" s="71">
        <v>39</v>
      </c>
      <c r="B40" t="s">
        <v>1875</v>
      </c>
      <c r="C40" s="90">
        <v>45861</v>
      </c>
      <c r="D40" s="90">
        <v>45871</v>
      </c>
      <c r="E40" s="90">
        <v>45675</v>
      </c>
      <c r="F40" t="s">
        <v>1760</v>
      </c>
      <c r="G40" t="s">
        <v>1862</v>
      </c>
      <c r="H40" s="91"/>
      <c r="I40" s="71"/>
      <c r="K40">
        <v>1</v>
      </c>
      <c r="L40">
        <v>2</v>
      </c>
      <c r="N40" s="115" t="s">
        <v>2330</v>
      </c>
      <c r="P40" s="71"/>
      <c r="Q40" s="71" t="s">
        <v>1876</v>
      </c>
      <c r="R40" s="93">
        <v>10500</v>
      </c>
      <c r="T40" t="s">
        <v>1877</v>
      </c>
    </row>
    <row r="41" spans="1:20" ht="14.25" customHeight="1" x14ac:dyDescent="0.35">
      <c r="A41" s="71">
        <v>40</v>
      </c>
      <c r="B41" t="s">
        <v>1898</v>
      </c>
      <c r="C41" s="90">
        <v>45864</v>
      </c>
      <c r="D41" s="90">
        <v>45871</v>
      </c>
      <c r="E41" s="90">
        <v>45677</v>
      </c>
      <c r="F41" t="s">
        <v>1758</v>
      </c>
      <c r="G41" t="s">
        <v>9</v>
      </c>
      <c r="H41" s="91"/>
      <c r="I41" s="71" t="s">
        <v>1841</v>
      </c>
      <c r="J41">
        <v>10</v>
      </c>
      <c r="K41">
        <v>1</v>
      </c>
      <c r="L41">
        <v>2</v>
      </c>
      <c r="M41" s="92" t="s">
        <v>1899</v>
      </c>
      <c r="N41" s="115" t="s">
        <v>2331</v>
      </c>
      <c r="O41" t="s">
        <v>109</v>
      </c>
      <c r="P41" s="71"/>
      <c r="Q41" s="71" t="s">
        <v>1818</v>
      </c>
      <c r="R41" s="93">
        <v>7875</v>
      </c>
      <c r="S41" t="s">
        <v>1826</v>
      </c>
    </row>
    <row r="42" spans="1:20" ht="14.25" customHeight="1" x14ac:dyDescent="0.35">
      <c r="A42" s="71">
        <v>41</v>
      </c>
      <c r="B42" t="s">
        <v>1900</v>
      </c>
      <c r="C42" s="90">
        <v>45864</v>
      </c>
      <c r="D42" s="90">
        <v>45870</v>
      </c>
      <c r="E42" s="90">
        <v>45677</v>
      </c>
      <c r="F42" t="s">
        <v>1758</v>
      </c>
      <c r="G42" t="s">
        <v>9</v>
      </c>
      <c r="H42" s="91"/>
      <c r="I42" s="71" t="s">
        <v>1797</v>
      </c>
      <c r="J42">
        <v>10</v>
      </c>
      <c r="K42">
        <v>1</v>
      </c>
      <c r="L42">
        <v>2</v>
      </c>
      <c r="M42" s="92" t="s">
        <v>1901</v>
      </c>
      <c r="N42" s="115" t="s">
        <v>2332</v>
      </c>
      <c r="O42" t="s">
        <v>1902</v>
      </c>
      <c r="P42" s="71"/>
      <c r="Q42" s="71" t="s">
        <v>1818</v>
      </c>
      <c r="R42" s="93"/>
      <c r="S42" t="s">
        <v>1826</v>
      </c>
      <c r="T42" t="s">
        <v>1903</v>
      </c>
    </row>
    <row r="43" spans="1:20" ht="14.25" customHeight="1" x14ac:dyDescent="0.35">
      <c r="A43" s="71">
        <v>42</v>
      </c>
      <c r="B43" t="s">
        <v>880</v>
      </c>
      <c r="C43" s="90">
        <v>45896</v>
      </c>
      <c r="D43" s="90">
        <v>45900</v>
      </c>
      <c r="E43" s="90">
        <v>45681</v>
      </c>
      <c r="F43" t="s">
        <v>1759</v>
      </c>
      <c r="G43" t="s">
        <v>9</v>
      </c>
      <c r="H43" s="91"/>
      <c r="I43" s="71" t="s">
        <v>1797</v>
      </c>
      <c r="J43">
        <v>10</v>
      </c>
      <c r="K43">
        <v>1</v>
      </c>
      <c r="L43">
        <v>2</v>
      </c>
      <c r="M43" s="92" t="s">
        <v>1904</v>
      </c>
      <c r="N43" s="115"/>
      <c r="O43" t="s">
        <v>1905</v>
      </c>
      <c r="P43" s="71"/>
      <c r="Q43" s="71" t="s">
        <v>1818</v>
      </c>
      <c r="R43" s="93"/>
      <c r="S43" t="s">
        <v>1826</v>
      </c>
      <c r="T43" t="s">
        <v>1906</v>
      </c>
    </row>
    <row r="44" spans="1:20" ht="14.25" customHeight="1" x14ac:dyDescent="0.35">
      <c r="A44" s="71">
        <v>43</v>
      </c>
      <c r="B44" t="s">
        <v>1907</v>
      </c>
      <c r="C44" s="90">
        <v>45835</v>
      </c>
      <c r="D44" s="90">
        <v>45843</v>
      </c>
      <c r="E44" s="90">
        <v>45684</v>
      </c>
      <c r="F44" t="s">
        <v>1760</v>
      </c>
      <c r="G44" t="s">
        <v>1862</v>
      </c>
      <c r="H44" s="91"/>
      <c r="I44" s="71" t="s">
        <v>1827</v>
      </c>
      <c r="K44">
        <v>1</v>
      </c>
      <c r="L44">
        <v>1</v>
      </c>
      <c r="N44" s="115" t="s">
        <v>2333</v>
      </c>
      <c r="P44" s="71" t="s">
        <v>1818</v>
      </c>
      <c r="Q44" s="71" t="s">
        <v>1818</v>
      </c>
      <c r="R44" s="93">
        <v>8160</v>
      </c>
    </row>
    <row r="45" spans="1:20" ht="14.25" customHeight="1" x14ac:dyDescent="0.35">
      <c r="A45" s="71">
        <v>44</v>
      </c>
      <c r="B45" t="s">
        <v>1908</v>
      </c>
      <c r="C45" s="90">
        <v>45901</v>
      </c>
      <c r="D45" s="90">
        <v>45906</v>
      </c>
      <c r="E45" s="90">
        <v>45685</v>
      </c>
      <c r="F45" t="s">
        <v>1762</v>
      </c>
      <c r="G45" t="s">
        <v>20</v>
      </c>
      <c r="H45" s="91"/>
      <c r="I45" s="71" t="s">
        <v>1827</v>
      </c>
      <c r="N45" s="115"/>
      <c r="P45" s="71"/>
      <c r="Q45" s="71"/>
      <c r="R45" s="93"/>
    </row>
    <row r="46" spans="1:20" ht="14.25" customHeight="1" x14ac:dyDescent="0.35">
      <c r="A46" s="71">
        <v>45</v>
      </c>
      <c r="B46" t="s">
        <v>1909</v>
      </c>
      <c r="C46" s="90">
        <v>45803</v>
      </c>
      <c r="D46" s="90">
        <v>45807</v>
      </c>
      <c r="E46" s="90">
        <v>45689</v>
      </c>
      <c r="F46" t="s">
        <v>1758</v>
      </c>
      <c r="G46" t="s">
        <v>48</v>
      </c>
      <c r="H46" s="91"/>
      <c r="I46" s="71"/>
      <c r="K46">
        <v>2</v>
      </c>
      <c r="L46">
        <v>2</v>
      </c>
      <c r="N46" s="115" t="s">
        <v>2334</v>
      </c>
      <c r="O46" t="s">
        <v>1910</v>
      </c>
      <c r="P46" s="71"/>
      <c r="Q46" s="71" t="s">
        <v>487</v>
      </c>
      <c r="R46" s="93">
        <v>7440</v>
      </c>
    </row>
    <row r="47" spans="1:20" ht="14.25" customHeight="1" x14ac:dyDescent="0.35">
      <c r="A47" s="71">
        <v>46</v>
      </c>
      <c r="B47" t="s">
        <v>418</v>
      </c>
      <c r="C47" s="90">
        <v>45796</v>
      </c>
      <c r="D47" s="90">
        <v>45800</v>
      </c>
      <c r="E47" s="90">
        <v>45692</v>
      </c>
      <c r="F47" t="s">
        <v>1758</v>
      </c>
      <c r="G47" t="s">
        <v>17</v>
      </c>
      <c r="H47" s="91"/>
      <c r="I47" s="71" t="s">
        <v>1841</v>
      </c>
      <c r="J47">
        <v>10</v>
      </c>
      <c r="K47">
        <v>1</v>
      </c>
      <c r="L47">
        <v>2</v>
      </c>
      <c r="M47" s="92" t="s">
        <v>1038</v>
      </c>
      <c r="N47" s="115" t="s">
        <v>2068</v>
      </c>
      <c r="O47" t="s">
        <v>1911</v>
      </c>
      <c r="P47" s="71"/>
      <c r="Q47" s="71" t="s">
        <v>1818</v>
      </c>
      <c r="R47" s="93">
        <v>4068</v>
      </c>
      <c r="S47" t="s">
        <v>1826</v>
      </c>
    </row>
    <row r="48" spans="1:20" ht="14.25" customHeight="1" x14ac:dyDescent="0.35">
      <c r="A48" s="71">
        <v>47</v>
      </c>
      <c r="B48" t="s">
        <v>1912</v>
      </c>
      <c r="C48" s="90">
        <v>45874</v>
      </c>
      <c r="D48" s="90">
        <v>45881</v>
      </c>
      <c r="E48" s="90">
        <v>45696</v>
      </c>
      <c r="F48" t="s">
        <v>1759</v>
      </c>
      <c r="G48" t="s">
        <v>1862</v>
      </c>
      <c r="H48" s="91"/>
      <c r="I48" s="71" t="s">
        <v>1827</v>
      </c>
      <c r="K48">
        <v>1</v>
      </c>
      <c r="L48">
        <v>1</v>
      </c>
      <c r="N48" s="115" t="s">
        <v>2335</v>
      </c>
      <c r="P48" s="71"/>
      <c r="Q48" s="71" t="s">
        <v>1818</v>
      </c>
      <c r="R48" s="93">
        <v>7350</v>
      </c>
    </row>
    <row r="49" spans="1:20" ht="14.25" customHeight="1" x14ac:dyDescent="0.35">
      <c r="A49" s="71">
        <v>48</v>
      </c>
      <c r="B49" t="s">
        <v>633</v>
      </c>
      <c r="C49" s="90">
        <v>45894</v>
      </c>
      <c r="D49" s="90">
        <v>45899</v>
      </c>
      <c r="E49" s="90">
        <v>45697</v>
      </c>
      <c r="F49" t="s">
        <v>1759</v>
      </c>
      <c r="G49" t="s">
        <v>20</v>
      </c>
      <c r="H49" s="91"/>
      <c r="I49" s="71"/>
      <c r="M49" s="92" t="s">
        <v>744</v>
      </c>
      <c r="N49" s="115"/>
      <c r="O49" t="s">
        <v>1073</v>
      </c>
      <c r="P49" s="71"/>
      <c r="Q49" s="71"/>
      <c r="R49" s="93"/>
    </row>
    <row r="50" spans="1:20" ht="14.25" customHeight="1" x14ac:dyDescent="0.35">
      <c r="A50" s="71">
        <v>49</v>
      </c>
      <c r="B50" t="s">
        <v>1913</v>
      </c>
      <c r="C50" s="90">
        <v>45791</v>
      </c>
      <c r="D50" s="90">
        <v>45796</v>
      </c>
      <c r="E50" s="90">
        <v>45701</v>
      </c>
      <c r="F50" t="s">
        <v>1758</v>
      </c>
      <c r="G50" t="s">
        <v>9</v>
      </c>
      <c r="H50" s="91"/>
      <c r="I50" s="71" t="s">
        <v>1827</v>
      </c>
      <c r="J50">
        <v>10</v>
      </c>
      <c r="K50">
        <v>1</v>
      </c>
      <c r="L50">
        <v>1</v>
      </c>
      <c r="M50" s="92" t="s">
        <v>1914</v>
      </c>
      <c r="N50" s="115" t="s">
        <v>2336</v>
      </c>
      <c r="P50" s="71" t="s">
        <v>1818</v>
      </c>
      <c r="Q50" s="71" t="s">
        <v>1818</v>
      </c>
      <c r="R50" s="93">
        <v>4185</v>
      </c>
    </row>
    <row r="51" spans="1:20" ht="14.25" customHeight="1" x14ac:dyDescent="0.35">
      <c r="A51" s="71">
        <v>50</v>
      </c>
      <c r="B51" t="s">
        <v>2337</v>
      </c>
      <c r="C51" s="90">
        <v>45827</v>
      </c>
      <c r="D51" s="90">
        <v>45832</v>
      </c>
      <c r="E51" s="90">
        <v>45703</v>
      </c>
      <c r="F51" t="s">
        <v>1758</v>
      </c>
      <c r="G51" t="s">
        <v>1862</v>
      </c>
      <c r="H51" s="91"/>
      <c r="I51" s="71" t="s">
        <v>1865</v>
      </c>
      <c r="K51">
        <v>1</v>
      </c>
      <c r="L51">
        <v>2</v>
      </c>
      <c r="N51" s="115">
        <v>4529908962</v>
      </c>
      <c r="P51" s="71"/>
      <c r="Q51" s="71" t="s">
        <v>487</v>
      </c>
      <c r="R51" s="93">
        <v>4650</v>
      </c>
      <c r="T51" t="s">
        <v>2338</v>
      </c>
    </row>
    <row r="52" spans="1:20" ht="14.25" customHeight="1" x14ac:dyDescent="0.35">
      <c r="A52" s="71">
        <v>51</v>
      </c>
      <c r="B52" t="s">
        <v>32</v>
      </c>
      <c r="C52" s="90">
        <v>45818</v>
      </c>
      <c r="D52" s="90">
        <v>45825</v>
      </c>
      <c r="E52" s="90">
        <v>45704</v>
      </c>
      <c r="F52" t="s">
        <v>1758</v>
      </c>
      <c r="G52" t="s">
        <v>9</v>
      </c>
      <c r="H52" s="91"/>
      <c r="I52" s="71"/>
      <c r="K52">
        <v>1</v>
      </c>
      <c r="L52">
        <v>2</v>
      </c>
      <c r="M52" s="92" t="s">
        <v>1916</v>
      </c>
      <c r="N52" s="115" t="s">
        <v>1963</v>
      </c>
      <c r="O52" t="s">
        <v>1039</v>
      </c>
      <c r="P52" s="71"/>
      <c r="Q52" s="71" t="s">
        <v>1818</v>
      </c>
      <c r="R52" s="93">
        <v>8750</v>
      </c>
      <c r="S52" t="s">
        <v>1826</v>
      </c>
      <c r="T52" t="s">
        <v>728</v>
      </c>
    </row>
    <row r="53" spans="1:20" ht="14.25" customHeight="1" x14ac:dyDescent="0.35">
      <c r="A53" s="71">
        <v>52</v>
      </c>
      <c r="B53" t="s">
        <v>16</v>
      </c>
      <c r="C53" s="90">
        <v>45818</v>
      </c>
      <c r="D53" s="90">
        <v>45823</v>
      </c>
      <c r="E53" s="90">
        <v>45704</v>
      </c>
      <c r="F53" t="s">
        <v>1758</v>
      </c>
      <c r="G53" t="s">
        <v>9</v>
      </c>
      <c r="H53" s="91"/>
      <c r="I53" s="71" t="s">
        <v>1827</v>
      </c>
      <c r="K53">
        <v>1</v>
      </c>
      <c r="L53">
        <v>1</v>
      </c>
      <c r="M53" s="92" t="s">
        <v>14</v>
      </c>
      <c r="N53" s="115" t="s">
        <v>1961</v>
      </c>
      <c r="P53" s="71" t="s">
        <v>1818</v>
      </c>
      <c r="Q53" s="71" t="s">
        <v>1818</v>
      </c>
      <c r="R53" s="93">
        <v>5250</v>
      </c>
      <c r="S53" t="s">
        <v>1826</v>
      </c>
      <c r="T53" t="s">
        <v>728</v>
      </c>
    </row>
    <row r="54" spans="1:20" ht="14.25" customHeight="1" x14ac:dyDescent="0.35">
      <c r="A54" s="71">
        <v>53</v>
      </c>
      <c r="B54" t="s">
        <v>1917</v>
      </c>
      <c r="C54" s="90">
        <v>45808</v>
      </c>
      <c r="D54" s="90">
        <v>45812</v>
      </c>
      <c r="E54" s="90">
        <v>45705</v>
      </c>
      <c r="F54" t="s">
        <v>1760</v>
      </c>
      <c r="G54" t="s">
        <v>1862</v>
      </c>
      <c r="H54" s="91"/>
      <c r="I54" s="71"/>
      <c r="K54">
        <v>1</v>
      </c>
      <c r="L54">
        <v>2</v>
      </c>
      <c r="N54" s="115" t="s">
        <v>2339</v>
      </c>
      <c r="P54" s="71"/>
      <c r="Q54" s="71" t="s">
        <v>487</v>
      </c>
      <c r="R54" s="93">
        <v>3720</v>
      </c>
    </row>
    <row r="55" spans="1:20" ht="14.25" customHeight="1" x14ac:dyDescent="0.35">
      <c r="A55" s="71">
        <v>54</v>
      </c>
      <c r="B55" t="s">
        <v>81</v>
      </c>
      <c r="C55" s="90">
        <v>45830</v>
      </c>
      <c r="D55" s="90">
        <v>45833</v>
      </c>
      <c r="E55" s="90">
        <v>45706</v>
      </c>
      <c r="F55" t="s">
        <v>1758</v>
      </c>
      <c r="G55" t="s">
        <v>20</v>
      </c>
      <c r="H55" s="91"/>
      <c r="I55" s="71"/>
      <c r="M55" s="92" t="s">
        <v>1918</v>
      </c>
      <c r="N55" s="115"/>
      <c r="P55" s="71"/>
      <c r="Q55" s="71"/>
      <c r="R55" s="93"/>
    </row>
    <row r="56" spans="1:20" ht="14.25" customHeight="1" x14ac:dyDescent="0.35">
      <c r="A56" s="71">
        <v>55</v>
      </c>
      <c r="B56" t="s">
        <v>1919</v>
      </c>
      <c r="C56" s="90">
        <v>45835</v>
      </c>
      <c r="D56" s="90">
        <v>45838</v>
      </c>
      <c r="E56" s="90">
        <v>45706</v>
      </c>
      <c r="F56" t="s">
        <v>1758</v>
      </c>
      <c r="G56" t="s">
        <v>9</v>
      </c>
      <c r="H56" s="91"/>
      <c r="I56" s="71" t="s">
        <v>1827</v>
      </c>
      <c r="J56">
        <v>5</v>
      </c>
      <c r="K56">
        <v>1</v>
      </c>
      <c r="L56">
        <v>2</v>
      </c>
      <c r="M56" s="92" t="s">
        <v>1920</v>
      </c>
      <c r="N56" s="115" t="s">
        <v>2340</v>
      </c>
      <c r="O56" t="s">
        <v>2341</v>
      </c>
      <c r="P56" s="71"/>
      <c r="Q56" s="71" t="s">
        <v>1818</v>
      </c>
      <c r="R56" s="93">
        <v>3334.5</v>
      </c>
      <c r="T56" t="s">
        <v>2342</v>
      </c>
    </row>
    <row r="57" spans="1:20" ht="14.25" customHeight="1" x14ac:dyDescent="0.35">
      <c r="A57" s="71">
        <v>56</v>
      </c>
      <c r="B57" t="s">
        <v>1100</v>
      </c>
      <c r="C57" s="90">
        <v>45778</v>
      </c>
      <c r="D57" s="90">
        <v>45781</v>
      </c>
      <c r="E57" s="90">
        <v>45706</v>
      </c>
      <c r="F57" t="s">
        <v>1950</v>
      </c>
      <c r="G57" t="s">
        <v>9</v>
      </c>
      <c r="H57" s="91"/>
      <c r="I57" s="71" t="s">
        <v>1841</v>
      </c>
      <c r="J57">
        <v>10</v>
      </c>
      <c r="K57">
        <v>1</v>
      </c>
      <c r="L57">
        <v>2</v>
      </c>
      <c r="M57" s="92" t="s">
        <v>1921</v>
      </c>
      <c r="N57" s="115">
        <v>4560805642</v>
      </c>
      <c r="P57" s="71"/>
      <c r="Q57" s="71" t="s">
        <v>1818</v>
      </c>
      <c r="R57" s="93">
        <v>2961</v>
      </c>
      <c r="T57" t="s">
        <v>2343</v>
      </c>
    </row>
    <row r="58" spans="1:20" ht="14.25" customHeight="1" x14ac:dyDescent="0.35">
      <c r="A58" s="71">
        <v>57</v>
      </c>
      <c r="B58" t="s">
        <v>1922</v>
      </c>
      <c r="C58" s="90">
        <v>45911</v>
      </c>
      <c r="D58" s="90">
        <v>45914</v>
      </c>
      <c r="E58" s="90">
        <v>45710</v>
      </c>
      <c r="F58" t="s">
        <v>1758</v>
      </c>
      <c r="G58" t="s">
        <v>20</v>
      </c>
      <c r="H58" s="91"/>
      <c r="I58" s="71"/>
      <c r="N58" s="115"/>
      <c r="P58" s="71"/>
      <c r="Q58" s="71"/>
      <c r="R58" s="93"/>
    </row>
    <row r="59" spans="1:20" ht="14.25" customHeight="1" x14ac:dyDescent="0.35">
      <c r="A59" s="71">
        <v>58</v>
      </c>
      <c r="B59" t="s">
        <v>607</v>
      </c>
      <c r="C59" s="90">
        <v>45904</v>
      </c>
      <c r="D59" s="90">
        <v>45908</v>
      </c>
      <c r="E59" s="90">
        <v>45714</v>
      </c>
      <c r="F59" t="s">
        <v>1758</v>
      </c>
      <c r="G59" t="s">
        <v>9</v>
      </c>
      <c r="H59" s="91"/>
      <c r="I59" s="71"/>
      <c r="J59">
        <v>10</v>
      </c>
      <c r="K59">
        <v>1</v>
      </c>
      <c r="L59">
        <v>2</v>
      </c>
      <c r="M59" s="92" t="s">
        <v>1923</v>
      </c>
      <c r="N59" s="115"/>
      <c r="O59" t="s">
        <v>1521</v>
      </c>
      <c r="P59" s="71"/>
      <c r="Q59" s="71" t="s">
        <v>1818</v>
      </c>
      <c r="R59" s="93">
        <v>4268</v>
      </c>
      <c r="T59" t="s">
        <v>1924</v>
      </c>
    </row>
    <row r="60" spans="1:20" ht="14.25" customHeight="1" x14ac:dyDescent="0.35">
      <c r="A60" s="71">
        <v>59</v>
      </c>
      <c r="B60" t="s">
        <v>898</v>
      </c>
      <c r="C60" s="90">
        <v>45867</v>
      </c>
      <c r="D60" s="90">
        <v>45872</v>
      </c>
      <c r="E60" s="90">
        <v>45719</v>
      </c>
      <c r="F60" t="s">
        <v>1758</v>
      </c>
      <c r="G60" t="s">
        <v>9</v>
      </c>
      <c r="H60" s="91"/>
      <c r="I60" s="71"/>
      <c r="J60">
        <v>10</v>
      </c>
      <c r="K60">
        <v>1</v>
      </c>
      <c r="L60">
        <v>2</v>
      </c>
      <c r="M60" s="92" t="s">
        <v>1118</v>
      </c>
      <c r="N60" s="115" t="s">
        <v>2122</v>
      </c>
      <c r="P60" s="71"/>
      <c r="Q60" s="71" t="s">
        <v>1818</v>
      </c>
      <c r="R60" s="93">
        <v>5625</v>
      </c>
      <c r="S60" t="s">
        <v>1826</v>
      </c>
    </row>
    <row r="61" spans="1:20" ht="14.25" customHeight="1" x14ac:dyDescent="0.35">
      <c r="A61" s="71">
        <v>60</v>
      </c>
      <c r="B61" t="s">
        <v>1138</v>
      </c>
      <c r="C61" s="90">
        <v>45813</v>
      </c>
      <c r="D61" s="90">
        <v>45816</v>
      </c>
      <c r="E61" s="90">
        <v>45722</v>
      </c>
      <c r="F61" t="s">
        <v>1758</v>
      </c>
      <c r="G61" t="s">
        <v>9</v>
      </c>
      <c r="H61" s="91"/>
      <c r="I61" s="71"/>
      <c r="J61">
        <v>10</v>
      </c>
      <c r="K61">
        <v>3</v>
      </c>
      <c r="L61">
        <v>6</v>
      </c>
      <c r="N61" s="115" t="s">
        <v>2344</v>
      </c>
      <c r="O61" t="s">
        <v>1925</v>
      </c>
      <c r="P61" s="71"/>
      <c r="Q61" s="71" t="s">
        <v>1818</v>
      </c>
      <c r="R61" s="93">
        <v>9153</v>
      </c>
      <c r="S61" t="s">
        <v>1826</v>
      </c>
    </row>
    <row r="62" spans="1:20" ht="14.25" customHeight="1" x14ac:dyDescent="0.35">
      <c r="A62" s="71">
        <v>61</v>
      </c>
      <c r="B62" t="s">
        <v>1677</v>
      </c>
      <c r="C62" s="90">
        <v>45780</v>
      </c>
      <c r="D62" s="90">
        <v>45783</v>
      </c>
      <c r="E62" s="90">
        <v>45725</v>
      </c>
      <c r="F62" t="s">
        <v>1758</v>
      </c>
      <c r="G62" t="s">
        <v>9</v>
      </c>
      <c r="H62" s="91"/>
      <c r="I62" s="71" t="s">
        <v>1827</v>
      </c>
      <c r="J62">
        <v>10</v>
      </c>
      <c r="K62">
        <v>1</v>
      </c>
      <c r="L62">
        <v>2</v>
      </c>
      <c r="M62" s="92" t="s">
        <v>1926</v>
      </c>
      <c r="N62" s="115">
        <v>4529701904</v>
      </c>
      <c r="P62" s="71"/>
      <c r="Q62" s="71" t="s">
        <v>1818</v>
      </c>
      <c r="R62" s="93">
        <v>3051</v>
      </c>
      <c r="S62" t="s">
        <v>1826</v>
      </c>
    </row>
    <row r="63" spans="1:20" ht="14.25" customHeight="1" x14ac:dyDescent="0.35">
      <c r="A63" s="71">
        <v>62</v>
      </c>
      <c r="B63" t="s">
        <v>1927</v>
      </c>
      <c r="C63" s="90">
        <v>45829</v>
      </c>
      <c r="D63" s="90">
        <v>45836</v>
      </c>
      <c r="E63" s="90">
        <v>45727</v>
      </c>
      <c r="F63" t="s">
        <v>1760</v>
      </c>
      <c r="G63" t="s">
        <v>1862</v>
      </c>
      <c r="H63" s="91" t="s">
        <v>2345</v>
      </c>
      <c r="I63" s="71"/>
      <c r="K63">
        <v>1</v>
      </c>
      <c r="L63">
        <v>2</v>
      </c>
      <c r="N63" s="115" t="s">
        <v>2346</v>
      </c>
      <c r="P63" s="71"/>
      <c r="Q63" s="71" t="s">
        <v>487</v>
      </c>
      <c r="R63" s="93">
        <v>6510</v>
      </c>
    </row>
    <row r="64" spans="1:20" ht="14.25" customHeight="1" x14ac:dyDescent="0.35">
      <c r="A64" s="71">
        <v>63</v>
      </c>
      <c r="B64" t="s">
        <v>8</v>
      </c>
      <c r="C64" s="90">
        <v>45803</v>
      </c>
      <c r="D64" s="90">
        <v>45809</v>
      </c>
      <c r="E64" s="90">
        <v>45728</v>
      </c>
      <c r="F64" t="s">
        <v>1758</v>
      </c>
      <c r="G64" t="s">
        <v>9</v>
      </c>
      <c r="H64" s="91"/>
      <c r="I64" s="71" t="s">
        <v>1827</v>
      </c>
      <c r="J64">
        <v>10</v>
      </c>
      <c r="K64">
        <v>1</v>
      </c>
      <c r="L64">
        <v>1</v>
      </c>
      <c r="M64" s="92" t="s">
        <v>6</v>
      </c>
      <c r="N64" s="115" t="s">
        <v>2128</v>
      </c>
      <c r="P64" s="71" t="s">
        <v>1818</v>
      </c>
      <c r="Q64" s="71" t="s">
        <v>1818</v>
      </c>
      <c r="R64" s="93"/>
    </row>
    <row r="65" spans="1:20" ht="14.25" customHeight="1" x14ac:dyDescent="0.35">
      <c r="A65" s="71">
        <v>64</v>
      </c>
      <c r="B65" t="s">
        <v>1928</v>
      </c>
      <c r="C65" s="90">
        <v>45898</v>
      </c>
      <c r="D65" s="90">
        <v>45905</v>
      </c>
      <c r="E65" s="90">
        <v>45735</v>
      </c>
      <c r="F65" t="s">
        <v>1760</v>
      </c>
      <c r="G65" t="s">
        <v>48</v>
      </c>
      <c r="H65" s="91" t="s">
        <v>2222</v>
      </c>
      <c r="I65" s="71"/>
      <c r="K65">
        <v>1</v>
      </c>
      <c r="L65">
        <v>2</v>
      </c>
      <c r="N65" s="115"/>
      <c r="P65" s="71"/>
      <c r="Q65" s="71" t="s">
        <v>1818</v>
      </c>
      <c r="R65" s="93">
        <v>7910</v>
      </c>
    </row>
    <row r="66" spans="1:20" ht="14.25" customHeight="1" x14ac:dyDescent="0.35">
      <c r="A66" s="71">
        <v>65</v>
      </c>
      <c r="B66" t="s">
        <v>1922</v>
      </c>
      <c r="C66" s="90">
        <v>45918</v>
      </c>
      <c r="D66" s="90">
        <v>45921</v>
      </c>
      <c r="E66" s="90">
        <v>45735</v>
      </c>
      <c r="G66" t="s">
        <v>1771</v>
      </c>
      <c r="H66" s="91"/>
      <c r="I66" s="71"/>
      <c r="N66" s="115"/>
      <c r="P66" s="71"/>
      <c r="Q66" s="71"/>
      <c r="R66" s="93"/>
    </row>
    <row r="67" spans="1:20" ht="14.25" customHeight="1" x14ac:dyDescent="0.35">
      <c r="A67" s="71">
        <v>66</v>
      </c>
      <c r="B67" t="s">
        <v>1929</v>
      </c>
      <c r="C67" s="90">
        <v>45830</v>
      </c>
      <c r="D67" s="90">
        <v>45835</v>
      </c>
      <c r="E67" s="90">
        <v>45737</v>
      </c>
      <c r="F67" t="s">
        <v>1758</v>
      </c>
      <c r="G67" t="s">
        <v>48</v>
      </c>
      <c r="H67" s="91"/>
      <c r="I67" s="71" t="s">
        <v>1827</v>
      </c>
      <c r="K67">
        <v>1</v>
      </c>
      <c r="L67">
        <v>1</v>
      </c>
      <c r="N67" s="115" t="s">
        <v>2347</v>
      </c>
      <c r="P67" s="71" t="s">
        <v>1818</v>
      </c>
      <c r="Q67" s="71" t="s">
        <v>487</v>
      </c>
      <c r="R67" s="93">
        <v>4150</v>
      </c>
    </row>
    <row r="68" spans="1:20" ht="14.25" customHeight="1" x14ac:dyDescent="0.35">
      <c r="A68" s="71">
        <v>67</v>
      </c>
      <c r="B68" t="s">
        <v>8</v>
      </c>
      <c r="C68" s="90">
        <v>45778</v>
      </c>
      <c r="D68" s="90">
        <v>45781</v>
      </c>
      <c r="E68" s="90">
        <v>45788</v>
      </c>
      <c r="F68" t="s">
        <v>1758</v>
      </c>
      <c r="G68" t="s">
        <v>9</v>
      </c>
      <c r="H68" s="91"/>
      <c r="I68" s="71" t="s">
        <v>1827</v>
      </c>
      <c r="J68">
        <v>10</v>
      </c>
      <c r="K68">
        <v>1</v>
      </c>
      <c r="L68">
        <v>1</v>
      </c>
      <c r="M68" s="92" t="s">
        <v>6</v>
      </c>
      <c r="N68" s="115"/>
      <c r="P68" s="71" t="s">
        <v>1818</v>
      </c>
      <c r="Q68" s="71" t="s">
        <v>1818</v>
      </c>
      <c r="R68" s="93"/>
      <c r="S68" t="s">
        <v>1826</v>
      </c>
    </row>
    <row r="69" spans="1:20" ht="14.25" customHeight="1" x14ac:dyDescent="0.35">
      <c r="A69" s="71">
        <v>68</v>
      </c>
      <c r="B69" t="s">
        <v>1930</v>
      </c>
      <c r="C69" s="90">
        <v>45838</v>
      </c>
      <c r="D69" s="90">
        <v>45843</v>
      </c>
      <c r="E69" s="90">
        <v>45740</v>
      </c>
      <c r="F69" t="s">
        <v>1758</v>
      </c>
      <c r="G69" t="s">
        <v>48</v>
      </c>
      <c r="H69" s="91"/>
      <c r="I69" s="71" t="s">
        <v>2348</v>
      </c>
      <c r="K69">
        <v>1</v>
      </c>
      <c r="L69">
        <v>2</v>
      </c>
      <c r="N69" s="115">
        <v>4522801056</v>
      </c>
      <c r="P69" s="71"/>
      <c r="Q69" s="71" t="s">
        <v>1818</v>
      </c>
      <c r="R69" s="93">
        <v>6250</v>
      </c>
    </row>
    <row r="70" spans="1:20" ht="14.25" customHeight="1" x14ac:dyDescent="0.35">
      <c r="A70" s="71">
        <v>69</v>
      </c>
      <c r="B70" t="s">
        <v>1931</v>
      </c>
      <c r="C70" s="90">
        <v>45894</v>
      </c>
      <c r="D70" s="90">
        <v>45898</v>
      </c>
      <c r="E70" s="90">
        <v>45746</v>
      </c>
      <c r="G70" t="s">
        <v>20</v>
      </c>
      <c r="H70" s="91"/>
      <c r="I70" s="71"/>
      <c r="N70" s="115"/>
      <c r="P70" s="71"/>
      <c r="Q70" s="71" t="s">
        <v>487</v>
      </c>
      <c r="R70" s="93"/>
    </row>
    <row r="71" spans="1:20" ht="14.25" customHeight="1" x14ac:dyDescent="0.35">
      <c r="A71" s="71">
        <v>70</v>
      </c>
      <c r="B71" t="s">
        <v>1931</v>
      </c>
      <c r="C71" s="90">
        <v>45894</v>
      </c>
      <c r="D71" s="90">
        <v>45898</v>
      </c>
      <c r="E71" s="90">
        <v>45745</v>
      </c>
      <c r="G71" t="s">
        <v>20</v>
      </c>
      <c r="H71" s="91"/>
      <c r="I71" s="71"/>
      <c r="N71" s="115"/>
      <c r="P71" s="71"/>
      <c r="Q71" s="71" t="s">
        <v>487</v>
      </c>
      <c r="R71" s="93"/>
    </row>
    <row r="72" spans="1:20" ht="14.25" customHeight="1" x14ac:dyDescent="0.35">
      <c r="A72" s="71">
        <v>71</v>
      </c>
      <c r="B72" t="s">
        <v>1932</v>
      </c>
      <c r="C72" s="90">
        <v>45803</v>
      </c>
      <c r="D72" s="90">
        <v>45808</v>
      </c>
      <c r="E72" s="90">
        <v>45754</v>
      </c>
      <c r="F72" t="s">
        <v>1758</v>
      </c>
      <c r="G72" t="s">
        <v>48</v>
      </c>
      <c r="H72" s="91"/>
      <c r="I72" s="71" t="s">
        <v>1827</v>
      </c>
      <c r="K72">
        <v>1</v>
      </c>
      <c r="L72">
        <v>2</v>
      </c>
      <c r="N72" s="115">
        <v>4533443360</v>
      </c>
      <c r="P72" s="71"/>
      <c r="Q72" s="71" t="s">
        <v>487</v>
      </c>
      <c r="R72" s="93">
        <v>4650</v>
      </c>
    </row>
    <row r="73" spans="1:20" ht="14.25" customHeight="1" x14ac:dyDescent="0.35">
      <c r="A73" s="71">
        <v>72</v>
      </c>
      <c r="B73" t="s">
        <v>1933</v>
      </c>
      <c r="C73" s="90">
        <v>45870</v>
      </c>
      <c r="D73" s="90">
        <v>45874</v>
      </c>
      <c r="E73" s="90">
        <v>45755</v>
      </c>
      <c r="F73" t="s">
        <v>1759</v>
      </c>
      <c r="G73" t="s">
        <v>48</v>
      </c>
      <c r="H73" s="91" t="s">
        <v>2349</v>
      </c>
      <c r="I73" s="71"/>
      <c r="K73">
        <v>1</v>
      </c>
      <c r="L73">
        <v>2</v>
      </c>
      <c r="N73" s="115" t="s">
        <v>2350</v>
      </c>
      <c r="O73" t="s">
        <v>2351</v>
      </c>
      <c r="P73" s="71"/>
      <c r="Q73" s="71" t="s">
        <v>487</v>
      </c>
      <c r="R73" s="93">
        <v>4200</v>
      </c>
    </row>
    <row r="74" spans="1:20" ht="14.25" customHeight="1" x14ac:dyDescent="0.35">
      <c r="A74" s="71">
        <v>73</v>
      </c>
      <c r="B74" t="s">
        <v>1934</v>
      </c>
      <c r="C74" s="90">
        <v>45793</v>
      </c>
      <c r="D74" s="90">
        <v>45795</v>
      </c>
      <c r="E74" s="90">
        <v>45755</v>
      </c>
      <c r="F74" t="s">
        <v>1758</v>
      </c>
      <c r="G74" t="s">
        <v>9</v>
      </c>
      <c r="H74" s="91"/>
      <c r="I74" s="71"/>
      <c r="J74">
        <v>10</v>
      </c>
      <c r="K74">
        <v>1</v>
      </c>
      <c r="L74">
        <v>2</v>
      </c>
      <c r="M74" s="92" t="s">
        <v>1935</v>
      </c>
      <c r="N74" s="115" t="s">
        <v>2073</v>
      </c>
      <c r="P74" s="71"/>
      <c r="Q74" s="71" t="s">
        <v>1818</v>
      </c>
      <c r="R74" s="93">
        <v>1854</v>
      </c>
    </row>
    <row r="75" spans="1:20" ht="14.25" customHeight="1" x14ac:dyDescent="0.35">
      <c r="A75" s="71">
        <v>74</v>
      </c>
      <c r="B75" t="s">
        <v>1936</v>
      </c>
      <c r="C75" s="90">
        <v>45833</v>
      </c>
      <c r="D75" s="90">
        <v>45837</v>
      </c>
      <c r="E75" s="90">
        <v>45755</v>
      </c>
      <c r="F75" t="s">
        <v>1782</v>
      </c>
      <c r="G75" t="s">
        <v>48</v>
      </c>
      <c r="H75" s="91" t="s">
        <v>1800</v>
      </c>
      <c r="I75" s="71" t="s">
        <v>1841</v>
      </c>
      <c r="K75">
        <v>1</v>
      </c>
      <c r="L75">
        <v>2</v>
      </c>
      <c r="N75" s="115" t="s">
        <v>2352</v>
      </c>
      <c r="P75" s="71"/>
      <c r="Q75" s="71" t="s">
        <v>487</v>
      </c>
      <c r="R75" s="93">
        <v>3720</v>
      </c>
      <c r="T75" t="s">
        <v>2353</v>
      </c>
    </row>
    <row r="76" spans="1:20" ht="14.25" customHeight="1" x14ac:dyDescent="0.35">
      <c r="A76" s="71">
        <v>75</v>
      </c>
      <c r="B76" t="s">
        <v>1937</v>
      </c>
      <c r="C76" s="90">
        <v>45796</v>
      </c>
      <c r="D76" s="90">
        <v>45803</v>
      </c>
      <c r="E76" s="90">
        <v>45756</v>
      </c>
      <c r="F76" t="s">
        <v>1758</v>
      </c>
      <c r="G76" t="s">
        <v>48</v>
      </c>
      <c r="H76" s="91" t="s">
        <v>2354</v>
      </c>
      <c r="I76" s="71" t="s">
        <v>1841</v>
      </c>
      <c r="K76">
        <v>1</v>
      </c>
      <c r="L76">
        <v>2</v>
      </c>
      <c r="N76" s="115" t="s">
        <v>2378</v>
      </c>
      <c r="P76" s="71"/>
      <c r="Q76" s="71" t="s">
        <v>1818</v>
      </c>
      <c r="R76" s="93">
        <v>7910</v>
      </c>
    </row>
    <row r="77" spans="1:20" ht="14.25" customHeight="1" x14ac:dyDescent="0.35">
      <c r="A77" s="71">
        <v>76</v>
      </c>
      <c r="B77" t="s">
        <v>1938</v>
      </c>
      <c r="C77" s="90">
        <v>45806</v>
      </c>
      <c r="D77" s="90">
        <v>45810</v>
      </c>
      <c r="E77" s="90">
        <v>45757</v>
      </c>
      <c r="F77" t="s">
        <v>1758</v>
      </c>
      <c r="G77" t="s">
        <v>20</v>
      </c>
      <c r="H77" s="91"/>
      <c r="I77" s="71"/>
      <c r="N77" s="115" t="s">
        <v>2379</v>
      </c>
      <c r="P77" s="71"/>
      <c r="Q77" s="71"/>
      <c r="R77" s="93"/>
    </row>
    <row r="78" spans="1:20" ht="14.25" customHeight="1" x14ac:dyDescent="0.35">
      <c r="A78" s="71">
        <v>77</v>
      </c>
      <c r="B78" t="s">
        <v>1939</v>
      </c>
      <c r="C78" s="90">
        <v>45802</v>
      </c>
      <c r="D78" s="90">
        <v>45807</v>
      </c>
      <c r="E78" s="90">
        <v>45758</v>
      </c>
      <c r="F78" t="s">
        <v>1758</v>
      </c>
      <c r="G78" t="s">
        <v>9</v>
      </c>
      <c r="H78" s="91" t="s">
        <v>2174</v>
      </c>
      <c r="I78" s="71" t="s">
        <v>1841</v>
      </c>
      <c r="K78">
        <v>1</v>
      </c>
      <c r="L78">
        <v>2</v>
      </c>
      <c r="M78" s="92" t="s">
        <v>1940</v>
      </c>
      <c r="N78" s="115">
        <v>4526703889</v>
      </c>
      <c r="P78" s="71"/>
      <c r="Q78" s="71" t="s">
        <v>1818</v>
      </c>
      <c r="R78" s="93">
        <v>5367.5</v>
      </c>
    </row>
    <row r="79" spans="1:20" ht="14.25" customHeight="1" x14ac:dyDescent="0.35">
      <c r="A79" s="71">
        <v>78</v>
      </c>
      <c r="B79" t="s">
        <v>230</v>
      </c>
      <c r="C79" s="90">
        <v>45778</v>
      </c>
      <c r="D79" s="90">
        <v>45781</v>
      </c>
      <c r="E79" s="90">
        <v>45759</v>
      </c>
      <c r="F79" t="s">
        <v>1758</v>
      </c>
      <c r="G79" t="s">
        <v>9</v>
      </c>
      <c r="H79" s="91"/>
      <c r="I79" s="71" t="s">
        <v>1827</v>
      </c>
      <c r="J79">
        <v>10</v>
      </c>
      <c r="K79">
        <v>1</v>
      </c>
      <c r="L79">
        <v>1</v>
      </c>
      <c r="M79" s="92" t="s">
        <v>1941</v>
      </c>
      <c r="N79" s="115">
        <v>4528767572</v>
      </c>
      <c r="P79" s="71"/>
      <c r="Q79" s="71" t="s">
        <v>1818</v>
      </c>
      <c r="R79" s="93">
        <v>2511</v>
      </c>
      <c r="T79" t="s">
        <v>2355</v>
      </c>
    </row>
    <row r="80" spans="1:20" ht="14.25" customHeight="1" x14ac:dyDescent="0.35">
      <c r="A80" s="71">
        <v>79</v>
      </c>
      <c r="B80" t="s">
        <v>1942</v>
      </c>
      <c r="C80" s="90">
        <v>45904</v>
      </c>
      <c r="D80" s="90">
        <v>45907</v>
      </c>
      <c r="E80" s="90">
        <v>45759</v>
      </c>
      <c r="F80" t="s">
        <v>1758</v>
      </c>
      <c r="G80" t="s">
        <v>20</v>
      </c>
      <c r="H80" s="91"/>
      <c r="I80" s="71"/>
      <c r="N80" s="115"/>
      <c r="P80" s="71"/>
      <c r="Q80" s="71"/>
      <c r="R80" s="93"/>
    </row>
    <row r="81" spans="1:18" ht="14.25" customHeight="1" x14ac:dyDescent="0.35">
      <c r="A81" s="71">
        <v>80</v>
      </c>
      <c r="B81" t="s">
        <v>1943</v>
      </c>
      <c r="C81" s="90">
        <v>45779</v>
      </c>
      <c r="D81" s="90">
        <v>45782</v>
      </c>
      <c r="E81" s="90">
        <v>45776</v>
      </c>
      <c r="F81" t="s">
        <v>1758</v>
      </c>
      <c r="G81" t="s">
        <v>20</v>
      </c>
      <c r="H81" s="91"/>
      <c r="I81" s="71"/>
      <c r="J81">
        <v>10</v>
      </c>
      <c r="M81" s="92" t="s">
        <v>1944</v>
      </c>
      <c r="N81" s="115"/>
      <c r="P81" s="71"/>
      <c r="Q81" s="71"/>
      <c r="R81" s="93"/>
    </row>
    <row r="82" spans="1:18" ht="14.25" customHeight="1" x14ac:dyDescent="0.35">
      <c r="A82" s="71">
        <v>81</v>
      </c>
      <c r="B82" t="s">
        <v>1945</v>
      </c>
      <c r="C82" s="90">
        <v>45823</v>
      </c>
      <c r="D82" s="90">
        <v>45826</v>
      </c>
      <c r="E82" s="90">
        <v>45759</v>
      </c>
      <c r="F82" t="s">
        <v>1762</v>
      </c>
      <c r="G82" t="s">
        <v>48</v>
      </c>
      <c r="H82" s="91"/>
      <c r="I82" s="71" t="s">
        <v>2348</v>
      </c>
      <c r="K82">
        <v>1</v>
      </c>
      <c r="L82">
        <v>2</v>
      </c>
      <c r="N82" s="115" t="s">
        <v>2356</v>
      </c>
      <c r="P82" s="71"/>
      <c r="Q82" s="71" t="s">
        <v>487</v>
      </c>
      <c r="R82" s="93">
        <v>2790</v>
      </c>
    </row>
    <row r="83" spans="1:18" ht="14.25" customHeight="1" x14ac:dyDescent="0.35">
      <c r="A83" s="71">
        <v>82</v>
      </c>
      <c r="B83" t="s">
        <v>1946</v>
      </c>
      <c r="C83" s="90">
        <v>45789</v>
      </c>
      <c r="D83" s="90">
        <v>45794</v>
      </c>
      <c r="E83" s="90">
        <v>45761</v>
      </c>
      <c r="F83" t="s">
        <v>1758</v>
      </c>
      <c r="G83" t="s">
        <v>48</v>
      </c>
      <c r="H83" s="91" t="s">
        <v>2357</v>
      </c>
      <c r="I83" s="71" t="s">
        <v>1841</v>
      </c>
      <c r="K83">
        <v>1</v>
      </c>
      <c r="L83">
        <v>2</v>
      </c>
      <c r="N83" s="115" t="s">
        <v>2358</v>
      </c>
      <c r="O83" t="s">
        <v>1947</v>
      </c>
      <c r="P83" s="71"/>
      <c r="Q83" s="71" t="s">
        <v>1818</v>
      </c>
      <c r="R83" s="93">
        <v>5650</v>
      </c>
    </row>
    <row r="84" spans="1:18" ht="14.25" customHeight="1" x14ac:dyDescent="0.35">
      <c r="A84" s="71">
        <v>83</v>
      </c>
      <c r="B84" t="s">
        <v>1931</v>
      </c>
      <c r="C84" s="90">
        <v>45901</v>
      </c>
      <c r="D84" s="90">
        <v>45905</v>
      </c>
      <c r="E84" s="90">
        <v>45761</v>
      </c>
      <c r="F84" t="s">
        <v>1760</v>
      </c>
      <c r="G84" t="s">
        <v>20</v>
      </c>
      <c r="H84" s="91"/>
      <c r="I84" s="71"/>
      <c r="N84" s="115"/>
      <c r="P84" s="71"/>
      <c r="Q84" s="71"/>
      <c r="R84" s="93"/>
    </row>
    <row r="85" spans="1:18" ht="14.25" customHeight="1" x14ac:dyDescent="0.35">
      <c r="A85" s="71">
        <v>84</v>
      </c>
      <c r="B85" t="s">
        <v>1948</v>
      </c>
      <c r="C85" s="90">
        <v>45878</v>
      </c>
      <c r="D85" s="90">
        <v>45881</v>
      </c>
      <c r="E85" s="90">
        <v>45764</v>
      </c>
      <c r="F85" t="s">
        <v>1760</v>
      </c>
      <c r="G85" t="s">
        <v>20</v>
      </c>
      <c r="H85" s="91"/>
      <c r="I85" s="71" t="s">
        <v>1841</v>
      </c>
      <c r="N85" s="115"/>
      <c r="P85" s="71"/>
      <c r="Q85" s="71"/>
      <c r="R85" s="93"/>
    </row>
    <row r="86" spans="1:18" ht="14.25" customHeight="1" x14ac:dyDescent="0.35">
      <c r="A86" s="71">
        <v>85</v>
      </c>
      <c r="B86" t="s">
        <v>1949</v>
      </c>
      <c r="C86" s="90">
        <v>45807</v>
      </c>
      <c r="D86" s="90">
        <v>45809</v>
      </c>
      <c r="E86" s="90">
        <v>45766</v>
      </c>
      <c r="F86" t="s">
        <v>1950</v>
      </c>
      <c r="G86" t="s">
        <v>20</v>
      </c>
      <c r="H86" s="91"/>
      <c r="I86" s="71"/>
      <c r="N86" s="115"/>
      <c r="P86" s="71"/>
      <c r="Q86" s="71"/>
      <c r="R86" s="93"/>
    </row>
    <row r="87" spans="1:18" ht="14.25" customHeight="1" x14ac:dyDescent="0.35">
      <c r="A87" s="71">
        <v>86</v>
      </c>
      <c r="B87" t="s">
        <v>1931</v>
      </c>
      <c r="C87" s="90">
        <v>45914</v>
      </c>
      <c r="D87" s="90">
        <v>45918</v>
      </c>
      <c r="E87" s="90">
        <v>45768</v>
      </c>
      <c r="F87" t="s">
        <v>1760</v>
      </c>
      <c r="G87" t="s">
        <v>20</v>
      </c>
      <c r="H87" s="91"/>
      <c r="I87" s="71"/>
      <c r="N87" s="115"/>
      <c r="P87" s="71"/>
      <c r="Q87" s="71"/>
      <c r="R87" s="93"/>
    </row>
    <row r="88" spans="1:18" ht="14.25" customHeight="1" x14ac:dyDescent="0.35">
      <c r="A88" s="71">
        <v>87</v>
      </c>
      <c r="B88" t="s">
        <v>1951</v>
      </c>
      <c r="C88" s="90">
        <v>45873</v>
      </c>
      <c r="D88" s="90">
        <v>45877</v>
      </c>
      <c r="E88" s="90">
        <v>45769</v>
      </c>
      <c r="F88" t="s">
        <v>1760</v>
      </c>
      <c r="G88" t="s">
        <v>20</v>
      </c>
      <c r="H88" s="91"/>
      <c r="I88" s="71"/>
      <c r="M88" s="92" t="s">
        <v>1952</v>
      </c>
      <c r="N88" s="115"/>
      <c r="P88" s="71"/>
      <c r="Q88" s="71"/>
      <c r="R88" s="93"/>
    </row>
    <row r="89" spans="1:18" ht="14.25" customHeight="1" x14ac:dyDescent="0.35">
      <c r="A89" s="71">
        <v>88</v>
      </c>
      <c r="B89" t="s">
        <v>347</v>
      </c>
      <c r="C89" s="90">
        <v>45907</v>
      </c>
      <c r="D89" s="90">
        <v>45912</v>
      </c>
      <c r="E89" s="90">
        <v>45771</v>
      </c>
      <c r="F89" t="s">
        <v>1758</v>
      </c>
      <c r="G89" t="s">
        <v>9</v>
      </c>
      <c r="H89" s="91"/>
      <c r="I89" s="71" t="s">
        <v>1841</v>
      </c>
      <c r="J89">
        <v>10</v>
      </c>
      <c r="K89">
        <v>1</v>
      </c>
      <c r="L89">
        <v>2</v>
      </c>
      <c r="M89" s="92" t="s">
        <v>1953</v>
      </c>
      <c r="N89" s="115">
        <v>4560645846</v>
      </c>
      <c r="O89" t="s">
        <v>1954</v>
      </c>
      <c r="P89" s="71"/>
      <c r="Q89" s="71" t="s">
        <v>1818</v>
      </c>
      <c r="R89" s="93">
        <v>5085</v>
      </c>
    </row>
    <row r="90" spans="1:18" ht="14.25" customHeight="1" x14ac:dyDescent="0.35">
      <c r="A90" s="71">
        <v>89</v>
      </c>
      <c r="B90" t="s">
        <v>1955</v>
      </c>
      <c r="C90" s="90">
        <v>45779</v>
      </c>
      <c r="D90" s="90">
        <v>45781</v>
      </c>
      <c r="E90" s="90">
        <v>45775</v>
      </c>
      <c r="F90" t="s">
        <v>2160</v>
      </c>
      <c r="G90" t="s">
        <v>48</v>
      </c>
      <c r="H90" s="91"/>
      <c r="I90" s="71" t="s">
        <v>1827</v>
      </c>
      <c r="K90">
        <v>1</v>
      </c>
      <c r="L90">
        <v>1</v>
      </c>
      <c r="N90" s="115">
        <v>4581918910</v>
      </c>
      <c r="P90" s="71"/>
      <c r="Q90" s="71" t="s">
        <v>487</v>
      </c>
      <c r="R90" s="93">
        <v>1640</v>
      </c>
    </row>
    <row r="91" spans="1:18" ht="14.25" customHeight="1" x14ac:dyDescent="0.35">
      <c r="A91" s="71">
        <v>90</v>
      </c>
      <c r="B91" t="s">
        <v>1171</v>
      </c>
      <c r="C91" s="90">
        <v>45843</v>
      </c>
      <c r="D91" s="90">
        <v>45850</v>
      </c>
      <c r="E91" s="90">
        <v>45775</v>
      </c>
      <c r="F91" t="s">
        <v>1758</v>
      </c>
      <c r="G91" t="s">
        <v>9</v>
      </c>
      <c r="H91" s="91"/>
      <c r="I91" s="71"/>
      <c r="J91">
        <v>10</v>
      </c>
      <c r="K91">
        <v>1</v>
      </c>
      <c r="L91">
        <v>2</v>
      </c>
      <c r="M91" s="92" t="s">
        <v>1956</v>
      </c>
      <c r="N91" s="115" t="s">
        <v>2359</v>
      </c>
      <c r="P91" s="71"/>
      <c r="Q91" s="71" t="s">
        <v>1818</v>
      </c>
      <c r="R91" s="93">
        <v>7875</v>
      </c>
    </row>
    <row r="92" spans="1:18" ht="14.25" customHeight="1" x14ac:dyDescent="0.35">
      <c r="A92" s="71">
        <v>91</v>
      </c>
      <c r="B92" t="s">
        <v>725</v>
      </c>
      <c r="C92" s="90">
        <v>45895</v>
      </c>
      <c r="D92" s="90">
        <v>45902</v>
      </c>
      <c r="E92" s="90">
        <v>45775</v>
      </c>
      <c r="F92" t="s">
        <v>1758</v>
      </c>
      <c r="G92" t="s">
        <v>20</v>
      </c>
      <c r="H92" s="91"/>
      <c r="I92" s="71"/>
      <c r="M92" s="92" t="s">
        <v>1957</v>
      </c>
      <c r="N92" s="115"/>
      <c r="P92" s="71"/>
      <c r="Q92" s="71"/>
      <c r="R92" s="93"/>
    </row>
    <row r="93" spans="1:18" ht="14.25" customHeight="1" x14ac:dyDescent="0.35">
      <c r="A93" s="71">
        <v>92</v>
      </c>
      <c r="B93" t="s">
        <v>1958</v>
      </c>
      <c r="C93" s="90">
        <v>45861</v>
      </c>
      <c r="D93" s="90">
        <v>45864</v>
      </c>
      <c r="E93" s="90">
        <v>45773</v>
      </c>
      <c r="F93" t="s">
        <v>1758</v>
      </c>
      <c r="G93" t="s">
        <v>20</v>
      </c>
      <c r="H93" s="91"/>
      <c r="I93" s="71"/>
      <c r="N93" s="115"/>
      <c r="P93" s="71"/>
      <c r="Q93" s="71"/>
      <c r="R93" s="93"/>
    </row>
    <row r="94" spans="1:18" ht="14.25" customHeight="1" x14ac:dyDescent="0.35">
      <c r="A94" s="71">
        <v>93</v>
      </c>
      <c r="B94" t="s">
        <v>1959</v>
      </c>
      <c r="C94" s="90">
        <v>45824</v>
      </c>
      <c r="D94" s="90">
        <v>45827</v>
      </c>
      <c r="E94" s="90">
        <v>45775</v>
      </c>
      <c r="F94" t="s">
        <v>1758</v>
      </c>
      <c r="G94" t="s">
        <v>48</v>
      </c>
      <c r="H94" s="91" t="s">
        <v>1802</v>
      </c>
      <c r="I94" s="71" t="s">
        <v>1841</v>
      </c>
      <c r="K94">
        <v>1</v>
      </c>
      <c r="L94">
        <v>2</v>
      </c>
      <c r="N94" s="115">
        <v>4521662703</v>
      </c>
      <c r="O94" t="s">
        <v>1960</v>
      </c>
      <c r="P94" s="71"/>
      <c r="Q94" s="71" t="s">
        <v>1818</v>
      </c>
      <c r="R94" s="93">
        <v>3390</v>
      </c>
    </row>
    <row r="95" spans="1:18" ht="14.25" customHeight="1" x14ac:dyDescent="0.35">
      <c r="A95" s="71">
        <v>94</v>
      </c>
      <c r="B95" t="s">
        <v>2166</v>
      </c>
      <c r="C95" s="90">
        <v>45894</v>
      </c>
      <c r="D95" s="90">
        <v>45898</v>
      </c>
      <c r="E95" s="90">
        <v>45779</v>
      </c>
      <c r="F95" t="s">
        <v>1758</v>
      </c>
      <c r="G95" t="s">
        <v>20</v>
      </c>
      <c r="H95" s="91"/>
      <c r="I95" s="71"/>
      <c r="M95" s="113"/>
      <c r="N95" s="115"/>
      <c r="P95" s="71"/>
      <c r="Q95" s="71"/>
      <c r="R95" s="93"/>
    </row>
    <row r="96" spans="1:18" ht="14.25" customHeight="1" x14ac:dyDescent="0.35">
      <c r="A96" s="71">
        <v>95</v>
      </c>
      <c r="B96" t="s">
        <v>2168</v>
      </c>
      <c r="C96" s="90">
        <v>45873</v>
      </c>
      <c r="D96" s="90">
        <v>45877</v>
      </c>
      <c r="E96" s="90">
        <v>45780</v>
      </c>
      <c r="F96" t="s">
        <v>1758</v>
      </c>
      <c r="G96" t="s">
        <v>48</v>
      </c>
      <c r="H96" s="91" t="s">
        <v>2169</v>
      </c>
      <c r="I96" s="71"/>
      <c r="K96">
        <v>1</v>
      </c>
      <c r="L96">
        <v>2</v>
      </c>
      <c r="N96" s="115" t="s">
        <v>2360</v>
      </c>
      <c r="O96" t="s">
        <v>2170</v>
      </c>
      <c r="P96" s="71"/>
      <c r="Q96" s="71" t="s">
        <v>1818</v>
      </c>
      <c r="R96" s="93">
        <v>5000</v>
      </c>
    </row>
    <row r="97" spans="1:20" ht="14.25" customHeight="1" x14ac:dyDescent="0.35">
      <c r="A97" s="71">
        <v>96</v>
      </c>
      <c r="B97" t="s">
        <v>2171</v>
      </c>
      <c r="C97" s="90">
        <v>45836</v>
      </c>
      <c r="D97" s="90">
        <v>45839</v>
      </c>
      <c r="E97" s="90">
        <v>45781</v>
      </c>
      <c r="F97" t="s">
        <v>1759</v>
      </c>
      <c r="G97" t="s">
        <v>48</v>
      </c>
      <c r="H97" s="91"/>
      <c r="I97" s="71"/>
      <c r="K97">
        <v>1</v>
      </c>
      <c r="L97">
        <v>2</v>
      </c>
      <c r="N97" s="115" t="s">
        <v>2361</v>
      </c>
      <c r="P97" s="71"/>
      <c r="Q97" s="71" t="s">
        <v>487</v>
      </c>
      <c r="R97" s="93">
        <v>3030</v>
      </c>
    </row>
    <row r="98" spans="1:20" ht="14.25" customHeight="1" x14ac:dyDescent="0.35">
      <c r="A98" s="71">
        <v>97</v>
      </c>
      <c r="B98" t="s">
        <v>2172</v>
      </c>
      <c r="C98" s="90">
        <v>45852</v>
      </c>
      <c r="D98" s="90">
        <v>45856</v>
      </c>
      <c r="E98" s="90">
        <v>45782</v>
      </c>
      <c r="F98" t="s">
        <v>1758</v>
      </c>
      <c r="G98" t="s">
        <v>48</v>
      </c>
      <c r="H98" s="91"/>
      <c r="I98" s="71"/>
      <c r="K98">
        <v>1</v>
      </c>
      <c r="L98">
        <v>2</v>
      </c>
      <c r="N98" s="115" t="s">
        <v>2362</v>
      </c>
      <c r="O98" t="s">
        <v>2173</v>
      </c>
      <c r="P98" s="71"/>
      <c r="Q98" s="71" t="s">
        <v>1818</v>
      </c>
      <c r="R98" s="93">
        <v>5000</v>
      </c>
    </row>
    <row r="99" spans="1:20" ht="14.25" customHeight="1" x14ac:dyDescent="0.35">
      <c r="A99" s="71">
        <v>98</v>
      </c>
      <c r="B99" t="s">
        <v>904</v>
      </c>
      <c r="C99" s="90">
        <v>45826</v>
      </c>
      <c r="D99" s="90">
        <v>45829</v>
      </c>
      <c r="E99" s="90">
        <v>45784</v>
      </c>
      <c r="F99" t="s">
        <v>1758</v>
      </c>
      <c r="G99" t="s">
        <v>20</v>
      </c>
      <c r="H99" s="91"/>
      <c r="I99" s="71"/>
      <c r="N99" s="115"/>
      <c r="P99" s="71"/>
      <c r="Q99" s="71"/>
      <c r="R99" s="114"/>
    </row>
    <row r="100" spans="1:20" ht="14.25" customHeight="1" x14ac:dyDescent="0.35">
      <c r="A100" s="71">
        <v>99</v>
      </c>
      <c r="B100" t="s">
        <v>687</v>
      </c>
      <c r="C100" s="90">
        <v>45796</v>
      </c>
      <c r="D100" s="90">
        <v>45800</v>
      </c>
      <c r="E100" s="90">
        <v>45785</v>
      </c>
      <c r="F100" t="s">
        <v>1758</v>
      </c>
      <c r="G100" t="s">
        <v>9</v>
      </c>
      <c r="H100" s="91" t="s">
        <v>2174</v>
      </c>
      <c r="I100" s="71" t="s">
        <v>1841</v>
      </c>
      <c r="J100">
        <v>10</v>
      </c>
      <c r="K100">
        <v>1</v>
      </c>
      <c r="L100">
        <v>2</v>
      </c>
      <c r="N100" s="115" t="s">
        <v>2363</v>
      </c>
      <c r="P100" s="71"/>
      <c r="Q100" s="71" t="s">
        <v>1818</v>
      </c>
      <c r="R100" s="93">
        <v>4068</v>
      </c>
      <c r="S100" t="s">
        <v>1826</v>
      </c>
    </row>
    <row r="101" spans="1:20" ht="14.25" customHeight="1" x14ac:dyDescent="0.35">
      <c r="A101" s="71">
        <v>100</v>
      </c>
      <c r="B101" t="s">
        <v>954</v>
      </c>
      <c r="C101" s="90">
        <v>45837</v>
      </c>
      <c r="D101" s="90">
        <v>45839</v>
      </c>
      <c r="E101" s="90">
        <v>45786</v>
      </c>
      <c r="F101" t="s">
        <v>1758</v>
      </c>
      <c r="G101" t="s">
        <v>9</v>
      </c>
      <c r="H101" s="91"/>
      <c r="I101" s="71"/>
      <c r="J101">
        <v>10</v>
      </c>
      <c r="K101">
        <v>1</v>
      </c>
      <c r="L101">
        <v>2</v>
      </c>
      <c r="M101" s="92" t="s">
        <v>1223</v>
      </c>
      <c r="N101" s="115" t="s">
        <v>2364</v>
      </c>
      <c r="O101" t="s">
        <v>2365</v>
      </c>
      <c r="P101" s="71"/>
      <c r="Q101" s="71" t="s">
        <v>1818</v>
      </c>
      <c r="R101" s="93">
        <v>2250</v>
      </c>
      <c r="S101" t="s">
        <v>1826</v>
      </c>
      <c r="T101" t="s">
        <v>2366</v>
      </c>
    </row>
    <row r="102" spans="1:20" ht="14.25" customHeight="1" x14ac:dyDescent="0.35">
      <c r="A102" s="71">
        <v>101</v>
      </c>
      <c r="B102" t="s">
        <v>2175</v>
      </c>
      <c r="C102" s="90">
        <v>45865</v>
      </c>
      <c r="D102" s="90">
        <v>45867</v>
      </c>
      <c r="E102" s="90">
        <v>45818</v>
      </c>
      <c r="F102" t="s">
        <v>2176</v>
      </c>
      <c r="G102" t="s">
        <v>20</v>
      </c>
      <c r="H102" s="91"/>
      <c r="I102" s="71"/>
      <c r="N102" s="115"/>
      <c r="P102" s="71"/>
      <c r="Q102" s="71"/>
      <c r="R102" s="93"/>
    </row>
    <row r="103" spans="1:20" ht="14.25" customHeight="1" x14ac:dyDescent="0.35">
      <c r="A103" s="71">
        <v>102</v>
      </c>
      <c r="B103" t="s">
        <v>2177</v>
      </c>
      <c r="C103" s="90">
        <v>45910</v>
      </c>
      <c r="D103" s="90">
        <v>45914</v>
      </c>
      <c r="E103" s="90">
        <v>45789</v>
      </c>
      <c r="F103" t="s">
        <v>1758</v>
      </c>
      <c r="G103" t="s">
        <v>20</v>
      </c>
      <c r="H103" s="91"/>
      <c r="I103" s="71"/>
      <c r="N103" s="115"/>
      <c r="P103" s="71"/>
      <c r="Q103" s="71"/>
      <c r="R103" s="93"/>
    </row>
    <row r="104" spans="1:20" ht="14.25" customHeight="1" x14ac:dyDescent="0.35">
      <c r="A104" s="71">
        <v>103</v>
      </c>
      <c r="B104" t="s">
        <v>2178</v>
      </c>
      <c r="C104" s="90">
        <v>45886</v>
      </c>
      <c r="D104" s="90">
        <v>45892</v>
      </c>
      <c r="E104" s="90">
        <v>45795</v>
      </c>
      <c r="F104" t="s">
        <v>1776</v>
      </c>
      <c r="G104" t="s">
        <v>48</v>
      </c>
      <c r="H104" s="91"/>
      <c r="I104" s="71" t="s">
        <v>1841</v>
      </c>
      <c r="K104">
        <v>1</v>
      </c>
      <c r="L104">
        <v>2</v>
      </c>
      <c r="N104" s="115" t="s">
        <v>2380</v>
      </c>
      <c r="P104" s="71"/>
      <c r="Q104" s="71" t="s">
        <v>1818</v>
      </c>
      <c r="R104" s="93">
        <v>7500</v>
      </c>
    </row>
    <row r="105" spans="1:20" ht="14.25" customHeight="1" x14ac:dyDescent="0.35">
      <c r="A105" s="71">
        <v>104</v>
      </c>
      <c r="B105" t="s">
        <v>2179</v>
      </c>
      <c r="C105" s="90">
        <v>45830</v>
      </c>
      <c r="D105" s="90">
        <v>45836</v>
      </c>
      <c r="E105" s="90">
        <v>45795</v>
      </c>
      <c r="F105" t="s">
        <v>1762</v>
      </c>
      <c r="G105" t="s">
        <v>48</v>
      </c>
      <c r="H105" s="91"/>
      <c r="I105" s="71"/>
      <c r="K105">
        <v>1</v>
      </c>
      <c r="L105">
        <v>2</v>
      </c>
      <c r="N105" s="115" t="s">
        <v>2367</v>
      </c>
      <c r="P105" s="71"/>
      <c r="Q105" s="71" t="s">
        <v>487</v>
      </c>
      <c r="R105" s="93">
        <v>5580</v>
      </c>
    </row>
    <row r="106" spans="1:20" ht="14.25" customHeight="1" x14ac:dyDescent="0.35">
      <c r="A106" s="71">
        <v>105</v>
      </c>
      <c r="B106" t="s">
        <v>2180</v>
      </c>
      <c r="C106" s="90">
        <v>45926</v>
      </c>
      <c r="D106" s="90">
        <v>45930</v>
      </c>
      <c r="E106" s="90">
        <v>45797</v>
      </c>
      <c r="F106" t="s">
        <v>1758</v>
      </c>
      <c r="G106" t="s">
        <v>20</v>
      </c>
      <c r="H106" s="91"/>
      <c r="I106" s="71"/>
      <c r="N106" s="115"/>
      <c r="P106" s="71"/>
      <c r="Q106" s="71"/>
      <c r="R106" s="93"/>
    </row>
    <row r="107" spans="1:20" ht="14.25" customHeight="1" x14ac:dyDescent="0.35">
      <c r="A107" s="71">
        <v>106</v>
      </c>
      <c r="B107" t="s">
        <v>2181</v>
      </c>
      <c r="C107" s="90">
        <v>45831</v>
      </c>
      <c r="D107" s="90">
        <v>45834</v>
      </c>
      <c r="E107" s="90">
        <v>45799</v>
      </c>
      <c r="F107" t="s">
        <v>2182</v>
      </c>
      <c r="G107" t="s">
        <v>48</v>
      </c>
      <c r="H107" s="91"/>
      <c r="I107" s="71"/>
      <c r="K107">
        <v>1</v>
      </c>
      <c r="L107">
        <v>1</v>
      </c>
      <c r="N107" s="115" t="s">
        <v>2368</v>
      </c>
      <c r="P107" s="71" t="s">
        <v>1818</v>
      </c>
      <c r="Q107" s="71" t="s">
        <v>1818</v>
      </c>
      <c r="R107" s="93">
        <v>2490</v>
      </c>
    </row>
    <row r="108" spans="1:20" ht="14.25" customHeight="1" x14ac:dyDescent="0.35">
      <c r="A108" s="71">
        <v>107</v>
      </c>
      <c r="B108" t="s">
        <v>2183</v>
      </c>
      <c r="C108" s="90">
        <v>45807</v>
      </c>
      <c r="D108" s="90">
        <v>45809</v>
      </c>
      <c r="E108" s="90">
        <v>45799</v>
      </c>
      <c r="F108" t="s">
        <v>1759</v>
      </c>
      <c r="G108" t="s">
        <v>48</v>
      </c>
      <c r="H108" s="91"/>
      <c r="I108" s="71"/>
      <c r="K108">
        <v>1</v>
      </c>
      <c r="L108">
        <v>1</v>
      </c>
      <c r="N108" s="115">
        <v>46730768646</v>
      </c>
      <c r="P108" s="71" t="s">
        <v>1818</v>
      </c>
      <c r="Q108" s="71" t="s">
        <v>1818</v>
      </c>
      <c r="R108" s="93">
        <v>1860</v>
      </c>
    </row>
    <row r="109" spans="1:20" ht="14.25" customHeight="1" x14ac:dyDescent="0.35">
      <c r="A109" s="71">
        <v>108</v>
      </c>
      <c r="B109" t="s">
        <v>2184</v>
      </c>
      <c r="C109" s="90">
        <v>45901</v>
      </c>
      <c r="D109" s="90">
        <v>45904</v>
      </c>
      <c r="E109" s="90">
        <v>45810</v>
      </c>
      <c r="F109" t="s">
        <v>1759</v>
      </c>
      <c r="G109" t="s">
        <v>20</v>
      </c>
      <c r="H109" s="91"/>
      <c r="I109" s="71"/>
      <c r="N109" s="115"/>
      <c r="P109" s="71"/>
      <c r="Q109" s="71"/>
      <c r="R109" s="93"/>
    </row>
    <row r="110" spans="1:20" ht="14.25" customHeight="1" x14ac:dyDescent="0.35">
      <c r="A110" s="71">
        <v>109</v>
      </c>
      <c r="B110" t="s">
        <v>2185</v>
      </c>
      <c r="C110" s="90">
        <v>45894</v>
      </c>
      <c r="D110" s="90">
        <v>45896</v>
      </c>
      <c r="E110" s="90">
        <v>45815</v>
      </c>
      <c r="F110" t="s">
        <v>1758</v>
      </c>
      <c r="G110" t="s">
        <v>1771</v>
      </c>
      <c r="H110" s="91"/>
      <c r="I110" s="71"/>
      <c r="N110" s="115"/>
      <c r="P110" s="71"/>
      <c r="Q110" s="71"/>
      <c r="R110" s="93"/>
    </row>
    <row r="111" spans="1:20" ht="14.25" customHeight="1" x14ac:dyDescent="0.35">
      <c r="A111" s="71">
        <v>110</v>
      </c>
      <c r="B111" t="s">
        <v>2186</v>
      </c>
      <c r="C111" s="90">
        <v>45909</v>
      </c>
      <c r="D111" s="90">
        <v>45911</v>
      </c>
      <c r="E111" s="90">
        <v>45817</v>
      </c>
      <c r="F111" t="s">
        <v>1762</v>
      </c>
      <c r="G111" t="s">
        <v>20</v>
      </c>
      <c r="H111" s="91"/>
      <c r="I111" s="71"/>
      <c r="N111" s="115"/>
      <c r="P111" s="71"/>
      <c r="Q111" s="71"/>
      <c r="R111" s="93"/>
    </row>
    <row r="112" spans="1:20" ht="14.25" customHeight="1" x14ac:dyDescent="0.35">
      <c r="A112" s="71">
        <v>111</v>
      </c>
      <c r="B112" t="s">
        <v>402</v>
      </c>
      <c r="C112" s="90">
        <v>45845</v>
      </c>
      <c r="D112" s="90">
        <v>45850</v>
      </c>
      <c r="E112" s="90">
        <v>45821</v>
      </c>
      <c r="F112" t="s">
        <v>1758</v>
      </c>
      <c r="G112" t="s">
        <v>9</v>
      </c>
      <c r="H112" s="91"/>
      <c r="I112" s="71"/>
      <c r="J112">
        <v>10</v>
      </c>
      <c r="K112">
        <v>1</v>
      </c>
      <c r="L112">
        <v>2</v>
      </c>
      <c r="M112" s="92" t="s">
        <v>2191</v>
      </c>
      <c r="N112" s="115" t="s">
        <v>2369</v>
      </c>
      <c r="O112" t="s">
        <v>2187</v>
      </c>
      <c r="P112" s="71" t="s">
        <v>487</v>
      </c>
      <c r="Q112" s="71" t="s">
        <v>1818</v>
      </c>
      <c r="R112" s="93">
        <v>5625</v>
      </c>
    </row>
    <row r="113" spans="1:20" ht="14.25" customHeight="1" x14ac:dyDescent="0.35">
      <c r="A113" s="71">
        <v>112</v>
      </c>
      <c r="B113" t="s">
        <v>2188</v>
      </c>
      <c r="C113" s="90">
        <v>45892</v>
      </c>
      <c r="D113" s="90">
        <v>45895</v>
      </c>
      <c r="E113" s="90">
        <v>45821</v>
      </c>
      <c r="F113" t="s">
        <v>1759</v>
      </c>
      <c r="G113" t="s">
        <v>48</v>
      </c>
      <c r="H113" s="91" t="s">
        <v>2174</v>
      </c>
      <c r="I113" s="71" t="s">
        <v>1841</v>
      </c>
      <c r="K113">
        <v>1</v>
      </c>
      <c r="L113">
        <v>2</v>
      </c>
      <c r="N113" s="115" t="s">
        <v>2381</v>
      </c>
      <c r="P113" s="71"/>
      <c r="Q113" s="71" t="s">
        <v>487</v>
      </c>
      <c r="R113" s="93">
        <v>3030</v>
      </c>
    </row>
    <row r="114" spans="1:20" ht="14.25" customHeight="1" x14ac:dyDescent="0.35">
      <c r="A114" s="71">
        <v>113</v>
      </c>
      <c r="B114" t="s">
        <v>418</v>
      </c>
      <c r="C114" s="90">
        <v>45912</v>
      </c>
      <c r="D114" s="90">
        <v>45915</v>
      </c>
      <c r="E114" s="90">
        <v>45826</v>
      </c>
      <c r="F114" t="s">
        <v>1758</v>
      </c>
      <c r="G114" t="s">
        <v>9</v>
      </c>
      <c r="H114" s="91"/>
      <c r="I114" s="71"/>
      <c r="J114">
        <v>10</v>
      </c>
      <c r="K114">
        <v>1</v>
      </c>
      <c r="L114">
        <v>2</v>
      </c>
      <c r="M114" s="92" t="s">
        <v>1038</v>
      </c>
      <c r="N114" s="115"/>
      <c r="O114" t="s">
        <v>1911</v>
      </c>
      <c r="P114" s="71"/>
      <c r="Q114" s="71" t="s">
        <v>1818</v>
      </c>
      <c r="R114" s="93">
        <v>3051</v>
      </c>
    </row>
    <row r="115" spans="1:20" ht="14.25" customHeight="1" x14ac:dyDescent="0.35">
      <c r="A115" s="71">
        <v>114</v>
      </c>
      <c r="B115" t="s">
        <v>2189</v>
      </c>
      <c r="C115" s="90">
        <v>45887</v>
      </c>
      <c r="D115" s="90">
        <v>45892</v>
      </c>
      <c r="E115" s="90">
        <v>45811</v>
      </c>
      <c r="F115" t="s">
        <v>1758</v>
      </c>
      <c r="G115" t="s">
        <v>48</v>
      </c>
      <c r="H115" s="91"/>
      <c r="I115" s="71"/>
      <c r="K115">
        <v>1</v>
      </c>
      <c r="L115">
        <v>1</v>
      </c>
      <c r="N115" s="115" t="s">
        <v>2382</v>
      </c>
      <c r="P115" s="71" t="s">
        <v>1818</v>
      </c>
      <c r="Q115" s="71" t="s">
        <v>487</v>
      </c>
      <c r="R115" s="93">
        <v>4750</v>
      </c>
    </row>
    <row r="116" spans="1:20" ht="14.25" customHeight="1" x14ac:dyDescent="0.35">
      <c r="A116" s="71">
        <v>115</v>
      </c>
      <c r="B116" t="s">
        <v>832</v>
      </c>
      <c r="C116" s="90">
        <v>45886</v>
      </c>
      <c r="D116" s="90">
        <v>45892</v>
      </c>
      <c r="E116" s="90">
        <v>45826</v>
      </c>
      <c r="F116" t="s">
        <v>1759</v>
      </c>
      <c r="G116" t="s">
        <v>9</v>
      </c>
      <c r="H116" s="91"/>
      <c r="I116" s="71"/>
      <c r="J116">
        <v>10</v>
      </c>
      <c r="K116">
        <v>1</v>
      </c>
      <c r="L116">
        <v>1</v>
      </c>
      <c r="M116" s="92" t="s">
        <v>1850</v>
      </c>
      <c r="N116" s="115" t="s">
        <v>2383</v>
      </c>
      <c r="P116" s="71" t="s">
        <v>1818</v>
      </c>
      <c r="Q116" s="71" t="s">
        <v>487</v>
      </c>
      <c r="R116" s="93">
        <v>4482</v>
      </c>
    </row>
    <row r="117" spans="1:20" ht="14.25" customHeight="1" x14ac:dyDescent="0.35">
      <c r="A117" s="71">
        <v>116</v>
      </c>
      <c r="B117" t="s">
        <v>704</v>
      </c>
      <c r="C117" s="90">
        <v>45915</v>
      </c>
      <c r="D117" s="90">
        <v>45918</v>
      </c>
      <c r="E117" s="90">
        <v>45826</v>
      </c>
      <c r="F117" t="s">
        <v>1758</v>
      </c>
      <c r="G117" t="s">
        <v>9</v>
      </c>
      <c r="H117" s="91"/>
      <c r="I117" s="71"/>
      <c r="J117">
        <v>10</v>
      </c>
      <c r="K117">
        <v>1</v>
      </c>
      <c r="L117">
        <v>2</v>
      </c>
      <c r="M117" s="92" t="s">
        <v>2199</v>
      </c>
      <c r="N117" s="115"/>
      <c r="P117" s="71"/>
      <c r="Q117" s="71" t="s">
        <v>1818</v>
      </c>
      <c r="R117" s="93">
        <v>3366</v>
      </c>
      <c r="T117" t="s">
        <v>2200</v>
      </c>
    </row>
    <row r="118" spans="1:20" ht="14.25" customHeight="1" x14ac:dyDescent="0.35">
      <c r="A118" s="71">
        <v>117</v>
      </c>
      <c r="B118" t="s">
        <v>2201</v>
      </c>
      <c r="C118" s="90">
        <v>45870</v>
      </c>
      <c r="D118" s="90">
        <v>45874</v>
      </c>
      <c r="E118" s="90">
        <v>45827</v>
      </c>
      <c r="F118" t="s">
        <v>1758</v>
      </c>
      <c r="G118" t="s">
        <v>48</v>
      </c>
      <c r="H118" s="91" t="s">
        <v>1800</v>
      </c>
      <c r="I118" s="71" t="s">
        <v>1841</v>
      </c>
      <c r="K118">
        <v>1</v>
      </c>
      <c r="L118">
        <v>2</v>
      </c>
      <c r="N118" s="115" t="s">
        <v>2370</v>
      </c>
      <c r="P118" s="71"/>
      <c r="Q118" s="71" t="s">
        <v>487</v>
      </c>
      <c r="R118" s="93">
        <v>4200</v>
      </c>
    </row>
    <row r="119" spans="1:20" ht="14.25" customHeight="1" x14ac:dyDescent="0.35">
      <c r="A119" s="71">
        <v>118</v>
      </c>
      <c r="B119" t="s">
        <v>2202</v>
      </c>
      <c r="C119" s="90">
        <v>45887</v>
      </c>
      <c r="D119" s="90">
        <v>45891</v>
      </c>
      <c r="E119" s="90">
        <v>45829</v>
      </c>
      <c r="F119" t="s">
        <v>1760</v>
      </c>
      <c r="G119" t="s">
        <v>48</v>
      </c>
      <c r="H119" s="91"/>
      <c r="I119" s="71"/>
      <c r="K119">
        <v>1</v>
      </c>
      <c r="L119">
        <v>2</v>
      </c>
      <c r="N119" s="115" t="s">
        <v>2384</v>
      </c>
      <c r="P119" s="71"/>
      <c r="Q119" s="71" t="s">
        <v>487</v>
      </c>
      <c r="R119" s="93">
        <v>4200</v>
      </c>
    </row>
    <row r="120" spans="1:20" ht="14.25" customHeight="1" x14ac:dyDescent="0.35">
      <c r="A120" s="71">
        <v>119</v>
      </c>
      <c r="B120" t="s">
        <v>2203</v>
      </c>
      <c r="C120" s="90">
        <v>45855</v>
      </c>
      <c r="D120" s="90">
        <v>45861</v>
      </c>
      <c r="E120" s="90">
        <v>45830</v>
      </c>
      <c r="F120" t="s">
        <v>1758</v>
      </c>
      <c r="G120" t="s">
        <v>48</v>
      </c>
      <c r="H120" s="91"/>
      <c r="I120" s="71" t="s">
        <v>1841</v>
      </c>
      <c r="K120">
        <v>1</v>
      </c>
      <c r="L120">
        <v>2</v>
      </c>
      <c r="N120" s="115" t="s">
        <v>2204</v>
      </c>
      <c r="P120" s="71"/>
      <c r="Q120" s="71" t="s">
        <v>1818</v>
      </c>
      <c r="R120" s="93">
        <v>6300</v>
      </c>
      <c r="T120" t="s">
        <v>2205</v>
      </c>
    </row>
    <row r="121" spans="1:20" ht="14.25" customHeight="1" x14ac:dyDescent="0.35">
      <c r="A121" s="71">
        <v>120</v>
      </c>
      <c r="B121" t="s">
        <v>2206</v>
      </c>
      <c r="C121" s="90">
        <v>45838</v>
      </c>
      <c r="D121" s="90">
        <v>45840</v>
      </c>
      <c r="E121" s="90">
        <v>45834</v>
      </c>
      <c r="F121" t="s">
        <v>1759</v>
      </c>
      <c r="G121" t="s">
        <v>48</v>
      </c>
      <c r="H121" s="91"/>
      <c r="I121" s="71" t="s">
        <v>1841</v>
      </c>
      <c r="K121">
        <v>1</v>
      </c>
      <c r="L121">
        <v>2</v>
      </c>
      <c r="N121" s="115" t="s">
        <v>2207</v>
      </c>
      <c r="P121" s="71"/>
      <c r="Q121" s="71" t="s">
        <v>487</v>
      </c>
      <c r="R121" s="93">
        <v>2100</v>
      </c>
      <c r="T121" t="s">
        <v>2200</v>
      </c>
    </row>
    <row r="122" spans="1:20" ht="14.25" customHeight="1" x14ac:dyDescent="0.35">
      <c r="A122" s="71">
        <v>121</v>
      </c>
      <c r="B122" t="s">
        <v>2208</v>
      </c>
      <c r="C122" s="90">
        <v>45886</v>
      </c>
      <c r="D122" s="90">
        <v>45890</v>
      </c>
      <c r="E122" s="90">
        <v>45836</v>
      </c>
      <c r="F122" t="s">
        <v>1758</v>
      </c>
      <c r="G122" t="s">
        <v>48</v>
      </c>
      <c r="H122" s="91" t="s">
        <v>1800</v>
      </c>
      <c r="I122" s="71"/>
      <c r="K122">
        <v>1</v>
      </c>
      <c r="L122">
        <v>2</v>
      </c>
      <c r="N122" s="115"/>
      <c r="P122" s="71"/>
      <c r="Q122" s="71" t="s">
        <v>1818</v>
      </c>
      <c r="R122" s="93">
        <v>5000</v>
      </c>
      <c r="T122" t="s">
        <v>2303</v>
      </c>
    </row>
    <row r="123" spans="1:20" ht="14.25" customHeight="1" x14ac:dyDescent="0.35">
      <c r="A123" s="71">
        <v>122</v>
      </c>
      <c r="B123" t="s">
        <v>2209</v>
      </c>
      <c r="C123" s="90">
        <v>45905</v>
      </c>
      <c r="D123" s="90">
        <v>45907</v>
      </c>
      <c r="E123" s="90">
        <v>45839</v>
      </c>
      <c r="F123" t="s">
        <v>1758</v>
      </c>
      <c r="G123" t="s">
        <v>20</v>
      </c>
      <c r="H123" s="91"/>
      <c r="I123" s="71"/>
      <c r="N123" s="115"/>
      <c r="P123" s="71"/>
      <c r="Q123" s="71"/>
      <c r="R123" s="93"/>
    </row>
    <row r="124" spans="1:20" ht="14.25" customHeight="1" x14ac:dyDescent="0.35">
      <c r="A124" s="71">
        <v>123</v>
      </c>
      <c r="B124" t="s">
        <v>2210</v>
      </c>
      <c r="C124" s="90">
        <v>45917</v>
      </c>
      <c r="D124" s="90">
        <v>45921</v>
      </c>
      <c r="E124" s="90">
        <v>45841</v>
      </c>
      <c r="F124" t="s">
        <v>1758</v>
      </c>
      <c r="G124" t="s">
        <v>9</v>
      </c>
      <c r="H124" s="91"/>
      <c r="I124" s="71"/>
      <c r="J124">
        <v>5</v>
      </c>
      <c r="K124">
        <v>1</v>
      </c>
      <c r="L124">
        <v>2</v>
      </c>
      <c r="M124" s="92" t="s">
        <v>2211</v>
      </c>
      <c r="N124" s="115" t="s">
        <v>2212</v>
      </c>
      <c r="P124" s="71"/>
      <c r="Q124" s="71" t="s">
        <v>1818</v>
      </c>
      <c r="R124" s="93">
        <v>3220.5</v>
      </c>
    </row>
    <row r="125" spans="1:20" ht="14.25" customHeight="1" x14ac:dyDescent="0.35">
      <c r="A125" s="71">
        <v>124</v>
      </c>
      <c r="B125" t="s">
        <v>2213</v>
      </c>
      <c r="C125" s="90">
        <v>45912</v>
      </c>
      <c r="D125" s="90">
        <v>45914</v>
      </c>
      <c r="E125" s="90">
        <v>45842</v>
      </c>
      <c r="F125" t="s">
        <v>1758</v>
      </c>
      <c r="G125" t="s">
        <v>48</v>
      </c>
      <c r="H125" s="91"/>
      <c r="I125" s="71"/>
      <c r="K125">
        <v>2</v>
      </c>
      <c r="L125">
        <v>2</v>
      </c>
      <c r="M125" s="92"/>
      <c r="N125" s="115"/>
      <c r="P125" s="71"/>
      <c r="Q125" s="71" t="s">
        <v>1818</v>
      </c>
      <c r="R125" s="93">
        <v>3520</v>
      </c>
    </row>
    <row r="126" spans="1:20" ht="14.25" customHeight="1" x14ac:dyDescent="0.35">
      <c r="A126" s="71">
        <v>125</v>
      </c>
      <c r="B126" t="s">
        <v>2214</v>
      </c>
      <c r="C126" s="90">
        <v>45891</v>
      </c>
      <c r="D126" s="90">
        <v>45893</v>
      </c>
      <c r="E126" s="90">
        <v>45843</v>
      </c>
      <c r="F126" t="s">
        <v>1758</v>
      </c>
      <c r="G126" t="s">
        <v>48</v>
      </c>
      <c r="H126" s="91" t="s">
        <v>2215</v>
      </c>
      <c r="I126" s="71"/>
      <c r="K126">
        <v>1</v>
      </c>
      <c r="L126">
        <v>2</v>
      </c>
      <c r="N126" s="115" t="s">
        <v>2385</v>
      </c>
      <c r="P126" s="71"/>
      <c r="Q126" s="71" t="s">
        <v>487</v>
      </c>
      <c r="R126" s="93">
        <v>2100</v>
      </c>
    </row>
    <row r="127" spans="1:20" ht="14.25" customHeight="1" x14ac:dyDescent="0.35">
      <c r="A127" s="71">
        <v>126</v>
      </c>
      <c r="B127" t="s">
        <v>992</v>
      </c>
      <c r="C127" s="90">
        <v>45902</v>
      </c>
      <c r="D127" s="90">
        <v>45907</v>
      </c>
      <c r="E127" s="90">
        <v>45845</v>
      </c>
      <c r="F127" t="s">
        <v>1758</v>
      </c>
      <c r="G127" t="s">
        <v>9</v>
      </c>
      <c r="H127" s="91"/>
      <c r="I127" s="71" t="s">
        <v>1841</v>
      </c>
      <c r="J127">
        <v>10</v>
      </c>
      <c r="K127">
        <v>1</v>
      </c>
      <c r="L127">
        <v>2</v>
      </c>
      <c r="M127" s="92" t="s">
        <v>2216</v>
      </c>
      <c r="N127" s="115"/>
      <c r="O127" t="s">
        <v>2217</v>
      </c>
      <c r="P127" s="71"/>
      <c r="Q127" s="71" t="s">
        <v>1818</v>
      </c>
      <c r="R127" s="93">
        <v>5085</v>
      </c>
    </row>
    <row r="128" spans="1:20" ht="14.25" customHeight="1" x14ac:dyDescent="0.35">
      <c r="A128" s="71">
        <v>127</v>
      </c>
      <c r="B128" t="s">
        <v>2218</v>
      </c>
      <c r="C128" s="90">
        <v>45879</v>
      </c>
      <c r="D128" s="90">
        <v>45882</v>
      </c>
      <c r="E128" s="90">
        <v>45845</v>
      </c>
      <c r="F128" t="s">
        <v>1759</v>
      </c>
      <c r="G128" t="s">
        <v>48</v>
      </c>
      <c r="H128" s="91"/>
      <c r="I128" s="71"/>
      <c r="K128">
        <v>2</v>
      </c>
      <c r="L128">
        <v>4</v>
      </c>
      <c r="N128" s="115" t="s">
        <v>2371</v>
      </c>
      <c r="O128" t="s">
        <v>2372</v>
      </c>
      <c r="P128" s="71"/>
      <c r="Q128" s="71" t="s">
        <v>1818</v>
      </c>
      <c r="R128" s="93">
        <v>7500</v>
      </c>
    </row>
    <row r="129" spans="1:20" ht="14.25" customHeight="1" x14ac:dyDescent="0.35">
      <c r="A129" s="71">
        <v>128</v>
      </c>
      <c r="B129" t="s">
        <v>2219</v>
      </c>
      <c r="C129" s="90">
        <v>45895</v>
      </c>
      <c r="D129" s="90">
        <v>45897</v>
      </c>
      <c r="E129" s="90">
        <v>45846</v>
      </c>
      <c r="F129" t="s">
        <v>1760</v>
      </c>
      <c r="G129" t="s">
        <v>48</v>
      </c>
      <c r="H129" s="91"/>
      <c r="I129" s="71"/>
      <c r="K129">
        <v>1</v>
      </c>
      <c r="L129">
        <v>2</v>
      </c>
      <c r="N129" s="115" t="s">
        <v>2386</v>
      </c>
      <c r="P129" s="71"/>
      <c r="Q129" s="71" t="s">
        <v>487</v>
      </c>
      <c r="R129" s="93">
        <v>1859</v>
      </c>
    </row>
    <row r="130" spans="1:20" ht="14.25" customHeight="1" x14ac:dyDescent="0.35">
      <c r="A130" s="71">
        <v>129</v>
      </c>
      <c r="B130" t="s">
        <v>2220</v>
      </c>
      <c r="C130" s="90">
        <v>45892</v>
      </c>
      <c r="D130" s="90">
        <v>45894</v>
      </c>
      <c r="E130" s="90">
        <v>45850</v>
      </c>
      <c r="F130" t="s">
        <v>1782</v>
      </c>
      <c r="G130" t="s">
        <v>48</v>
      </c>
      <c r="H130" s="91"/>
      <c r="I130" s="71"/>
      <c r="K130">
        <v>1</v>
      </c>
      <c r="L130">
        <v>2</v>
      </c>
      <c r="N130" s="115" t="s">
        <v>2387</v>
      </c>
      <c r="P130" s="71"/>
      <c r="Q130" s="71" t="s">
        <v>1818</v>
      </c>
      <c r="R130" s="93">
        <v>2500</v>
      </c>
      <c r="T130" t="s">
        <v>2388</v>
      </c>
    </row>
    <row r="131" spans="1:20" ht="14.25" customHeight="1" x14ac:dyDescent="0.35">
      <c r="A131" s="71">
        <v>130</v>
      </c>
      <c r="B131" t="s">
        <v>2221</v>
      </c>
      <c r="C131" s="90">
        <v>45862</v>
      </c>
      <c r="D131" s="90">
        <v>45864</v>
      </c>
      <c r="E131" s="90">
        <v>45851</v>
      </c>
      <c r="F131" t="s">
        <v>1758</v>
      </c>
      <c r="G131" t="s">
        <v>48</v>
      </c>
      <c r="H131" s="91" t="s">
        <v>2222</v>
      </c>
      <c r="I131" s="71" t="s">
        <v>1797</v>
      </c>
      <c r="K131">
        <v>1</v>
      </c>
      <c r="L131">
        <v>2</v>
      </c>
      <c r="N131" s="115" t="s">
        <v>2223</v>
      </c>
      <c r="O131" t="s">
        <v>2224</v>
      </c>
      <c r="P131" s="71"/>
      <c r="Q131" s="116" t="s">
        <v>1818</v>
      </c>
      <c r="R131" s="93">
        <v>2500</v>
      </c>
    </row>
    <row r="132" spans="1:20" ht="14.25" customHeight="1" x14ac:dyDescent="0.35">
      <c r="A132" s="71">
        <v>131</v>
      </c>
      <c r="B132" t="s">
        <v>1913</v>
      </c>
      <c r="C132" s="90">
        <v>45925</v>
      </c>
      <c r="D132" s="90">
        <v>45930</v>
      </c>
      <c r="E132" s="90">
        <v>45854</v>
      </c>
      <c r="F132" t="s">
        <v>1758</v>
      </c>
      <c r="G132" t="s">
        <v>9</v>
      </c>
      <c r="H132" s="91"/>
      <c r="I132" s="71"/>
      <c r="J132">
        <v>10</v>
      </c>
      <c r="K132">
        <v>1</v>
      </c>
      <c r="L132">
        <v>1</v>
      </c>
      <c r="M132" s="92" t="s">
        <v>1914</v>
      </c>
      <c r="N132" s="115"/>
      <c r="P132" s="71" t="s">
        <v>1818</v>
      </c>
      <c r="Q132" s="71" t="s">
        <v>1818</v>
      </c>
      <c r="R132" s="93">
        <v>4185</v>
      </c>
    </row>
    <row r="133" spans="1:20" ht="14.25" customHeight="1" x14ac:dyDescent="0.35">
      <c r="A133" s="71">
        <v>132</v>
      </c>
      <c r="B133" t="s">
        <v>2225</v>
      </c>
      <c r="C133" s="90">
        <v>45874</v>
      </c>
      <c r="D133" s="90">
        <v>45877</v>
      </c>
      <c r="E133" s="90">
        <v>45856</v>
      </c>
      <c r="F133" t="s">
        <v>1758</v>
      </c>
      <c r="G133" t="s">
        <v>20</v>
      </c>
      <c r="H133" s="91"/>
      <c r="I133" s="71" t="s">
        <v>1797</v>
      </c>
      <c r="N133" s="115"/>
      <c r="P133" s="71"/>
      <c r="Q133" s="71"/>
      <c r="R133" s="93"/>
    </row>
    <row r="134" spans="1:20" ht="14.25" customHeight="1" x14ac:dyDescent="0.35">
      <c r="A134" s="71">
        <v>133</v>
      </c>
      <c r="B134" t="s">
        <v>2226</v>
      </c>
      <c r="C134" s="90">
        <v>45904</v>
      </c>
      <c r="D134" s="90">
        <v>45908</v>
      </c>
      <c r="E134" s="90">
        <v>45857</v>
      </c>
      <c r="F134" t="s">
        <v>1759</v>
      </c>
      <c r="G134" t="s">
        <v>48</v>
      </c>
      <c r="H134" s="91" t="s">
        <v>2227</v>
      </c>
      <c r="I134" s="71" t="s">
        <v>1797</v>
      </c>
      <c r="K134">
        <v>1</v>
      </c>
      <c r="L134">
        <v>2</v>
      </c>
      <c r="N134" s="115"/>
      <c r="P134" s="71"/>
      <c r="Q134" s="71" t="s">
        <v>1818</v>
      </c>
      <c r="R134" s="93">
        <v>3720</v>
      </c>
    </row>
    <row r="135" spans="1:20" ht="14.25" customHeight="1" x14ac:dyDescent="0.35">
      <c r="A135" s="71">
        <v>134</v>
      </c>
      <c r="B135" t="s">
        <v>2228</v>
      </c>
      <c r="C135" s="90">
        <v>45865</v>
      </c>
      <c r="D135" s="90">
        <v>45867</v>
      </c>
      <c r="E135" s="90">
        <v>45859</v>
      </c>
      <c r="F135" t="s">
        <v>1761</v>
      </c>
      <c r="G135" t="s">
        <v>48</v>
      </c>
      <c r="H135" s="91"/>
      <c r="I135" s="71" t="s">
        <v>1827</v>
      </c>
      <c r="K135">
        <v>1</v>
      </c>
      <c r="L135">
        <v>2</v>
      </c>
      <c r="N135" s="115" t="s">
        <v>2373</v>
      </c>
      <c r="O135" t="s">
        <v>2374</v>
      </c>
      <c r="P135" s="71"/>
      <c r="Q135" s="71" t="s">
        <v>1818</v>
      </c>
      <c r="R135" s="93">
        <v>2500</v>
      </c>
    </row>
    <row r="136" spans="1:20" ht="14.25" customHeight="1" x14ac:dyDescent="0.35">
      <c r="A136" s="71">
        <v>135</v>
      </c>
      <c r="B136" t="s">
        <v>2229</v>
      </c>
      <c r="C136" s="90">
        <v>45891</v>
      </c>
      <c r="D136" s="90">
        <v>45893</v>
      </c>
      <c r="E136" s="90">
        <v>45860</v>
      </c>
      <c r="F136" t="s">
        <v>1758</v>
      </c>
      <c r="G136" t="s">
        <v>48</v>
      </c>
      <c r="H136" s="91" t="s">
        <v>2230</v>
      </c>
      <c r="I136" s="71"/>
      <c r="K136">
        <v>1</v>
      </c>
      <c r="L136">
        <v>2</v>
      </c>
      <c r="N136" s="115" t="s">
        <v>2389</v>
      </c>
      <c r="P136" s="71"/>
      <c r="Q136" s="71" t="s">
        <v>487</v>
      </c>
      <c r="R136" s="93">
        <v>2100</v>
      </c>
    </row>
    <row r="137" spans="1:20" ht="14.25" customHeight="1" x14ac:dyDescent="0.35">
      <c r="A137" s="71">
        <v>136</v>
      </c>
      <c r="B137" t="s">
        <v>2231</v>
      </c>
      <c r="C137" s="90">
        <v>45905</v>
      </c>
      <c r="D137" s="90">
        <v>45907</v>
      </c>
      <c r="E137" s="90">
        <v>45866</v>
      </c>
      <c r="F137" t="s">
        <v>1759</v>
      </c>
      <c r="G137" t="s">
        <v>48</v>
      </c>
      <c r="H137" s="91"/>
      <c r="I137" s="71"/>
      <c r="K137">
        <v>1</v>
      </c>
      <c r="L137">
        <v>2</v>
      </c>
      <c r="N137" s="115"/>
      <c r="P137" s="71"/>
      <c r="Q137" s="71" t="s">
        <v>487</v>
      </c>
      <c r="R137" s="93">
        <v>1860</v>
      </c>
    </row>
    <row r="138" spans="1:20" ht="14.25" customHeight="1" x14ac:dyDescent="0.35">
      <c r="A138" s="71">
        <v>137</v>
      </c>
      <c r="B138" t="s">
        <v>2232</v>
      </c>
      <c r="C138" s="90">
        <v>45900</v>
      </c>
      <c r="D138" s="90">
        <v>45904</v>
      </c>
      <c r="E138" s="90">
        <v>45872</v>
      </c>
      <c r="F138" t="s">
        <v>1758</v>
      </c>
      <c r="G138" t="s">
        <v>9</v>
      </c>
      <c r="H138" s="91" t="s">
        <v>2233</v>
      </c>
      <c r="I138" s="71" t="s">
        <v>1841</v>
      </c>
      <c r="J138">
        <v>5</v>
      </c>
      <c r="K138">
        <v>1</v>
      </c>
      <c r="L138">
        <v>2</v>
      </c>
      <c r="M138" s="92" t="s">
        <v>2234</v>
      </c>
      <c r="N138" s="115"/>
      <c r="P138" s="71"/>
      <c r="Q138" s="71" t="s">
        <v>1818</v>
      </c>
      <c r="R138" s="93">
        <v>4294</v>
      </c>
    </row>
    <row r="139" spans="1:20" ht="14.25" customHeight="1" x14ac:dyDescent="0.35">
      <c r="A139" s="71">
        <v>138</v>
      </c>
      <c r="B139" t="s">
        <v>2235</v>
      </c>
      <c r="C139" s="90">
        <v>45874</v>
      </c>
      <c r="D139" s="90">
        <v>45877</v>
      </c>
      <c r="E139" s="90">
        <v>45872</v>
      </c>
      <c r="F139" t="s">
        <v>1759</v>
      </c>
      <c r="G139" t="s">
        <v>48</v>
      </c>
      <c r="H139" s="91"/>
      <c r="I139" s="71" t="s">
        <v>1797</v>
      </c>
      <c r="K139">
        <v>1</v>
      </c>
      <c r="L139">
        <v>2</v>
      </c>
      <c r="N139" s="115" t="s">
        <v>2236</v>
      </c>
      <c r="P139" s="71"/>
      <c r="Q139" s="71" t="s">
        <v>487</v>
      </c>
      <c r="R139" s="93">
        <v>3150</v>
      </c>
    </row>
    <row r="140" spans="1:20" ht="14.25" customHeight="1" x14ac:dyDescent="0.35">
      <c r="A140" s="71">
        <v>139</v>
      </c>
      <c r="B140" t="s">
        <v>2237</v>
      </c>
      <c r="C140" s="90">
        <v>45903</v>
      </c>
      <c r="D140" s="90">
        <v>45905</v>
      </c>
      <c r="E140" s="90">
        <v>45872</v>
      </c>
      <c r="F140" t="s">
        <v>2238</v>
      </c>
      <c r="G140" t="s">
        <v>9</v>
      </c>
      <c r="H140" s="91"/>
      <c r="I140" s="71" t="s">
        <v>1797</v>
      </c>
      <c r="K140">
        <v>1</v>
      </c>
      <c r="L140">
        <v>2</v>
      </c>
      <c r="N140" s="115"/>
      <c r="P140" s="71"/>
      <c r="Q140" s="71" t="s">
        <v>487</v>
      </c>
      <c r="R140" s="93">
        <v>1860</v>
      </c>
    </row>
    <row r="141" spans="1:20" ht="14.25" customHeight="1" x14ac:dyDescent="0.35">
      <c r="A141" s="71">
        <v>140</v>
      </c>
      <c r="B141" t="s">
        <v>2239</v>
      </c>
      <c r="C141" s="90">
        <v>45912</v>
      </c>
      <c r="D141" s="90">
        <v>45915</v>
      </c>
      <c r="E141" s="90">
        <v>45874</v>
      </c>
      <c r="F141" t="s">
        <v>1758</v>
      </c>
      <c r="G141" t="s">
        <v>48</v>
      </c>
      <c r="H141" s="91"/>
      <c r="I141" s="71"/>
      <c r="K141">
        <v>1</v>
      </c>
      <c r="L141">
        <v>2</v>
      </c>
      <c r="N141" s="115"/>
      <c r="P141" s="71"/>
      <c r="Q141" s="71" t="s">
        <v>487</v>
      </c>
      <c r="R141" s="93">
        <v>2790</v>
      </c>
    </row>
    <row r="142" spans="1:20" ht="14.25" customHeight="1" x14ac:dyDescent="0.35">
      <c r="A142" s="71">
        <v>141</v>
      </c>
      <c r="B142" t="s">
        <v>2240</v>
      </c>
      <c r="C142" s="90">
        <v>45899</v>
      </c>
      <c r="D142" s="90">
        <v>45901</v>
      </c>
      <c r="E142" s="90">
        <v>45875</v>
      </c>
      <c r="G142" t="s">
        <v>20</v>
      </c>
      <c r="H142" s="91"/>
      <c r="I142" s="71"/>
      <c r="M142" s="92" t="s">
        <v>2241</v>
      </c>
      <c r="N142" s="115"/>
      <c r="P142" s="71"/>
      <c r="Q142" s="71"/>
      <c r="R142" s="93"/>
    </row>
    <row r="143" spans="1:20" ht="14.25" customHeight="1" x14ac:dyDescent="0.35">
      <c r="A143" s="71">
        <v>142</v>
      </c>
      <c r="B143" t="s">
        <v>2242</v>
      </c>
      <c r="C143" s="90">
        <v>45900</v>
      </c>
      <c r="D143" s="90">
        <v>45904</v>
      </c>
      <c r="E143" s="90">
        <v>45875</v>
      </c>
      <c r="F143" t="s">
        <v>1758</v>
      </c>
      <c r="G143" t="s">
        <v>48</v>
      </c>
      <c r="H143" s="91" t="s">
        <v>2233</v>
      </c>
      <c r="I143" s="71" t="s">
        <v>1841</v>
      </c>
      <c r="K143">
        <v>1</v>
      </c>
      <c r="L143">
        <v>1</v>
      </c>
      <c r="N143" s="115"/>
      <c r="P143" s="71"/>
      <c r="Q143" s="71" t="s">
        <v>487</v>
      </c>
      <c r="R143" s="93">
        <v>3720</v>
      </c>
      <c r="T143" t="s">
        <v>2243</v>
      </c>
    </row>
    <row r="144" spans="1:20" ht="14.25" customHeight="1" x14ac:dyDescent="0.35">
      <c r="A144" s="71">
        <v>143</v>
      </c>
      <c r="B144" t="s">
        <v>2244</v>
      </c>
      <c r="C144" s="90">
        <v>45922</v>
      </c>
      <c r="D144" s="90">
        <v>45927</v>
      </c>
      <c r="E144" s="90">
        <v>45875</v>
      </c>
      <c r="F144" t="s">
        <v>2245</v>
      </c>
      <c r="G144" t="s">
        <v>20</v>
      </c>
      <c r="H144" s="91"/>
      <c r="I144" s="71"/>
      <c r="N144" s="115"/>
      <c r="P144" s="71"/>
      <c r="Q144" s="71"/>
      <c r="R144" s="93"/>
    </row>
    <row r="145" spans="1:18" ht="14.25" customHeight="1" x14ac:dyDescent="0.35">
      <c r="A145" s="71">
        <v>144</v>
      </c>
      <c r="B145" t="s">
        <v>2246</v>
      </c>
      <c r="C145" s="90">
        <v>45878</v>
      </c>
      <c r="D145" s="90">
        <v>45881</v>
      </c>
      <c r="E145" s="90">
        <v>45875</v>
      </c>
      <c r="F145" t="s">
        <v>1758</v>
      </c>
      <c r="G145" t="s">
        <v>48</v>
      </c>
      <c r="H145" s="91"/>
      <c r="I145" s="71"/>
      <c r="K145">
        <v>1</v>
      </c>
      <c r="L145">
        <v>2</v>
      </c>
      <c r="N145" s="115" t="s">
        <v>2375</v>
      </c>
      <c r="P145" s="71"/>
      <c r="Q145" s="71" t="s">
        <v>487</v>
      </c>
      <c r="R145" s="93">
        <v>3150</v>
      </c>
    </row>
    <row r="146" spans="1:18" ht="14.25" customHeight="1" x14ac:dyDescent="0.35">
      <c r="A146" s="71">
        <v>145</v>
      </c>
      <c r="B146" t="s">
        <v>1146</v>
      </c>
      <c r="C146" s="90">
        <v>45918</v>
      </c>
      <c r="D146" s="90">
        <v>45921</v>
      </c>
      <c r="E146" s="90">
        <v>45878</v>
      </c>
      <c r="F146" t="s">
        <v>1758</v>
      </c>
      <c r="G146" t="s">
        <v>48</v>
      </c>
      <c r="H146" s="91"/>
      <c r="I146" s="71"/>
      <c r="K146">
        <v>1</v>
      </c>
      <c r="L146">
        <v>2</v>
      </c>
      <c r="N146" s="115"/>
      <c r="P146" s="71"/>
      <c r="Q146" s="71" t="s">
        <v>1818</v>
      </c>
      <c r="R146" s="93">
        <v>3390</v>
      </c>
    </row>
    <row r="147" spans="1:18" ht="14.25" customHeight="1" x14ac:dyDescent="0.35">
      <c r="A147" s="71">
        <v>146</v>
      </c>
      <c r="B147" t="s">
        <v>2299</v>
      </c>
      <c r="C147" s="90">
        <v>45893</v>
      </c>
      <c r="D147" s="90">
        <v>45896</v>
      </c>
      <c r="E147" s="90">
        <v>45880</v>
      </c>
      <c r="F147" t="s">
        <v>1758</v>
      </c>
      <c r="G147" t="s">
        <v>48</v>
      </c>
      <c r="H147" s="91" t="s">
        <v>2233</v>
      </c>
      <c r="I147" s="71" t="s">
        <v>1797</v>
      </c>
      <c r="K147">
        <v>1</v>
      </c>
      <c r="L147">
        <v>2</v>
      </c>
      <c r="N147" s="115" t="s">
        <v>2390</v>
      </c>
      <c r="P147" s="71"/>
      <c r="Q147" s="71" t="s">
        <v>487</v>
      </c>
      <c r="R147" s="93">
        <v>3510</v>
      </c>
    </row>
    <row r="148" spans="1:18" ht="14.25" customHeight="1" x14ac:dyDescent="0.35">
      <c r="A148" s="71">
        <v>147</v>
      </c>
      <c r="B148" t="s">
        <v>2300</v>
      </c>
      <c r="C148" s="90">
        <v>45894</v>
      </c>
      <c r="D148" s="90">
        <v>45896</v>
      </c>
      <c r="E148" s="90">
        <v>45880</v>
      </c>
      <c r="F148" t="s">
        <v>1758</v>
      </c>
      <c r="G148" t="s">
        <v>48</v>
      </c>
      <c r="H148" s="91" t="s">
        <v>2304</v>
      </c>
      <c r="I148" s="71" t="s">
        <v>1797</v>
      </c>
      <c r="K148">
        <v>1</v>
      </c>
      <c r="L148">
        <v>2</v>
      </c>
      <c r="N148" s="115" t="s">
        <v>2391</v>
      </c>
      <c r="P148" s="71"/>
      <c r="Q148" s="71" t="s">
        <v>487</v>
      </c>
      <c r="R148" s="93">
        <v>1859</v>
      </c>
    </row>
    <row r="149" spans="1:18" ht="14.25" customHeight="1" x14ac:dyDescent="0.35">
      <c r="A149" s="71">
        <v>148</v>
      </c>
      <c r="B149" t="s">
        <v>2301</v>
      </c>
      <c r="C149" s="90">
        <v>45919</v>
      </c>
      <c r="D149" s="90">
        <v>45921</v>
      </c>
      <c r="E149" s="90">
        <v>45882</v>
      </c>
      <c r="F149" t="s">
        <v>1758</v>
      </c>
      <c r="G149" t="s">
        <v>9</v>
      </c>
      <c r="H149" s="91"/>
      <c r="I149" s="71" t="s">
        <v>1797</v>
      </c>
      <c r="J149">
        <v>5</v>
      </c>
      <c r="K149">
        <v>1</v>
      </c>
      <c r="L149">
        <v>2</v>
      </c>
      <c r="M149" s="92" t="s">
        <v>2298</v>
      </c>
      <c r="N149" s="115"/>
      <c r="P149" s="71"/>
      <c r="Q149" s="71" t="s">
        <v>1818</v>
      </c>
      <c r="R149" s="93">
        <v>2147</v>
      </c>
    </row>
    <row r="150" spans="1:18" ht="14.25" customHeight="1" x14ac:dyDescent="0.35">
      <c r="A150" s="71">
        <v>149</v>
      </c>
      <c r="B150" t="s">
        <v>2302</v>
      </c>
      <c r="C150" s="90">
        <v>45894</v>
      </c>
      <c r="D150" s="90">
        <v>45898</v>
      </c>
      <c r="E150" s="90">
        <v>45886</v>
      </c>
      <c r="F150" t="s">
        <v>1758</v>
      </c>
      <c r="G150" t="s">
        <v>48</v>
      </c>
      <c r="H150" s="91" t="s">
        <v>2174</v>
      </c>
      <c r="I150" s="71"/>
      <c r="K150">
        <v>1</v>
      </c>
      <c r="L150">
        <v>2</v>
      </c>
      <c r="N150" s="115" t="s">
        <v>2392</v>
      </c>
      <c r="P150" s="71"/>
      <c r="Q150" s="71" t="s">
        <v>1818</v>
      </c>
      <c r="R150" s="93">
        <v>4520</v>
      </c>
    </row>
    <row r="151" spans="1:18" ht="14.25" customHeight="1" x14ac:dyDescent="0.35">
      <c r="A151" s="71">
        <v>150</v>
      </c>
      <c r="B151" t="s">
        <v>2376</v>
      </c>
      <c r="C151" s="90">
        <v>45899</v>
      </c>
      <c r="D151" s="90">
        <v>45901</v>
      </c>
      <c r="E151" s="90">
        <v>45887</v>
      </c>
      <c r="F151" t="s">
        <v>1758</v>
      </c>
      <c r="G151" t="s">
        <v>48</v>
      </c>
      <c r="H151" s="91"/>
      <c r="I151" s="71"/>
      <c r="K151">
        <v>1</v>
      </c>
      <c r="L151">
        <v>2</v>
      </c>
      <c r="N151" s="115"/>
      <c r="P151" s="71"/>
      <c r="Q151" s="71" t="s">
        <v>487</v>
      </c>
      <c r="R151" s="93">
        <v>1860</v>
      </c>
    </row>
    <row r="152" spans="1:18" ht="14.25" customHeight="1" x14ac:dyDescent="0.35">
      <c r="A152" s="71">
        <v>151</v>
      </c>
      <c r="B152" t="s">
        <v>2393</v>
      </c>
      <c r="C152" s="90">
        <v>45926</v>
      </c>
      <c r="D152" s="90">
        <v>45929</v>
      </c>
      <c r="E152" s="90">
        <v>45895</v>
      </c>
      <c r="F152" t="s">
        <v>1758</v>
      </c>
      <c r="G152" t="s">
        <v>48</v>
      </c>
      <c r="H152" s="91" t="s">
        <v>2394</v>
      </c>
      <c r="I152" s="71" t="s">
        <v>1797</v>
      </c>
      <c r="K152">
        <v>1</v>
      </c>
      <c r="L152">
        <v>2</v>
      </c>
      <c r="N152" s="115"/>
      <c r="P152" s="71"/>
      <c r="Q152" s="71" t="s">
        <v>1818</v>
      </c>
      <c r="R152" s="93">
        <v>3390</v>
      </c>
    </row>
    <row r="153" spans="1:18" ht="14.25" customHeight="1" x14ac:dyDescent="0.35">
      <c r="A153" s="133"/>
      <c r="C153" s="90"/>
      <c r="D153" s="90"/>
      <c r="E153" s="90"/>
      <c r="F153" s="147"/>
      <c r="H153" s="91"/>
      <c r="I153" s="71"/>
      <c r="M153" s="92"/>
      <c r="N153" s="115"/>
      <c r="P153" s="71"/>
      <c r="Q153" s="71"/>
      <c r="R153" s="93"/>
    </row>
    <row r="154" spans="1:18" ht="14.25" customHeight="1" x14ac:dyDescent="0.35">
      <c r="A154" s="133"/>
      <c r="C154" s="90"/>
      <c r="D154" s="90"/>
      <c r="E154" s="90"/>
      <c r="F154" s="147"/>
      <c r="H154" s="91"/>
      <c r="I154" s="71"/>
      <c r="M154" s="92"/>
      <c r="N154" s="115"/>
      <c r="P154" s="71"/>
      <c r="Q154" s="71"/>
      <c r="R154" s="93"/>
    </row>
    <row r="155" spans="1:18" ht="14.25" customHeight="1" x14ac:dyDescent="0.35">
      <c r="A155" s="139"/>
      <c r="C155" s="90"/>
      <c r="D155" s="90"/>
      <c r="E155" s="90"/>
      <c r="H155" s="91"/>
      <c r="I155" s="71"/>
      <c r="M155" s="92"/>
      <c r="N155" s="115"/>
      <c r="P155" s="71"/>
      <c r="Q155" s="71"/>
      <c r="R155" s="93"/>
    </row>
    <row r="156" spans="1:18" ht="14.25" customHeight="1" x14ac:dyDescent="0.35">
      <c r="A156" s="133"/>
      <c r="C156" s="90"/>
      <c r="D156" s="90"/>
      <c r="E156" s="90"/>
      <c r="H156" s="91"/>
      <c r="I156" s="71"/>
      <c r="M156" s="92"/>
      <c r="N156" s="115"/>
      <c r="P156" s="71"/>
      <c r="Q156" s="71"/>
      <c r="R156" s="93"/>
    </row>
    <row r="157" spans="1:18" ht="14.25" customHeight="1" x14ac:dyDescent="0.35">
      <c r="A157" s="133"/>
      <c r="C157" s="90"/>
      <c r="D157" s="90"/>
      <c r="E157" s="90"/>
      <c r="H157" s="91"/>
      <c r="I157" s="71"/>
      <c r="M157" s="92"/>
      <c r="N157" s="115"/>
      <c r="P157" s="71"/>
      <c r="Q157" s="71"/>
      <c r="R157" s="93"/>
    </row>
    <row r="158" spans="1:18" ht="14.25" customHeight="1" x14ac:dyDescent="0.35">
      <c r="A158" s="139"/>
      <c r="C158" s="90"/>
      <c r="D158" s="90"/>
      <c r="E158" s="90"/>
      <c r="H158" s="91"/>
      <c r="I158" s="71"/>
      <c r="M158" s="92"/>
      <c r="N158" s="115"/>
      <c r="P158" s="71"/>
      <c r="Q158" s="71"/>
      <c r="R158" s="93"/>
    </row>
    <row r="159" spans="1:18" ht="14.25" customHeight="1" x14ac:dyDescent="0.35">
      <c r="A159" s="133"/>
      <c r="C159" s="90"/>
      <c r="D159" s="90"/>
      <c r="E159" s="90"/>
      <c r="H159" s="91"/>
      <c r="I159" s="71"/>
      <c r="N159" s="115"/>
      <c r="P159" s="71"/>
      <c r="Q159" s="71"/>
      <c r="R159" s="93"/>
    </row>
    <row r="160" spans="1:18" ht="14.25" customHeight="1" x14ac:dyDescent="0.35">
      <c r="A160" s="133"/>
      <c r="C160" s="90"/>
      <c r="D160" s="90"/>
      <c r="E160" s="90"/>
      <c r="H160" s="91"/>
      <c r="I160" s="71"/>
      <c r="M160" s="92"/>
      <c r="N160" s="115"/>
      <c r="P160" s="71"/>
      <c r="Q160" s="71"/>
      <c r="R160" s="93"/>
    </row>
    <row r="161" spans="1:18" ht="14.25" customHeight="1" x14ac:dyDescent="0.35">
      <c r="A161" s="139"/>
      <c r="C161" s="90"/>
      <c r="D161" s="90"/>
      <c r="E161" s="90"/>
      <c r="H161" s="91"/>
      <c r="I161" s="71"/>
      <c r="M161" s="92"/>
      <c r="N161" s="115"/>
      <c r="P161" s="71"/>
      <c r="Q161" s="71"/>
      <c r="R161" s="93"/>
    </row>
    <row r="162" spans="1:18" ht="14.25" customHeight="1" x14ac:dyDescent="0.35">
      <c r="A162" s="133"/>
      <c r="C162" s="90"/>
      <c r="D162" s="90"/>
      <c r="E162" s="90"/>
      <c r="H162" s="91"/>
      <c r="I162" s="71"/>
      <c r="N162" s="115"/>
      <c r="P162" s="71"/>
      <c r="Q162" s="71"/>
      <c r="R162" s="93"/>
    </row>
    <row r="163" spans="1:18" ht="14.25" customHeight="1" x14ac:dyDescent="0.35">
      <c r="A163" s="133"/>
      <c r="C163" s="90"/>
      <c r="D163" s="90"/>
      <c r="E163" s="90"/>
      <c r="H163" s="91"/>
      <c r="I163" s="71"/>
      <c r="M163" s="92"/>
      <c r="N163" s="115"/>
      <c r="P163" s="71"/>
      <c r="Q163" s="71"/>
      <c r="R163" s="93"/>
    </row>
    <row r="164" spans="1:18" ht="14.25" customHeight="1" x14ac:dyDescent="0.35">
      <c r="A164" s="139"/>
      <c r="C164" s="90"/>
      <c r="D164" s="90"/>
      <c r="E164" s="90"/>
      <c r="H164" s="91"/>
      <c r="I164" s="71"/>
      <c r="M164" s="92"/>
      <c r="N164" s="115"/>
      <c r="P164" s="71"/>
      <c r="Q164" s="71"/>
      <c r="R164" s="93"/>
    </row>
    <row r="165" spans="1:18" ht="14.25" customHeight="1" x14ac:dyDescent="0.35">
      <c r="A165" s="133"/>
      <c r="C165" s="90"/>
      <c r="D165" s="90"/>
      <c r="E165" s="90"/>
      <c r="H165" s="91"/>
      <c r="I165" s="71"/>
      <c r="N165" s="153"/>
      <c r="P165" s="71"/>
      <c r="Q165" s="71"/>
      <c r="R165" s="93"/>
    </row>
    <row r="166" spans="1:18" ht="14.25" customHeight="1" x14ac:dyDescent="0.35">
      <c r="A166" s="133"/>
      <c r="C166" s="90"/>
      <c r="D166" s="90"/>
      <c r="E166" s="90"/>
      <c r="H166" s="91"/>
      <c r="I166" s="71"/>
      <c r="M166" s="92"/>
      <c r="N166" s="115"/>
      <c r="P166" s="71"/>
      <c r="Q166" s="71"/>
      <c r="R166" s="93"/>
    </row>
    <row r="167" spans="1:18" ht="14.25" customHeight="1" x14ac:dyDescent="0.35">
      <c r="A167" s="139"/>
      <c r="C167" s="90"/>
      <c r="D167" s="90"/>
      <c r="E167" s="90"/>
      <c r="H167" s="91"/>
      <c r="I167" s="71"/>
      <c r="M167" s="92"/>
      <c r="N167" s="115"/>
      <c r="P167" s="71"/>
      <c r="Q167" s="71"/>
      <c r="R167" s="93"/>
    </row>
    <row r="168" spans="1:18" ht="14.25" customHeight="1" x14ac:dyDescent="0.35">
      <c r="A168" s="133"/>
      <c r="C168" s="90"/>
      <c r="D168" s="90"/>
      <c r="E168" s="90"/>
      <c r="H168" s="91"/>
      <c r="I168" s="71"/>
      <c r="M168" s="92"/>
      <c r="N168" s="115"/>
      <c r="P168" s="71"/>
      <c r="Q168" s="71"/>
      <c r="R168" s="93"/>
    </row>
    <row r="169" spans="1:18" ht="14.25" customHeight="1" x14ac:dyDescent="0.35">
      <c r="A169" s="133"/>
      <c r="C169" s="90"/>
      <c r="D169" s="90"/>
      <c r="E169" s="90"/>
      <c r="H169" s="91"/>
      <c r="I169" s="71"/>
      <c r="N169" s="115"/>
      <c r="P169" s="71"/>
      <c r="Q169" s="71"/>
      <c r="R169" s="93"/>
    </row>
    <row r="170" spans="1:18" ht="14.25" customHeight="1" x14ac:dyDescent="0.35">
      <c r="A170" s="139"/>
      <c r="C170" s="90"/>
      <c r="D170" s="90"/>
      <c r="E170" s="90"/>
      <c r="H170" s="91"/>
      <c r="I170" s="71"/>
      <c r="N170" s="115"/>
      <c r="P170" s="71"/>
      <c r="Q170" s="71"/>
      <c r="R170" s="93"/>
    </row>
    <row r="171" spans="1:18" ht="14.25" customHeight="1" x14ac:dyDescent="0.35">
      <c r="A171" s="133"/>
      <c r="C171" s="90"/>
      <c r="D171" s="90"/>
      <c r="E171" s="90"/>
      <c r="H171" s="91"/>
      <c r="I171" s="71"/>
      <c r="N171" s="115"/>
      <c r="P171" s="71"/>
      <c r="Q171" s="71"/>
      <c r="R171" s="93"/>
    </row>
    <row r="172" spans="1:18" ht="14.25" customHeight="1" x14ac:dyDescent="0.35">
      <c r="A172" s="133"/>
      <c r="C172" s="90"/>
      <c r="D172" s="90"/>
      <c r="E172" s="90"/>
      <c r="H172" s="91"/>
      <c r="I172" s="71"/>
      <c r="M172" s="92"/>
      <c r="N172" s="115"/>
      <c r="P172" s="71"/>
      <c r="Q172" s="71"/>
      <c r="R172" s="93"/>
    </row>
    <row r="173" spans="1:18" ht="14.25" customHeight="1" x14ac:dyDescent="0.35">
      <c r="A173" s="139"/>
      <c r="C173" s="90"/>
      <c r="D173" s="90"/>
      <c r="E173" s="90"/>
      <c r="H173" s="91"/>
      <c r="I173" s="71"/>
      <c r="N173" s="115"/>
      <c r="P173" s="71"/>
      <c r="Q173" s="71"/>
      <c r="R173" s="93"/>
    </row>
    <row r="174" spans="1:18" ht="14.25" customHeight="1" x14ac:dyDescent="0.35">
      <c r="A174" s="133"/>
      <c r="C174" s="90"/>
      <c r="D174" s="90"/>
      <c r="E174" s="90"/>
      <c r="H174" s="91"/>
      <c r="I174" s="71"/>
      <c r="N174" s="115"/>
      <c r="P174" s="71"/>
      <c r="Q174" s="71"/>
      <c r="R174" s="93"/>
    </row>
    <row r="175" spans="1:18" ht="14.25" customHeight="1" x14ac:dyDescent="0.35">
      <c r="A175" s="133"/>
      <c r="C175" s="90"/>
      <c r="D175" s="90"/>
      <c r="E175" s="90"/>
      <c r="H175" s="91"/>
      <c r="I175" s="71"/>
      <c r="M175" s="92"/>
      <c r="N175" s="115"/>
      <c r="P175" s="71"/>
      <c r="Q175" s="71"/>
      <c r="R175" s="93"/>
    </row>
    <row r="176" spans="1:18" ht="14.25" customHeight="1" x14ac:dyDescent="0.35">
      <c r="A176" s="139"/>
      <c r="C176" s="90"/>
      <c r="D176" s="90"/>
      <c r="E176" s="90"/>
      <c r="H176" s="91"/>
      <c r="I176" s="71"/>
      <c r="M176" s="92"/>
      <c r="N176" s="115"/>
      <c r="P176" s="71"/>
      <c r="Q176" s="71"/>
      <c r="R176" s="93"/>
    </row>
    <row r="177" spans="1:18" ht="14.25" customHeight="1" x14ac:dyDescent="0.35">
      <c r="A177" s="133"/>
      <c r="C177" s="90"/>
      <c r="D177" s="90"/>
      <c r="E177" s="90"/>
      <c r="H177" s="91"/>
      <c r="I177" s="71"/>
      <c r="M177" s="92"/>
      <c r="N177" s="115"/>
      <c r="P177" s="71"/>
      <c r="Q177" s="71"/>
      <c r="R177" s="93"/>
    </row>
    <row r="178" spans="1:18" ht="14.25" customHeight="1" x14ac:dyDescent="0.35">
      <c r="C178" s="90"/>
      <c r="D178" s="90"/>
      <c r="E178" s="90"/>
      <c r="H178" s="91"/>
      <c r="I178" s="71"/>
      <c r="N178" s="115"/>
      <c r="P178" s="71"/>
      <c r="Q178" s="71"/>
      <c r="R178" s="93"/>
    </row>
    <row r="179" spans="1:18" ht="14.25" customHeight="1" x14ac:dyDescent="0.35">
      <c r="C179" s="90"/>
      <c r="D179" s="90"/>
      <c r="E179" s="90"/>
      <c r="H179" s="91"/>
      <c r="I179" s="71"/>
      <c r="M179" s="92"/>
      <c r="N179" s="115"/>
      <c r="P179" s="71"/>
      <c r="Q179" s="71"/>
      <c r="R179" s="93"/>
    </row>
    <row r="180" spans="1:18" ht="14.25" customHeight="1" x14ac:dyDescent="0.35">
      <c r="C180" s="90"/>
      <c r="D180" s="90"/>
      <c r="E180" s="90"/>
      <c r="H180" s="91"/>
      <c r="I180" s="71"/>
      <c r="M180" s="92"/>
      <c r="N180" s="115"/>
      <c r="P180" s="71"/>
      <c r="Q180" s="71"/>
      <c r="R180" s="93"/>
    </row>
    <row r="181" spans="1:18" ht="14.25" customHeight="1" x14ac:dyDescent="0.35">
      <c r="C181" s="90"/>
      <c r="D181" s="90"/>
      <c r="E181" s="90"/>
      <c r="H181" s="91"/>
      <c r="I181" s="71"/>
      <c r="M181" s="92"/>
      <c r="N181" s="115"/>
      <c r="P181" s="71"/>
      <c r="Q181" s="71"/>
      <c r="R181" s="93"/>
    </row>
    <row r="182" spans="1:18" ht="14.25" customHeight="1" x14ac:dyDescent="0.35">
      <c r="C182" s="90"/>
      <c r="D182" s="90"/>
      <c r="E182" s="90"/>
      <c r="H182" s="91"/>
      <c r="I182" s="71"/>
      <c r="N182" s="115"/>
      <c r="P182" s="71"/>
      <c r="Q182" s="71"/>
      <c r="R182" s="93"/>
    </row>
    <row r="183" spans="1:18" ht="14.25" customHeight="1" x14ac:dyDescent="0.35">
      <c r="C183" s="90"/>
      <c r="D183" s="90"/>
      <c r="E183" s="90"/>
      <c r="H183" s="91"/>
      <c r="I183" s="71"/>
      <c r="N183" s="115"/>
      <c r="P183" s="71"/>
      <c r="Q183" s="71"/>
      <c r="R183" s="93"/>
    </row>
    <row r="184" spans="1:18" ht="14.25" customHeight="1" x14ac:dyDescent="0.35">
      <c r="C184" s="90"/>
      <c r="D184" s="90"/>
      <c r="E184" s="90"/>
      <c r="H184" s="91"/>
      <c r="I184" s="71"/>
      <c r="N184" s="115"/>
      <c r="P184" s="71"/>
      <c r="Q184" s="71"/>
      <c r="R184" s="93"/>
    </row>
    <row r="185" spans="1:18" ht="14.25" customHeight="1" x14ac:dyDescent="0.35">
      <c r="C185" s="90"/>
      <c r="D185" s="90"/>
      <c r="E185" s="90"/>
      <c r="H185" s="91"/>
      <c r="I185" s="71"/>
      <c r="M185" s="92"/>
      <c r="N185" s="115"/>
      <c r="P185" s="71"/>
      <c r="Q185" s="71"/>
      <c r="R185" s="93"/>
    </row>
    <row r="186" spans="1:18" ht="14.25" customHeight="1" x14ac:dyDescent="0.35">
      <c r="C186" s="90"/>
      <c r="D186" s="90"/>
      <c r="E186" s="90"/>
      <c r="H186" s="91"/>
      <c r="I186" s="71"/>
      <c r="N186" s="115"/>
      <c r="P186" s="71"/>
      <c r="Q186" s="71"/>
      <c r="R186" s="93"/>
    </row>
    <row r="187" spans="1:18" ht="14.25" customHeight="1" x14ac:dyDescent="0.35">
      <c r="C187" s="90"/>
      <c r="D187" s="90"/>
      <c r="E187" s="90"/>
      <c r="H187" s="91"/>
      <c r="I187" s="71"/>
      <c r="M187" s="92"/>
      <c r="N187" s="115"/>
      <c r="P187" s="71"/>
      <c r="Q187" s="71"/>
      <c r="R187" s="93"/>
    </row>
    <row r="188" spans="1:18" ht="14.25" customHeight="1" x14ac:dyDescent="0.35">
      <c r="C188" s="90"/>
      <c r="D188" s="90"/>
      <c r="E188" s="90"/>
      <c r="H188" s="91"/>
      <c r="I188" s="71"/>
      <c r="M188" s="92"/>
      <c r="N188" s="115"/>
      <c r="P188" s="71"/>
      <c r="Q188" s="71"/>
      <c r="R188" s="93"/>
    </row>
    <row r="189" spans="1:18" ht="14.25" customHeight="1" x14ac:dyDescent="0.35">
      <c r="C189" s="90"/>
      <c r="D189" s="90"/>
      <c r="E189" s="90"/>
      <c r="H189" s="91"/>
      <c r="I189" s="71"/>
      <c r="N189" s="115"/>
      <c r="P189" s="71"/>
      <c r="Q189" s="71"/>
      <c r="R189" s="93"/>
    </row>
    <row r="190" spans="1:18" ht="14.25" customHeight="1" x14ac:dyDescent="0.35">
      <c r="C190" s="90"/>
      <c r="D190" s="90"/>
      <c r="E190" s="90"/>
      <c r="H190" s="91"/>
      <c r="I190" s="71"/>
      <c r="M190" s="92"/>
      <c r="N190" s="115"/>
      <c r="P190" s="71"/>
      <c r="Q190" s="71"/>
      <c r="R190" s="93"/>
    </row>
    <row r="191" spans="1:18" ht="14.25" customHeight="1" x14ac:dyDescent="0.35">
      <c r="C191" s="90"/>
      <c r="D191" s="90"/>
      <c r="E191" s="90"/>
      <c r="H191" s="91"/>
      <c r="I191" s="71"/>
      <c r="M191" s="92"/>
      <c r="N191" s="115"/>
      <c r="P191" s="71"/>
      <c r="Q191" s="71"/>
      <c r="R191" s="93"/>
    </row>
    <row r="192" spans="1:18" ht="14.25" customHeight="1" x14ac:dyDescent="0.35">
      <c r="C192" s="90"/>
      <c r="D192" s="90"/>
      <c r="E192" s="90"/>
      <c r="H192" s="91"/>
      <c r="I192" s="71"/>
      <c r="N192" s="115"/>
      <c r="P192" s="71"/>
      <c r="Q192" s="71"/>
      <c r="R192" s="93"/>
    </row>
    <row r="193" spans="3:18" ht="14.25" customHeight="1" x14ac:dyDescent="0.35">
      <c r="C193" s="90"/>
      <c r="D193" s="90"/>
      <c r="E193" s="90"/>
      <c r="H193" s="91"/>
      <c r="I193" s="71"/>
      <c r="M193" s="92"/>
      <c r="N193" s="115"/>
      <c r="P193" s="71"/>
      <c r="Q193" s="71"/>
      <c r="R193" s="93"/>
    </row>
    <row r="194" spans="3:18" ht="14.25" customHeight="1" x14ac:dyDescent="0.35">
      <c r="C194" s="90"/>
      <c r="D194" s="90"/>
      <c r="E194" s="90"/>
      <c r="H194" s="91"/>
      <c r="I194" s="71"/>
      <c r="M194" s="92"/>
      <c r="N194" s="115"/>
      <c r="P194" s="71"/>
      <c r="Q194" s="71"/>
      <c r="R194" s="93"/>
    </row>
    <row r="195" spans="3:18" ht="14.25" customHeight="1" x14ac:dyDescent="0.35">
      <c r="C195" s="90"/>
      <c r="D195" s="90"/>
      <c r="E195" s="90"/>
      <c r="H195" s="91"/>
      <c r="I195" s="71"/>
      <c r="M195" s="92"/>
      <c r="N195" s="115"/>
      <c r="P195" s="71"/>
      <c r="Q195" s="71"/>
      <c r="R195" s="93"/>
    </row>
    <row r="196" spans="3:18" ht="14.25" customHeight="1" x14ac:dyDescent="0.35">
      <c r="C196" s="90"/>
      <c r="D196" s="90"/>
      <c r="E196" s="90"/>
      <c r="H196" s="91"/>
      <c r="I196" s="71"/>
      <c r="N196" s="115"/>
      <c r="P196" s="71"/>
      <c r="Q196" s="71"/>
      <c r="R196" s="93"/>
    </row>
    <row r="197" spans="3:18" ht="14.25" customHeight="1" x14ac:dyDescent="0.35">
      <c r="C197" s="90"/>
      <c r="D197" s="90"/>
      <c r="E197" s="90"/>
      <c r="H197" s="91"/>
      <c r="I197" s="71"/>
      <c r="M197" s="92"/>
      <c r="N197" s="115"/>
      <c r="P197" s="71"/>
      <c r="Q197" s="71"/>
      <c r="R197" s="93"/>
    </row>
    <row r="198" spans="3:18" ht="14.25" customHeight="1" x14ac:dyDescent="0.35">
      <c r="C198" s="90"/>
      <c r="D198" s="90"/>
      <c r="E198" s="90"/>
      <c r="H198" s="91"/>
      <c r="I198" s="71"/>
      <c r="M198" s="92"/>
      <c r="N198" s="115"/>
      <c r="P198" s="71"/>
      <c r="Q198" s="71"/>
      <c r="R198" s="93"/>
    </row>
    <row r="199" spans="3:18" ht="14.25" customHeight="1" x14ac:dyDescent="0.35">
      <c r="C199" s="90"/>
      <c r="D199" s="90"/>
      <c r="E199" s="90"/>
      <c r="H199" s="91"/>
      <c r="I199" s="71"/>
      <c r="N199" s="115"/>
      <c r="P199" s="71"/>
      <c r="Q199" s="71"/>
      <c r="R199" s="93"/>
    </row>
    <row r="200" spans="3:18" ht="14.25" customHeight="1" x14ac:dyDescent="0.35">
      <c r="C200" s="90"/>
      <c r="D200" s="90"/>
      <c r="E200" s="90"/>
      <c r="H200" s="91"/>
      <c r="I200" s="71"/>
      <c r="M200" s="92"/>
      <c r="N200" s="115"/>
      <c r="P200" s="71"/>
      <c r="Q200" s="71"/>
      <c r="R200" s="93"/>
    </row>
    <row r="201" spans="3:18" ht="14.25" customHeight="1" x14ac:dyDescent="0.35">
      <c r="C201" s="90"/>
      <c r="D201" s="90"/>
      <c r="E201" s="90"/>
      <c r="H201" s="91"/>
      <c r="I201" s="71"/>
      <c r="N201" s="115"/>
      <c r="P201" s="71"/>
      <c r="Q201" s="71"/>
      <c r="R201" s="93"/>
    </row>
    <row r="202" spans="3:18" ht="14.25" customHeight="1" x14ac:dyDescent="0.35">
      <c r="C202" s="90"/>
      <c r="D202" s="90"/>
      <c r="E202" s="90"/>
      <c r="H202" s="91"/>
      <c r="I202" s="71"/>
      <c r="M202" s="92"/>
      <c r="N202" s="115"/>
      <c r="P202" s="71"/>
      <c r="Q202" s="71"/>
      <c r="R202" s="93"/>
    </row>
    <row r="203" spans="3:18" ht="14.25" customHeight="1" x14ac:dyDescent="0.35">
      <c r="C203" s="90"/>
      <c r="D203" s="90"/>
      <c r="E203" s="90"/>
      <c r="H203" s="91"/>
      <c r="I203" s="71"/>
      <c r="N203" s="115"/>
      <c r="P203" s="71"/>
      <c r="Q203" s="71"/>
      <c r="R203" s="93"/>
    </row>
    <row r="204" spans="3:18" ht="14.25" customHeight="1" x14ac:dyDescent="0.35">
      <c r="C204" s="90"/>
      <c r="D204" s="90"/>
      <c r="E204" s="90"/>
      <c r="H204" s="91"/>
      <c r="I204" s="71"/>
      <c r="N204" s="115"/>
      <c r="P204" s="71"/>
      <c r="Q204" s="71"/>
      <c r="R204" s="93"/>
    </row>
    <row r="205" spans="3:18" ht="14.25" customHeight="1" x14ac:dyDescent="0.35">
      <c r="C205" s="90"/>
      <c r="D205" s="90"/>
      <c r="E205" s="90"/>
      <c r="H205" s="91"/>
      <c r="I205" s="71"/>
      <c r="N205" s="115"/>
      <c r="P205" s="71"/>
      <c r="Q205" s="71"/>
      <c r="R205" s="93"/>
    </row>
    <row r="206" spans="3:18" ht="14.25" customHeight="1" x14ac:dyDescent="0.35">
      <c r="C206" s="90"/>
      <c r="D206" s="90"/>
      <c r="E206" s="90"/>
      <c r="H206" s="91"/>
      <c r="I206" s="71"/>
      <c r="M206" s="92"/>
      <c r="N206" s="115"/>
      <c r="P206" s="71"/>
      <c r="Q206" s="71"/>
      <c r="R206" s="93"/>
    </row>
    <row r="207" spans="3:18" ht="14.25" customHeight="1" x14ac:dyDescent="0.35">
      <c r="C207" s="90"/>
      <c r="D207" s="90"/>
      <c r="E207" s="90"/>
      <c r="H207" s="91"/>
      <c r="I207" s="71"/>
      <c r="N207" s="115"/>
      <c r="P207" s="71"/>
      <c r="Q207" s="71"/>
      <c r="R207" s="93"/>
    </row>
    <row r="208" spans="3:18" ht="14.25" customHeight="1" x14ac:dyDescent="0.35">
      <c r="C208" s="90"/>
      <c r="D208" s="90"/>
      <c r="E208" s="90"/>
      <c r="H208" s="91"/>
      <c r="I208" s="71"/>
      <c r="N208" s="115"/>
      <c r="P208" s="71"/>
      <c r="Q208" s="71"/>
      <c r="R208" s="93"/>
    </row>
    <row r="209" spans="3:18" ht="14.25" customHeight="1" x14ac:dyDescent="0.35">
      <c r="C209" s="90"/>
      <c r="D209" s="90"/>
      <c r="E209" s="90"/>
      <c r="H209" s="91"/>
      <c r="I209" s="71"/>
      <c r="N209" s="115"/>
      <c r="P209" s="71"/>
      <c r="Q209" s="71"/>
      <c r="R209" s="93"/>
    </row>
    <row r="210" spans="3:18" ht="14.25" customHeight="1" x14ac:dyDescent="0.35">
      <c r="C210" s="90"/>
      <c r="D210" s="90"/>
      <c r="E210" s="90"/>
      <c r="H210" s="91"/>
      <c r="I210" s="71"/>
      <c r="N210" s="115"/>
      <c r="P210" s="71"/>
      <c r="Q210" s="71"/>
      <c r="R210" s="93"/>
    </row>
    <row r="211" spans="3:18" ht="14.25" customHeight="1" x14ac:dyDescent="0.35">
      <c r="C211" s="90"/>
      <c r="D211" s="90"/>
      <c r="E211" s="90"/>
      <c r="H211" s="91"/>
      <c r="I211" s="71"/>
      <c r="N211" s="115"/>
      <c r="P211" s="71"/>
      <c r="Q211" s="71"/>
      <c r="R211" s="93"/>
    </row>
    <row r="212" spans="3:18" ht="14.25" customHeight="1" x14ac:dyDescent="0.35">
      <c r="C212" s="90"/>
      <c r="D212" s="90"/>
      <c r="E212" s="90"/>
      <c r="H212" s="91"/>
      <c r="I212" s="71"/>
      <c r="M212" s="92"/>
      <c r="N212" s="115"/>
      <c r="P212" s="71"/>
      <c r="Q212" s="71"/>
      <c r="R212" s="93"/>
    </row>
    <row r="213" spans="3:18" ht="14.25" customHeight="1" x14ac:dyDescent="0.35">
      <c r="C213" s="90"/>
      <c r="D213" s="90"/>
      <c r="E213" s="90"/>
      <c r="H213" s="91"/>
      <c r="I213" s="71"/>
      <c r="N213" s="115"/>
      <c r="P213" s="71"/>
      <c r="Q213" s="71"/>
      <c r="R213" s="93"/>
    </row>
    <row r="214" spans="3:18" ht="14.25" customHeight="1" x14ac:dyDescent="0.35">
      <c r="C214" s="90"/>
      <c r="D214" s="90"/>
      <c r="E214" s="90"/>
      <c r="H214" s="91"/>
      <c r="I214" s="71"/>
      <c r="N214" s="115"/>
      <c r="P214" s="71"/>
      <c r="Q214" s="71"/>
      <c r="R214" s="93"/>
    </row>
    <row r="215" spans="3:18" ht="14.25" customHeight="1" x14ac:dyDescent="0.35">
      <c r="C215" s="90"/>
      <c r="D215" s="90"/>
      <c r="E215" s="90"/>
      <c r="H215" s="91"/>
      <c r="I215" s="71"/>
      <c r="N215" s="115"/>
      <c r="P215" s="71"/>
      <c r="Q215" s="71"/>
      <c r="R215" s="93"/>
    </row>
    <row r="216" spans="3:18" ht="14.25" customHeight="1" x14ac:dyDescent="0.35">
      <c r="C216" s="90"/>
      <c r="D216" s="90"/>
      <c r="E216" s="90"/>
      <c r="H216" s="91"/>
      <c r="I216" s="71"/>
      <c r="M216" s="92"/>
      <c r="N216" s="115"/>
      <c r="P216" s="71"/>
      <c r="Q216" s="71"/>
      <c r="R216" s="93"/>
    </row>
    <row r="217" spans="3:18" ht="14.25" customHeight="1" x14ac:dyDescent="0.35">
      <c r="C217" s="90"/>
      <c r="D217" s="90"/>
      <c r="E217" s="90"/>
      <c r="H217" s="91"/>
      <c r="I217" s="71"/>
      <c r="M217" s="92"/>
      <c r="N217" s="115"/>
      <c r="P217" s="71"/>
      <c r="Q217" s="71"/>
      <c r="R217" s="93"/>
    </row>
    <row r="218" spans="3:18" ht="14.25" customHeight="1" x14ac:dyDescent="0.35">
      <c r="C218" s="90"/>
      <c r="D218" s="90"/>
      <c r="E218" s="90"/>
      <c r="H218" s="91"/>
      <c r="I218" s="71"/>
      <c r="N218" s="115"/>
      <c r="P218" s="71"/>
      <c r="Q218" s="71"/>
      <c r="R218" s="93"/>
    </row>
    <row r="219" spans="3:18" ht="14.25" customHeight="1" x14ac:dyDescent="0.35">
      <c r="C219" s="90"/>
      <c r="D219" s="90"/>
      <c r="E219" s="90"/>
      <c r="H219" s="91"/>
      <c r="I219" s="71"/>
      <c r="M219" s="92"/>
      <c r="N219" s="115"/>
      <c r="P219" s="71"/>
      <c r="Q219" s="71"/>
      <c r="R219" s="93"/>
    </row>
    <row r="220" spans="3:18" ht="14.25" customHeight="1" x14ac:dyDescent="0.35">
      <c r="C220" s="90"/>
      <c r="D220" s="90"/>
      <c r="E220" s="90"/>
      <c r="H220" s="91"/>
      <c r="I220" s="71"/>
      <c r="N220" s="115"/>
      <c r="P220" s="71"/>
      <c r="Q220" s="71"/>
      <c r="R220" s="93"/>
    </row>
    <row r="221" spans="3:18" ht="14.25" customHeight="1" x14ac:dyDescent="0.35">
      <c r="C221" s="90"/>
      <c r="D221" s="90"/>
      <c r="E221" s="90"/>
      <c r="H221" s="91"/>
      <c r="I221" s="71"/>
      <c r="N221" s="115"/>
      <c r="P221" s="71"/>
      <c r="Q221" s="71"/>
      <c r="R221" s="93"/>
    </row>
    <row r="222" spans="3:18" ht="14.25" customHeight="1" x14ac:dyDescent="0.35">
      <c r="C222" s="90"/>
      <c r="D222" s="90"/>
      <c r="E222" s="90"/>
      <c r="H222" s="91"/>
      <c r="I222" s="71"/>
      <c r="N222" s="115"/>
      <c r="P222" s="71"/>
      <c r="Q222" s="71"/>
      <c r="R222" s="93"/>
    </row>
    <row r="223" spans="3:18" ht="14.25" customHeight="1" x14ac:dyDescent="0.35">
      <c r="C223" s="90"/>
      <c r="D223" s="90"/>
      <c r="E223" s="90"/>
      <c r="H223" s="91"/>
      <c r="I223" s="71"/>
      <c r="N223" s="115"/>
      <c r="P223" s="71"/>
      <c r="Q223" s="71"/>
      <c r="R223" s="93"/>
    </row>
    <row r="224" spans="3:18" ht="14.25" customHeight="1" x14ac:dyDescent="0.35">
      <c r="C224" s="90"/>
      <c r="D224" s="90"/>
      <c r="E224" s="90"/>
      <c r="H224" s="91"/>
      <c r="I224" s="71"/>
      <c r="N224" s="115"/>
      <c r="P224" s="71"/>
      <c r="Q224" s="71"/>
      <c r="R224" s="93"/>
    </row>
    <row r="225" spans="3:18" ht="14.25" customHeight="1" x14ac:dyDescent="0.35">
      <c r="C225" s="90"/>
      <c r="D225" s="90"/>
      <c r="E225" s="90"/>
      <c r="H225" s="91"/>
      <c r="I225" s="71"/>
      <c r="N225" s="115"/>
      <c r="P225" s="71"/>
      <c r="Q225" s="71"/>
      <c r="R225" s="93"/>
    </row>
    <row r="226" spans="3:18" ht="14.25" customHeight="1" x14ac:dyDescent="0.35">
      <c r="C226" s="90"/>
      <c r="D226" s="90"/>
      <c r="E226" s="90"/>
      <c r="H226" s="91"/>
      <c r="I226" s="71"/>
      <c r="M226" s="92"/>
      <c r="N226" s="115"/>
      <c r="P226" s="71"/>
      <c r="Q226" s="71"/>
      <c r="R226" s="93"/>
    </row>
    <row r="227" spans="3:18" ht="14.25" customHeight="1" x14ac:dyDescent="0.35">
      <c r="C227" s="90"/>
      <c r="D227" s="90"/>
      <c r="E227" s="90"/>
      <c r="H227" s="91"/>
      <c r="I227" s="71"/>
      <c r="M227" s="92"/>
      <c r="N227" s="115"/>
      <c r="P227" s="71"/>
      <c r="Q227" s="71"/>
      <c r="R227" s="93"/>
    </row>
    <row r="228" spans="3:18" ht="14.25" customHeight="1" x14ac:dyDescent="0.35">
      <c r="C228" s="90"/>
      <c r="D228" s="90"/>
      <c r="E228" s="90"/>
      <c r="H228" s="91"/>
      <c r="I228" s="71"/>
      <c r="N228" s="115"/>
      <c r="P228" s="71"/>
      <c r="Q228" s="71"/>
      <c r="R228" s="93"/>
    </row>
    <row r="229" spans="3:18" ht="14.25" customHeight="1" x14ac:dyDescent="0.35">
      <c r="C229" s="90"/>
      <c r="D229" s="90"/>
      <c r="E229" s="90"/>
      <c r="H229" s="91"/>
      <c r="I229" s="71"/>
      <c r="M229" s="92"/>
      <c r="N229" s="115"/>
      <c r="P229" s="71"/>
      <c r="Q229" s="71"/>
      <c r="R229" s="93"/>
    </row>
    <row r="230" spans="3:18" ht="14.25" customHeight="1" x14ac:dyDescent="0.35">
      <c r="C230" s="90"/>
      <c r="D230" s="90"/>
      <c r="E230" s="90"/>
      <c r="H230" s="91"/>
      <c r="I230" s="71"/>
      <c r="M230" s="92"/>
      <c r="N230" s="115"/>
      <c r="P230" s="71"/>
      <c r="Q230" s="71"/>
      <c r="R230" s="93"/>
    </row>
    <row r="231" spans="3:18" ht="14.25" customHeight="1" x14ac:dyDescent="0.35">
      <c r="C231" s="90"/>
      <c r="D231" s="90"/>
      <c r="E231" s="90"/>
      <c r="H231" s="91"/>
      <c r="I231" s="71"/>
      <c r="N231" s="115"/>
      <c r="P231" s="71"/>
      <c r="Q231" s="71"/>
      <c r="R231" s="93"/>
    </row>
    <row r="232" spans="3:18" ht="14.25" customHeight="1" x14ac:dyDescent="0.35">
      <c r="C232" s="90"/>
      <c r="D232" s="90"/>
      <c r="E232" s="90"/>
      <c r="H232" s="91"/>
      <c r="I232" s="71"/>
      <c r="N232" s="115"/>
      <c r="P232" s="71"/>
      <c r="Q232" s="71"/>
      <c r="R232" s="93"/>
    </row>
    <row r="233" spans="3:18" ht="14.25" customHeight="1" x14ac:dyDescent="0.35">
      <c r="C233" s="90"/>
      <c r="D233" s="90"/>
      <c r="E233" s="90"/>
      <c r="H233" s="91"/>
      <c r="I233" s="71"/>
      <c r="M233" s="113"/>
      <c r="N233" s="115"/>
      <c r="P233" s="71"/>
      <c r="Q233" s="71"/>
      <c r="R233" s="93"/>
    </row>
    <row r="234" spans="3:18" ht="14.25" customHeight="1" x14ac:dyDescent="0.35">
      <c r="C234" s="90"/>
      <c r="D234" s="90"/>
      <c r="E234" s="90"/>
      <c r="H234" s="91"/>
      <c r="I234" s="71"/>
      <c r="N234" s="115"/>
      <c r="P234" s="71"/>
      <c r="Q234" s="71"/>
      <c r="R234" s="93"/>
    </row>
    <row r="235" spans="3:18" ht="14.25" customHeight="1" x14ac:dyDescent="0.35">
      <c r="C235" s="90"/>
      <c r="D235" s="90"/>
      <c r="E235" s="90"/>
      <c r="H235" s="91"/>
      <c r="I235" s="71"/>
      <c r="N235" s="115"/>
      <c r="P235" s="71"/>
      <c r="Q235" s="71"/>
      <c r="R235" s="93"/>
    </row>
    <row r="236" spans="3:18" ht="14.25" customHeight="1" x14ac:dyDescent="0.35">
      <c r="C236" s="90"/>
      <c r="D236" s="90"/>
      <c r="E236" s="90"/>
      <c r="H236" s="91"/>
      <c r="I236" s="71"/>
      <c r="N236" s="115"/>
      <c r="P236" s="71"/>
      <c r="Q236" s="71"/>
      <c r="R236" s="93"/>
    </row>
    <row r="237" spans="3:18" ht="14.25" customHeight="1" x14ac:dyDescent="0.35">
      <c r="C237" s="90"/>
      <c r="D237" s="90"/>
      <c r="E237" s="90"/>
      <c r="H237" s="91"/>
      <c r="I237" s="71"/>
      <c r="N237" s="115"/>
      <c r="P237" s="71"/>
      <c r="Q237" s="71"/>
      <c r="R237" s="114"/>
    </row>
    <row r="238" spans="3:18" ht="14.25" customHeight="1" x14ac:dyDescent="0.35">
      <c r="C238" s="90"/>
      <c r="D238" s="90"/>
      <c r="E238" s="90"/>
      <c r="H238" s="91"/>
      <c r="I238" s="71"/>
      <c r="N238" s="115"/>
      <c r="P238" s="71"/>
      <c r="Q238" s="71"/>
      <c r="R238" s="93"/>
    </row>
    <row r="239" spans="3:18" ht="14.25" customHeight="1" x14ac:dyDescent="0.35">
      <c r="C239" s="90"/>
      <c r="D239" s="90"/>
      <c r="E239" s="90"/>
      <c r="H239" s="91"/>
      <c r="I239" s="71"/>
      <c r="M239" s="92"/>
      <c r="N239" s="115"/>
      <c r="P239" s="71"/>
      <c r="Q239" s="71"/>
      <c r="R239" s="93"/>
    </row>
    <row r="240" spans="3:18" ht="14.25" customHeight="1" x14ac:dyDescent="0.35">
      <c r="C240" s="90"/>
      <c r="D240" s="90"/>
      <c r="E240" s="90"/>
      <c r="H240" s="91"/>
      <c r="I240" s="71"/>
      <c r="N240" s="115"/>
      <c r="P240" s="71"/>
      <c r="Q240" s="71"/>
      <c r="R240" s="93"/>
    </row>
    <row r="241" spans="3:18" ht="14.25" customHeight="1" x14ac:dyDescent="0.35">
      <c r="C241" s="90"/>
      <c r="D241" s="90"/>
      <c r="E241" s="90"/>
      <c r="H241" s="91"/>
      <c r="I241" s="71"/>
      <c r="N241" s="115"/>
      <c r="P241" s="71"/>
      <c r="Q241" s="71"/>
      <c r="R241" s="93"/>
    </row>
    <row r="242" spans="3:18" ht="14.25" customHeight="1" x14ac:dyDescent="0.35">
      <c r="C242" s="90"/>
      <c r="D242" s="90"/>
      <c r="E242" s="90"/>
      <c r="H242" s="91"/>
      <c r="I242" s="71"/>
      <c r="N242" s="115"/>
      <c r="P242" s="71"/>
      <c r="Q242" s="71"/>
      <c r="R242" s="93"/>
    </row>
    <row r="243" spans="3:18" ht="14.25" customHeight="1" x14ac:dyDescent="0.35">
      <c r="C243" s="90"/>
      <c r="D243" s="90"/>
      <c r="E243" s="90"/>
      <c r="H243" s="91"/>
      <c r="I243" s="71"/>
      <c r="N243" s="115"/>
      <c r="P243" s="71"/>
      <c r="Q243" s="71"/>
      <c r="R243" s="93"/>
    </row>
    <row r="244" spans="3:18" ht="14.25" customHeight="1" x14ac:dyDescent="0.35">
      <c r="C244" s="90"/>
      <c r="D244" s="90"/>
      <c r="E244" s="90"/>
      <c r="H244" s="91"/>
      <c r="I244" s="71"/>
      <c r="N244" s="115"/>
      <c r="P244" s="71"/>
      <c r="Q244" s="71"/>
      <c r="R244" s="93"/>
    </row>
    <row r="245" spans="3:18" ht="14.25" customHeight="1" x14ac:dyDescent="0.35">
      <c r="C245" s="90"/>
      <c r="D245" s="90"/>
      <c r="E245" s="90"/>
      <c r="H245" s="91"/>
      <c r="I245" s="71"/>
      <c r="N245" s="115"/>
      <c r="P245" s="71"/>
      <c r="Q245" s="71"/>
      <c r="R245" s="93"/>
    </row>
    <row r="246" spans="3:18" ht="14.25" customHeight="1" x14ac:dyDescent="0.35">
      <c r="C246" s="90"/>
      <c r="D246" s="90"/>
      <c r="E246" s="90"/>
      <c r="H246" s="91"/>
      <c r="I246" s="71"/>
      <c r="N246" s="115"/>
      <c r="P246" s="71"/>
      <c r="Q246" s="71"/>
      <c r="R246" s="93"/>
    </row>
    <row r="247" spans="3:18" ht="14.25" customHeight="1" x14ac:dyDescent="0.35">
      <c r="C247" s="90"/>
      <c r="D247" s="90"/>
      <c r="E247" s="90"/>
      <c r="H247" s="91"/>
      <c r="I247" s="71"/>
      <c r="N247" s="115"/>
      <c r="P247" s="71"/>
      <c r="Q247" s="71"/>
      <c r="R247" s="93"/>
    </row>
    <row r="248" spans="3:18" ht="14.25" customHeight="1" x14ac:dyDescent="0.35">
      <c r="C248" s="90"/>
      <c r="D248" s="90"/>
      <c r="E248" s="90"/>
      <c r="H248" s="91"/>
      <c r="I248" s="71"/>
      <c r="N248" s="115"/>
      <c r="P248" s="71"/>
      <c r="Q248" s="71"/>
      <c r="R248" s="93"/>
    </row>
    <row r="249" spans="3:18" ht="14.25" customHeight="1" x14ac:dyDescent="0.35">
      <c r="C249" s="90"/>
      <c r="D249" s="90"/>
      <c r="E249" s="90"/>
      <c r="H249" s="91"/>
      <c r="I249" s="71"/>
      <c r="N249" s="115"/>
      <c r="P249" s="71"/>
      <c r="Q249" s="71"/>
      <c r="R249" s="93"/>
    </row>
    <row r="250" spans="3:18" ht="14.25" customHeight="1" x14ac:dyDescent="0.35">
      <c r="C250" s="90"/>
      <c r="D250" s="90"/>
      <c r="E250" s="90"/>
      <c r="H250" s="91"/>
      <c r="I250" s="71"/>
      <c r="M250" s="92"/>
      <c r="N250" s="115"/>
      <c r="P250" s="71"/>
      <c r="Q250" s="71"/>
      <c r="R250" s="93"/>
    </row>
    <row r="251" spans="3:18" ht="14.25" customHeight="1" x14ac:dyDescent="0.35">
      <c r="C251" s="90"/>
      <c r="D251" s="90"/>
      <c r="E251" s="90"/>
      <c r="H251" s="91"/>
      <c r="I251" s="71"/>
      <c r="N251" s="115"/>
      <c r="P251" s="71"/>
      <c r="Q251" s="71"/>
      <c r="R251" s="93"/>
    </row>
    <row r="252" spans="3:18" ht="14.25" customHeight="1" x14ac:dyDescent="0.35">
      <c r="C252" s="90"/>
      <c r="D252" s="90"/>
      <c r="E252" s="90"/>
      <c r="H252" s="91"/>
      <c r="I252" s="71"/>
      <c r="M252" s="92"/>
      <c r="N252" s="115"/>
      <c r="P252" s="71"/>
      <c r="Q252" s="71"/>
      <c r="R252" s="93"/>
    </row>
    <row r="253" spans="3:18" ht="14.25" customHeight="1" x14ac:dyDescent="0.35">
      <c r="C253" s="90"/>
      <c r="D253" s="90"/>
      <c r="E253" s="90"/>
      <c r="H253" s="91"/>
      <c r="I253" s="71"/>
      <c r="N253" s="115"/>
      <c r="P253" s="71"/>
      <c r="Q253" s="71"/>
      <c r="R253" s="93"/>
    </row>
    <row r="254" spans="3:18" ht="14.25" customHeight="1" x14ac:dyDescent="0.35">
      <c r="C254" s="90"/>
      <c r="D254" s="90"/>
      <c r="E254" s="90"/>
      <c r="H254" s="91"/>
      <c r="I254" s="71"/>
      <c r="M254" s="92"/>
      <c r="N254" s="115"/>
      <c r="P254" s="71"/>
      <c r="Q254" s="71"/>
      <c r="R254" s="93"/>
    </row>
    <row r="255" spans="3:18" ht="14.25" customHeight="1" x14ac:dyDescent="0.35">
      <c r="C255" s="90"/>
      <c r="D255" s="90"/>
      <c r="E255" s="90"/>
      <c r="H255" s="91"/>
      <c r="I255" s="71"/>
      <c r="M255" s="92"/>
      <c r="N255" s="115"/>
      <c r="P255" s="71"/>
      <c r="Q255" s="71"/>
      <c r="R255" s="93"/>
    </row>
    <row r="256" spans="3:18" ht="14.25" customHeight="1" x14ac:dyDescent="0.35">
      <c r="C256" s="90"/>
      <c r="D256" s="90"/>
      <c r="E256" s="90"/>
      <c r="H256" s="91"/>
      <c r="I256" s="71"/>
      <c r="N256" s="115"/>
      <c r="P256" s="71"/>
      <c r="Q256" s="71"/>
      <c r="R256" s="93"/>
    </row>
    <row r="257" spans="3:18" ht="14.25" customHeight="1" x14ac:dyDescent="0.35">
      <c r="C257" s="90"/>
      <c r="D257" s="90"/>
      <c r="E257" s="90"/>
      <c r="H257" s="91"/>
      <c r="I257" s="71"/>
      <c r="N257" s="115"/>
      <c r="P257" s="71"/>
      <c r="Q257" s="71"/>
      <c r="R257" s="93"/>
    </row>
    <row r="258" spans="3:18" ht="14.25" customHeight="1" x14ac:dyDescent="0.35">
      <c r="C258" s="90"/>
      <c r="D258" s="90"/>
      <c r="E258" s="90"/>
      <c r="H258" s="91"/>
      <c r="I258" s="71"/>
      <c r="N258" s="115"/>
      <c r="P258" s="71"/>
      <c r="Q258" s="71"/>
      <c r="R258" s="93"/>
    </row>
    <row r="259" spans="3:18" ht="14.25" customHeight="1" x14ac:dyDescent="0.35">
      <c r="C259" s="90"/>
      <c r="D259" s="90"/>
      <c r="E259" s="90"/>
      <c r="H259" s="91"/>
      <c r="I259" s="71"/>
      <c r="N259" s="115"/>
      <c r="P259" s="71"/>
      <c r="Q259" s="71"/>
      <c r="R259" s="93"/>
    </row>
    <row r="260" spans="3:18" ht="14.25" customHeight="1" x14ac:dyDescent="0.35">
      <c r="C260" s="90"/>
      <c r="D260" s="90"/>
      <c r="E260" s="90"/>
      <c r="H260" s="91"/>
      <c r="I260" s="71"/>
      <c r="N260" s="115"/>
      <c r="P260" s="71"/>
      <c r="Q260" s="71"/>
      <c r="R260" s="93"/>
    </row>
    <row r="261" spans="3:18" ht="14.25" customHeight="1" x14ac:dyDescent="0.35">
      <c r="C261" s="90"/>
      <c r="D261" s="90"/>
      <c r="E261" s="90"/>
      <c r="H261" s="91"/>
      <c r="I261" s="71"/>
      <c r="N261" s="115"/>
      <c r="P261" s="71"/>
      <c r="Q261" s="71"/>
      <c r="R261" s="93"/>
    </row>
    <row r="262" spans="3:18" ht="14.25" customHeight="1" x14ac:dyDescent="0.35">
      <c r="C262" s="90"/>
      <c r="D262" s="90"/>
      <c r="E262" s="90"/>
      <c r="H262" s="91"/>
      <c r="I262" s="71"/>
      <c r="M262" s="92"/>
      <c r="N262" s="115"/>
      <c r="P262" s="71"/>
      <c r="Q262" s="71"/>
      <c r="R262" s="93"/>
    </row>
    <row r="263" spans="3:18" ht="14.25" customHeight="1" x14ac:dyDescent="0.35">
      <c r="C263" s="90"/>
      <c r="D263" s="90"/>
      <c r="E263" s="90"/>
      <c r="H263" s="91"/>
      <c r="I263" s="71"/>
      <c r="M263" s="92"/>
      <c r="N263" s="115"/>
      <c r="P263" s="71"/>
      <c r="Q263" s="71"/>
      <c r="R263" s="93"/>
    </row>
    <row r="264" spans="3:18" ht="14.25" customHeight="1" x14ac:dyDescent="0.35">
      <c r="C264" s="90"/>
      <c r="D264" s="90"/>
      <c r="E264" s="90"/>
      <c r="H264" s="91"/>
      <c r="I264" s="71"/>
      <c r="N264" s="115"/>
      <c r="P264" s="71"/>
      <c r="Q264" s="71"/>
      <c r="R264" s="93"/>
    </row>
    <row r="265" spans="3:18" ht="14.25" customHeight="1" x14ac:dyDescent="0.35">
      <c r="C265" s="90"/>
      <c r="D265" s="90"/>
      <c r="E265" s="90"/>
      <c r="H265" s="91"/>
      <c r="I265" s="71"/>
      <c r="M265" s="92"/>
      <c r="N265" s="115"/>
      <c r="P265" s="71"/>
      <c r="Q265" s="71"/>
      <c r="R265" s="93"/>
    </row>
    <row r="266" spans="3:18" ht="14.25" customHeight="1" x14ac:dyDescent="0.35">
      <c r="C266" s="90"/>
      <c r="D266" s="90"/>
      <c r="E266" s="90"/>
      <c r="H266" s="91"/>
      <c r="I266" s="71"/>
      <c r="N266" s="115"/>
      <c r="P266" s="71"/>
      <c r="Q266" s="71"/>
      <c r="R266" s="93"/>
    </row>
    <row r="267" spans="3:18" ht="14.25" customHeight="1" x14ac:dyDescent="0.35">
      <c r="C267" s="90"/>
      <c r="D267" s="90"/>
      <c r="E267" s="90"/>
      <c r="H267" s="91"/>
      <c r="I267" s="71"/>
      <c r="N267" s="115"/>
      <c r="P267" s="71"/>
      <c r="Q267" s="71"/>
      <c r="R267" s="93"/>
    </row>
    <row r="268" spans="3:18" ht="14.25" customHeight="1" x14ac:dyDescent="0.35">
      <c r="C268" s="90"/>
      <c r="D268" s="90"/>
      <c r="E268" s="90"/>
      <c r="H268" s="91"/>
      <c r="I268" s="71"/>
      <c r="N268" s="115"/>
      <c r="P268" s="71"/>
      <c r="Q268" s="71"/>
      <c r="R268" s="93"/>
    </row>
    <row r="269" spans="3:18" ht="14.25" customHeight="1" x14ac:dyDescent="0.35">
      <c r="C269" s="90"/>
      <c r="D269" s="90"/>
      <c r="E269" s="90"/>
      <c r="H269" s="91"/>
      <c r="I269" s="71"/>
      <c r="N269" s="115"/>
      <c r="P269" s="71"/>
      <c r="Q269" s="116"/>
      <c r="R269" s="93"/>
    </row>
    <row r="270" spans="3:18" ht="14.25" customHeight="1" x14ac:dyDescent="0.35">
      <c r="C270" s="90"/>
      <c r="D270" s="90"/>
      <c r="E270" s="90"/>
      <c r="H270" s="91"/>
      <c r="I270" s="71"/>
      <c r="M270" s="92"/>
      <c r="N270" s="115"/>
      <c r="P270" s="71"/>
      <c r="Q270" s="71"/>
      <c r="R270" s="93"/>
    </row>
    <row r="271" spans="3:18" ht="14.25" customHeight="1" x14ac:dyDescent="0.35">
      <c r="C271" s="90"/>
      <c r="D271" s="90"/>
      <c r="E271" s="90"/>
      <c r="H271" s="91"/>
      <c r="I271" s="71"/>
      <c r="N271" s="115"/>
      <c r="P271" s="71"/>
      <c r="Q271" s="71"/>
      <c r="R271" s="93"/>
    </row>
    <row r="272" spans="3:18" ht="14.25" customHeight="1" x14ac:dyDescent="0.35">
      <c r="C272" s="90"/>
      <c r="D272" s="90"/>
      <c r="E272" s="90"/>
      <c r="H272" s="91"/>
      <c r="I272" s="71"/>
      <c r="N272" s="115"/>
      <c r="P272" s="71"/>
      <c r="Q272" s="71"/>
      <c r="R272" s="93"/>
    </row>
    <row r="273" spans="3:18" ht="14.25" customHeight="1" x14ac:dyDescent="0.35">
      <c r="C273" s="90"/>
      <c r="D273" s="90"/>
      <c r="E273" s="90"/>
      <c r="H273" s="91"/>
      <c r="I273" s="71"/>
      <c r="N273" s="115"/>
      <c r="P273" s="71"/>
      <c r="Q273" s="71"/>
      <c r="R273" s="93"/>
    </row>
    <row r="274" spans="3:18" ht="14.25" customHeight="1" x14ac:dyDescent="0.35">
      <c r="C274" s="90"/>
      <c r="D274" s="90"/>
      <c r="E274" s="90"/>
      <c r="H274" s="91"/>
      <c r="I274" s="71"/>
      <c r="N274" s="115"/>
      <c r="P274" s="71"/>
      <c r="Q274" s="71"/>
      <c r="R274" s="93"/>
    </row>
    <row r="275" spans="3:18" ht="14.25" customHeight="1" x14ac:dyDescent="0.35">
      <c r="C275" s="90"/>
      <c r="D275" s="90"/>
      <c r="E275" s="90"/>
      <c r="H275" s="91"/>
      <c r="I275" s="71"/>
      <c r="N275" s="115"/>
      <c r="P275" s="71"/>
      <c r="Q275" s="71"/>
      <c r="R275" s="93"/>
    </row>
    <row r="276" spans="3:18" ht="14.25" customHeight="1" x14ac:dyDescent="0.35">
      <c r="C276" s="90"/>
      <c r="D276" s="90"/>
      <c r="E276" s="90"/>
      <c r="H276" s="91"/>
      <c r="I276" s="71"/>
      <c r="M276" s="92"/>
      <c r="N276" s="115"/>
      <c r="P276" s="71"/>
      <c r="Q276" s="71"/>
      <c r="R276" s="93"/>
    </row>
    <row r="277" spans="3:18" ht="14.25" customHeight="1" x14ac:dyDescent="0.35">
      <c r="C277" s="90"/>
      <c r="D277" s="90"/>
      <c r="E277" s="90"/>
      <c r="H277" s="91"/>
      <c r="I277" s="71"/>
      <c r="N277" s="115"/>
      <c r="P277" s="71"/>
      <c r="Q277" s="71"/>
      <c r="R277" s="93"/>
    </row>
    <row r="278" spans="3:18" ht="14.25" customHeight="1" x14ac:dyDescent="0.35">
      <c r="C278" s="90"/>
      <c r="D278" s="90"/>
      <c r="E278" s="90"/>
      <c r="H278" s="91"/>
      <c r="I278" s="71"/>
      <c r="N278" s="115"/>
      <c r="P278" s="71"/>
      <c r="Q278" s="71"/>
      <c r="R278" s="93"/>
    </row>
    <row r="279" spans="3:18" ht="14.25" customHeight="1" x14ac:dyDescent="0.35">
      <c r="C279" s="90"/>
      <c r="D279" s="90"/>
      <c r="E279" s="90"/>
      <c r="H279" s="91"/>
      <c r="I279" s="71"/>
      <c r="N279" s="115"/>
      <c r="P279" s="71"/>
      <c r="Q279" s="71"/>
      <c r="R279" s="93"/>
    </row>
    <row r="280" spans="3:18" ht="14.25" customHeight="1" x14ac:dyDescent="0.35">
      <c r="C280" s="90"/>
      <c r="D280" s="90"/>
      <c r="E280" s="90"/>
      <c r="H280" s="91"/>
      <c r="I280" s="71"/>
      <c r="M280" s="92"/>
      <c r="N280" s="115"/>
      <c r="P280" s="71"/>
      <c r="Q280" s="71"/>
      <c r="R280" s="93"/>
    </row>
    <row r="281" spans="3:18" ht="14.25" customHeight="1" x14ac:dyDescent="0.35">
      <c r="C281" s="90"/>
      <c r="D281" s="90"/>
      <c r="E281" s="90"/>
      <c r="H281" s="91"/>
      <c r="I281" s="71"/>
      <c r="N281" s="115"/>
      <c r="P281" s="71"/>
      <c r="Q281" s="71"/>
      <c r="R281" s="93"/>
    </row>
    <row r="282" spans="3:18" ht="14.25" customHeight="1" x14ac:dyDescent="0.35">
      <c r="C282" s="90"/>
      <c r="D282" s="90"/>
      <c r="E282" s="90"/>
      <c r="H282" s="91"/>
      <c r="I282" s="71"/>
      <c r="N282" s="115"/>
      <c r="P282" s="71"/>
      <c r="Q282" s="71"/>
      <c r="R282" s="93"/>
    </row>
    <row r="283" spans="3:18" ht="14.25" customHeight="1" x14ac:dyDescent="0.35">
      <c r="C283" s="90"/>
      <c r="D283" s="90"/>
      <c r="E283" s="90"/>
      <c r="H283" s="91"/>
      <c r="I283" s="71"/>
      <c r="N283" s="115"/>
      <c r="P283" s="71"/>
      <c r="Q283" s="71"/>
      <c r="R283" s="93"/>
    </row>
    <row r="284" spans="3:18" ht="14.25" customHeight="1" x14ac:dyDescent="0.35">
      <c r="C284" s="90"/>
      <c r="D284" s="90"/>
      <c r="E284" s="90"/>
      <c r="H284" s="91"/>
      <c r="I284" s="71"/>
      <c r="N284" s="115"/>
      <c r="P284" s="71"/>
      <c r="Q284" s="71"/>
      <c r="R284" s="93"/>
    </row>
    <row r="285" spans="3:18" ht="14.25" customHeight="1" x14ac:dyDescent="0.35">
      <c r="C285" s="90"/>
      <c r="D285" s="90"/>
      <c r="E285" s="90"/>
      <c r="H285" s="91"/>
      <c r="I285" s="71"/>
      <c r="N285" s="115"/>
      <c r="P285" s="71"/>
      <c r="Q285" s="71"/>
      <c r="R285" s="93"/>
    </row>
    <row r="286" spans="3:18" ht="14.25" customHeight="1" x14ac:dyDescent="0.35">
      <c r="C286" s="90"/>
      <c r="D286" s="90"/>
      <c r="E286" s="90"/>
      <c r="H286" s="91"/>
      <c r="I286" s="71"/>
      <c r="N286" s="115"/>
      <c r="P286" s="71"/>
      <c r="Q286" s="71"/>
      <c r="R286" s="93"/>
    </row>
    <row r="287" spans="3:18" ht="14.25" customHeight="1" x14ac:dyDescent="0.35">
      <c r="C287" s="90"/>
      <c r="D287" s="90"/>
      <c r="E287" s="90"/>
      <c r="H287" s="91"/>
      <c r="I287" s="71"/>
      <c r="M287" s="92"/>
      <c r="N287" s="115"/>
      <c r="P287" s="71"/>
      <c r="Q287" s="71"/>
      <c r="R287" s="93"/>
    </row>
    <row r="288" spans="3:18" ht="14.25" customHeight="1" x14ac:dyDescent="0.35">
      <c r="C288" s="90"/>
      <c r="D288" s="90"/>
      <c r="E288" s="90"/>
      <c r="H288" s="91"/>
      <c r="I288" s="71"/>
      <c r="N288" s="115"/>
      <c r="P288" s="71"/>
      <c r="Q288" s="71"/>
      <c r="R288" s="93"/>
    </row>
    <row r="289" spans="3:18" ht="14.25" customHeight="1" x14ac:dyDescent="0.35">
      <c r="C289" s="90"/>
      <c r="D289" s="90"/>
      <c r="E289" s="90"/>
      <c r="H289" s="91"/>
      <c r="I289" s="71"/>
      <c r="N289" s="115"/>
      <c r="P289" s="71"/>
      <c r="Q289" s="71"/>
      <c r="R289" s="93"/>
    </row>
    <row r="290" spans="3:18" ht="14.25" customHeight="1" x14ac:dyDescent="0.35">
      <c r="C290" s="90"/>
      <c r="D290" s="90"/>
      <c r="E290" s="90"/>
      <c r="H290" s="91"/>
      <c r="I290" s="71"/>
      <c r="N290" s="115"/>
      <c r="P290" s="71"/>
      <c r="Q290" s="71"/>
      <c r="R290" s="93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75A3868D-EB04-4044-96F4-BF552A65CE0D}"/>
    <hyperlink ref="M34" r:id="rId2" xr:uid="{399EBD93-D305-49E5-8C79-67A56CBC78CB}"/>
    <hyperlink ref="M30" r:id="rId3" xr:uid="{CAC2F883-7EBB-432C-A64A-9A3AEEAA3A36}"/>
    <hyperlink ref="M29" r:id="rId4" xr:uid="{4F40C0BF-4C66-4768-9E51-1B8929271797}"/>
    <hyperlink ref="M28" r:id="rId5" xr:uid="{16F14111-6606-44B2-BFB0-8BDA22D03D6A}"/>
    <hyperlink ref="M26" r:id="rId6" xr:uid="{2DADE32F-8C3D-4DE5-89D0-7C3CC1097BEA}"/>
    <hyperlink ref="M25" r:id="rId7" xr:uid="{F1ECE85F-CA61-42A8-BE0E-483A1EB6FE27}"/>
    <hyperlink ref="M23" r:id="rId8" xr:uid="{D0CB24DB-8C09-43ED-9297-97D6B9FB2999}"/>
    <hyperlink ref="M22" r:id="rId9" xr:uid="{ACB24090-D6D8-4D2A-8E41-FA8DCF7EAAF3}"/>
    <hyperlink ref="M19" r:id="rId10" xr:uid="{9C0E9E1A-39E8-4187-AD35-202EEFD4E950}"/>
    <hyperlink ref="M18" r:id="rId11" xr:uid="{E54FF83D-62AA-4E47-86B1-22C6F28F1E6B}"/>
    <hyperlink ref="M17" r:id="rId12" xr:uid="{8D040AC0-A07C-4274-AD6C-800115E33BE8}"/>
    <hyperlink ref="M16" r:id="rId13" xr:uid="{EA0B4923-BF41-4051-B549-88F70925B981}"/>
    <hyperlink ref="M15" r:id="rId14" xr:uid="{4CB01527-EDEC-4259-A515-6F28BCFB7B6D}"/>
    <hyperlink ref="M14" r:id="rId15" xr:uid="{0B01C0C2-2A22-4462-ABCC-2FF4A408B7FC}"/>
    <hyperlink ref="M13" r:id="rId16" xr:uid="{E57119FD-90B7-40B0-BCBE-0546095ED37A}"/>
    <hyperlink ref="M12" r:id="rId17" xr:uid="{D5BD056E-A47F-41A2-A5B8-6600F7DDCE90}"/>
    <hyperlink ref="M11" r:id="rId18" xr:uid="{8FC9E64B-D7BB-4B64-90AD-FB467BB3B9AA}"/>
    <hyperlink ref="M10" r:id="rId19" xr:uid="{38E2319A-1F65-4557-A454-36EC54A83C3B}"/>
    <hyperlink ref="M9" r:id="rId20" xr:uid="{CA80DBD9-462F-442B-B9CF-4FD55BDAAB14}"/>
    <hyperlink ref="M7" r:id="rId21" xr:uid="{157DF798-AFD6-479E-B81C-3D96648FE571}"/>
    <hyperlink ref="M49" r:id="rId22" xr:uid="{D2C27640-85B3-42D9-85CD-7281E206DBDC}"/>
    <hyperlink ref="M50" r:id="rId23" xr:uid="{DF9C422D-FB83-4134-AB3C-5C3CAAE19986}"/>
    <hyperlink ref="M47" r:id="rId24" xr:uid="{3464367F-FD41-4DCF-A7FF-5EA3665FB6DD}"/>
    <hyperlink ref="M43" r:id="rId25" xr:uid="{774630D1-0E75-4FA1-AA90-14122FED51DE}"/>
    <hyperlink ref="M42" r:id="rId26" xr:uid="{2BC41862-246E-4D3A-B8C4-C93F1F7DE544}"/>
    <hyperlink ref="M41" r:id="rId27" xr:uid="{EF4B8FE1-068F-4F8A-8128-F54767D26797}"/>
    <hyperlink ref="M53" r:id="rId28" xr:uid="{42A93C62-F9F1-4E84-B8DF-0DE38CA6E83C}"/>
    <hyperlink ref="M55" r:id="rId29" xr:uid="{A597536A-5E49-4F79-839A-D579A02B0198}"/>
    <hyperlink ref="M56" r:id="rId30" xr:uid="{D07CFBC9-4883-4F3B-B47D-B885CBFF386E}"/>
    <hyperlink ref="M57" r:id="rId31" xr:uid="{3756BD85-A244-4640-91C7-65192D42B931}"/>
    <hyperlink ref="M52" r:id="rId32" xr:uid="{E6C1279E-AFEF-4E86-BEAC-C8C0795D4BE5}"/>
    <hyperlink ref="M59" r:id="rId33" xr:uid="{55719091-C5E6-494C-98FB-12DF3AC11F34}"/>
    <hyperlink ref="M60" r:id="rId34" xr:uid="{84DA5C73-6A43-4F5A-AE8F-9CC8727EF90C}"/>
    <hyperlink ref="M62" r:id="rId35" xr:uid="{52D92BF7-27D9-4A4F-B03E-3E60120F40CE}"/>
    <hyperlink ref="M64" r:id="rId36" xr:uid="{F20F1456-1BCC-4980-AE38-EF225F44F092}"/>
    <hyperlink ref="M68" r:id="rId37" xr:uid="{2827C7CF-C3C4-4752-A610-9178C563420A}"/>
    <hyperlink ref="M74" r:id="rId38" xr:uid="{A1B5825D-9F6E-41A6-9D22-84F901F22EFB}"/>
    <hyperlink ref="M81" r:id="rId39" xr:uid="{9BE8CD42-DAC5-4ED1-92C9-2E294541C04E}"/>
    <hyperlink ref="M92" r:id="rId40" xr:uid="{7763B1AB-4BAD-4D49-B9AB-B31A1E114E30}"/>
    <hyperlink ref="M91" r:id="rId41" xr:uid="{CED945FA-92A7-40A0-8D76-70BE1AA71127}"/>
    <hyperlink ref="M89" r:id="rId42" xr:uid="{5235DE8C-3E21-4F86-A0A2-D0BF645B9E69}"/>
    <hyperlink ref="M88" r:id="rId43" xr:uid="{16EA3427-CE32-4EB7-8674-9B44C5063F41}"/>
    <hyperlink ref="M78" r:id="rId44" xr:uid="{E118E9F4-015D-4D6E-A12D-50FEF8275D42}"/>
    <hyperlink ref="M79" r:id="rId45" xr:uid="{9968A602-644C-45A6-AC6A-3C05E60BEAEE}"/>
    <hyperlink ref="M37" r:id="rId46" xr:uid="{6FBDA4A4-66A3-464C-9FB5-24B7BC58E678}"/>
    <hyperlink ref="M117" r:id="rId47" xr:uid="{803CA638-A86C-48AA-8EAF-EFBAE0B68386}"/>
    <hyperlink ref="M116" r:id="rId48" xr:uid="{1A1999CB-A339-48C6-82FB-BE575682411A}"/>
    <hyperlink ref="M114" r:id="rId49" xr:uid="{1C181E7B-9107-4A61-8C6E-E02F38DFEBAC}"/>
    <hyperlink ref="M127" r:id="rId50" xr:uid="{39DC7E60-241C-4949-892E-F3068CE4391A}"/>
    <hyperlink ref="M124" r:id="rId51" xr:uid="{5596E733-EDC3-42F6-BBBF-90003F834E23}"/>
    <hyperlink ref="M132" r:id="rId52" xr:uid="{3203792E-D4E8-41F4-AE28-6CB1238F1A14}"/>
    <hyperlink ref="M112" r:id="rId53" xr:uid="{0F5BF528-D9A7-42E7-ADE2-348B45A0F3EB}"/>
    <hyperlink ref="M101" r:id="rId54" xr:uid="{83534D2E-1609-4A96-80E6-47320F7F64C2}"/>
    <hyperlink ref="M138" r:id="rId55" xr:uid="{D06DED87-0B6C-46B1-8456-D6519F315BD0}"/>
    <hyperlink ref="M142" r:id="rId56" xr:uid="{E41632FE-E18D-4E41-B4D4-146C41BA0042}"/>
    <hyperlink ref="M8" r:id="rId57" xr:uid="{549AB6B0-325B-47AD-AA7C-97FEFCEA149E}"/>
    <hyperlink ref="M20" r:id="rId58" xr:uid="{FDADE927-34FB-4E9C-BDA7-C40429E64FAA}"/>
    <hyperlink ref="M149" r:id="rId59" xr:uid="{6D429B08-B480-4FE0-B37D-2B46487220EF}"/>
  </hyperlinks>
  <pageMargins left="0.7" right="0.7" top="0.75" bottom="0.75" header="0" footer="0"/>
  <pageSetup orientation="landscape"/>
  <legacyDrawing r:id="rId6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3" t="s">
        <v>1878</v>
      </c>
      <c r="C1" s="33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8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8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8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8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8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8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8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8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8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8">
        <f>Basen!F15+20000</f>
        <v>40012</v>
      </c>
      <c r="C11" s="1" t="str">
        <f>Basen!C15</f>
        <v>NE</v>
      </c>
      <c r="D11" s="59" t="str">
        <f>Basen!H15</f>
        <v>cansl</v>
      </c>
      <c r="E11" s="1">
        <f>Basen!J15</f>
        <v>0</v>
      </c>
      <c r="F11" s="59" t="str">
        <f t="shared" si="0"/>
        <v>cansl</v>
      </c>
    </row>
    <row r="12" spans="1:11" ht="14.25" customHeight="1" x14ac:dyDescent="0.35">
      <c r="A12" s="1">
        <f>Basen!A16</f>
        <v>0</v>
      </c>
      <c r="B12" s="58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8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8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8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8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8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8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8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8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8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8">
        <f>Basen!F26+20000</f>
        <v>40023</v>
      </c>
      <c r="C22" s="1" t="str">
        <f>Basen!C26</f>
        <v>Korving</v>
      </c>
      <c r="D22" s="59" t="str">
        <f>Basen!H26</f>
        <v>cansl</v>
      </c>
      <c r="E22" s="1">
        <f>Basen!J26</f>
        <v>0</v>
      </c>
      <c r="F22" s="59" t="str">
        <f t="shared" si="0"/>
        <v>cansl</v>
      </c>
    </row>
    <row r="23" spans="1:6" ht="14.25" customHeight="1" x14ac:dyDescent="0.35">
      <c r="A23" s="1">
        <f>Basen!A27</f>
        <v>0</v>
      </c>
      <c r="B23" s="58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8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8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8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8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8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8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8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8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8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8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8">
        <f>Basen!F38+20000</f>
        <v>40035</v>
      </c>
      <c r="C34" s="1" t="str">
        <f>Basen!C38</f>
        <v>Kranig</v>
      </c>
      <c r="D34" s="59" t="str">
        <f>Basen!H38</f>
        <v>bc</v>
      </c>
      <c r="E34" s="1">
        <f>Basen!J38</f>
        <v>0</v>
      </c>
      <c r="F34" s="59" t="str">
        <f t="shared" si="0"/>
        <v>bc</v>
      </c>
    </row>
    <row r="35" spans="1:6" ht="14.25" customHeight="1" x14ac:dyDescent="0.35">
      <c r="A35" s="1">
        <f>Basen!A39</f>
        <v>0</v>
      </c>
      <c r="B35" s="58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8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8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8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8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8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8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8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8">
        <f>Basen!F47+20000</f>
        <v>40044</v>
      </c>
      <c r="C43" s="1" t="str">
        <f>Basen!C47</f>
        <v>Bonefeld</v>
      </c>
      <c r="D43" s="59" t="str">
        <f>Basen!H47</f>
        <v>bc</v>
      </c>
      <c r="E43" s="1">
        <f>Basen!J47</f>
        <v>0</v>
      </c>
      <c r="F43" s="59" t="str">
        <f t="shared" si="0"/>
        <v>bc</v>
      </c>
    </row>
    <row r="44" spans="1:6" ht="14.25" customHeight="1" x14ac:dyDescent="0.35">
      <c r="A44" s="1">
        <f>Basen!A48</f>
        <v>0</v>
      </c>
      <c r="B44" s="58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8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8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8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8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8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8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8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8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8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8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8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8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8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8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8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8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8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8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8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8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8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8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8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8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8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8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8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8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8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8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8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8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8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8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8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8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8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8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8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8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8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8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8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8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8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8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8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8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8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8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8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8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8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8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8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8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8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8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8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8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8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8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8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8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8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8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8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8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8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8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8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8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8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8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8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8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8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8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8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8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8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8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8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8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8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8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8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8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8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8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8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8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8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8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8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8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8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8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8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8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8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8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8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8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8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8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8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8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8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8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8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8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8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8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8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8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8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8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8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8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8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8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8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8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8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8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8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8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8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8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8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8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8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8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8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8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8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8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8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8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8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8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8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8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8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8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8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8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8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8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8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8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8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8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8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8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8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8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8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8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8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8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8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8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8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8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8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8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8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8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8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8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8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8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8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8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8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8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8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8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8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8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8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8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8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8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8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8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8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8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8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8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8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8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8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8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8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8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8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8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8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8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8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8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8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8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8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8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8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8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8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8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8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8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8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8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8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8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8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8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8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8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8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8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8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8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8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8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8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8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8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8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8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8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8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8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8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8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8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8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8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8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8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8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8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8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8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8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8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8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8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8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8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8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8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8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8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8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8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8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8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8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8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8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8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8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8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8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8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8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8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8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8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8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8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8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8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8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8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8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8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8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8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8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8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8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8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8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8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8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8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8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8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8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8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8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8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8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8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8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8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8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8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8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8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8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8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8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8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8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8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8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8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8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8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8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8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8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8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8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8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8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8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8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8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8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8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8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8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8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8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8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8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8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8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8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8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8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8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8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8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8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8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8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8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8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8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8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8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8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8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8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8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8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8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8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8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8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8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8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8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8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8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8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8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8">
        <f>Basen!F449+22000</f>
        <v>44001</v>
      </c>
      <c r="C410" s="1" t="str">
        <f>Basen!C449</f>
        <v>Sørensen</v>
      </c>
      <c r="D410" s="39" t="str">
        <f>Basen!H449</f>
        <v>WEB</v>
      </c>
      <c r="E410" s="1">
        <f>Basen!J449</f>
        <v>0</v>
      </c>
      <c r="H410" s="39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8">
        <f>Basen!F450+22000</f>
        <v>44002</v>
      </c>
      <c r="C411" s="1" t="str">
        <f>Basen!C450</f>
        <v>Krogh</v>
      </c>
      <c r="D411" s="39" t="str">
        <f>Basen!H450</f>
        <v>WEB</v>
      </c>
      <c r="E411" s="1">
        <f>Basen!J450</f>
        <v>0</v>
      </c>
      <c r="H411" s="39" t="str">
        <f t="shared" si="7"/>
        <v>WEB</v>
      </c>
    </row>
    <row r="412" spans="1:10" ht="14.25" customHeight="1" x14ac:dyDescent="0.35">
      <c r="A412" s="1">
        <f>Basen!A451</f>
        <v>0</v>
      </c>
      <c r="B412" s="58">
        <f>Basen!F451+22000</f>
        <v>44003</v>
      </c>
      <c r="C412" s="1" t="str">
        <f>Basen!C451</f>
        <v>Hansen</v>
      </c>
      <c r="D412" s="39" t="str">
        <f>Basen!H451</f>
        <v>WEB</v>
      </c>
      <c r="E412" s="1">
        <f>Basen!J451</f>
        <v>8</v>
      </c>
      <c r="H412" s="39" t="str">
        <f t="shared" si="7"/>
        <v>WEB</v>
      </c>
    </row>
    <row r="413" spans="1:10" ht="14.25" customHeight="1" x14ac:dyDescent="0.35">
      <c r="A413" s="1">
        <f>Basen!A452</f>
        <v>0</v>
      </c>
      <c r="B413" s="58">
        <f>Basen!F452+22000</f>
        <v>44004</v>
      </c>
      <c r="C413" s="1" t="str">
        <f>Basen!C452</f>
        <v>Jørgensen</v>
      </c>
      <c r="D413" s="39" t="str">
        <f>Basen!H452</f>
        <v>WEB</v>
      </c>
      <c r="E413" s="1">
        <f>Basen!J452</f>
        <v>0</v>
      </c>
      <c r="H413" s="39" t="str">
        <f t="shared" si="7"/>
        <v>WEB</v>
      </c>
    </row>
    <row r="414" spans="1:10" ht="14.25" customHeight="1" x14ac:dyDescent="0.35">
      <c r="A414" s="1">
        <f>Basen!A453</f>
        <v>0</v>
      </c>
      <c r="B414" s="58">
        <f>Basen!F453+22000</f>
        <v>44005</v>
      </c>
      <c r="C414" s="1" t="str">
        <f>Basen!C453</f>
        <v>Andersen</v>
      </c>
      <c r="D414" s="39" t="str">
        <f>Basen!H453</f>
        <v>WEB</v>
      </c>
      <c r="E414" s="1">
        <f>Basen!J453</f>
        <v>5</v>
      </c>
      <c r="H414" s="39" t="str">
        <f t="shared" si="7"/>
        <v>WEB</v>
      </c>
    </row>
    <row r="415" spans="1:10" ht="14.25" customHeight="1" x14ac:dyDescent="0.35">
      <c r="A415" s="1">
        <f>Basen!A454</f>
        <v>0</v>
      </c>
      <c r="B415" s="58">
        <f>Basen!F454+22000</f>
        <v>44006</v>
      </c>
      <c r="C415" s="1" t="str">
        <f>Basen!C454</f>
        <v>Grube</v>
      </c>
      <c r="D415" s="39" t="str">
        <f>Basen!H454</f>
        <v>cansl</v>
      </c>
      <c r="E415" s="1">
        <f>Basen!J454</f>
        <v>0</v>
      </c>
      <c r="H415" s="39" t="str">
        <f t="shared" si="7"/>
        <v>cansl</v>
      </c>
    </row>
    <row r="416" spans="1:10" ht="14.25" customHeight="1" x14ac:dyDescent="0.35">
      <c r="A416" s="1">
        <f>Basen!A455</f>
        <v>0</v>
      </c>
      <c r="B416" s="58">
        <f>Basen!F455+22000</f>
        <v>44007</v>
      </c>
      <c r="C416" s="1" t="str">
        <f>Basen!C455</f>
        <v>Tamara</v>
      </c>
      <c r="D416" s="39" t="str">
        <f>Basen!H455</f>
        <v>cansl</v>
      </c>
      <c r="E416" s="1">
        <f>Basen!J455</f>
        <v>0</v>
      </c>
      <c r="H416" s="39" t="str">
        <f t="shared" si="7"/>
        <v>cansl</v>
      </c>
    </row>
    <row r="417" spans="1:8" ht="14.25" customHeight="1" x14ac:dyDescent="0.35">
      <c r="A417" s="1">
        <f>Basen!A456</f>
        <v>0</v>
      </c>
      <c r="B417" s="58">
        <f>Basen!F456+22000</f>
        <v>44008</v>
      </c>
      <c r="C417" s="1" t="str">
        <f>Basen!C456</f>
        <v>Wahlgren</v>
      </c>
      <c r="D417" s="39" t="str">
        <f>Basen!H456</f>
        <v>cansl</v>
      </c>
      <c r="E417" s="1">
        <f>Basen!J456</f>
        <v>0</v>
      </c>
      <c r="H417" s="39" t="str">
        <f t="shared" si="7"/>
        <v>cansl</v>
      </c>
    </row>
    <row r="418" spans="1:8" ht="14.25" customHeight="1" x14ac:dyDescent="0.35">
      <c r="A418" s="1">
        <f>Basen!A457</f>
        <v>0</v>
      </c>
      <c r="B418" s="58">
        <f>Basen!F457+22000</f>
        <v>44009</v>
      </c>
      <c r="C418" s="1" t="str">
        <f>Basen!C457</f>
        <v>Riis</v>
      </c>
      <c r="D418" s="39" t="str">
        <f>Basen!H457</f>
        <v>WEB</v>
      </c>
      <c r="E418" s="1">
        <f>Basen!J457</f>
        <v>10</v>
      </c>
      <c r="H418" s="39" t="str">
        <f t="shared" si="7"/>
        <v>WEB</v>
      </c>
    </row>
    <row r="419" spans="1:8" ht="14.25" customHeight="1" x14ac:dyDescent="0.35">
      <c r="A419" s="1">
        <f>Basen!A458</f>
        <v>0</v>
      </c>
      <c r="B419" s="58">
        <f>Basen!F458+22000</f>
        <v>44010</v>
      </c>
      <c r="C419" s="1" t="str">
        <f>Basen!C458</f>
        <v>Nielsen</v>
      </c>
      <c r="D419" s="39" t="str">
        <f>Basen!H458</f>
        <v>bc</v>
      </c>
      <c r="E419" s="1">
        <f>Basen!J458</f>
        <v>0</v>
      </c>
      <c r="H419" s="39" t="str">
        <f t="shared" si="7"/>
        <v>bc</v>
      </c>
    </row>
    <row r="420" spans="1:8" ht="14.25" customHeight="1" x14ac:dyDescent="0.35">
      <c r="A420" s="1">
        <f>Basen!A459</f>
        <v>0</v>
      </c>
      <c r="B420" s="58">
        <f>Basen!F459+22000</f>
        <v>44011</v>
      </c>
      <c r="C420" s="1" t="str">
        <f>Basen!C459</f>
        <v>Dalhus</v>
      </c>
      <c r="D420" s="39" t="str">
        <f>Basen!H459</f>
        <v>cansl</v>
      </c>
      <c r="E420" s="1">
        <f>Basen!J459</f>
        <v>0</v>
      </c>
      <c r="H420" s="39" t="str">
        <f t="shared" si="7"/>
        <v>cansl</v>
      </c>
    </row>
    <row r="421" spans="1:8" ht="14.25" customHeight="1" x14ac:dyDescent="0.35">
      <c r="A421" s="1">
        <f>Basen!A460</f>
        <v>0</v>
      </c>
      <c r="B421" s="58">
        <f>Basen!F460+22000</f>
        <v>44012</v>
      </c>
      <c r="C421" s="1" t="str">
        <f>Basen!C460</f>
        <v>Larsen</v>
      </c>
      <c r="D421" s="39" t="str">
        <f>Basen!H460</f>
        <v>cansl</v>
      </c>
      <c r="E421" s="1">
        <f>Basen!J460</f>
        <v>0</v>
      </c>
      <c r="H421" s="39" t="str">
        <f t="shared" si="7"/>
        <v>cansl</v>
      </c>
    </row>
    <row r="422" spans="1:8" ht="14.25" customHeight="1" x14ac:dyDescent="0.35">
      <c r="A422" s="1">
        <f>Basen!A461</f>
        <v>0</v>
      </c>
      <c r="B422" s="58">
        <f>Basen!F461+22000</f>
        <v>44013</v>
      </c>
      <c r="C422" s="1" t="str">
        <f>Basen!C461</f>
        <v>Tennigkeit</v>
      </c>
      <c r="D422" s="39" t="str">
        <f>Basen!H461</f>
        <v>bc</v>
      </c>
      <c r="E422" s="1">
        <f>Basen!J461</f>
        <v>0</v>
      </c>
      <c r="H422" s="39" t="str">
        <f t="shared" si="7"/>
        <v>bc</v>
      </c>
    </row>
    <row r="423" spans="1:8" ht="14.25" customHeight="1" x14ac:dyDescent="0.35">
      <c r="A423" s="1">
        <f>Basen!A462</f>
        <v>0</v>
      </c>
      <c r="B423" s="58">
        <f>Basen!F462+22000</f>
        <v>44014</v>
      </c>
      <c r="C423" s="1" t="str">
        <f>Basen!C462</f>
        <v>Simonsen</v>
      </c>
      <c r="D423" s="39" t="str">
        <f>Basen!H462</f>
        <v>cansl</v>
      </c>
      <c r="E423" s="1">
        <f>Basen!J462</f>
        <v>0</v>
      </c>
      <c r="H423" s="39" t="str">
        <f t="shared" si="7"/>
        <v>cansl</v>
      </c>
    </row>
    <row r="424" spans="1:8" ht="14.25" customHeight="1" x14ac:dyDescent="0.35">
      <c r="A424" s="1">
        <f>Basen!A463</f>
        <v>0</v>
      </c>
      <c r="B424" s="58">
        <f>Basen!F463+22000</f>
        <v>44015</v>
      </c>
      <c r="C424" s="1" t="str">
        <f>Basen!C463</f>
        <v>Lars</v>
      </c>
      <c r="D424" s="39" t="str">
        <f>Basen!H463</f>
        <v>WEB</v>
      </c>
      <c r="E424" s="1">
        <f>Basen!J463</f>
        <v>0</v>
      </c>
      <c r="H424" s="39" t="str">
        <f t="shared" si="7"/>
        <v>WEB</v>
      </c>
    </row>
    <row r="425" spans="1:8" ht="14.25" customHeight="1" x14ac:dyDescent="0.35">
      <c r="A425" s="1">
        <f>Basen!A464</f>
        <v>0</v>
      </c>
      <c r="B425" s="58">
        <f>Basen!F464+22000</f>
        <v>44016</v>
      </c>
      <c r="C425" s="1" t="str">
        <f>Basen!C464</f>
        <v>Antonini</v>
      </c>
      <c r="D425" s="39" t="str">
        <f>Basen!H464</f>
        <v>bc</v>
      </c>
      <c r="E425" s="1">
        <f>Basen!J464</f>
        <v>0</v>
      </c>
      <c r="H425" s="39" t="str">
        <f t="shared" si="7"/>
        <v>bc</v>
      </c>
    </row>
    <row r="426" spans="1:8" ht="14.25" customHeight="1" x14ac:dyDescent="0.35">
      <c r="A426" s="1">
        <f>Basen!A465</f>
        <v>0</v>
      </c>
      <c r="B426" s="58">
        <f>Basen!F465+22000</f>
        <v>44017</v>
      </c>
      <c r="C426" s="1" t="str">
        <f>Basen!C465</f>
        <v>Preben</v>
      </c>
      <c r="D426" s="39" t="str">
        <f>Basen!H465</f>
        <v>WEB</v>
      </c>
      <c r="E426" s="1">
        <f>Basen!J465</f>
        <v>0</v>
      </c>
      <c r="H426" s="39" t="str">
        <f t="shared" si="7"/>
        <v>WEB</v>
      </c>
    </row>
    <row r="427" spans="1:8" ht="14.25" customHeight="1" x14ac:dyDescent="0.35">
      <c r="A427" s="1">
        <f>Basen!A466</f>
        <v>0</v>
      </c>
      <c r="B427" s="58">
        <f>Basen!F466+22000</f>
        <v>44018</v>
      </c>
      <c r="C427" s="1" t="str">
        <f>Basen!C466</f>
        <v>Lange</v>
      </c>
      <c r="D427" s="39" t="str">
        <f>Basen!H466</f>
        <v>WEB</v>
      </c>
      <c r="E427" s="1">
        <f>Basen!J466</f>
        <v>5</v>
      </c>
      <c r="H427" s="39" t="str">
        <f t="shared" si="7"/>
        <v>WEB</v>
      </c>
    </row>
    <row r="428" spans="1:8" ht="14.25" customHeight="1" x14ac:dyDescent="0.35">
      <c r="A428" s="1">
        <f>Basen!A467</f>
        <v>0</v>
      </c>
      <c r="B428" s="58">
        <f>Basen!F467+22000</f>
        <v>44019</v>
      </c>
      <c r="C428" s="1" t="str">
        <f>Basen!C467</f>
        <v>Christiansen</v>
      </c>
      <c r="D428" s="39" t="str">
        <f>Basen!H467</f>
        <v>WEB</v>
      </c>
      <c r="E428" s="1">
        <f>Basen!J467</f>
        <v>5</v>
      </c>
      <c r="H428" s="39" t="str">
        <f t="shared" si="7"/>
        <v>WEB</v>
      </c>
    </row>
    <row r="429" spans="1:8" ht="14.25" customHeight="1" x14ac:dyDescent="0.35">
      <c r="A429" s="1">
        <f>Basen!A468</f>
        <v>0</v>
      </c>
      <c r="B429" s="58">
        <f>Basen!F468+22000</f>
        <v>44020</v>
      </c>
      <c r="C429" s="1" t="str">
        <f>Basen!C468</f>
        <v>Niemann</v>
      </c>
      <c r="D429" s="39" t="str">
        <f>Basen!H468</f>
        <v>bc</v>
      </c>
      <c r="E429" s="1">
        <f>Basen!J468</f>
        <v>0</v>
      </c>
      <c r="H429" s="39" t="str">
        <f t="shared" si="7"/>
        <v>bc</v>
      </c>
    </row>
    <row r="430" spans="1:8" ht="14.25" customHeight="1" x14ac:dyDescent="0.35">
      <c r="A430" s="1">
        <f>Basen!A469</f>
        <v>0</v>
      </c>
      <c r="B430" s="58">
        <f>Basen!F469+22000</f>
        <v>44021</v>
      </c>
      <c r="C430" s="1" t="str">
        <f>Basen!C469</f>
        <v>N</v>
      </c>
      <c r="D430" s="39" t="str">
        <f>Basen!H469</f>
        <v>bc</v>
      </c>
      <c r="E430" s="1">
        <f>Basen!J469</f>
        <v>0</v>
      </c>
      <c r="H430" s="39" t="str">
        <f t="shared" si="7"/>
        <v>bc</v>
      </c>
    </row>
    <row r="431" spans="1:8" ht="14.25" customHeight="1" x14ac:dyDescent="0.35">
      <c r="A431" s="1">
        <f>Basen!A470</f>
        <v>0</v>
      </c>
      <c r="B431" s="58">
        <f>Basen!F470+22000</f>
        <v>44022</v>
      </c>
      <c r="C431" s="1" t="str">
        <f>Basen!C470</f>
        <v>Krabbe</v>
      </c>
      <c r="D431" s="39" t="str">
        <f>Basen!H470</f>
        <v>bc</v>
      </c>
      <c r="E431" s="1">
        <f>Basen!J470</f>
        <v>0</v>
      </c>
      <c r="H431" s="39" t="str">
        <f t="shared" si="7"/>
        <v>bc</v>
      </c>
    </row>
    <row r="432" spans="1:8" ht="14.25" customHeight="1" x14ac:dyDescent="0.35">
      <c r="A432" s="1">
        <f>Basen!A471</f>
        <v>0</v>
      </c>
      <c r="B432" s="58">
        <f>Basen!F471+22000</f>
        <v>44023</v>
      </c>
      <c r="C432" s="1" t="str">
        <f>Basen!C471</f>
        <v>Rasmussen</v>
      </c>
      <c r="D432" s="39" t="str">
        <f>Basen!H471</f>
        <v>cansl</v>
      </c>
      <c r="E432" s="1">
        <f>Basen!J471</f>
        <v>0</v>
      </c>
      <c r="H432" s="39" t="str">
        <f t="shared" si="7"/>
        <v>cansl</v>
      </c>
    </row>
    <row r="433" spans="1:8" ht="14.25" customHeight="1" x14ac:dyDescent="0.35">
      <c r="A433" s="1">
        <f>Basen!A472</f>
        <v>0</v>
      </c>
      <c r="B433" s="58">
        <f>Basen!F472+22000</f>
        <v>44024</v>
      </c>
      <c r="C433" s="1" t="str">
        <f>Basen!C472</f>
        <v>Darling</v>
      </c>
      <c r="D433" s="39" t="str">
        <f>Basen!H472</f>
        <v>cansl</v>
      </c>
      <c r="E433" s="1">
        <f>Basen!J472</f>
        <v>0</v>
      </c>
      <c r="H433" s="39" t="str">
        <f t="shared" si="7"/>
        <v>cansl</v>
      </c>
    </row>
    <row r="434" spans="1:8" ht="14.25" customHeight="1" x14ac:dyDescent="0.35">
      <c r="A434" s="1">
        <f>Basen!A473</f>
        <v>0</v>
      </c>
      <c r="B434" s="58">
        <f>Basen!F473+22000</f>
        <v>44025</v>
      </c>
      <c r="C434" s="1" t="str">
        <f>Basen!C473</f>
        <v>Strøm</v>
      </c>
      <c r="D434" s="39" t="str">
        <f>Basen!H473</f>
        <v>WEB</v>
      </c>
      <c r="E434" s="1">
        <f>Basen!J473</f>
        <v>10</v>
      </c>
      <c r="H434" s="39" t="str">
        <f t="shared" si="7"/>
        <v>WEB</v>
      </c>
    </row>
    <row r="435" spans="1:8" ht="14.25" customHeight="1" x14ac:dyDescent="0.35">
      <c r="A435" s="1">
        <f>Basen!A474</f>
        <v>0</v>
      </c>
      <c r="B435" s="58">
        <f>Basen!F474+22000</f>
        <v>44026</v>
      </c>
      <c r="C435" s="1" t="str">
        <f>Basen!C474</f>
        <v>Winkler</v>
      </c>
      <c r="D435" s="39" t="str">
        <f>Basen!H474</f>
        <v>bc</v>
      </c>
      <c r="E435" s="1">
        <f>Basen!J474</f>
        <v>0</v>
      </c>
      <c r="H435" s="39" t="str">
        <f t="shared" si="7"/>
        <v>bc</v>
      </c>
    </row>
    <row r="436" spans="1:8" ht="14.25" customHeight="1" x14ac:dyDescent="0.35">
      <c r="A436" s="1">
        <f>Basen!A475</f>
        <v>0</v>
      </c>
      <c r="B436" s="58">
        <f>Basen!F475+22000</f>
        <v>44027</v>
      </c>
      <c r="C436" s="1" t="str">
        <f>Basen!C475</f>
        <v>Jensen</v>
      </c>
      <c r="D436" s="39" t="str">
        <f>Basen!H475</f>
        <v>cansl</v>
      </c>
      <c r="E436" s="1">
        <f>Basen!J475</f>
        <v>0</v>
      </c>
      <c r="H436" s="39" t="str">
        <f t="shared" si="7"/>
        <v>cansl</v>
      </c>
    </row>
    <row r="437" spans="1:8" ht="14.25" customHeight="1" x14ac:dyDescent="0.35">
      <c r="A437" s="1">
        <f>Basen!A476</f>
        <v>0</v>
      </c>
      <c r="B437" s="58">
        <f>Basen!F476+22000</f>
        <v>44028</v>
      </c>
      <c r="C437" s="1" t="str">
        <f>Basen!C476</f>
        <v>Askjær</v>
      </c>
      <c r="D437" s="39" t="str">
        <f>Basen!H476</f>
        <v>cansl</v>
      </c>
      <c r="E437" s="1">
        <f>Basen!J476</f>
        <v>0</v>
      </c>
      <c r="H437" s="39" t="str">
        <f t="shared" si="7"/>
        <v>cansl</v>
      </c>
    </row>
    <row r="438" spans="1:8" ht="14.25" customHeight="1" x14ac:dyDescent="0.35">
      <c r="A438" s="1">
        <f>Basen!A477</f>
        <v>0</v>
      </c>
      <c r="B438" s="58">
        <f>Basen!F477+22000</f>
        <v>44029</v>
      </c>
      <c r="C438" s="1" t="str">
        <f>Basen!C477</f>
        <v>Steffensen</v>
      </c>
      <c r="D438" s="39" t="str">
        <f>Basen!H477</f>
        <v>cansl</v>
      </c>
      <c r="E438" s="1">
        <f>Basen!J477</f>
        <v>0</v>
      </c>
      <c r="H438" s="39" t="str">
        <f t="shared" si="7"/>
        <v>cansl</v>
      </c>
    </row>
    <row r="439" spans="1:8" ht="14.25" customHeight="1" x14ac:dyDescent="0.35">
      <c r="A439" s="1">
        <f>Basen!A478</f>
        <v>0</v>
      </c>
      <c r="B439" s="58">
        <f>Basen!F478+22000</f>
        <v>44030</v>
      </c>
      <c r="C439" s="1" t="str">
        <f>Basen!C478</f>
        <v>Djernæs</v>
      </c>
      <c r="D439" s="39" t="str">
        <f>Basen!H478</f>
        <v>WEB</v>
      </c>
      <c r="E439" s="1">
        <f>Basen!J478</f>
        <v>0</v>
      </c>
      <c r="H439" s="39" t="str">
        <f t="shared" si="7"/>
        <v>WEB</v>
      </c>
    </row>
    <row r="440" spans="1:8" ht="14.25" customHeight="1" x14ac:dyDescent="0.35">
      <c r="A440" s="1">
        <f>Basen!A479</f>
        <v>0</v>
      </c>
      <c r="B440" s="58">
        <f>Basen!F479+22000</f>
        <v>44031</v>
      </c>
      <c r="C440" s="1" t="str">
        <f>Basen!C479</f>
        <v>Leth</v>
      </c>
      <c r="D440" s="39" t="str">
        <f>Basen!H479</f>
        <v>bc</v>
      </c>
      <c r="E440" s="1">
        <f>Basen!J479</f>
        <v>0</v>
      </c>
      <c r="H440" s="39" t="str">
        <f t="shared" si="7"/>
        <v>bc</v>
      </c>
    </row>
    <row r="441" spans="1:8" ht="14.25" customHeight="1" x14ac:dyDescent="0.35">
      <c r="A441" s="1">
        <f>Basen!A480</f>
        <v>0</v>
      </c>
      <c r="B441" s="58">
        <f>Basen!F480+22000</f>
        <v>44032</v>
      </c>
      <c r="C441" s="1" t="str">
        <f>Basen!C480</f>
        <v>Otersen</v>
      </c>
      <c r="D441" s="39" t="str">
        <f>Basen!H480</f>
        <v>bc</v>
      </c>
      <c r="E441" s="1">
        <f>Basen!J480</f>
        <v>0</v>
      </c>
      <c r="H441" s="39" t="str">
        <f t="shared" si="7"/>
        <v>bc</v>
      </c>
    </row>
    <row r="442" spans="1:8" ht="14.25" customHeight="1" x14ac:dyDescent="0.35">
      <c r="A442" s="1">
        <f>Basen!A481</f>
        <v>0</v>
      </c>
      <c r="B442" s="58">
        <f>Basen!F481+22000</f>
        <v>44033</v>
      </c>
      <c r="C442" s="1" t="str">
        <f>Basen!C481</f>
        <v>Henrik</v>
      </c>
      <c r="D442" s="39" t="str">
        <f>Basen!H481</f>
        <v>WEB</v>
      </c>
      <c r="E442" s="1">
        <f>Basen!J481</f>
        <v>0</v>
      </c>
      <c r="H442" s="39" t="str">
        <f t="shared" si="7"/>
        <v>WEB</v>
      </c>
    </row>
    <row r="443" spans="1:8" ht="14.25" customHeight="1" x14ac:dyDescent="0.35">
      <c r="A443" s="1">
        <f>Basen!A482</f>
        <v>0</v>
      </c>
      <c r="B443" s="58">
        <f>Basen!F482+22000</f>
        <v>44034</v>
      </c>
      <c r="C443" s="1" t="str">
        <f>Basen!C482</f>
        <v>Bækdahl</v>
      </c>
      <c r="D443" s="39" t="str">
        <f>Basen!H482</f>
        <v>cansl</v>
      </c>
      <c r="E443" s="1">
        <f>Basen!J482</f>
        <v>0</v>
      </c>
      <c r="H443" s="39" t="str">
        <f t="shared" si="7"/>
        <v>cansl</v>
      </c>
    </row>
    <row r="444" spans="1:8" ht="14.25" customHeight="1" x14ac:dyDescent="0.35">
      <c r="A444" s="1">
        <f>Basen!A483</f>
        <v>0</v>
      </c>
      <c r="B444" s="58">
        <f>Basen!F483+22000</f>
        <v>44035</v>
      </c>
      <c r="C444" s="1" t="str">
        <f>Basen!C483</f>
        <v>Kirketerp</v>
      </c>
      <c r="D444" s="39" t="str">
        <f>Basen!H483</f>
        <v>bc</v>
      </c>
      <c r="E444" s="1">
        <f>Basen!J483</f>
        <v>0</v>
      </c>
      <c r="H444" s="39" t="str">
        <f t="shared" si="7"/>
        <v>bc</v>
      </c>
    </row>
    <row r="445" spans="1:8" ht="14.25" customHeight="1" x14ac:dyDescent="0.35">
      <c r="A445" s="1">
        <f>Basen!A484</f>
        <v>0</v>
      </c>
      <c r="B445" s="58">
        <f>Basen!F484+22000</f>
        <v>44036</v>
      </c>
      <c r="C445" s="1" t="str">
        <f>Basen!C484</f>
        <v>Witzell</v>
      </c>
      <c r="D445" s="39" t="str">
        <f>Basen!H484</f>
        <v>cansl</v>
      </c>
      <c r="E445" s="1">
        <f>Basen!J484</f>
        <v>0</v>
      </c>
      <c r="H445" s="39" t="str">
        <f t="shared" si="7"/>
        <v>cansl</v>
      </c>
    </row>
    <row r="446" spans="1:8" ht="14.25" customHeight="1" x14ac:dyDescent="0.35">
      <c r="A446" s="1">
        <f>Basen!A485</f>
        <v>0</v>
      </c>
      <c r="B446" s="58">
        <f>Basen!F485+22000</f>
        <v>44037</v>
      </c>
      <c r="C446" s="1" t="str">
        <f>Basen!C485</f>
        <v>Nielsen</v>
      </c>
      <c r="D446" s="39" t="str">
        <f>Basen!H485</f>
        <v>WEB</v>
      </c>
      <c r="E446" s="1">
        <f>Basen!J485</f>
        <v>10</v>
      </c>
      <c r="H446" s="39" t="str">
        <f t="shared" si="7"/>
        <v>WEB</v>
      </c>
    </row>
    <row r="447" spans="1:8" ht="14.25" customHeight="1" x14ac:dyDescent="0.35">
      <c r="A447" s="1">
        <f>Basen!A486</f>
        <v>0</v>
      </c>
      <c r="B447" s="58">
        <f>Basen!F486+22000</f>
        <v>44038</v>
      </c>
      <c r="C447" s="1" t="str">
        <f>Basen!C486</f>
        <v>Nielsen</v>
      </c>
      <c r="D447" s="39" t="str">
        <f>Basen!H486</f>
        <v>bc</v>
      </c>
      <c r="E447" s="1">
        <f>Basen!J486</f>
        <v>0</v>
      </c>
      <c r="H447" s="39" t="str">
        <f t="shared" si="7"/>
        <v>bc</v>
      </c>
    </row>
    <row r="448" spans="1:8" ht="14.25" customHeight="1" x14ac:dyDescent="0.35">
      <c r="A448" s="1">
        <f>Basen!A487</f>
        <v>0</v>
      </c>
      <c r="B448" s="58">
        <f>Basen!F487+22000</f>
        <v>44039</v>
      </c>
      <c r="C448" s="1" t="str">
        <f>Basen!C487</f>
        <v>Rasmussen</v>
      </c>
      <c r="D448" s="39" t="str">
        <f>Basen!H487</f>
        <v>cansl</v>
      </c>
      <c r="E448" s="1">
        <f>Basen!J487</f>
        <v>0</v>
      </c>
      <c r="H448" s="39" t="str">
        <f t="shared" si="7"/>
        <v>cansl</v>
      </c>
    </row>
    <row r="449" spans="1:11" ht="14.25" customHeight="1" x14ac:dyDescent="0.35">
      <c r="A449" s="1">
        <f>Basen!A488</f>
        <v>0</v>
      </c>
      <c r="B449" s="58">
        <f>Basen!F488+22000</f>
        <v>44040</v>
      </c>
      <c r="C449" s="1" t="str">
        <f>Basen!C488</f>
        <v>Thide</v>
      </c>
      <c r="D449" s="39" t="str">
        <f>Basen!H488</f>
        <v>bc</v>
      </c>
      <c r="E449" s="1">
        <f>Basen!J488</f>
        <v>0</v>
      </c>
      <c r="H449" s="39" t="str">
        <f t="shared" si="7"/>
        <v>bc</v>
      </c>
    </row>
    <row r="450" spans="1:11" ht="14.25" customHeight="1" x14ac:dyDescent="0.35">
      <c r="A450" s="1">
        <f>Basen!A489</f>
        <v>0</v>
      </c>
      <c r="B450" s="58">
        <f>Basen!F489+22000</f>
        <v>44041</v>
      </c>
      <c r="C450" s="1" t="str">
        <f>Basen!C489</f>
        <v>Nielsen</v>
      </c>
      <c r="D450" s="39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8">
        <f>Basen!F490+22000</f>
        <v>44042</v>
      </c>
      <c r="C451" s="1" t="str">
        <f>Basen!C490</f>
        <v>Bie</v>
      </c>
      <c r="D451" s="39" t="str">
        <f>Basen!H490</f>
        <v>WEB</v>
      </c>
      <c r="E451" s="1">
        <f>Basen!J490</f>
        <v>10</v>
      </c>
      <c r="H451" s="39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8">
        <f>Basen!F491+22000</f>
        <v>44043</v>
      </c>
      <c r="C452" s="1" t="str">
        <f>Basen!C491</f>
        <v>Brandl</v>
      </c>
      <c r="D452" s="39" t="str">
        <f>Basen!H491</f>
        <v>bc</v>
      </c>
      <c r="E452" s="1">
        <f>Basen!J491</f>
        <v>0</v>
      </c>
      <c r="H452" s="39" t="str">
        <f t="shared" si="8"/>
        <v>bc</v>
      </c>
    </row>
    <row r="453" spans="1:11" ht="14.25" customHeight="1" x14ac:dyDescent="0.35">
      <c r="A453" s="1">
        <f>Basen!A492</f>
        <v>0</v>
      </c>
      <c r="B453" s="58">
        <f>Basen!F492+22000</f>
        <v>44044</v>
      </c>
      <c r="C453" s="1" t="str">
        <f>Basen!C492</f>
        <v>Jensen</v>
      </c>
      <c r="D453" s="39" t="str">
        <f>Basen!H492</f>
        <v>bc</v>
      </c>
      <c r="E453" s="1">
        <f>Basen!J492</f>
        <v>0</v>
      </c>
      <c r="H453" s="39" t="str">
        <f t="shared" si="8"/>
        <v>bc</v>
      </c>
    </row>
    <row r="454" spans="1:11" ht="14.25" customHeight="1" x14ac:dyDescent="0.35">
      <c r="A454" s="1">
        <f>Basen!A494</f>
        <v>0</v>
      </c>
      <c r="B454" s="58">
        <f>Basen!F494+22000</f>
        <v>44046</v>
      </c>
      <c r="C454" s="1" t="str">
        <f>Basen!C494</f>
        <v>Hansen</v>
      </c>
      <c r="D454" s="39" t="str">
        <f>Basen!H494</f>
        <v>bc</v>
      </c>
      <c r="E454" s="1">
        <f>Basen!J494</f>
        <v>0</v>
      </c>
      <c r="H454" s="39" t="str">
        <f t="shared" si="8"/>
        <v>bc</v>
      </c>
    </row>
    <row r="455" spans="1:11" ht="14.25" customHeight="1" x14ac:dyDescent="0.35">
      <c r="A455" s="1">
        <f>Basen!A495</f>
        <v>0</v>
      </c>
      <c r="B455" s="58">
        <f>Basen!F495+22000</f>
        <v>44047</v>
      </c>
      <c r="C455" s="1" t="str">
        <f>Basen!C495</f>
        <v>Bistrup</v>
      </c>
      <c r="D455" s="39" t="str">
        <f>Basen!H495</f>
        <v>bc</v>
      </c>
      <c r="E455" s="1">
        <f>Basen!J495</f>
        <v>0</v>
      </c>
      <c r="H455" s="39" t="str">
        <f t="shared" si="8"/>
        <v>bc</v>
      </c>
    </row>
    <row r="456" spans="1:11" ht="14.25" customHeight="1" x14ac:dyDescent="0.35">
      <c r="A456" s="1">
        <f>Basen!A496</f>
        <v>0</v>
      </c>
      <c r="B456" s="58">
        <f>Basen!F496+22000</f>
        <v>44048</v>
      </c>
      <c r="C456" s="1" t="str">
        <f>Basen!C496</f>
        <v>Petersen</v>
      </c>
      <c r="D456" s="39" t="str">
        <f>Basen!H496</f>
        <v>cansl</v>
      </c>
      <c r="E456" s="1">
        <f>Basen!J496</f>
        <v>0</v>
      </c>
      <c r="H456" s="39" t="str">
        <f t="shared" si="8"/>
        <v>cansl</v>
      </c>
    </row>
    <row r="457" spans="1:11" ht="14.25" customHeight="1" x14ac:dyDescent="0.35">
      <c r="A457" s="1">
        <f>Basen!A497</f>
        <v>0</v>
      </c>
      <c r="B457" s="58">
        <f>Basen!F497+22000</f>
        <v>44049</v>
      </c>
      <c r="C457" s="1" t="str">
        <f>Basen!C497</f>
        <v>Bischoff</v>
      </c>
      <c r="D457" s="39" t="str">
        <f>Basen!H497</f>
        <v>bc</v>
      </c>
      <c r="E457" s="1">
        <f>Basen!J497</f>
        <v>0</v>
      </c>
      <c r="H457" s="39" t="str">
        <f t="shared" si="8"/>
        <v>bc</v>
      </c>
    </row>
    <row r="458" spans="1:11" ht="14.25" customHeight="1" x14ac:dyDescent="0.35">
      <c r="A458" s="1">
        <f>Basen!A498</f>
        <v>0</v>
      </c>
      <c r="B458" s="58">
        <f>Basen!F498+22000</f>
        <v>44050</v>
      </c>
      <c r="C458" s="1" t="str">
        <f>Basen!C498</f>
        <v>Bernhard</v>
      </c>
      <c r="D458" s="39" t="str">
        <f>Basen!H498</f>
        <v>WEB</v>
      </c>
      <c r="E458" s="1">
        <f>Basen!J498</f>
        <v>0</v>
      </c>
      <c r="H458" s="39" t="str">
        <f t="shared" si="8"/>
        <v>WEB</v>
      </c>
    </row>
    <row r="459" spans="1:11" ht="14.25" customHeight="1" x14ac:dyDescent="0.35">
      <c r="A459" s="1">
        <f>Basen!A499</f>
        <v>0</v>
      </c>
      <c r="B459" s="58">
        <f>Basen!F499+22000</f>
        <v>44051</v>
      </c>
      <c r="C459" s="1" t="str">
        <f>Basen!C499</f>
        <v>Dubois</v>
      </c>
      <c r="D459" s="39" t="str">
        <f>Basen!H499</f>
        <v>bc</v>
      </c>
      <c r="E459" s="1">
        <f>Basen!J499</f>
        <v>0</v>
      </c>
      <c r="H459" s="39" t="str">
        <f t="shared" si="8"/>
        <v>bc</v>
      </c>
    </row>
    <row r="460" spans="1:11" ht="14.25" customHeight="1" x14ac:dyDescent="0.35">
      <c r="A460" s="1">
        <f>Basen!A500</f>
        <v>0</v>
      </c>
      <c r="B460" s="58">
        <f>Basen!F500+22000</f>
        <v>44052</v>
      </c>
      <c r="C460" s="1" t="str">
        <f>Basen!C500</f>
        <v>Balkan</v>
      </c>
      <c r="D460" s="39" t="str">
        <f>Basen!H500</f>
        <v>bc</v>
      </c>
      <c r="E460" s="1">
        <f>Basen!J500</f>
        <v>0</v>
      </c>
      <c r="H460" s="39" t="str">
        <f t="shared" si="8"/>
        <v>bc</v>
      </c>
    </row>
    <row r="461" spans="1:11" ht="14.25" customHeight="1" x14ac:dyDescent="0.35">
      <c r="A461" s="1">
        <f>Basen!A501</f>
        <v>0</v>
      </c>
      <c r="B461" s="58">
        <f>Basen!F501+22000</f>
        <v>44053</v>
      </c>
      <c r="C461" s="1" t="str">
        <f>Basen!C501</f>
        <v>Christensen</v>
      </c>
      <c r="D461" s="39" t="str">
        <f>Basen!H501</f>
        <v>cansl</v>
      </c>
      <c r="E461" s="1">
        <f>Basen!J501</f>
        <v>0</v>
      </c>
      <c r="H461" s="39" t="str">
        <f t="shared" si="8"/>
        <v>cansl</v>
      </c>
    </row>
    <row r="462" spans="1:11" ht="14.25" customHeight="1" x14ac:dyDescent="0.35">
      <c r="A462" s="1">
        <f>Basen!A502</f>
        <v>0</v>
      </c>
      <c r="B462" s="58">
        <f>Basen!F502+22000</f>
        <v>44054</v>
      </c>
      <c r="C462" s="1" t="str">
        <f>Basen!C502</f>
        <v>Hastig</v>
      </c>
      <c r="D462" s="39" t="str">
        <f>Basen!H502</f>
        <v>bc</v>
      </c>
      <c r="E462" s="1">
        <f>Basen!J502</f>
        <v>0</v>
      </c>
      <c r="H462" s="39" t="str">
        <f t="shared" si="8"/>
        <v>bc</v>
      </c>
    </row>
    <row r="463" spans="1:11" ht="14.25" customHeight="1" x14ac:dyDescent="0.35">
      <c r="A463" s="1">
        <f>Basen!A503</f>
        <v>0</v>
      </c>
      <c r="B463" s="58">
        <f>Basen!F503+22000</f>
        <v>44055</v>
      </c>
      <c r="C463" s="1" t="str">
        <f>Basen!C503</f>
        <v>Kalsson</v>
      </c>
      <c r="D463" s="39" t="str">
        <f>Basen!H503</f>
        <v>cansl</v>
      </c>
      <c r="E463" s="1">
        <f>Basen!J503</f>
        <v>0</v>
      </c>
      <c r="H463" s="39" t="str">
        <f t="shared" si="8"/>
        <v>cansl</v>
      </c>
    </row>
    <row r="464" spans="1:11" ht="14.25" customHeight="1" x14ac:dyDescent="0.35">
      <c r="A464" s="1">
        <f>Basen!A504</f>
        <v>0</v>
      </c>
      <c r="B464" s="58">
        <f>Basen!F504+22000</f>
        <v>44056</v>
      </c>
      <c r="C464" s="1" t="str">
        <f>Basen!C504</f>
        <v>Bauer</v>
      </c>
      <c r="D464" s="39" t="str">
        <f>Basen!H504</f>
        <v>bc</v>
      </c>
      <c r="E464" s="1">
        <f>Basen!J504</f>
        <v>0</v>
      </c>
      <c r="H464" s="39" t="str">
        <f t="shared" si="8"/>
        <v>bc</v>
      </c>
    </row>
    <row r="465" spans="1:8" ht="14.25" customHeight="1" x14ac:dyDescent="0.35">
      <c r="A465" s="1">
        <f>Basen!A505</f>
        <v>0</v>
      </c>
      <c r="B465" s="58">
        <f>Basen!F505+22000</f>
        <v>44057</v>
      </c>
      <c r="C465" s="1" t="str">
        <f>Basen!C505</f>
        <v>Bjerrum</v>
      </c>
      <c r="D465" s="39" t="str">
        <f>Basen!H505</f>
        <v>WEB</v>
      </c>
      <c r="E465" s="1">
        <f>Basen!J505</f>
        <v>10</v>
      </c>
      <c r="H465" s="39" t="str">
        <f t="shared" si="8"/>
        <v>WEB</v>
      </c>
    </row>
    <row r="466" spans="1:8" ht="14.25" customHeight="1" x14ac:dyDescent="0.35">
      <c r="A466" s="1">
        <f>Basen!A506</f>
        <v>0</v>
      </c>
      <c r="B466" s="58">
        <f>Basen!F506+22000</f>
        <v>44058</v>
      </c>
      <c r="C466" s="1" t="str">
        <f>Basen!C506</f>
        <v>Ericson</v>
      </c>
      <c r="D466" s="39" t="str">
        <f>Basen!H506</f>
        <v>bc</v>
      </c>
      <c r="E466" s="1">
        <f>Basen!J506</f>
        <v>0</v>
      </c>
      <c r="H466" s="39" t="str">
        <f t="shared" si="8"/>
        <v>bc</v>
      </c>
    </row>
    <row r="467" spans="1:8" ht="14.25" customHeight="1" x14ac:dyDescent="0.35">
      <c r="A467" s="1">
        <f>Basen!A507</f>
        <v>0</v>
      </c>
      <c r="B467" s="58">
        <f>Basen!F507+22000</f>
        <v>44059</v>
      </c>
      <c r="C467" s="1" t="str">
        <f>Basen!C507</f>
        <v>Malberg</v>
      </c>
      <c r="D467" s="39" t="str">
        <f>Basen!H507</f>
        <v>bc</v>
      </c>
      <c r="E467" s="1">
        <f>Basen!J507</f>
        <v>0</v>
      </c>
      <c r="H467" s="39" t="str">
        <f t="shared" si="8"/>
        <v>bc</v>
      </c>
    </row>
    <row r="468" spans="1:8" ht="14.25" customHeight="1" x14ac:dyDescent="0.35">
      <c r="A468" s="1">
        <f>Basen!A508</f>
        <v>0</v>
      </c>
      <c r="B468" s="58">
        <f>Basen!F508+22000</f>
        <v>44060</v>
      </c>
      <c r="C468" s="1" t="str">
        <f>Basen!C508</f>
        <v>Tobergte</v>
      </c>
      <c r="D468" s="39" t="str">
        <f>Basen!H508</f>
        <v>bc</v>
      </c>
      <c r="E468" s="1">
        <f>Basen!J508</f>
        <v>0</v>
      </c>
      <c r="H468" s="39" t="str">
        <f t="shared" si="8"/>
        <v>bc</v>
      </c>
    </row>
    <row r="469" spans="1:8" ht="14.25" customHeight="1" x14ac:dyDescent="0.35">
      <c r="A469" s="1">
        <f>Basen!A509</f>
        <v>0</v>
      </c>
      <c r="B469" s="58">
        <f>Basen!F509+22000</f>
        <v>44061</v>
      </c>
      <c r="C469" s="1" t="str">
        <f>Basen!C509</f>
        <v>Rasmussen</v>
      </c>
      <c r="D469" s="39" t="str">
        <f>Basen!H509</f>
        <v>cansl</v>
      </c>
      <c r="E469" s="1">
        <f>Basen!J509</f>
        <v>0</v>
      </c>
      <c r="H469" s="39" t="str">
        <f t="shared" si="8"/>
        <v>cansl</v>
      </c>
    </row>
    <row r="470" spans="1:8" ht="14.25" customHeight="1" x14ac:dyDescent="0.35">
      <c r="A470" s="1">
        <f>Basen!A510</f>
        <v>0</v>
      </c>
      <c r="B470" s="58">
        <f>Basen!F510+22000</f>
        <v>44062</v>
      </c>
      <c r="C470" s="1" t="str">
        <f>Basen!C510</f>
        <v>Börjesson</v>
      </c>
      <c r="D470" s="39" t="str">
        <f>Basen!H510</f>
        <v>cansl</v>
      </c>
      <c r="E470" s="1">
        <f>Basen!J510</f>
        <v>0</v>
      </c>
      <c r="H470" s="39" t="str">
        <f t="shared" si="8"/>
        <v>cansl</v>
      </c>
    </row>
    <row r="471" spans="1:8" ht="14.25" customHeight="1" x14ac:dyDescent="0.35">
      <c r="A471" s="1">
        <f>Basen!A511</f>
        <v>0</v>
      </c>
      <c r="B471" s="58">
        <f>Basen!F511+22000</f>
        <v>44063</v>
      </c>
      <c r="C471" s="1" t="str">
        <f>Basen!C511</f>
        <v>Nielsen</v>
      </c>
      <c r="D471" s="39" t="str">
        <f>Basen!H511</f>
        <v>bc</v>
      </c>
      <c r="E471" s="1">
        <f>Basen!J511</f>
        <v>0</v>
      </c>
      <c r="H471" s="39" t="str">
        <f t="shared" si="8"/>
        <v>bc</v>
      </c>
    </row>
    <row r="472" spans="1:8" ht="14.25" customHeight="1" x14ac:dyDescent="0.35">
      <c r="A472" s="1">
        <f>Basen!A512</f>
        <v>0</v>
      </c>
      <c r="B472" s="58">
        <f>Basen!F512+22000</f>
        <v>44064</v>
      </c>
      <c r="C472" s="1" t="str">
        <f>Basen!C512</f>
        <v>Knoop</v>
      </c>
      <c r="D472" s="39" t="str">
        <f>Basen!H512</f>
        <v>cansl</v>
      </c>
      <c r="E472" s="1">
        <f>Basen!J512</f>
        <v>0</v>
      </c>
      <c r="H472" s="39" t="str">
        <f t="shared" si="8"/>
        <v>cansl</v>
      </c>
    </row>
    <row r="473" spans="1:8" ht="14.25" customHeight="1" x14ac:dyDescent="0.35">
      <c r="A473" s="1">
        <f>Basen!A513</f>
        <v>0</v>
      </c>
      <c r="B473" s="58">
        <f>Basen!F513+22000</f>
        <v>44065</v>
      </c>
      <c r="C473" s="1" t="str">
        <f>Basen!C513</f>
        <v>Knck</v>
      </c>
      <c r="D473" s="39" t="str">
        <f>Basen!H513</f>
        <v>bc</v>
      </c>
      <c r="E473" s="1">
        <f>Basen!J513</f>
        <v>0</v>
      </c>
      <c r="H473" s="39" t="str">
        <f t="shared" si="8"/>
        <v>bc</v>
      </c>
    </row>
    <row r="474" spans="1:8" ht="14.25" customHeight="1" x14ac:dyDescent="0.35">
      <c r="A474" s="1">
        <f>Basen!A514</f>
        <v>0</v>
      </c>
      <c r="B474" s="58">
        <f>Basen!F514+22000</f>
        <v>44066</v>
      </c>
      <c r="C474" s="1" t="str">
        <f>Basen!C514</f>
        <v>Baberowski</v>
      </c>
      <c r="D474" s="39" t="str">
        <f>Basen!H514</f>
        <v>WEB</v>
      </c>
      <c r="E474" s="1">
        <f>Basen!J514</f>
        <v>10</v>
      </c>
      <c r="H474" s="39" t="str">
        <f t="shared" si="8"/>
        <v>WEB</v>
      </c>
    </row>
    <row r="475" spans="1:8" ht="14.25" customHeight="1" x14ac:dyDescent="0.35">
      <c r="A475" s="1">
        <f>Basen!A515</f>
        <v>0</v>
      </c>
      <c r="B475" s="58">
        <f>Basen!F515+22000</f>
        <v>44067</v>
      </c>
      <c r="C475" s="1" t="str">
        <f>Basen!C515</f>
        <v>Aschrich</v>
      </c>
      <c r="D475" s="39" t="str">
        <f>Basen!H515</f>
        <v>cansl</v>
      </c>
      <c r="E475" s="1">
        <f>Basen!J515</f>
        <v>0</v>
      </c>
      <c r="H475" s="39" t="str">
        <f t="shared" si="8"/>
        <v>cansl</v>
      </c>
    </row>
    <row r="476" spans="1:8" ht="14.25" customHeight="1" x14ac:dyDescent="0.35">
      <c r="A476" s="1">
        <f>Basen!A516</f>
        <v>0</v>
      </c>
      <c r="B476" s="58">
        <f>Basen!F516+22000</f>
        <v>44068</v>
      </c>
      <c r="C476" s="1" t="str">
        <f>Basen!C516</f>
        <v>Rasmussen</v>
      </c>
      <c r="D476" s="39" t="str">
        <f>Basen!H516</f>
        <v>WEB</v>
      </c>
      <c r="E476" s="1">
        <f>Basen!J516</f>
        <v>12</v>
      </c>
      <c r="H476" s="39" t="str">
        <f t="shared" si="8"/>
        <v>WEB</v>
      </c>
    </row>
    <row r="477" spans="1:8" ht="14.25" customHeight="1" x14ac:dyDescent="0.35">
      <c r="A477" s="1">
        <f>Basen!A517</f>
        <v>0</v>
      </c>
      <c r="B477" s="58">
        <f>Basen!F517+22000</f>
        <v>44069</v>
      </c>
      <c r="C477" s="1" t="str">
        <f>Basen!C517</f>
        <v>Poulsen</v>
      </c>
      <c r="D477" s="39" t="str">
        <f>Basen!H517</f>
        <v>WEB</v>
      </c>
      <c r="E477" s="1">
        <f>Basen!J517</f>
        <v>10</v>
      </c>
      <c r="H477" s="39" t="str">
        <f t="shared" si="8"/>
        <v>WEB</v>
      </c>
    </row>
    <row r="478" spans="1:8" ht="14.25" customHeight="1" x14ac:dyDescent="0.35">
      <c r="A478" s="1">
        <f>Basen!A518</f>
        <v>0</v>
      </c>
      <c r="B478" s="58">
        <f>Basen!F518+22000</f>
        <v>44070</v>
      </c>
      <c r="C478" s="1" t="str">
        <f>Basen!C518</f>
        <v>Hviid</v>
      </c>
      <c r="D478" s="39" t="str">
        <f>Basen!H518</f>
        <v>bc</v>
      </c>
      <c r="E478" s="1">
        <f>Basen!J518</f>
        <v>0</v>
      </c>
      <c r="H478" s="39" t="str">
        <f t="shared" si="8"/>
        <v>bc</v>
      </c>
    </row>
    <row r="479" spans="1:8" ht="14.25" customHeight="1" x14ac:dyDescent="0.35">
      <c r="A479" s="1">
        <f>Basen!A519</f>
        <v>0</v>
      </c>
      <c r="B479" s="58">
        <f>Basen!F519+22000</f>
        <v>44071</v>
      </c>
      <c r="C479" s="1" t="str">
        <f>Basen!C519</f>
        <v>Kohlrusch</v>
      </c>
      <c r="D479" s="39" t="str">
        <f>Basen!H519</f>
        <v>bc</v>
      </c>
      <c r="E479" s="1">
        <f>Basen!J519</f>
        <v>0</v>
      </c>
      <c r="H479" s="39" t="str">
        <f t="shared" si="8"/>
        <v>bc</v>
      </c>
    </row>
    <row r="480" spans="1:8" ht="14.25" customHeight="1" x14ac:dyDescent="0.35">
      <c r="A480" s="1">
        <f>Basen!A520</f>
        <v>0</v>
      </c>
      <c r="B480" s="58">
        <f>Basen!F520+22000</f>
        <v>44072</v>
      </c>
      <c r="C480" s="1" t="str">
        <f>Basen!C520</f>
        <v>Hjelm</v>
      </c>
      <c r="D480" s="39" t="str">
        <f>Basen!H520</f>
        <v>bc</v>
      </c>
      <c r="E480" s="1">
        <f>Basen!J520</f>
        <v>0</v>
      </c>
      <c r="H480" s="39" t="str">
        <f t="shared" si="8"/>
        <v>bc</v>
      </c>
    </row>
    <row r="481" spans="1:8" ht="14.25" customHeight="1" x14ac:dyDescent="0.35">
      <c r="A481" s="1">
        <f>Basen!A521</f>
        <v>0</v>
      </c>
      <c r="B481" s="58">
        <f>Basen!F521+22000</f>
        <v>44073</v>
      </c>
      <c r="C481" s="1" t="str">
        <f>Basen!C521</f>
        <v>Johansson</v>
      </c>
      <c r="D481" s="39" t="str">
        <f>Basen!H521</f>
        <v>bc</v>
      </c>
      <c r="E481" s="1">
        <f>Basen!J521</f>
        <v>0</v>
      </c>
      <c r="H481" s="39" t="str">
        <f t="shared" si="8"/>
        <v>bc</v>
      </c>
    </row>
    <row r="482" spans="1:8" ht="14.25" customHeight="1" x14ac:dyDescent="0.35">
      <c r="A482" s="1">
        <f>Basen!A522</f>
        <v>0</v>
      </c>
      <c r="B482" s="58">
        <f>Basen!F522+22000</f>
        <v>44074</v>
      </c>
      <c r="C482" s="1" t="str">
        <f>Basen!C522</f>
        <v>Börjesson</v>
      </c>
      <c r="D482" s="39" t="str">
        <f>Basen!H522</f>
        <v>bc</v>
      </c>
      <c r="E482" s="1">
        <f>Basen!J522</f>
        <v>0</v>
      </c>
      <c r="H482" s="39" t="str">
        <f t="shared" si="8"/>
        <v>bc</v>
      </c>
    </row>
    <row r="483" spans="1:8" ht="14.25" customHeight="1" x14ac:dyDescent="0.35">
      <c r="A483" s="1">
        <f>Basen!A523</f>
        <v>0</v>
      </c>
      <c r="B483" s="58">
        <f>Basen!F523+22000</f>
        <v>44075</v>
      </c>
      <c r="C483" s="1" t="str">
        <f>Basen!C523</f>
        <v>Selinski</v>
      </c>
      <c r="D483" s="39" t="str">
        <f>Basen!H523</f>
        <v>bc</v>
      </c>
      <c r="E483" s="1">
        <f>Basen!J523</f>
        <v>0</v>
      </c>
      <c r="H483" s="39" t="str">
        <f t="shared" si="8"/>
        <v>bc</v>
      </c>
    </row>
    <row r="484" spans="1:8" ht="14.25" customHeight="1" x14ac:dyDescent="0.35">
      <c r="A484" s="1">
        <f>Basen!A524</f>
        <v>0</v>
      </c>
      <c r="B484" s="58">
        <f>Basen!F524+22000</f>
        <v>44076</v>
      </c>
      <c r="C484" s="1" t="str">
        <f>Basen!C524</f>
        <v>Jensen</v>
      </c>
      <c r="D484" s="39" t="str">
        <f>Basen!H524</f>
        <v>bc</v>
      </c>
      <c r="E484" s="1">
        <f>Basen!J524</f>
        <v>0</v>
      </c>
      <c r="H484" s="39" t="str">
        <f t="shared" si="8"/>
        <v>bc</v>
      </c>
    </row>
    <row r="485" spans="1:8" ht="14.25" customHeight="1" x14ac:dyDescent="0.35">
      <c r="A485" s="1">
        <f>Basen!A525</f>
        <v>0</v>
      </c>
      <c r="B485" s="58">
        <f>Basen!F525+22000</f>
        <v>44077</v>
      </c>
      <c r="C485" s="1" t="str">
        <f>Basen!C525</f>
        <v>Heurlen</v>
      </c>
      <c r="D485" s="39" t="str">
        <f>Basen!H525</f>
        <v>bc</v>
      </c>
      <c r="E485" s="1">
        <f>Basen!J525</f>
        <v>0</v>
      </c>
      <c r="H485" s="39" t="str">
        <f t="shared" si="8"/>
        <v>bc</v>
      </c>
    </row>
    <row r="486" spans="1:8" ht="14.25" customHeight="1" x14ac:dyDescent="0.35">
      <c r="A486" s="1">
        <f>Basen!A526</f>
        <v>0</v>
      </c>
      <c r="B486" s="58">
        <f>Basen!F526+22000</f>
        <v>44078</v>
      </c>
      <c r="C486" s="1" t="str">
        <f>Basen!C526</f>
        <v>Larsen</v>
      </c>
      <c r="D486" s="39" t="str">
        <f>Basen!H526</f>
        <v>bc</v>
      </c>
      <c r="E486" s="1">
        <f>Basen!J526</f>
        <v>0</v>
      </c>
      <c r="H486" s="39" t="str">
        <f t="shared" si="8"/>
        <v>bc</v>
      </c>
    </row>
    <row r="487" spans="1:8" ht="14.25" customHeight="1" x14ac:dyDescent="0.35">
      <c r="A487" s="1">
        <f>Basen!A527</f>
        <v>0</v>
      </c>
      <c r="B487" s="58">
        <f>Basen!F527+22000</f>
        <v>44079</v>
      </c>
      <c r="C487" s="1" t="str">
        <f>Basen!C527</f>
        <v>Nielsen</v>
      </c>
      <c r="D487" s="39" t="str">
        <f>Basen!H527</f>
        <v>WEB</v>
      </c>
      <c r="E487" s="1">
        <f>Basen!J527</f>
        <v>10</v>
      </c>
      <c r="H487" s="39" t="str">
        <f t="shared" si="8"/>
        <v>WEB</v>
      </c>
    </row>
    <row r="488" spans="1:8" ht="14.25" customHeight="1" x14ac:dyDescent="0.35">
      <c r="A488" s="1">
        <f>Basen!A528</f>
        <v>0</v>
      </c>
      <c r="B488" s="58">
        <f>Basen!F528+22000</f>
        <v>44080</v>
      </c>
      <c r="C488" s="1" t="str">
        <f>Basen!C528</f>
        <v>Stark</v>
      </c>
      <c r="D488" s="39" t="str">
        <f>Basen!H528</f>
        <v>bc</v>
      </c>
      <c r="E488" s="1">
        <f>Basen!J528</f>
        <v>0</v>
      </c>
      <c r="H488" s="39" t="str">
        <f t="shared" si="8"/>
        <v>bc</v>
      </c>
    </row>
    <row r="489" spans="1:8" ht="14.25" customHeight="1" x14ac:dyDescent="0.35">
      <c r="A489" s="1">
        <f>Basen!A529</f>
        <v>0</v>
      </c>
      <c r="B489" s="58">
        <f>Basen!F529+22000</f>
        <v>44081</v>
      </c>
      <c r="C489" s="1" t="str">
        <f>Basen!C529</f>
        <v>Mejer</v>
      </c>
      <c r="D489" s="39" t="str">
        <f>Basen!H529</f>
        <v>bc</v>
      </c>
      <c r="E489" s="1">
        <f>Basen!J529</f>
        <v>0</v>
      </c>
      <c r="H489" s="39" t="str">
        <f t="shared" si="8"/>
        <v>bc</v>
      </c>
    </row>
    <row r="490" spans="1:8" ht="14.25" customHeight="1" x14ac:dyDescent="0.35">
      <c r="A490" s="1">
        <f>Basen!A530</f>
        <v>0</v>
      </c>
      <c r="B490" s="58">
        <f>Basen!F530+22000</f>
        <v>44082</v>
      </c>
      <c r="C490" s="1" t="str">
        <f>Basen!C530</f>
        <v>Kock</v>
      </c>
      <c r="D490" s="39" t="str">
        <f>Basen!H530</f>
        <v>bc</v>
      </c>
      <c r="E490" s="1">
        <f>Basen!J530</f>
        <v>0</v>
      </c>
      <c r="H490" s="39" t="str">
        <f t="shared" si="8"/>
        <v>bc</v>
      </c>
    </row>
    <row r="491" spans="1:8" ht="14.25" customHeight="1" x14ac:dyDescent="0.35">
      <c r="A491" s="1">
        <f>Basen!A531</f>
        <v>0</v>
      </c>
      <c r="B491" s="58">
        <f>Basen!F531+22000</f>
        <v>44083</v>
      </c>
      <c r="C491" s="1" t="str">
        <f>Basen!C531</f>
        <v>Nielsen</v>
      </c>
      <c r="D491" s="39" t="str">
        <f>Basen!H531</f>
        <v>WEB</v>
      </c>
      <c r="E491" s="1">
        <f>Basen!J531</f>
        <v>0</v>
      </c>
      <c r="H491" s="39" t="str">
        <f t="shared" si="8"/>
        <v>WEB</v>
      </c>
    </row>
    <row r="492" spans="1:8" ht="14.25" customHeight="1" x14ac:dyDescent="0.35">
      <c r="A492" s="1">
        <f>Basen!A532</f>
        <v>0</v>
      </c>
      <c r="B492" s="58">
        <f>Basen!F532+22000</f>
        <v>44084</v>
      </c>
      <c r="C492" s="1" t="str">
        <f>Basen!C532</f>
        <v>Vinther</v>
      </c>
      <c r="D492" s="39" t="str">
        <f>Basen!H532</f>
        <v>cansl</v>
      </c>
      <c r="E492" s="1">
        <f>Basen!J532</f>
        <v>0</v>
      </c>
      <c r="H492" s="39" t="str">
        <f t="shared" si="8"/>
        <v>cansl</v>
      </c>
    </row>
    <row r="493" spans="1:8" ht="14.25" customHeight="1" x14ac:dyDescent="0.35">
      <c r="A493" s="1">
        <f>Basen!A533</f>
        <v>0</v>
      </c>
      <c r="B493" s="58">
        <f>Basen!F533+22000</f>
        <v>44085</v>
      </c>
      <c r="C493" s="1" t="str">
        <f>Basen!C533</f>
        <v>Knudsen</v>
      </c>
      <c r="D493" s="39" t="str">
        <f>Basen!H533</f>
        <v>bc</v>
      </c>
      <c r="E493" s="1">
        <f>Basen!J533</f>
        <v>0</v>
      </c>
      <c r="H493" s="39" t="str">
        <f t="shared" si="8"/>
        <v>bc</v>
      </c>
    </row>
    <row r="494" spans="1:8" ht="14.25" customHeight="1" x14ac:dyDescent="0.35">
      <c r="A494" s="1">
        <f>Basen!A534</f>
        <v>0</v>
      </c>
      <c r="B494" s="58">
        <f>Basen!F534+22000</f>
        <v>44086</v>
      </c>
      <c r="C494" s="1" t="str">
        <f>Basen!C534</f>
        <v>Hansen</v>
      </c>
      <c r="D494" s="39" t="str">
        <f>Basen!H534</f>
        <v>WEB</v>
      </c>
      <c r="E494" s="1">
        <f>Basen!J534</f>
        <v>5</v>
      </c>
      <c r="H494" s="39" t="str">
        <f t="shared" si="8"/>
        <v>WEB</v>
      </c>
    </row>
    <row r="495" spans="1:8" ht="14.25" customHeight="1" x14ac:dyDescent="0.35">
      <c r="A495" s="1">
        <f>Basen!A535</f>
        <v>0</v>
      </c>
      <c r="B495" s="58">
        <f>Basen!F535+22000</f>
        <v>44087</v>
      </c>
      <c r="C495" s="1" t="str">
        <f>Basen!C535</f>
        <v>Ingemansson</v>
      </c>
      <c r="D495" s="39" t="str">
        <f>Basen!H535</f>
        <v>bc</v>
      </c>
      <c r="E495" s="1">
        <f>Basen!J535</f>
        <v>0</v>
      </c>
      <c r="H495" s="39" t="str">
        <f t="shared" si="8"/>
        <v>bc</v>
      </c>
    </row>
    <row r="496" spans="1:8" ht="14.25" customHeight="1" x14ac:dyDescent="0.35">
      <c r="A496" s="1">
        <f>Basen!A536</f>
        <v>0</v>
      </c>
      <c r="B496" s="58">
        <f>Basen!F536+22000</f>
        <v>44088</v>
      </c>
      <c r="C496" s="1" t="str">
        <f>Basen!C536</f>
        <v>Nancke</v>
      </c>
      <c r="D496" s="39" t="str">
        <f>Basen!H536</f>
        <v>bc</v>
      </c>
      <c r="E496" s="1">
        <f>Basen!J536</f>
        <v>0</v>
      </c>
      <c r="H496" s="39" t="str">
        <f t="shared" si="8"/>
        <v>bc</v>
      </c>
    </row>
    <row r="497" spans="1:10" ht="14.25" customHeight="1" x14ac:dyDescent="0.35">
      <c r="A497" s="1">
        <f>Basen!A537</f>
        <v>0</v>
      </c>
      <c r="B497" s="58">
        <f>Basen!F537+22000</f>
        <v>44089</v>
      </c>
      <c r="C497" s="1" t="str">
        <f>Basen!C537</f>
        <v>Clausen</v>
      </c>
      <c r="D497" s="39" t="str">
        <f>Basen!H537</f>
        <v>cansl</v>
      </c>
      <c r="E497" s="1">
        <f>Basen!J537</f>
        <v>0</v>
      </c>
      <c r="H497" s="39" t="str">
        <f t="shared" si="8"/>
        <v>cansl</v>
      </c>
    </row>
    <row r="498" spans="1:10" ht="14.25" customHeight="1" x14ac:dyDescent="0.35">
      <c r="A498" s="1">
        <f>Basen!A538</f>
        <v>0</v>
      </c>
      <c r="B498" s="58">
        <f>Basen!F538+22000</f>
        <v>44090</v>
      </c>
      <c r="C498" s="1" t="str">
        <f>Basen!C538</f>
        <v>Svendsen</v>
      </c>
      <c r="D498" s="39" t="str">
        <f>Basen!H538</f>
        <v>cansl</v>
      </c>
      <c r="E498" s="1">
        <f>Basen!J538</f>
        <v>0</v>
      </c>
      <c r="H498" s="39" t="str">
        <f t="shared" si="8"/>
        <v>cansl</v>
      </c>
    </row>
    <row r="499" spans="1:10" ht="14.25" customHeight="1" x14ac:dyDescent="0.35">
      <c r="A499" s="1">
        <f>Basen!A539</f>
        <v>0</v>
      </c>
      <c r="B499" s="58">
        <f>Basen!F539+22000</f>
        <v>44091</v>
      </c>
      <c r="C499" s="1" t="str">
        <f>Basen!C539</f>
        <v>Schorrer</v>
      </c>
      <c r="D499" s="39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8">
        <f>Basen!F540+22000</f>
        <v>44092</v>
      </c>
      <c r="C500" s="1" t="str">
        <f>Basen!C540</f>
        <v>Rasmussen</v>
      </c>
      <c r="D500" s="39" t="str">
        <f>Basen!H540</f>
        <v>WEB</v>
      </c>
      <c r="E500" s="1">
        <f>Basen!J540</f>
        <v>15</v>
      </c>
      <c r="H500" s="39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8">
        <f>Basen!F541+22000</f>
        <v>44093</v>
      </c>
      <c r="C501" s="1" t="str">
        <f>Basen!C541</f>
        <v>Schmidt</v>
      </c>
      <c r="D501" s="39" t="str">
        <f>Basen!H541</f>
        <v>bc</v>
      </c>
      <c r="E501" s="1">
        <f>Basen!J541</f>
        <v>0</v>
      </c>
      <c r="H501" s="39" t="str">
        <f t="shared" si="9"/>
        <v>bc</v>
      </c>
    </row>
    <row r="502" spans="1:10" ht="14.25" customHeight="1" x14ac:dyDescent="0.35">
      <c r="A502" s="1">
        <f>Basen!A542</f>
        <v>0</v>
      </c>
      <c r="B502" s="58">
        <f>Basen!F542+22000</f>
        <v>44094</v>
      </c>
      <c r="C502" s="1" t="str">
        <f>Basen!C542</f>
        <v>Brösicke</v>
      </c>
      <c r="D502" s="39" t="str">
        <f>Basen!H542</f>
        <v>bc</v>
      </c>
      <c r="E502" s="1">
        <f>Basen!J542</f>
        <v>0</v>
      </c>
      <c r="H502" s="39" t="str">
        <f t="shared" si="9"/>
        <v>bc</v>
      </c>
    </row>
    <row r="503" spans="1:10" ht="14.25" customHeight="1" x14ac:dyDescent="0.35">
      <c r="A503" s="1">
        <f>Basen!A543</f>
        <v>0</v>
      </c>
      <c r="B503" s="58">
        <f>Basen!F543+22000</f>
        <v>44095</v>
      </c>
      <c r="C503" s="1" t="str">
        <f>Basen!C543</f>
        <v>Neger</v>
      </c>
      <c r="D503" s="39" t="str">
        <f>Basen!H543</f>
        <v>bc</v>
      </c>
      <c r="E503" s="1">
        <f>Basen!J543</f>
        <v>0</v>
      </c>
      <c r="H503" s="39" t="str">
        <f t="shared" si="9"/>
        <v>bc</v>
      </c>
    </row>
    <row r="504" spans="1:10" ht="14.25" customHeight="1" x14ac:dyDescent="0.35">
      <c r="A504" s="1">
        <f>Basen!A544</f>
        <v>0</v>
      </c>
      <c r="B504" s="58">
        <f>Basen!F544+22000</f>
        <v>44096</v>
      </c>
      <c r="C504" s="1" t="str">
        <f>Basen!C544</f>
        <v>Rambæk</v>
      </c>
      <c r="D504" s="39" t="str">
        <f>Basen!H544</f>
        <v>bc</v>
      </c>
      <c r="E504" s="1">
        <f>Basen!J544</f>
        <v>0</v>
      </c>
      <c r="H504" s="39" t="str">
        <f t="shared" si="9"/>
        <v>bc</v>
      </c>
    </row>
    <row r="505" spans="1:10" ht="14.25" customHeight="1" x14ac:dyDescent="0.35">
      <c r="A505" s="1">
        <f>Basen!A545</f>
        <v>0</v>
      </c>
      <c r="B505" s="58">
        <f>Basen!F545+22000</f>
        <v>44097</v>
      </c>
      <c r="C505" s="1" t="str">
        <f>Basen!C545</f>
        <v>Fuglbjerg</v>
      </c>
      <c r="D505" s="39" t="str">
        <f>Basen!H545</f>
        <v>bc</v>
      </c>
      <c r="E505" s="1">
        <f>Basen!J545</f>
        <v>0</v>
      </c>
      <c r="H505" s="39" t="str">
        <f t="shared" si="9"/>
        <v>bc</v>
      </c>
    </row>
    <row r="506" spans="1:10" ht="14.25" customHeight="1" x14ac:dyDescent="0.35">
      <c r="A506" s="1">
        <f>Basen!A546</f>
        <v>0</v>
      </c>
      <c r="B506" s="58">
        <f>Basen!F546+22000</f>
        <v>44098</v>
      </c>
      <c r="C506" s="1" t="str">
        <f>Basen!C546</f>
        <v>Antunez</v>
      </c>
      <c r="D506" s="39" t="str">
        <f>Basen!H546</f>
        <v>bc</v>
      </c>
      <c r="E506" s="1">
        <f>Basen!J546</f>
        <v>0</v>
      </c>
      <c r="H506" s="39" t="str">
        <f t="shared" si="9"/>
        <v>bc</v>
      </c>
    </row>
    <row r="507" spans="1:10" ht="14.25" customHeight="1" x14ac:dyDescent="0.35">
      <c r="A507" s="1">
        <f>Basen!A547</f>
        <v>0</v>
      </c>
      <c r="B507" s="58">
        <f>Basen!F547+22000</f>
        <v>44099</v>
      </c>
      <c r="C507" s="1" t="str">
        <f>Basen!C547</f>
        <v>Sørensen</v>
      </c>
      <c r="D507" s="39" t="str">
        <f>Basen!H547</f>
        <v>bc</v>
      </c>
      <c r="E507" s="1">
        <f>Basen!J547</f>
        <v>0</v>
      </c>
      <c r="H507" s="39" t="str">
        <f t="shared" si="9"/>
        <v>bc</v>
      </c>
    </row>
    <row r="508" spans="1:10" ht="14.25" customHeight="1" x14ac:dyDescent="0.35">
      <c r="A508" s="1">
        <f>Basen!A548</f>
        <v>0</v>
      </c>
      <c r="B508" s="58">
        <f>Basen!F548+22000</f>
        <v>44100</v>
      </c>
      <c r="C508" s="1" t="str">
        <f>Basen!C548</f>
        <v>Carlsen</v>
      </c>
      <c r="D508" s="39" t="str">
        <f>Basen!H548</f>
        <v>web</v>
      </c>
      <c r="E508" s="1">
        <f>Basen!J548</f>
        <v>10</v>
      </c>
      <c r="H508" s="39" t="str">
        <f t="shared" si="9"/>
        <v>web</v>
      </c>
    </row>
    <row r="509" spans="1:10" ht="14.25" customHeight="1" x14ac:dyDescent="0.35">
      <c r="A509" s="1">
        <f>Basen!A549</f>
        <v>0</v>
      </c>
      <c r="B509" s="58">
        <f>Basen!F549+22000</f>
        <v>44101</v>
      </c>
      <c r="C509" s="1" t="str">
        <f>Basen!C549</f>
        <v>Boney</v>
      </c>
      <c r="D509" s="39" t="str">
        <f>Basen!H549</f>
        <v>bc</v>
      </c>
      <c r="E509" s="1">
        <f>Basen!J549</f>
        <v>0</v>
      </c>
      <c r="H509" s="39" t="str">
        <f t="shared" si="9"/>
        <v>bc</v>
      </c>
    </row>
    <row r="510" spans="1:10" ht="14.25" customHeight="1" x14ac:dyDescent="0.35">
      <c r="A510" s="1">
        <f>Basen!A550</f>
        <v>0</v>
      </c>
      <c r="B510" s="58">
        <f>Basen!F550+22000</f>
        <v>44102</v>
      </c>
      <c r="C510" s="1" t="str">
        <f>Basen!C550</f>
        <v>Jähne</v>
      </c>
      <c r="D510" s="39" t="str">
        <f>Basen!H550</f>
        <v>bc</v>
      </c>
      <c r="E510" s="1">
        <f>Basen!J550</f>
        <v>0</v>
      </c>
      <c r="H510" s="39" t="str">
        <f t="shared" si="9"/>
        <v>bc</v>
      </c>
    </row>
    <row r="511" spans="1:10" ht="14.25" customHeight="1" x14ac:dyDescent="0.35">
      <c r="A511" s="1">
        <f>Basen!A551</f>
        <v>0</v>
      </c>
      <c r="B511" s="58">
        <f>Basen!F551+22000</f>
        <v>44103</v>
      </c>
      <c r="C511" s="1" t="str">
        <f>Basen!C551</f>
        <v>Olsen</v>
      </c>
      <c r="D511" s="39" t="str">
        <f>Basen!H551</f>
        <v>bc</v>
      </c>
      <c r="E511" s="1">
        <f>Basen!J551</f>
        <v>0</v>
      </c>
      <c r="H511" s="39" t="str">
        <f t="shared" si="9"/>
        <v>bc</v>
      </c>
    </row>
    <row r="512" spans="1:10" ht="14.25" customHeight="1" x14ac:dyDescent="0.35">
      <c r="A512" s="1">
        <f>Basen!A552</f>
        <v>0</v>
      </c>
      <c r="B512" s="58">
        <f>Basen!F552+22000</f>
        <v>44104</v>
      </c>
      <c r="C512" s="1" t="str">
        <f>Basen!C552</f>
        <v>Grandal</v>
      </c>
      <c r="D512" s="39" t="str">
        <f>Basen!H552</f>
        <v>bc</v>
      </c>
      <c r="E512" s="1">
        <f>Basen!J552</f>
        <v>0</v>
      </c>
      <c r="H512" s="39" t="str">
        <f t="shared" si="9"/>
        <v>bc</v>
      </c>
    </row>
    <row r="513" spans="1:8" ht="14.25" customHeight="1" x14ac:dyDescent="0.35">
      <c r="A513" s="1">
        <f>Basen!A553</f>
        <v>0</v>
      </c>
      <c r="B513" s="58">
        <f>Basen!F553+22000</f>
        <v>44105</v>
      </c>
      <c r="C513" s="1" t="str">
        <f>Basen!C553</f>
        <v>Julin</v>
      </c>
      <c r="D513" s="39" t="str">
        <f>Basen!H553</f>
        <v>bc</v>
      </c>
      <c r="E513" s="1">
        <f>Basen!J553</f>
        <v>0</v>
      </c>
      <c r="H513" s="39" t="str">
        <f t="shared" si="9"/>
        <v>bc</v>
      </c>
    </row>
    <row r="514" spans="1:8" ht="14.25" customHeight="1" x14ac:dyDescent="0.35">
      <c r="A514" s="1">
        <f>Basen!A554</f>
        <v>0</v>
      </c>
      <c r="B514" s="58">
        <f>Basen!F554+22000</f>
        <v>44106</v>
      </c>
      <c r="C514" s="1" t="str">
        <f>Basen!C554</f>
        <v>Nyqvist</v>
      </c>
      <c r="D514" s="39" t="str">
        <f>Basen!H554</f>
        <v>bc</v>
      </c>
      <c r="E514" s="1">
        <f>Basen!J554</f>
        <v>0</v>
      </c>
      <c r="H514" s="39" t="str">
        <f t="shared" si="9"/>
        <v>bc</v>
      </c>
    </row>
    <row r="515" spans="1:8" ht="14.25" customHeight="1" x14ac:dyDescent="0.35">
      <c r="A515" s="1">
        <f>Basen!A555</f>
        <v>0</v>
      </c>
      <c r="B515" s="58">
        <f>Basen!F555+22000</f>
        <v>44107</v>
      </c>
      <c r="C515" s="1" t="str">
        <f>Basen!C555</f>
        <v>Bossenmeyer</v>
      </c>
      <c r="D515" s="39" t="str">
        <f>Basen!H555</f>
        <v>web</v>
      </c>
      <c r="E515" s="1">
        <f>Basen!J555</f>
        <v>10</v>
      </c>
      <c r="H515" s="39" t="str">
        <f t="shared" si="9"/>
        <v>web</v>
      </c>
    </row>
    <row r="516" spans="1:8" ht="14.25" customHeight="1" x14ac:dyDescent="0.35">
      <c r="A516" s="1">
        <f>Basen!A556</f>
        <v>0</v>
      </c>
      <c r="B516" s="58">
        <f>Basen!F556+22000</f>
        <v>44108</v>
      </c>
      <c r="C516" s="1" t="str">
        <f>Basen!C556</f>
        <v>Maegaard</v>
      </c>
      <c r="D516" s="39" t="str">
        <f>Basen!H556</f>
        <v>bc</v>
      </c>
      <c r="E516" s="1">
        <f>Basen!J556</f>
        <v>0</v>
      </c>
      <c r="H516" s="39" t="str">
        <f t="shared" si="9"/>
        <v>bc</v>
      </c>
    </row>
    <row r="517" spans="1:8" ht="14.25" customHeight="1" x14ac:dyDescent="0.35">
      <c r="A517" s="1">
        <f>Basen!A557</f>
        <v>0</v>
      </c>
      <c r="B517" s="58">
        <f>Basen!F557+22000</f>
        <v>44109</v>
      </c>
      <c r="C517" s="1" t="str">
        <f>Basen!C557</f>
        <v>Radarmecker</v>
      </c>
      <c r="D517" s="39" t="str">
        <f>Basen!H557</f>
        <v>bc</v>
      </c>
      <c r="E517" s="1">
        <f>Basen!J557</f>
        <v>0</v>
      </c>
      <c r="H517" s="39" t="str">
        <f t="shared" si="9"/>
        <v>bc</v>
      </c>
    </row>
    <row r="518" spans="1:8" ht="14.25" customHeight="1" x14ac:dyDescent="0.35">
      <c r="A518" s="1">
        <f>Basen!A558</f>
        <v>0</v>
      </c>
      <c r="B518" s="58">
        <f>Basen!F558+22000</f>
        <v>44110</v>
      </c>
      <c r="C518" s="1" t="str">
        <f>Basen!C558</f>
        <v>Børup</v>
      </c>
      <c r="D518" s="39" t="str">
        <f>Basen!H558</f>
        <v>bc</v>
      </c>
      <c r="E518" s="1">
        <f>Basen!J558</f>
        <v>0</v>
      </c>
      <c r="H518" s="39" t="str">
        <f t="shared" si="9"/>
        <v>bc</v>
      </c>
    </row>
    <row r="519" spans="1:8" ht="14.25" customHeight="1" x14ac:dyDescent="0.35">
      <c r="A519" s="1">
        <f>Basen!A559</f>
        <v>0</v>
      </c>
      <c r="B519" s="58">
        <f>Basen!F559+22000</f>
        <v>44111</v>
      </c>
      <c r="C519" s="1" t="str">
        <f>Basen!C559</f>
        <v>Regnersgaard</v>
      </c>
      <c r="D519" s="39" t="str">
        <f>Basen!H559</f>
        <v>bc</v>
      </c>
      <c r="E519" s="1">
        <f>Basen!J559</f>
        <v>0</v>
      </c>
      <c r="H519" s="39" t="str">
        <f t="shared" si="9"/>
        <v>bc</v>
      </c>
    </row>
    <row r="520" spans="1:8" ht="14.25" customHeight="1" x14ac:dyDescent="0.35">
      <c r="A520" s="1">
        <f>Basen!A560</f>
        <v>0</v>
      </c>
      <c r="B520" s="58">
        <f>Basen!F560+22000</f>
        <v>44112</v>
      </c>
      <c r="C520" s="1" t="str">
        <f>Basen!C560</f>
        <v>Sahlstedt</v>
      </c>
      <c r="D520" s="39" t="str">
        <f>Basen!H560</f>
        <v>web</v>
      </c>
      <c r="E520" s="1">
        <f>Basen!J560</f>
        <v>10</v>
      </c>
      <c r="H520" s="39" t="str">
        <f t="shared" si="9"/>
        <v>web</v>
      </c>
    </row>
    <row r="521" spans="1:8" ht="14.25" customHeight="1" x14ac:dyDescent="0.35">
      <c r="A521" s="1">
        <f>Basen!A561</f>
        <v>0</v>
      </c>
      <c r="B521" s="58">
        <f>Basen!F561+22000</f>
        <v>44113</v>
      </c>
      <c r="C521" s="1" t="str">
        <f>Basen!C561</f>
        <v>Kleist</v>
      </c>
      <c r="D521" s="39" t="str">
        <f>Basen!H561</f>
        <v>cansl</v>
      </c>
      <c r="E521" s="1">
        <f>Basen!J561</f>
        <v>0</v>
      </c>
      <c r="H521" s="39" t="str">
        <f t="shared" si="9"/>
        <v>cansl</v>
      </c>
    </row>
    <row r="522" spans="1:8" ht="14.25" customHeight="1" x14ac:dyDescent="0.35">
      <c r="A522" s="1">
        <f>Basen!A562</f>
        <v>0</v>
      </c>
      <c r="B522" s="58">
        <f>Basen!F562+22000</f>
        <v>44114</v>
      </c>
      <c r="C522" s="1" t="str">
        <f>Basen!C562</f>
        <v>Redlich</v>
      </c>
      <c r="D522" s="39" t="str">
        <f>Basen!H562</f>
        <v>bc</v>
      </c>
      <c r="E522" s="1">
        <f>Basen!J562</f>
        <v>0</v>
      </c>
      <c r="H522" s="39" t="str">
        <f t="shared" si="9"/>
        <v>bc</v>
      </c>
    </row>
    <row r="523" spans="1:8" ht="14.25" customHeight="1" x14ac:dyDescent="0.35">
      <c r="A523" s="1">
        <f>Basen!A563</f>
        <v>0</v>
      </c>
      <c r="B523" s="58">
        <f>Basen!F563+22000</f>
        <v>44115</v>
      </c>
      <c r="C523" s="1" t="str">
        <f>Basen!C563</f>
        <v>Henrik</v>
      </c>
      <c r="D523" s="39" t="str">
        <f>Basen!H563</f>
        <v>web</v>
      </c>
      <c r="E523" s="1">
        <f>Basen!J563</f>
        <v>0</v>
      </c>
      <c r="H523" s="39" t="str">
        <f t="shared" si="9"/>
        <v>web</v>
      </c>
    </row>
    <row r="524" spans="1:8" ht="14.25" customHeight="1" x14ac:dyDescent="0.35">
      <c r="A524" s="1">
        <f>Basen!A564</f>
        <v>0</v>
      </c>
      <c r="B524" s="58">
        <f>Basen!F564+22000</f>
        <v>44116</v>
      </c>
      <c r="C524" s="1" t="str">
        <f>Basen!C564</f>
        <v>Henrik</v>
      </c>
      <c r="D524" s="39" t="str">
        <f>Basen!H564</f>
        <v>web</v>
      </c>
      <c r="E524" s="1">
        <f>Basen!J564</f>
        <v>0</v>
      </c>
      <c r="H524" s="39" t="str">
        <f t="shared" si="9"/>
        <v>web</v>
      </c>
    </row>
    <row r="525" spans="1:8" ht="14.25" customHeight="1" x14ac:dyDescent="0.35">
      <c r="A525" s="1">
        <f>Basen!A565</f>
        <v>0</v>
      </c>
      <c r="B525" s="58">
        <f>Basen!F565+22000</f>
        <v>44117</v>
      </c>
      <c r="C525" s="1" t="str">
        <f>Basen!C565</f>
        <v>Svendsen</v>
      </c>
      <c r="D525" s="39" t="str">
        <f>Basen!H565</f>
        <v>web</v>
      </c>
      <c r="E525" s="1">
        <f>Basen!J565</f>
        <v>0</v>
      </c>
      <c r="H525" s="39" t="str">
        <f t="shared" si="9"/>
        <v>web</v>
      </c>
    </row>
    <row r="526" spans="1:8" ht="14.25" customHeight="1" x14ac:dyDescent="0.35">
      <c r="A526" s="1">
        <f>Basen!A566</f>
        <v>0</v>
      </c>
      <c r="B526" s="58">
        <f>Basen!F566+22000</f>
        <v>44118</v>
      </c>
      <c r="C526" s="1" t="str">
        <f>Basen!C566</f>
        <v>Jørgensen</v>
      </c>
      <c r="D526" s="39" t="str">
        <f>Basen!H566</f>
        <v>bc</v>
      </c>
      <c r="E526" s="1">
        <f>Basen!J566</f>
        <v>0</v>
      </c>
      <c r="H526" s="39" t="str">
        <f t="shared" si="9"/>
        <v>bc</v>
      </c>
    </row>
    <row r="527" spans="1:8" ht="14.25" customHeight="1" x14ac:dyDescent="0.35">
      <c r="A527" s="1">
        <f>Basen!A567</f>
        <v>0</v>
      </c>
      <c r="B527" s="58">
        <f>Basen!F567+22000</f>
        <v>44119</v>
      </c>
      <c r="C527" s="1" t="str">
        <f>Basen!C567</f>
        <v>Hansen</v>
      </c>
      <c r="D527" s="39" t="str">
        <f>Basen!H567</f>
        <v>web</v>
      </c>
      <c r="E527" s="1">
        <f>Basen!J567</f>
        <v>10</v>
      </c>
      <c r="H527" s="39" t="str">
        <f t="shared" si="9"/>
        <v>web</v>
      </c>
    </row>
    <row r="528" spans="1:8" ht="14.25" customHeight="1" x14ac:dyDescent="0.35">
      <c r="A528" s="1">
        <f>Basen!A568</f>
        <v>0</v>
      </c>
      <c r="B528" s="58">
        <f>Basen!F568+22000</f>
        <v>44120</v>
      </c>
      <c r="C528" s="1" t="str">
        <f>Basen!C568</f>
        <v>Düsing</v>
      </c>
      <c r="D528" s="39" t="str">
        <f>Basen!H568</f>
        <v>bc</v>
      </c>
      <c r="E528" s="1">
        <f>Basen!J568</f>
        <v>0</v>
      </c>
      <c r="H528" s="39" t="str">
        <f t="shared" si="9"/>
        <v>bc</v>
      </c>
    </row>
    <row r="529" spans="1:8" ht="14.25" customHeight="1" x14ac:dyDescent="0.35">
      <c r="A529" s="1">
        <f>Basen!A569</f>
        <v>0</v>
      </c>
      <c r="B529" s="58">
        <f>Basen!F569+22000</f>
        <v>44121</v>
      </c>
      <c r="C529" s="1" t="str">
        <f>Basen!C569</f>
        <v>Nano</v>
      </c>
      <c r="D529" s="39" t="str">
        <f>Basen!H569</f>
        <v>web</v>
      </c>
      <c r="E529" s="1">
        <f>Basen!J569</f>
        <v>0</v>
      </c>
      <c r="H529" s="39" t="str">
        <f t="shared" si="9"/>
        <v>web</v>
      </c>
    </row>
    <row r="530" spans="1:8" ht="14.25" customHeight="1" x14ac:dyDescent="0.35">
      <c r="A530" s="1">
        <f>Basen!A570</f>
        <v>0</v>
      </c>
      <c r="B530" s="58">
        <f>Basen!F570+22000</f>
        <v>44122</v>
      </c>
      <c r="C530" s="1" t="str">
        <f>Basen!C570</f>
        <v>lau</v>
      </c>
      <c r="D530" s="39" t="str">
        <f>Basen!H570</f>
        <v>bc</v>
      </c>
      <c r="E530" s="1">
        <f>Basen!J570</f>
        <v>0</v>
      </c>
      <c r="H530" s="39" t="str">
        <f t="shared" si="9"/>
        <v>bc</v>
      </c>
    </row>
    <row r="531" spans="1:8" ht="14.25" customHeight="1" x14ac:dyDescent="0.35">
      <c r="A531" s="1">
        <f>Basen!A571</f>
        <v>0</v>
      </c>
      <c r="B531" s="58">
        <f>Basen!F571+22000</f>
        <v>44123</v>
      </c>
      <c r="C531" s="1" t="str">
        <f>Basen!C571</f>
        <v>Olsen</v>
      </c>
      <c r="D531" s="39" t="str">
        <f>Basen!H571</f>
        <v>bc</v>
      </c>
      <c r="E531" s="1">
        <f>Basen!J571</f>
        <v>0</v>
      </c>
      <c r="H531" s="39" t="str">
        <f t="shared" si="9"/>
        <v>bc</v>
      </c>
    </row>
    <row r="532" spans="1:8" ht="14.25" customHeight="1" x14ac:dyDescent="0.35">
      <c r="A532" s="1">
        <f>Basen!A572</f>
        <v>0</v>
      </c>
      <c r="B532" s="58">
        <f>Basen!F572+22000</f>
        <v>44124</v>
      </c>
      <c r="C532" s="1" t="str">
        <f>Basen!C572</f>
        <v>Ksieniewicz</v>
      </c>
      <c r="D532" s="39" t="str">
        <f>Basen!H572</f>
        <v>cansl</v>
      </c>
      <c r="E532" s="1">
        <f>Basen!J572</f>
        <v>0</v>
      </c>
      <c r="H532" s="39" t="str">
        <f t="shared" si="9"/>
        <v>cansl</v>
      </c>
    </row>
    <row r="533" spans="1:8" ht="14.25" customHeight="1" x14ac:dyDescent="0.35">
      <c r="A533" s="1">
        <f>Basen!A573</f>
        <v>0</v>
      </c>
      <c r="B533" s="58">
        <f>Basen!F573+22000</f>
        <v>44125</v>
      </c>
      <c r="C533" s="1" t="str">
        <f>Basen!C573</f>
        <v>Holmen</v>
      </c>
      <c r="D533" s="39" t="str">
        <f>Basen!H573</f>
        <v>bc</v>
      </c>
      <c r="E533" s="1">
        <f>Basen!J573</f>
        <v>0</v>
      </c>
      <c r="H533" s="39" t="str">
        <f t="shared" si="9"/>
        <v>bc</v>
      </c>
    </row>
    <row r="534" spans="1:8" ht="14.25" customHeight="1" x14ac:dyDescent="0.35">
      <c r="A534" s="1">
        <f>Basen!A574</f>
        <v>0</v>
      </c>
      <c r="B534" s="58">
        <f>Basen!F574+22000</f>
        <v>44126</v>
      </c>
      <c r="C534" s="1" t="str">
        <f>Basen!C574</f>
        <v>Grovermann</v>
      </c>
      <c r="D534" s="39" t="str">
        <f>Basen!H574</f>
        <v>web</v>
      </c>
      <c r="E534" s="1">
        <f>Basen!J574</f>
        <v>10</v>
      </c>
      <c r="H534" s="39" t="str">
        <f t="shared" si="9"/>
        <v>web</v>
      </c>
    </row>
    <row r="535" spans="1:8" ht="14.25" customHeight="1" x14ac:dyDescent="0.35">
      <c r="A535" s="1">
        <f>Basen!A575</f>
        <v>0</v>
      </c>
      <c r="B535" s="58">
        <f>Basen!F575+22000</f>
        <v>44127</v>
      </c>
      <c r="C535" s="1" t="str">
        <f>Basen!C575</f>
        <v>Gøtske</v>
      </c>
      <c r="D535" s="39" t="str">
        <f>Basen!H575</f>
        <v>bc</v>
      </c>
      <c r="E535" s="1">
        <f>Basen!J575</f>
        <v>0</v>
      </c>
      <c r="H535" s="39" t="str">
        <f t="shared" si="9"/>
        <v>bc</v>
      </c>
    </row>
    <row r="536" spans="1:8" ht="14.25" customHeight="1" x14ac:dyDescent="0.35">
      <c r="A536" s="1">
        <f>Basen!A576</f>
        <v>0</v>
      </c>
      <c r="B536" s="58">
        <f>Basen!F576+22000</f>
        <v>44128</v>
      </c>
      <c r="C536" s="1" t="str">
        <f>Basen!C576</f>
        <v>Olsen</v>
      </c>
      <c r="D536" s="39" t="str">
        <f>Basen!H576</f>
        <v>bc</v>
      </c>
      <c r="E536" s="1">
        <f>Basen!J576</f>
        <v>0</v>
      </c>
      <c r="G536" s="39" t="str">
        <f>D536</f>
        <v>bc</v>
      </c>
    </row>
    <row r="537" spans="1:8" ht="14.25" customHeight="1" x14ac:dyDescent="0.35">
      <c r="A537" s="1">
        <f>Basen!A577</f>
        <v>0</v>
      </c>
      <c r="B537" s="58">
        <f>Basen!F577+22000</f>
        <v>44129</v>
      </c>
      <c r="C537" s="1" t="str">
        <f>Basen!C577</f>
        <v>Juliussen</v>
      </c>
      <c r="D537" s="39" t="str">
        <f>Basen!H577</f>
        <v>WEB</v>
      </c>
      <c r="E537" s="1">
        <f>Basen!J577</f>
        <v>5</v>
      </c>
      <c r="H537" s="39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8">
        <f>Basen!F578+22000</f>
        <v>44130</v>
      </c>
      <c r="C538" s="1" t="str">
        <f>Basen!C578</f>
        <v>Rasmus</v>
      </c>
      <c r="D538" s="39" t="str">
        <f>Basen!H578</f>
        <v>WEB</v>
      </c>
      <c r="E538" s="1">
        <f>Basen!J578</f>
        <v>0</v>
      </c>
      <c r="H538" s="39" t="str">
        <f t="shared" si="10"/>
        <v>WEB</v>
      </c>
    </row>
    <row r="539" spans="1:8" ht="14.25" customHeight="1" x14ac:dyDescent="0.35">
      <c r="A539" s="1">
        <f>Basen!A579</f>
        <v>0</v>
      </c>
      <c r="B539" s="58">
        <f>Basen!F579+22000</f>
        <v>44131</v>
      </c>
      <c r="C539" s="1" t="str">
        <f>Basen!C579</f>
        <v>Schubert</v>
      </c>
      <c r="D539" s="39" t="str">
        <f>Basen!H579</f>
        <v>bc</v>
      </c>
      <c r="E539" s="1">
        <f>Basen!J579</f>
        <v>0</v>
      </c>
      <c r="H539" s="39" t="str">
        <f t="shared" si="10"/>
        <v>bc</v>
      </c>
    </row>
    <row r="540" spans="1:8" ht="14.25" customHeight="1" x14ac:dyDescent="0.35">
      <c r="A540" s="1">
        <f>Basen!A580</f>
        <v>0</v>
      </c>
      <c r="B540" s="58">
        <f>Basen!F580+22000</f>
        <v>44132</v>
      </c>
      <c r="C540" s="1" t="str">
        <f>Basen!C580</f>
        <v>Miller</v>
      </c>
      <c r="D540" s="39" t="str">
        <f>Basen!H580</f>
        <v>bc</v>
      </c>
      <c r="E540" s="1">
        <f>Basen!J580</f>
        <v>0</v>
      </c>
      <c r="H540" s="39" t="str">
        <f t="shared" si="10"/>
        <v>bc</v>
      </c>
    </row>
    <row r="541" spans="1:8" ht="14.25" customHeight="1" x14ac:dyDescent="0.35">
      <c r="A541" s="1">
        <f>Basen!A581</f>
        <v>0</v>
      </c>
      <c r="B541" s="58">
        <f>Basen!F581+22000</f>
        <v>44133</v>
      </c>
      <c r="C541" s="1" t="str">
        <f>Basen!C581</f>
        <v>Kaufmann</v>
      </c>
      <c r="D541" s="39" t="str">
        <f>Basen!H581</f>
        <v>cansl</v>
      </c>
      <c r="E541" s="1">
        <f>Basen!J581</f>
        <v>0</v>
      </c>
      <c r="H541" s="39" t="str">
        <f t="shared" si="10"/>
        <v>cansl</v>
      </c>
    </row>
    <row r="542" spans="1:8" ht="14.25" customHeight="1" x14ac:dyDescent="0.35">
      <c r="A542" s="1">
        <f>Basen!A582</f>
        <v>0</v>
      </c>
      <c r="B542" s="58">
        <f>Basen!F582+22000</f>
        <v>44134</v>
      </c>
      <c r="C542" s="1" t="str">
        <f>Basen!C582</f>
        <v>Tjalve</v>
      </c>
      <c r="D542" s="39" t="str">
        <f>Basen!H582</f>
        <v>bc</v>
      </c>
      <c r="E542" s="1">
        <f>Basen!J582</f>
        <v>0</v>
      </c>
      <c r="H542" s="39" t="str">
        <f t="shared" si="10"/>
        <v>bc</v>
      </c>
    </row>
    <row r="543" spans="1:8" ht="14.25" customHeight="1" x14ac:dyDescent="0.35">
      <c r="A543" s="1">
        <f>Basen!A583</f>
        <v>0</v>
      </c>
      <c r="B543" s="58">
        <f>Basen!F583+22000</f>
        <v>44135</v>
      </c>
      <c r="C543" s="1" t="str">
        <f>Basen!C583</f>
        <v>Stuart</v>
      </c>
      <c r="D543" s="39" t="str">
        <f>Basen!H583</f>
        <v>cansl</v>
      </c>
      <c r="E543" s="1">
        <f>Basen!J583</f>
        <v>0</v>
      </c>
      <c r="H543" s="39" t="str">
        <f t="shared" si="10"/>
        <v>cansl</v>
      </c>
    </row>
    <row r="544" spans="1:8" ht="14.25" customHeight="1" x14ac:dyDescent="0.35">
      <c r="A544" s="1">
        <f>Basen!A584</f>
        <v>0</v>
      </c>
      <c r="B544" s="58">
        <f>Basen!F584+22000</f>
        <v>44136</v>
      </c>
      <c r="C544" s="1" t="str">
        <f>Basen!C584</f>
        <v>Uhd</v>
      </c>
      <c r="D544" s="39" t="str">
        <f>Basen!H584</f>
        <v>bc</v>
      </c>
      <c r="E544" s="1">
        <f>Basen!J584</f>
        <v>0</v>
      </c>
      <c r="H544" s="39" t="str">
        <f t="shared" si="10"/>
        <v>bc</v>
      </c>
    </row>
    <row r="545" spans="1:10" ht="14.25" customHeight="1" x14ac:dyDescent="0.35">
      <c r="A545" s="1">
        <f>Basen!A585</f>
        <v>0</v>
      </c>
      <c r="B545" s="58">
        <f>Basen!F585+22000</f>
        <v>44137</v>
      </c>
      <c r="C545" s="1" t="str">
        <f>Basen!C585</f>
        <v>Thiesen</v>
      </c>
      <c r="D545" s="39" t="str">
        <f>Basen!H585</f>
        <v>bc</v>
      </c>
      <c r="E545" s="1">
        <f>Basen!J585</f>
        <v>0</v>
      </c>
      <c r="H545" s="39" t="str">
        <f t="shared" si="10"/>
        <v>bc</v>
      </c>
    </row>
    <row r="546" spans="1:10" ht="14.25" customHeight="1" x14ac:dyDescent="0.35">
      <c r="A546" s="1">
        <f>Basen!A586</f>
        <v>0</v>
      </c>
      <c r="B546" s="58">
        <f>Basen!F586+22000</f>
        <v>44138</v>
      </c>
      <c r="C546" s="1" t="str">
        <f>Basen!C586</f>
        <v>Møller</v>
      </c>
      <c r="D546" s="39" t="str">
        <f>Basen!H586</f>
        <v>bc</v>
      </c>
      <c r="E546" s="1">
        <f>Basen!J586</f>
        <v>0</v>
      </c>
      <c r="H546" s="39" t="str">
        <f t="shared" si="10"/>
        <v>bc</v>
      </c>
    </row>
    <row r="547" spans="1:10" ht="14.25" customHeight="1" x14ac:dyDescent="0.35">
      <c r="A547" s="1">
        <f>Basen!A587</f>
        <v>0</v>
      </c>
      <c r="B547" s="58">
        <f>Basen!F587+22000</f>
        <v>44139</v>
      </c>
      <c r="C547" s="1" t="str">
        <f>Basen!C587</f>
        <v>Mary ….</v>
      </c>
      <c r="D547" s="39" t="str">
        <f>Basen!H587</f>
        <v>web</v>
      </c>
      <c r="E547" s="1">
        <f>Basen!J587</f>
        <v>10</v>
      </c>
      <c r="H547" s="39" t="str">
        <f t="shared" si="10"/>
        <v>web</v>
      </c>
    </row>
    <row r="548" spans="1:10" ht="14.25" customHeight="1" x14ac:dyDescent="0.35">
      <c r="A548" s="1">
        <f>Basen!A588</f>
        <v>0</v>
      </c>
      <c r="B548" s="58">
        <f>Basen!F588+22000</f>
        <v>44140</v>
      </c>
      <c r="C548" s="1" t="str">
        <f>Basen!C588</f>
        <v>Christensen</v>
      </c>
      <c r="D548" s="39" t="str">
        <f>Basen!H588</f>
        <v>web</v>
      </c>
      <c r="E548" s="1">
        <f>Basen!J588</f>
        <v>10</v>
      </c>
      <c r="H548" s="39" t="str">
        <f t="shared" si="10"/>
        <v>web</v>
      </c>
    </row>
    <row r="549" spans="1:10" ht="14.25" customHeight="1" x14ac:dyDescent="0.35">
      <c r="A549" s="1">
        <f>Basen!A589</f>
        <v>0</v>
      </c>
      <c r="B549" s="58">
        <f>Basen!F589+22000</f>
        <v>44141</v>
      </c>
      <c r="C549" s="1" t="str">
        <f>Basen!C589</f>
        <v>Sigtenborg</v>
      </c>
      <c r="D549" s="39" t="str">
        <f>Basen!H589</f>
        <v>cansl</v>
      </c>
      <c r="E549" s="1">
        <f>Basen!J589</f>
        <v>0</v>
      </c>
      <c r="H549" s="39" t="str">
        <f t="shared" si="10"/>
        <v>cansl</v>
      </c>
    </row>
    <row r="550" spans="1:10" ht="14.25" customHeight="1" x14ac:dyDescent="0.35">
      <c r="A550" s="1">
        <f>Basen!A590</f>
        <v>0</v>
      </c>
      <c r="B550" s="58">
        <f>Basen!F590+22000</f>
        <v>44142</v>
      </c>
      <c r="C550" s="1" t="str">
        <f>Basen!C590</f>
        <v>Lisbet</v>
      </c>
      <c r="D550" s="39" t="str">
        <f>Basen!H590</f>
        <v>bc</v>
      </c>
      <c r="E550" s="1">
        <f>Basen!J590</f>
        <v>0</v>
      </c>
      <c r="H550" s="39" t="str">
        <f t="shared" si="10"/>
        <v>bc</v>
      </c>
    </row>
    <row r="551" spans="1:10" ht="14.25" customHeight="1" x14ac:dyDescent="0.35">
      <c r="A551" s="1">
        <f>Basen!A591</f>
        <v>0</v>
      </c>
      <c r="B551" s="58">
        <f>Basen!F591+22000</f>
        <v>44143</v>
      </c>
      <c r="C551" s="1" t="str">
        <f>Basen!C591</f>
        <v>Splittotff</v>
      </c>
      <c r="D551" s="39" t="str">
        <f>Basen!H591</f>
        <v>bc</v>
      </c>
      <c r="E551" s="1">
        <f>Basen!J591</f>
        <v>0</v>
      </c>
      <c r="H551" s="39" t="str">
        <f t="shared" si="10"/>
        <v>bc</v>
      </c>
    </row>
    <row r="552" spans="1:10" ht="14.25" customHeight="1" x14ac:dyDescent="0.35">
      <c r="A552" s="1">
        <f>Basen!A592</f>
        <v>0</v>
      </c>
      <c r="B552" s="58">
        <f>Basen!F592+22000</f>
        <v>44144</v>
      </c>
      <c r="C552" s="1" t="str">
        <f>Basen!C592</f>
        <v>Oredsson</v>
      </c>
      <c r="D552" s="39" t="str">
        <f>Basen!H592</f>
        <v>bc</v>
      </c>
      <c r="E552" s="1">
        <f>Basen!J592</f>
        <v>0</v>
      </c>
      <c r="G552" s="39" t="str">
        <f>D552</f>
        <v>bc</v>
      </c>
    </row>
    <row r="553" spans="1:10" ht="14.25" customHeight="1" x14ac:dyDescent="0.35">
      <c r="A553" s="1">
        <f>Basen!A593</f>
        <v>0</v>
      </c>
      <c r="B553" s="58">
        <f>Basen!F593+22000</f>
        <v>44145</v>
      </c>
      <c r="C553" s="1" t="str">
        <f>Basen!C593</f>
        <v>Book</v>
      </c>
      <c r="D553" s="39" t="str">
        <f>Basen!H593</f>
        <v>cansl</v>
      </c>
      <c r="E553" s="1">
        <f>Basen!J593</f>
        <v>0</v>
      </c>
      <c r="I553" s="39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8">
        <f>Basen!F594+22000</f>
        <v>44146</v>
      </c>
      <c r="C554" s="1" t="str">
        <f>Basen!C594</f>
        <v>Klopsch</v>
      </c>
      <c r="D554" s="39" t="str">
        <f>Basen!H594</f>
        <v>bc</v>
      </c>
      <c r="E554" s="1">
        <f>Basen!J594</f>
        <v>0</v>
      </c>
      <c r="I554" s="39" t="str">
        <f t="shared" si="11"/>
        <v>bc</v>
      </c>
    </row>
    <row r="555" spans="1:10" ht="14.25" customHeight="1" x14ac:dyDescent="0.35">
      <c r="A555" s="1">
        <f>Basen!A595</f>
        <v>0</v>
      </c>
      <c r="B555" s="58">
        <f>Basen!F595+22000</f>
        <v>44148</v>
      </c>
      <c r="C555" s="1" t="str">
        <f>Basen!C595</f>
        <v>Burhkal</v>
      </c>
      <c r="D555" s="39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8">
        <f>Basen!F596+22000</f>
        <v>44149</v>
      </c>
      <c r="C556" s="1" t="str">
        <f>Basen!C596</f>
        <v>Bysted</v>
      </c>
      <c r="D556" s="39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8">
        <f>Basen!F597+22000</f>
        <v>44150</v>
      </c>
      <c r="C557" s="1" t="str">
        <f>Basen!C597</f>
        <v>Andreas</v>
      </c>
      <c r="D557" s="39" t="str">
        <f>Basen!H597</f>
        <v>bc</v>
      </c>
      <c r="E557" s="1">
        <f>Basen!J597</f>
        <v>0</v>
      </c>
      <c r="I557" s="39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8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8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8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8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8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8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8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8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8">
        <f>Basen!F607+23000</f>
        <v>46002</v>
      </c>
      <c r="C566" s="1" t="str">
        <f>Basen!C607</f>
        <v>Grandal</v>
      </c>
      <c r="D566" s="39" t="str">
        <f>Basen!H607</f>
        <v>WEB</v>
      </c>
      <c r="E566" s="1">
        <f>Basen!J607</f>
        <v>10</v>
      </c>
      <c r="I566" s="39" t="str">
        <f t="shared" si="13"/>
        <v>WEB</v>
      </c>
    </row>
    <row r="567" spans="1:9" ht="14.25" customHeight="1" x14ac:dyDescent="0.35">
      <c r="A567" s="1">
        <f>Basen!A610</f>
        <v>0</v>
      </c>
      <c r="B567" s="58">
        <f>Basen!F610+23000</f>
        <v>46005</v>
      </c>
      <c r="C567" s="1" t="str">
        <f>Basen!C610</f>
        <v>Thaarbøl</v>
      </c>
      <c r="D567" s="39" t="str">
        <f>Basen!H610</f>
        <v>WEB</v>
      </c>
      <c r="E567" s="1">
        <f>Basen!J610</f>
        <v>0</v>
      </c>
      <c r="I567" s="39" t="str">
        <f t="shared" si="13"/>
        <v>WEB</v>
      </c>
    </row>
    <row r="568" spans="1:9" ht="14.25" customHeight="1" x14ac:dyDescent="0.35">
      <c r="A568" s="1">
        <f>Basen!A614</f>
        <v>0</v>
      </c>
      <c r="B568" s="58">
        <f>Basen!F614+23000</f>
        <v>46009</v>
      </c>
      <c r="C568" s="1" t="str">
        <f>Basen!C614</f>
        <v>Rasmussen</v>
      </c>
      <c r="D568" s="39" t="str">
        <f>Basen!H614</f>
        <v>WEB</v>
      </c>
      <c r="E568" s="1">
        <f>Basen!J614</f>
        <v>0</v>
      </c>
      <c r="I568" s="39" t="str">
        <f t="shared" si="13"/>
        <v>WEB</v>
      </c>
    </row>
    <row r="569" spans="1:9" ht="14.25" customHeight="1" x14ac:dyDescent="0.35">
      <c r="A569" s="1">
        <f>Basen!A616</f>
        <v>0</v>
      </c>
      <c r="B569" s="58">
        <f>Basen!F616+23000</f>
        <v>46011</v>
      </c>
      <c r="C569" s="1" t="str">
        <f>Basen!C616</f>
        <v>Kristensen</v>
      </c>
      <c r="D569" s="39" t="str">
        <f>Basen!H616</f>
        <v>cansl</v>
      </c>
      <c r="E569" s="1">
        <f>Basen!J616</f>
        <v>0</v>
      </c>
      <c r="I569" s="39" t="str">
        <f t="shared" si="13"/>
        <v>cansl</v>
      </c>
    </row>
    <row r="570" spans="1:9" ht="14.25" customHeight="1" x14ac:dyDescent="0.35">
      <c r="A570" s="1">
        <f>Basen!A619</f>
        <v>0</v>
      </c>
      <c r="B570" s="58">
        <f>Basen!F619+23000</f>
        <v>46014</v>
      </c>
      <c r="C570" s="1" t="str">
        <f>Basen!C619</f>
        <v>Kaae</v>
      </c>
      <c r="D570" s="39" t="str">
        <f>Basen!H619</f>
        <v>WEB</v>
      </c>
      <c r="E570" s="1">
        <f>Basen!J619</f>
        <v>0</v>
      </c>
      <c r="I570" s="39" t="str">
        <f t="shared" si="13"/>
        <v>WEB</v>
      </c>
    </row>
    <row r="571" spans="1:9" ht="14.25" customHeight="1" x14ac:dyDescent="0.35">
      <c r="A571" s="1">
        <f>Basen!A620</f>
        <v>0</v>
      </c>
      <c r="B571" s="58">
        <f>Basen!F620+23000</f>
        <v>46015</v>
      </c>
      <c r="C571" s="1" t="str">
        <f>Basen!C620</f>
        <v>Bossenmeyer</v>
      </c>
      <c r="D571" s="39" t="str">
        <f>Basen!H620</f>
        <v>WEB</v>
      </c>
      <c r="E571" s="1">
        <f>Basen!J620</f>
        <v>0</v>
      </c>
      <c r="I571" s="39" t="str">
        <f t="shared" si="13"/>
        <v>WEB</v>
      </c>
    </row>
    <row r="572" spans="1:9" ht="14.25" customHeight="1" x14ac:dyDescent="0.35">
      <c r="A572" s="1">
        <f>Basen!A623</f>
        <v>0</v>
      </c>
      <c r="B572" s="58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8">
        <f>Basen!F624+23000</f>
        <v>46019</v>
      </c>
      <c r="C573" s="1" t="str">
        <f>Basen!C624</f>
        <v>Preben</v>
      </c>
      <c r="D573" s="39" t="str">
        <f>Basen!H624</f>
        <v>WEB</v>
      </c>
      <c r="E573" s="1">
        <f>Basen!J624</f>
        <v>0</v>
      </c>
      <c r="I573" s="39" t="str">
        <f t="shared" si="13"/>
        <v>WEB</v>
      </c>
    </row>
    <row r="574" spans="1:9" ht="14.25" customHeight="1" x14ac:dyDescent="0.35">
      <c r="A574" s="1">
        <f>Basen!A626</f>
        <v>0</v>
      </c>
      <c r="B574" s="58">
        <f>Basen!F626+23000</f>
        <v>46021</v>
      </c>
      <c r="C574" s="1" t="str">
        <f>Basen!C626</f>
        <v>Wagenblast</v>
      </c>
      <c r="D574" s="39" t="str">
        <f>Basen!H626</f>
        <v>cansl</v>
      </c>
      <c r="E574" s="1">
        <f>Basen!J626</f>
        <v>0</v>
      </c>
      <c r="I574" s="39" t="str">
        <f t="shared" si="13"/>
        <v>cansl</v>
      </c>
    </row>
    <row r="575" spans="1:9" ht="14.25" customHeight="1" x14ac:dyDescent="0.35">
      <c r="A575" s="1">
        <f>Basen!A627</f>
        <v>0</v>
      </c>
      <c r="B575" s="58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8">
        <f>Basen!F628+23000</f>
        <v>46023</v>
      </c>
      <c r="C576" s="1" t="str">
        <f>Basen!C628</f>
        <v>Landskron</v>
      </c>
      <c r="D576" s="39" t="str">
        <f>Basen!H628</f>
        <v>cansl</v>
      </c>
      <c r="E576" s="1">
        <f>Basen!J628</f>
        <v>0</v>
      </c>
      <c r="I576" s="39" t="str">
        <f t="shared" si="13"/>
        <v>cansl</v>
      </c>
    </row>
    <row r="577" spans="1:10" ht="14.25" customHeight="1" x14ac:dyDescent="0.35">
      <c r="A577" s="1">
        <f>Basen!A629</f>
        <v>0</v>
      </c>
      <c r="B577" s="58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8">
        <f>Basen!F630+23000</f>
        <v>46025</v>
      </c>
      <c r="C578" s="1" t="str">
        <f>Basen!C630</f>
        <v>Albers</v>
      </c>
      <c r="D578" s="39" t="str">
        <f>Basen!H630</f>
        <v>cansl</v>
      </c>
      <c r="E578" s="1">
        <f>Basen!J630</f>
        <v>0</v>
      </c>
      <c r="I578" s="39" t="str">
        <f t="shared" si="13"/>
        <v>cansl</v>
      </c>
    </row>
    <row r="579" spans="1:10" ht="14.25" customHeight="1" x14ac:dyDescent="0.35">
      <c r="A579" s="1">
        <f>Basen!A632</f>
        <v>0</v>
      </c>
      <c r="B579" s="58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8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8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8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8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8">
        <f>Basen!F637+23000</f>
        <v>46032</v>
      </c>
      <c r="C584" s="1" t="str">
        <f>Basen!C637</f>
        <v>Sørensen</v>
      </c>
      <c r="D584" s="39" t="str">
        <f>Basen!H637</f>
        <v>cansl</v>
      </c>
      <c r="E584" s="1">
        <f>Basen!J637</f>
        <v>0</v>
      </c>
      <c r="I584" s="39" t="str">
        <f t="shared" si="14"/>
        <v>cansl</v>
      </c>
    </row>
    <row r="585" spans="1:10" ht="14.25" customHeight="1" x14ac:dyDescent="0.35">
      <c r="A585" s="1">
        <f>Basen!A638</f>
        <v>0</v>
      </c>
      <c r="B585" s="58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8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8">
        <f>Basen!F640+23000</f>
        <v>46035</v>
      </c>
      <c r="C587" s="1" t="str">
        <f>Basen!C640</f>
        <v>Kraemer</v>
      </c>
      <c r="D587" s="39" t="str">
        <f>Basen!H640</f>
        <v>cansl</v>
      </c>
      <c r="E587" s="1">
        <f>Basen!J640</f>
        <v>0</v>
      </c>
      <c r="I587" s="39" t="str">
        <f t="shared" si="14"/>
        <v>cansl</v>
      </c>
    </row>
    <row r="588" spans="1:10" ht="14.25" customHeight="1" x14ac:dyDescent="0.35">
      <c r="A588" s="1">
        <f>Basen!A641</f>
        <v>0</v>
      </c>
      <c r="B588" s="58">
        <f>Basen!F641+23000</f>
        <v>46036</v>
      </c>
      <c r="C588" s="1" t="str">
        <f>Basen!C641</f>
        <v>Kaul</v>
      </c>
      <c r="D588" s="39" t="str">
        <f>Basen!H641</f>
        <v>cansl</v>
      </c>
      <c r="E588" s="1">
        <f>Basen!J641</f>
        <v>0</v>
      </c>
      <c r="I588" s="39" t="str">
        <f t="shared" si="14"/>
        <v>cansl</v>
      </c>
    </row>
    <row r="589" spans="1:10" ht="14.25" customHeight="1" x14ac:dyDescent="0.35">
      <c r="A589" s="1">
        <f>Basen!A642</f>
        <v>0</v>
      </c>
      <c r="B589" s="58">
        <f>Basen!F642+23000</f>
        <v>46037</v>
      </c>
      <c r="C589" s="1" t="str">
        <f>Basen!C642</f>
        <v>Aronsson</v>
      </c>
      <c r="D589" s="39" t="str">
        <f>Basen!H642</f>
        <v>cansl</v>
      </c>
      <c r="E589" s="1">
        <f>Basen!J642</f>
        <v>0</v>
      </c>
      <c r="I589" s="39" t="str">
        <f t="shared" si="14"/>
        <v>cansl</v>
      </c>
    </row>
    <row r="590" spans="1:10" ht="14.25" customHeight="1" x14ac:dyDescent="0.35">
      <c r="A590" s="1">
        <f>Basen!A643</f>
        <v>0</v>
      </c>
      <c r="B590" s="58">
        <f>Basen!F643+23000</f>
        <v>46038</v>
      </c>
      <c r="C590" s="1" t="str">
        <f>Basen!C643</f>
        <v>Palbo</v>
      </c>
      <c r="D590" s="39" t="str">
        <f>Basen!H643</f>
        <v>cansl</v>
      </c>
      <c r="E590" s="1">
        <f>Basen!J643</f>
        <v>0</v>
      </c>
      <c r="I590" s="39" t="str">
        <f t="shared" si="14"/>
        <v>cansl</v>
      </c>
    </row>
    <row r="591" spans="1:10" ht="14.25" customHeight="1" x14ac:dyDescent="0.35">
      <c r="A591" s="1">
        <f>Basen!A644</f>
        <v>0</v>
      </c>
      <c r="B591" s="58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8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8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8">
        <f>Basen!F647+23000</f>
        <v>46042</v>
      </c>
      <c r="C594" s="1" t="str">
        <f>Basen!C647</f>
        <v>sternbæk</v>
      </c>
      <c r="D594" s="39">
        <f>Basen!H647</f>
        <v>0</v>
      </c>
      <c r="E594" s="1">
        <f>Basen!J647</f>
        <v>0</v>
      </c>
      <c r="I594" s="39">
        <f t="shared" si="14"/>
        <v>0</v>
      </c>
    </row>
    <row r="595" spans="1:9" ht="14.25" customHeight="1" x14ac:dyDescent="0.35">
      <c r="A595" s="1">
        <f>Basen!A648</f>
        <v>0</v>
      </c>
      <c r="B595" s="58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8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8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8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8">
        <f>Basen!F654+23000</f>
        <v>46049</v>
      </c>
      <c r="C599" s="1" t="str">
        <f>Basen!C654</f>
        <v>Landt</v>
      </c>
      <c r="D599" s="39" t="str">
        <f>Basen!H654</f>
        <v>cansl</v>
      </c>
      <c r="E599" s="1">
        <f>Basen!J654</f>
        <v>0</v>
      </c>
      <c r="I599" s="39" t="str">
        <f t="shared" si="14"/>
        <v>cansl</v>
      </c>
    </row>
    <row r="600" spans="1:9" ht="14.25" customHeight="1" x14ac:dyDescent="0.35">
      <c r="A600" s="1">
        <f>Basen!A656</f>
        <v>0</v>
      </c>
      <c r="B600" s="58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8">
        <f>Basen!F657+23000</f>
        <v>46052</v>
      </c>
      <c r="C601" s="1" t="str">
        <f>Basen!C657</f>
        <v>Bromert</v>
      </c>
      <c r="D601" s="39" t="str">
        <f>Basen!H657</f>
        <v>cansl</v>
      </c>
      <c r="E601" s="1">
        <f>Basen!J657</f>
        <v>0</v>
      </c>
      <c r="I601" s="39" t="str">
        <f t="shared" si="14"/>
        <v>cansl</v>
      </c>
    </row>
    <row r="602" spans="1:9" ht="14.25" customHeight="1" x14ac:dyDescent="0.35">
      <c r="A602" s="1">
        <f>Basen!A658</f>
        <v>0</v>
      </c>
      <c r="B602" s="58">
        <f>Basen!F658+23000</f>
        <v>46053</v>
      </c>
      <c r="C602" s="1" t="str">
        <f>Basen!C658</f>
        <v>Sølvsten</v>
      </c>
      <c r="D602" s="39" t="str">
        <f>Basen!H658</f>
        <v>cansl</v>
      </c>
      <c r="E602" s="1">
        <f>Basen!J658</f>
        <v>0</v>
      </c>
      <c r="I602" s="39" t="str">
        <f t="shared" si="14"/>
        <v>cansl</v>
      </c>
    </row>
    <row r="603" spans="1:9" ht="14.25" customHeight="1" x14ac:dyDescent="0.35">
      <c r="A603" s="1">
        <f>Basen!A661</f>
        <v>0</v>
      </c>
      <c r="B603" s="58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8">
        <f>Basen!F663+23000</f>
        <v>46058</v>
      </c>
      <c r="C604" s="1" t="str">
        <f>Basen!C663</f>
        <v>Sundell</v>
      </c>
      <c r="D604" s="39" t="str">
        <f>Basen!H663</f>
        <v>cansl</v>
      </c>
      <c r="E604" s="1">
        <f>Basen!J663</f>
        <v>10</v>
      </c>
      <c r="I604" s="39" t="str">
        <f t="shared" si="14"/>
        <v>cansl</v>
      </c>
    </row>
    <row r="605" spans="1:9" ht="14.25" customHeight="1" x14ac:dyDescent="0.35">
      <c r="A605" s="1">
        <f>Basen!A664</f>
        <v>0</v>
      </c>
      <c r="B605" s="58">
        <f>Basen!F664+23000</f>
        <v>46059</v>
      </c>
      <c r="C605" s="1" t="str">
        <f>Basen!C664</f>
        <v>Kosert</v>
      </c>
      <c r="D605" s="39" t="str">
        <f>Basen!H664</f>
        <v>cansl</v>
      </c>
      <c r="E605" s="1">
        <f>Basen!J664</f>
        <v>0</v>
      </c>
      <c r="I605" s="39" t="str">
        <f t="shared" si="14"/>
        <v>cansl</v>
      </c>
    </row>
    <row r="606" spans="1:9" ht="14.25" customHeight="1" x14ac:dyDescent="0.35">
      <c r="A606" s="1">
        <f>Basen!A665</f>
        <v>0</v>
      </c>
      <c r="B606" s="58">
        <f>Basen!F665+23000</f>
        <v>46060</v>
      </c>
      <c r="C606" s="1" t="str">
        <f>Basen!C665</f>
        <v>Merkouris</v>
      </c>
      <c r="D606" s="39" t="str">
        <f>Basen!H665</f>
        <v>cansl</v>
      </c>
      <c r="E606" s="1">
        <f>Basen!J665</f>
        <v>0</v>
      </c>
      <c r="I606" s="39" t="str">
        <f t="shared" si="14"/>
        <v>cansl</v>
      </c>
    </row>
    <row r="607" spans="1:9" ht="14.25" customHeight="1" x14ac:dyDescent="0.35">
      <c r="A607" s="1">
        <f>Basen!A667</f>
        <v>0</v>
      </c>
      <c r="B607" s="58">
        <f>Basen!F667+23000</f>
        <v>46062</v>
      </c>
      <c r="C607" s="1" t="str">
        <f>Basen!C667</f>
        <v>Abbadie</v>
      </c>
      <c r="D607" s="39" t="str">
        <f>Basen!H667</f>
        <v>cansl</v>
      </c>
      <c r="E607" s="1">
        <f>Basen!J667</f>
        <v>0</v>
      </c>
      <c r="I607" s="39" t="str">
        <f t="shared" si="14"/>
        <v>cansl</v>
      </c>
    </row>
    <row r="608" spans="1:9" ht="14.25" customHeight="1" x14ac:dyDescent="0.35">
      <c r="A608" s="1">
        <f>Basen!A668</f>
        <v>0</v>
      </c>
      <c r="B608" s="58">
        <f>Basen!F668+23000</f>
        <v>46063</v>
      </c>
      <c r="C608" s="1" t="str">
        <f>Basen!C668</f>
        <v>joergensen</v>
      </c>
      <c r="D608" s="39" t="str">
        <f>Basen!H668</f>
        <v>cansl</v>
      </c>
      <c r="E608" s="1">
        <f>Basen!J668</f>
        <v>0</v>
      </c>
      <c r="I608" s="39" t="str">
        <f t="shared" si="14"/>
        <v>cansl</v>
      </c>
    </row>
    <row r="609" spans="1:9" ht="14.25" customHeight="1" x14ac:dyDescent="0.35">
      <c r="A609" s="1">
        <f>Basen!A669</f>
        <v>0</v>
      </c>
      <c r="B609" s="58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8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8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8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8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8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8">
        <f>Basen!F676+23000</f>
        <v>46071</v>
      </c>
      <c r="C615" s="1" t="str">
        <f>Basen!C676</f>
        <v>Zamfira</v>
      </c>
      <c r="D615" s="39" t="str">
        <f>Basen!H676</f>
        <v>cansl</v>
      </c>
      <c r="E615" s="1">
        <f>Basen!J676</f>
        <v>0</v>
      </c>
      <c r="I615" s="39" t="str">
        <f t="shared" si="14"/>
        <v>cansl</v>
      </c>
    </row>
    <row r="616" spans="1:9" ht="14.25" customHeight="1" x14ac:dyDescent="0.35">
      <c r="A616" s="1">
        <f>Basen!A677</f>
        <v>0</v>
      </c>
      <c r="B616" s="58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8">
        <f>Basen!F678+23000</f>
        <v>46073</v>
      </c>
      <c r="C617" s="1" t="str">
        <f>Basen!C678</f>
        <v>Østergaard</v>
      </c>
      <c r="D617" s="39" t="str">
        <f>Basen!H678</f>
        <v>cansl</v>
      </c>
      <c r="E617" s="1">
        <f>Basen!J678</f>
        <v>0</v>
      </c>
      <c r="I617" s="39" t="str">
        <f t="shared" si="14"/>
        <v>cansl</v>
      </c>
    </row>
    <row r="618" spans="1:9" ht="14.25" customHeight="1" x14ac:dyDescent="0.35">
      <c r="A618" s="1">
        <f>Basen!A679</f>
        <v>0</v>
      </c>
      <c r="B618" s="58">
        <f>Basen!F679+23000</f>
        <v>46074</v>
      </c>
      <c r="C618" s="1" t="str">
        <f>Basen!C679</f>
        <v>Schettler</v>
      </c>
      <c r="D618" s="39" t="str">
        <f>Basen!H679</f>
        <v>cansl</v>
      </c>
      <c r="E618" s="1">
        <f>Basen!J679</f>
        <v>0</v>
      </c>
      <c r="I618" s="39" t="str">
        <f t="shared" si="14"/>
        <v>cansl</v>
      </c>
    </row>
    <row r="619" spans="1:9" ht="14.25" customHeight="1" x14ac:dyDescent="0.35">
      <c r="A619" s="1">
        <f>Basen!A680</f>
        <v>0</v>
      </c>
      <c r="B619" s="58">
        <f>Basen!F680+23000</f>
        <v>46075</v>
      </c>
      <c r="C619" s="1" t="str">
        <f>Basen!C680</f>
        <v>Opreel</v>
      </c>
      <c r="D619" s="39" t="str">
        <f>Basen!H680</f>
        <v>cansl</v>
      </c>
      <c r="E619" s="1">
        <f>Basen!J680</f>
        <v>0</v>
      </c>
      <c r="I619" s="39" t="str">
        <f t="shared" si="14"/>
        <v>cansl</v>
      </c>
    </row>
    <row r="620" spans="1:9" ht="14.25" customHeight="1" x14ac:dyDescent="0.35">
      <c r="A620" s="1">
        <f>Basen!A681</f>
        <v>0</v>
      </c>
      <c r="B620" s="58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8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8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8">
        <f>Basen!F685+23000</f>
        <v>46080</v>
      </c>
      <c r="C623" s="1" t="str">
        <f>Basen!C685</f>
        <v>Persson</v>
      </c>
      <c r="D623" s="39" t="str">
        <f>Basen!H685</f>
        <v>cansl</v>
      </c>
      <c r="E623" s="1">
        <f>Basen!J685</f>
        <v>0</v>
      </c>
      <c r="I623" s="39" t="str">
        <f t="shared" si="14"/>
        <v>cansl</v>
      </c>
    </row>
    <row r="624" spans="1:9" ht="14.25" customHeight="1" x14ac:dyDescent="0.35">
      <c r="A624" s="1">
        <f>Basen!A686</f>
        <v>0</v>
      </c>
      <c r="B624" s="58">
        <f>Basen!F686+23000</f>
        <v>46081</v>
      </c>
      <c r="C624" s="1" t="str">
        <f>Basen!C686</f>
        <v>Henriksen</v>
      </c>
      <c r="D624" s="39" t="str">
        <f>Basen!H686</f>
        <v>cansl</v>
      </c>
      <c r="E624" s="1">
        <f>Basen!J686</f>
        <v>0</v>
      </c>
      <c r="I624" s="39" t="str">
        <f t="shared" si="14"/>
        <v>cansl</v>
      </c>
    </row>
    <row r="625" spans="1:9" ht="14.25" customHeight="1" x14ac:dyDescent="0.35">
      <c r="A625" s="1">
        <f>Basen!A687</f>
        <v>0</v>
      </c>
      <c r="B625" s="58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8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8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8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8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8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8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8">
        <f>Basen!F694+23000</f>
        <v>46089</v>
      </c>
      <c r="C632" s="1" t="str">
        <f>Basen!C694</f>
        <v>Malberg</v>
      </c>
      <c r="D632" s="39" t="str">
        <f>Basen!H694</f>
        <v>cansl</v>
      </c>
      <c r="E632" s="1">
        <f>Basen!J694</f>
        <v>0</v>
      </c>
      <c r="I632" s="39" t="str">
        <f t="shared" si="14"/>
        <v>cansl</v>
      </c>
    </row>
    <row r="633" spans="1:9" ht="14.25" customHeight="1" x14ac:dyDescent="0.35">
      <c r="A633" s="1">
        <f>Basen!A695</f>
        <v>0</v>
      </c>
      <c r="B633" s="58">
        <f>Basen!F695+23000</f>
        <v>46090</v>
      </c>
      <c r="C633" s="1" t="str">
        <f>Basen!C695</f>
        <v>Weber</v>
      </c>
      <c r="D633" s="39" t="str">
        <f>Basen!H695</f>
        <v>cansl</v>
      </c>
      <c r="E633" s="1">
        <f>Basen!J695</f>
        <v>0</v>
      </c>
      <c r="I633" s="39" t="str">
        <f t="shared" si="14"/>
        <v>cansl</v>
      </c>
    </row>
    <row r="634" spans="1:9" ht="14.25" customHeight="1" x14ac:dyDescent="0.35">
      <c r="A634" s="1">
        <f>Basen!A696</f>
        <v>0</v>
      </c>
      <c r="B634" s="58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8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8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8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8">
        <f>Basen!F700+23000</f>
        <v>46095</v>
      </c>
      <c r="C638" s="1" t="str">
        <f>Basen!C700</f>
        <v>Borup</v>
      </c>
      <c r="D638" s="39" t="str">
        <f>Basen!H700</f>
        <v>cansl</v>
      </c>
      <c r="E638" s="1">
        <f>Basen!J700</f>
        <v>0</v>
      </c>
      <c r="I638" s="39" t="str">
        <f t="shared" si="14"/>
        <v>cansl</v>
      </c>
    </row>
    <row r="639" spans="1:9" ht="14.25" customHeight="1" x14ac:dyDescent="0.35">
      <c r="A639" s="1">
        <f>Basen!A701</f>
        <v>0</v>
      </c>
      <c r="B639" s="58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8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8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8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8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8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8">
        <f>Basen!F707+23000</f>
        <v>46102</v>
      </c>
      <c r="C645" s="1" t="str">
        <f>Basen!C707</f>
        <v>Holst</v>
      </c>
      <c r="D645" s="39" t="str">
        <f>Basen!H707</f>
        <v>bc</v>
      </c>
      <c r="E645" s="1">
        <f>Basen!J707</f>
        <v>0</v>
      </c>
      <c r="I645" s="39" t="str">
        <f t="shared" si="14"/>
        <v>bc</v>
      </c>
    </row>
    <row r="646" spans="1:9" ht="14.25" customHeight="1" x14ac:dyDescent="0.35">
      <c r="A646" s="1">
        <f>Basen!A708</f>
        <v>0</v>
      </c>
      <c r="B646" s="58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8">
        <f>Basen!F709+23000</f>
        <v>46104</v>
      </c>
      <c r="C647" s="1" t="str">
        <f>Basen!C709</f>
        <v>Pfluger</v>
      </c>
      <c r="D647" s="39" t="str">
        <f>Basen!H709</f>
        <v>cansl</v>
      </c>
      <c r="E647" s="1">
        <f>Basen!J709</f>
        <v>0</v>
      </c>
      <c r="I647" s="39" t="str">
        <f t="shared" si="14"/>
        <v>cansl</v>
      </c>
    </row>
    <row r="648" spans="1:9" ht="14.25" customHeight="1" x14ac:dyDescent="0.35">
      <c r="A648" s="1">
        <f>Basen!A710</f>
        <v>0</v>
      </c>
      <c r="B648" s="58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8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8">
        <f>Basen!F712+23000</f>
        <v>46107</v>
      </c>
      <c r="C650" s="1" t="str">
        <f>Basen!C712</f>
        <v>Andresen</v>
      </c>
      <c r="D650" s="39" t="str">
        <f>Basen!H712</f>
        <v>cansl</v>
      </c>
      <c r="E650" s="1">
        <f>Basen!J712</f>
        <v>0</v>
      </c>
      <c r="I650" s="39" t="str">
        <f t="shared" si="14"/>
        <v>cansl</v>
      </c>
    </row>
    <row r="651" spans="1:9" ht="14.25" customHeight="1" x14ac:dyDescent="0.35">
      <c r="A651" s="1">
        <f>Basen!A713</f>
        <v>0</v>
      </c>
      <c r="B651" s="58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8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8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8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8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8">
        <f>Basen!F721+23000</f>
        <v>46116</v>
      </c>
      <c r="C656" s="1" t="str">
        <f>Basen!C721</f>
        <v>Sømberg</v>
      </c>
      <c r="D656" s="39" t="str">
        <f>Basen!H721</f>
        <v>cansl</v>
      </c>
      <c r="E656" s="1">
        <f>Basen!J721</f>
        <v>0</v>
      </c>
      <c r="I656" s="39" t="str">
        <f t="shared" si="14"/>
        <v>cansl</v>
      </c>
    </row>
    <row r="657" spans="1:9" ht="14.25" customHeight="1" x14ac:dyDescent="0.35">
      <c r="A657" s="1">
        <f>Basen!A722</f>
        <v>0</v>
      </c>
      <c r="B657" s="58">
        <f>Basen!F722+23000</f>
        <v>46117</v>
      </c>
      <c r="C657" s="1" t="str">
        <f>Basen!C722</f>
        <v>Nielsen</v>
      </c>
      <c r="D657" s="39" t="str">
        <f>Basen!H722</f>
        <v>cansl</v>
      </c>
      <c r="E657" s="1">
        <f>Basen!J722</f>
        <v>0</v>
      </c>
      <c r="I657" s="39" t="str">
        <f t="shared" si="14"/>
        <v>cansl</v>
      </c>
    </row>
    <row r="658" spans="1:9" ht="14.25" customHeight="1" x14ac:dyDescent="0.35">
      <c r="A658" s="1">
        <f>Basen!A723</f>
        <v>0</v>
      </c>
      <c r="B658" s="58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8">
        <f>Basen!F724+23000</f>
        <v>46119</v>
      </c>
      <c r="C659" s="1" t="str">
        <f>Basen!C724</f>
        <v>Graabæk</v>
      </c>
      <c r="D659" s="39" t="str">
        <f>Basen!H724</f>
        <v>web</v>
      </c>
      <c r="E659" s="1">
        <f>Basen!J724</f>
        <v>0</v>
      </c>
      <c r="I659" s="39" t="str">
        <f t="shared" si="14"/>
        <v>web</v>
      </c>
    </row>
    <row r="660" spans="1:9" ht="14.25" customHeight="1" x14ac:dyDescent="0.35">
      <c r="A660" s="1">
        <f>Basen!A725</f>
        <v>0</v>
      </c>
      <c r="B660" s="58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8">
        <f>Basen!F726+23000</f>
        <v>46121</v>
      </c>
      <c r="C661" s="1" t="str">
        <f>Basen!C726</f>
        <v>Singh</v>
      </c>
      <c r="D661" s="39" t="str">
        <f>Basen!H726</f>
        <v>cansl</v>
      </c>
      <c r="E661" s="1">
        <f>Basen!J726</f>
        <v>0</v>
      </c>
      <c r="I661" s="39" t="str">
        <f t="shared" si="14"/>
        <v>cansl</v>
      </c>
    </row>
    <row r="662" spans="1:9" ht="14.25" customHeight="1" x14ac:dyDescent="0.35">
      <c r="A662" s="1">
        <f>Basen!A727</f>
        <v>0</v>
      </c>
      <c r="B662" s="58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8">
        <f>Basen!F728+23000</f>
        <v>46123</v>
      </c>
      <c r="C663" s="1" t="str">
        <f>Basen!C728</f>
        <v>Strøm</v>
      </c>
      <c r="D663" s="39" t="str">
        <f>Basen!H728</f>
        <v>web</v>
      </c>
      <c r="E663" s="1">
        <f>Basen!J728</f>
        <v>0</v>
      </c>
      <c r="I663" s="39" t="str">
        <f t="shared" si="14"/>
        <v>web</v>
      </c>
    </row>
    <row r="664" spans="1:9" ht="14.25" customHeight="1" x14ac:dyDescent="0.35">
      <c r="A664" s="1">
        <f>Basen!A729</f>
        <v>0</v>
      </c>
      <c r="B664" s="58">
        <f>Basen!F729+23000</f>
        <v>46124</v>
      </c>
      <c r="C664" s="1" t="str">
        <f>Basen!C729</f>
        <v>Hastrup</v>
      </c>
      <c r="D664" s="39" t="str">
        <f>Basen!H729</f>
        <v>cansl</v>
      </c>
      <c r="E664" s="1">
        <f>Basen!J729</f>
        <v>0</v>
      </c>
      <c r="I664" s="39" t="str">
        <f t="shared" si="14"/>
        <v>cansl</v>
      </c>
    </row>
    <row r="665" spans="1:9" ht="14.25" customHeight="1" x14ac:dyDescent="0.35">
      <c r="A665" s="1">
        <f>Basen!A730</f>
        <v>0</v>
      </c>
      <c r="B665" s="58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8">
        <f>Basen!F731+23000</f>
        <v>46126</v>
      </c>
      <c r="C666" s="1" t="str">
        <f>Basen!C731</f>
        <v>Wagner</v>
      </c>
      <c r="D666" s="39" t="str">
        <f>Basen!H731</f>
        <v>cansl</v>
      </c>
      <c r="E666" s="1">
        <f>Basen!J731</f>
        <v>0</v>
      </c>
      <c r="I666" s="39" t="str">
        <f t="shared" si="14"/>
        <v>cansl</v>
      </c>
    </row>
    <row r="667" spans="1:9" ht="14.25" customHeight="1" x14ac:dyDescent="0.35">
      <c r="A667" s="1">
        <f>Basen!A732</f>
        <v>0</v>
      </c>
      <c r="B667" s="58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8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8">
        <f>Basen!F735+23000</f>
        <v>46130</v>
      </c>
      <c r="C669" s="1" t="str">
        <f>Basen!C735</f>
        <v>Park</v>
      </c>
      <c r="D669" s="39" t="str">
        <f>Basen!H735</f>
        <v>web</v>
      </c>
      <c r="E669" s="1">
        <f>Basen!J735</f>
        <v>8</v>
      </c>
      <c r="I669" s="39" t="str">
        <f t="shared" si="14"/>
        <v>web</v>
      </c>
    </row>
    <row r="670" spans="1:9" ht="14.25" customHeight="1" x14ac:dyDescent="0.35">
      <c r="A670" s="1">
        <f>Basen!A737</f>
        <v>0</v>
      </c>
      <c r="B670" s="58">
        <f>Basen!F737+23000</f>
        <v>46132</v>
      </c>
      <c r="C670" s="1" t="str">
        <f>Basen!C737</f>
        <v>Nielsen</v>
      </c>
      <c r="D670" s="39" t="str">
        <f>Basen!H737</f>
        <v>bc</v>
      </c>
      <c r="E670" s="1">
        <f>Basen!J737</f>
        <v>0</v>
      </c>
      <c r="I670" s="39" t="str">
        <f t="shared" si="14"/>
        <v>bc</v>
      </c>
    </row>
    <row r="671" spans="1:9" ht="14.25" customHeight="1" x14ac:dyDescent="0.35">
      <c r="A671" s="1">
        <f>Basen!A738</f>
        <v>0</v>
      </c>
      <c r="B671" s="58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8">
        <f>Basen!F740+23000</f>
        <v>46135</v>
      </c>
      <c r="C672" s="1" t="str">
        <f>Basen!C740</f>
        <v>Barbera</v>
      </c>
      <c r="D672" s="39" t="str">
        <f>Basen!H740</f>
        <v>cansl</v>
      </c>
      <c r="E672" s="1">
        <f>Basen!J740</f>
        <v>0</v>
      </c>
      <c r="I672" s="39" t="str">
        <f t="shared" si="14"/>
        <v>cansl</v>
      </c>
    </row>
    <row r="673" spans="1:10" ht="14.25" customHeight="1" x14ac:dyDescent="0.35">
      <c r="A673" s="1">
        <f>Basen!A741</f>
        <v>0</v>
      </c>
      <c r="B673" s="58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8">
        <f>Basen!F742+23000</f>
        <v>46137</v>
      </c>
      <c r="C674" s="1" t="str">
        <f>Basen!C742</f>
        <v>Ernden</v>
      </c>
      <c r="D674" s="39" t="str">
        <f>Basen!H742</f>
        <v>web</v>
      </c>
      <c r="E674" s="1">
        <f>Basen!J742</f>
        <v>0</v>
      </c>
      <c r="I674" s="39" t="str">
        <f t="shared" si="14"/>
        <v>web</v>
      </c>
    </row>
    <row r="675" spans="1:10" ht="14.25" customHeight="1" x14ac:dyDescent="0.35">
      <c r="A675" s="1">
        <f>Basen!A743</f>
        <v>0</v>
      </c>
      <c r="B675" s="58">
        <f>Basen!F743+23000</f>
        <v>46138</v>
      </c>
      <c r="C675" s="1" t="str">
        <f>Basen!C743</f>
        <v>Jepsen</v>
      </c>
      <c r="D675" s="39" t="str">
        <f>Basen!H743</f>
        <v>bc</v>
      </c>
      <c r="E675" s="1">
        <f>Basen!J743</f>
        <v>0</v>
      </c>
      <c r="I675" s="39" t="str">
        <f t="shared" si="14"/>
        <v>bc</v>
      </c>
    </row>
    <row r="676" spans="1:10" ht="14.25" customHeight="1" x14ac:dyDescent="0.35">
      <c r="A676" s="1">
        <f>Basen!A744</f>
        <v>0</v>
      </c>
      <c r="B676" s="58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8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8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8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8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8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8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8">
        <f>Basen!F754+23000</f>
        <v>46149</v>
      </c>
      <c r="C683" s="1" t="str">
        <f>Basen!C754</f>
        <v>Gierer</v>
      </c>
      <c r="D683" s="39" t="str">
        <f>Basen!H754</f>
        <v>cansl</v>
      </c>
      <c r="E683" s="1">
        <f>Basen!J754</f>
        <v>0</v>
      </c>
      <c r="I683" s="39" t="str">
        <f t="shared" si="14"/>
        <v>cansl</v>
      </c>
    </row>
    <row r="684" spans="1:10" ht="14.25" customHeight="1" x14ac:dyDescent="0.35">
      <c r="A684" s="1">
        <f>Basen!A755</f>
        <v>0</v>
      </c>
      <c r="B684" s="58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8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8">
        <f>Basen!F757+23000</f>
        <v>46152</v>
      </c>
      <c r="C686" s="1" t="str">
        <f>Basen!C757</f>
        <v>Degner</v>
      </c>
      <c r="D686" s="39" t="str">
        <f>Basen!H757</f>
        <v>cansl</v>
      </c>
      <c r="E686" s="1">
        <f>Basen!J757</f>
        <v>0</v>
      </c>
      <c r="I686" s="39" t="str">
        <f t="shared" si="14"/>
        <v>cansl</v>
      </c>
    </row>
    <row r="687" spans="1:10" ht="14.25" customHeight="1" x14ac:dyDescent="0.35">
      <c r="A687" s="1">
        <f>Basen!A759</f>
        <v>0</v>
      </c>
      <c r="B687" s="58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8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8">
        <f>Basen!F762+23000</f>
        <v>46158</v>
      </c>
      <c r="C689" s="1" t="str">
        <f>Basen!C762</f>
        <v>Mcmeekin</v>
      </c>
      <c r="D689" s="39" t="str">
        <f>Basen!H762</f>
        <v>bc</v>
      </c>
      <c r="E689" s="1">
        <f>Basen!J762</f>
        <v>0</v>
      </c>
      <c r="J689" s="39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8">
        <f>Basen!F763+23000</f>
        <v>46159</v>
      </c>
      <c r="C690" s="1" t="str">
        <f>Basen!C763</f>
        <v>Mcmeekin</v>
      </c>
      <c r="D690" s="39" t="str">
        <f>Basen!H763</f>
        <v>bc</v>
      </c>
      <c r="E690" s="1">
        <f>Basen!J763</f>
        <v>0</v>
      </c>
      <c r="J690" s="39" t="str">
        <f t="shared" si="15"/>
        <v>bc</v>
      </c>
    </row>
    <row r="691" spans="1:10" ht="14.25" customHeight="1" x14ac:dyDescent="0.35">
      <c r="A691" s="1">
        <f>Basen!A764</f>
        <v>0</v>
      </c>
      <c r="B691" s="58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8">
        <f>Basen!F765+23000</f>
        <v>46161</v>
      </c>
      <c r="C692" s="1" t="str">
        <f>Basen!C765</f>
        <v>Funder</v>
      </c>
      <c r="D692" s="39" t="str">
        <f>Basen!H765</f>
        <v>cansl</v>
      </c>
      <c r="E692" s="1">
        <f>Basen!J765</f>
        <v>0</v>
      </c>
      <c r="J692" s="39" t="str">
        <f t="shared" si="15"/>
        <v>cansl</v>
      </c>
    </row>
    <row r="693" spans="1:10" ht="14.25" customHeight="1" x14ac:dyDescent="0.35">
      <c r="A693" s="1">
        <f>Basen!A766</f>
        <v>0</v>
      </c>
      <c r="B693" s="58">
        <f>Basen!F766+23000</f>
        <v>46162</v>
      </c>
      <c r="C693" s="1" t="str">
        <f>Basen!C766</f>
        <v>Schwab</v>
      </c>
      <c r="D693" s="39" t="str">
        <f>Basen!H766</f>
        <v>cansl</v>
      </c>
      <c r="E693" s="1">
        <f>Basen!J766</f>
        <v>0</v>
      </c>
      <c r="J693" s="39" t="str">
        <f t="shared" si="15"/>
        <v>cansl</v>
      </c>
    </row>
    <row r="694" spans="1:10" ht="14.25" customHeight="1" x14ac:dyDescent="0.35">
      <c r="A694" s="1">
        <f>Basen!A767</f>
        <v>0</v>
      </c>
      <c r="B694" s="58">
        <f>Basen!F767+23000</f>
        <v>46163</v>
      </c>
      <c r="C694" s="1" t="str">
        <f>Basen!C767</f>
        <v>Benn</v>
      </c>
      <c r="D694" s="39" t="str">
        <f>Basen!H767</f>
        <v>cansl</v>
      </c>
      <c r="E694" s="1">
        <f>Basen!J767</f>
        <v>0</v>
      </c>
      <c r="J694" s="39" t="str">
        <f t="shared" si="15"/>
        <v>cansl</v>
      </c>
    </row>
    <row r="695" spans="1:10" ht="14.25" customHeight="1" x14ac:dyDescent="0.35">
      <c r="A695" s="1">
        <f>Basen!A769</f>
        <v>0</v>
      </c>
      <c r="B695" s="58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8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8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8">
        <f>Basen!F772+23000</f>
        <v>46168</v>
      </c>
      <c r="C698" s="1" t="str">
        <f>Basen!C772</f>
        <v>Almass</v>
      </c>
      <c r="D698" s="39" t="str">
        <f>Basen!H772</f>
        <v>cansl</v>
      </c>
      <c r="E698" s="1">
        <f>Basen!J772</f>
        <v>0</v>
      </c>
      <c r="J698" s="39" t="str">
        <f t="shared" si="15"/>
        <v>cansl</v>
      </c>
    </row>
    <row r="699" spans="1:10" ht="14.25" customHeight="1" x14ac:dyDescent="0.35">
      <c r="A699" s="1">
        <f>Basen!A773</f>
        <v>0</v>
      </c>
      <c r="B699" s="58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8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8">
        <f>Basen!F775+23000</f>
        <v>46171</v>
      </c>
      <c r="C701" s="1" t="str">
        <f>Basen!C775</f>
        <v>Saul</v>
      </c>
      <c r="D701" s="39" t="str">
        <f>Basen!H775</f>
        <v>cansl</v>
      </c>
      <c r="E701" s="1">
        <f>Basen!J775</f>
        <v>0</v>
      </c>
      <c r="J701" s="39" t="str">
        <f t="shared" si="16"/>
        <v>cansl</v>
      </c>
    </row>
    <row r="702" spans="1:10" ht="14.25" customHeight="1" x14ac:dyDescent="0.35">
      <c r="A702" s="1">
        <f>Basen!A776</f>
        <v>0</v>
      </c>
      <c r="B702" s="58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8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8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8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8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8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8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8">
        <f>Basen!F785+23000</f>
        <v>46181</v>
      </c>
      <c r="C709" s="1" t="str">
        <f>Basen!C785</f>
        <v>Bælum</v>
      </c>
      <c r="D709" s="39" t="str">
        <f>Basen!H785</f>
        <v>bc</v>
      </c>
      <c r="E709" s="1">
        <f>Basen!J785</f>
        <v>0</v>
      </c>
      <c r="J709" s="39" t="str">
        <f t="shared" si="16"/>
        <v>bc</v>
      </c>
    </row>
    <row r="710" spans="1:10" ht="14.25" customHeight="1" x14ac:dyDescent="0.35">
      <c r="A710" s="1">
        <f>Basen!A786</f>
        <v>0</v>
      </c>
      <c r="B710" s="58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8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8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8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8">
        <f>Basen!F790+24000</f>
        <v>48001</v>
      </c>
      <c r="C714" s="1" t="str">
        <f>Basen!C790</f>
        <v>Bernhard</v>
      </c>
      <c r="D714" s="39" t="str">
        <f>Basen!H790</f>
        <v>cansl</v>
      </c>
      <c r="E714" s="1">
        <f>Basen!J790</f>
        <v>0</v>
      </c>
      <c r="J714" s="39" t="str">
        <f t="shared" si="16"/>
        <v>cansl</v>
      </c>
    </row>
    <row r="715" spans="1:10" ht="14.25" customHeight="1" x14ac:dyDescent="0.35">
      <c r="A715" s="1">
        <f>Basen!A794</f>
        <v>0</v>
      </c>
      <c r="B715" s="58">
        <f>Basen!F794+24000</f>
        <v>48005</v>
      </c>
      <c r="C715" s="1" t="str">
        <f>Basen!C794</f>
        <v>Schulz</v>
      </c>
      <c r="D715" s="39" t="str">
        <f>Basen!H794</f>
        <v>WEB</v>
      </c>
      <c r="E715" s="1">
        <f>Basen!J794</f>
        <v>10</v>
      </c>
      <c r="J715" s="39" t="str">
        <f t="shared" si="16"/>
        <v>WEB</v>
      </c>
    </row>
    <row r="716" spans="1:10" ht="14.25" customHeight="1" x14ac:dyDescent="0.35">
      <c r="A716" s="1">
        <f>Basen!A795</f>
        <v>0</v>
      </c>
      <c r="B716" s="58">
        <f>Basen!F795+24000</f>
        <v>48006</v>
      </c>
      <c r="C716" s="1" t="str">
        <f>Basen!C795</f>
        <v>Nør</v>
      </c>
      <c r="D716" s="39" t="str">
        <f>Basen!H795</f>
        <v>web</v>
      </c>
      <c r="E716" s="1">
        <f>Basen!J795</f>
        <v>15</v>
      </c>
      <c r="J716" s="39" t="str">
        <f t="shared" si="16"/>
        <v>web</v>
      </c>
    </row>
    <row r="717" spans="1:10" ht="14.25" customHeight="1" x14ac:dyDescent="0.35">
      <c r="A717" s="1">
        <f>Basen!A796</f>
        <v>0</v>
      </c>
      <c r="B717" s="58">
        <f>Basen!F796+24000</f>
        <v>48007</v>
      </c>
      <c r="C717" s="1" t="str">
        <f>Basen!C796</f>
        <v>co</v>
      </c>
      <c r="D717" s="39" t="str">
        <f>Basen!H796</f>
        <v>web</v>
      </c>
      <c r="E717" s="1">
        <f>Basen!J796</f>
        <v>10</v>
      </c>
      <c r="J717" s="39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8">
        <f>Basen!F797+24000</f>
        <v>48008</v>
      </c>
      <c r="C718" s="1" t="str">
        <f>Basen!C797</f>
        <v>Krøjgaard</v>
      </c>
      <c r="D718" s="39" t="str">
        <f>Basen!H797</f>
        <v>web</v>
      </c>
      <c r="E718" s="1">
        <f>Basen!J797</f>
        <v>10</v>
      </c>
      <c r="J718" s="39" t="str">
        <f t="shared" si="16"/>
        <v>web</v>
      </c>
    </row>
    <row r="719" spans="1:10" ht="14.25" customHeight="1" x14ac:dyDescent="0.35">
      <c r="A719" s="1">
        <f>Basen!A798</f>
        <v>0</v>
      </c>
      <c r="B719" s="58">
        <f>Basen!F798+24000</f>
        <v>48009</v>
      </c>
      <c r="C719" s="1" t="str">
        <f>Basen!C798</f>
        <v>Løvenstrøm</v>
      </c>
      <c r="D719" s="39" t="str">
        <f>Basen!H798</f>
        <v>WEB</v>
      </c>
      <c r="E719" s="1">
        <f>Basen!J798</f>
        <v>10</v>
      </c>
      <c r="J719" s="39" t="str">
        <f t="shared" si="16"/>
        <v>WEB</v>
      </c>
    </row>
    <row r="720" spans="1:10" ht="14.25" customHeight="1" x14ac:dyDescent="0.35">
      <c r="A720" s="1">
        <f>Basen!A799</f>
        <v>0</v>
      </c>
      <c r="B720" s="58">
        <f>Basen!F799+24000</f>
        <v>48010</v>
      </c>
      <c r="C720" s="1" t="str">
        <f>Basen!C799</f>
        <v>Jeppesen</v>
      </c>
      <c r="D720" s="39" t="str">
        <f>Basen!H799</f>
        <v>web</v>
      </c>
      <c r="E720" s="1">
        <f>Basen!J799</f>
        <v>10</v>
      </c>
      <c r="J720" s="39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8">
        <f>Basen!F800+24000</f>
        <v>48011</v>
      </c>
      <c r="C721" s="1" t="str">
        <f>Basen!C800</f>
        <v>Skov</v>
      </c>
      <c r="D721" s="39" t="str">
        <f>Basen!H800</f>
        <v>WEB</v>
      </c>
      <c r="E721" s="1">
        <f>Basen!J800</f>
        <v>10</v>
      </c>
      <c r="J721" s="39" t="str">
        <f t="shared" si="16"/>
        <v>WEB</v>
      </c>
    </row>
    <row r="722" spans="1:10" ht="14.25" customHeight="1" x14ac:dyDescent="0.35">
      <c r="A722" s="1">
        <f>Basen!A801</f>
        <v>0</v>
      </c>
      <c r="B722" s="58">
        <f>Basen!F801+24000</f>
        <v>48012</v>
      </c>
      <c r="C722" s="1" t="str">
        <f>Basen!C801</f>
        <v>Strøm</v>
      </c>
      <c r="D722" s="39" t="str">
        <f>Basen!H801</f>
        <v>WEB</v>
      </c>
      <c r="E722" s="1">
        <f>Basen!J801</f>
        <v>10</v>
      </c>
      <c r="J722" s="39" t="str">
        <f t="shared" si="16"/>
        <v>WEB</v>
      </c>
    </row>
    <row r="723" spans="1:10" ht="14.25" customHeight="1" x14ac:dyDescent="0.35">
      <c r="A723" s="1">
        <f>Basen!A802</f>
        <v>0</v>
      </c>
      <c r="B723" s="58">
        <f>Basen!F802+24000</f>
        <v>48013</v>
      </c>
      <c r="C723" s="1" t="str">
        <f>Basen!C802</f>
        <v>Rasmussen</v>
      </c>
      <c r="D723" s="39" t="str">
        <f>Basen!H802</f>
        <v>WEB</v>
      </c>
      <c r="E723" s="1">
        <f>Basen!J802</f>
        <v>15</v>
      </c>
      <c r="J723" s="39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8">
        <f>Basen!F803+24000</f>
        <v>48014</v>
      </c>
      <c r="C724" s="1" t="str">
        <f>Basen!C803</f>
        <v>Cathrine</v>
      </c>
      <c r="D724" s="39" t="str">
        <f>Basen!H803</f>
        <v>WEB</v>
      </c>
      <c r="E724" s="1">
        <f>Basen!J803</f>
        <v>10</v>
      </c>
      <c r="J724" s="39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8">
        <f>Basen!F804+24000</f>
        <v>48015</v>
      </c>
      <c r="C725" s="1" t="str">
        <f>Basen!C804</f>
        <v>Gubbertsen</v>
      </c>
      <c r="D725" s="39" t="str">
        <f>Basen!H804</f>
        <v>WEB</v>
      </c>
      <c r="E725" s="1">
        <f>Basen!J804</f>
        <v>10</v>
      </c>
      <c r="J725" s="39" t="str">
        <f t="shared" si="16"/>
        <v>WEB</v>
      </c>
    </row>
    <row r="726" spans="1:10" ht="14.25" customHeight="1" x14ac:dyDescent="0.35">
      <c r="A726" s="1">
        <f>Basen!A806</f>
        <v>0</v>
      </c>
      <c r="B726" s="58">
        <f>Basen!F806+24000</f>
        <v>48017</v>
      </c>
      <c r="C726" s="1" t="str">
        <f>Basen!C806</f>
        <v>Thaarbøl</v>
      </c>
      <c r="D726" s="39" t="str">
        <f>Basen!H806</f>
        <v>WEB</v>
      </c>
      <c r="E726" s="1">
        <f>Basen!J806</f>
        <v>0</v>
      </c>
      <c r="J726" s="39" t="str">
        <f t="shared" si="16"/>
        <v>WEB</v>
      </c>
    </row>
    <row r="727" spans="1:10" ht="14.25" customHeight="1" x14ac:dyDescent="0.35">
      <c r="A727" s="1">
        <f>Basen!A807</f>
        <v>0</v>
      </c>
      <c r="B727" s="58">
        <f>Basen!F807+24000</f>
        <v>48018</v>
      </c>
      <c r="C727" s="1" t="str">
        <f>Basen!C807</f>
        <v>Baun</v>
      </c>
      <c r="D727" s="39" t="str">
        <f>Basen!H807</f>
        <v>cansl</v>
      </c>
      <c r="E727" s="1">
        <f>Basen!J807</f>
        <v>0</v>
      </c>
      <c r="J727" s="39" t="str">
        <f t="shared" si="16"/>
        <v>cansl</v>
      </c>
    </row>
    <row r="728" spans="1:10" ht="14.25" customHeight="1" x14ac:dyDescent="0.35">
      <c r="A728" s="1">
        <f>Basen!A809</f>
        <v>0</v>
      </c>
      <c r="B728" s="58">
        <f>Basen!F809+24000</f>
        <v>48020</v>
      </c>
      <c r="C728" s="1" t="str">
        <f>Basen!C809</f>
        <v>Bossenmeyer</v>
      </c>
      <c r="D728" s="39" t="str">
        <f>Basen!H809</f>
        <v>cansl</v>
      </c>
      <c r="E728" s="1">
        <f>Basen!J809</f>
        <v>0</v>
      </c>
      <c r="J728" s="39" t="str">
        <f t="shared" si="16"/>
        <v>cansl</v>
      </c>
    </row>
    <row r="729" spans="1:10" ht="14.25" customHeight="1" x14ac:dyDescent="0.35">
      <c r="A729" s="1">
        <f>Basen!A810</f>
        <v>0</v>
      </c>
      <c r="B729" s="58">
        <f>Basen!F810+24000</f>
        <v>48021</v>
      </c>
      <c r="C729" s="1" t="str">
        <f>Basen!C810</f>
        <v>Rosschou</v>
      </c>
      <c r="D729" s="39" t="str">
        <f>Basen!H810</f>
        <v>cansl</v>
      </c>
      <c r="E729" s="1">
        <f>Basen!J810</f>
        <v>0</v>
      </c>
      <c r="J729" s="39" t="str">
        <f t="shared" si="16"/>
        <v>cansl</v>
      </c>
    </row>
    <row r="730" spans="1:10" ht="14.25" customHeight="1" x14ac:dyDescent="0.35">
      <c r="A730" s="1">
        <f>Basen!A811</f>
        <v>0</v>
      </c>
      <c r="B730" s="58">
        <f>Basen!F811+24000</f>
        <v>48022</v>
      </c>
      <c r="C730" s="1" t="str">
        <f>Basen!C811</f>
        <v>Rademacher</v>
      </c>
      <c r="D730" s="39" t="str">
        <f>Basen!H811</f>
        <v>bc</v>
      </c>
      <c r="E730" s="1">
        <f>Basen!J811</f>
        <v>0</v>
      </c>
      <c r="J730" s="39" t="str">
        <f t="shared" si="16"/>
        <v>bc</v>
      </c>
    </row>
    <row r="731" spans="1:10" ht="14.25" customHeight="1" x14ac:dyDescent="0.35">
      <c r="A731" s="1">
        <f>Basen!A812</f>
        <v>0</v>
      </c>
      <c r="B731" s="58">
        <f>Basen!F812+24000</f>
        <v>48023</v>
      </c>
      <c r="C731" s="1" t="str">
        <f>Basen!C812</f>
        <v>lofgren</v>
      </c>
      <c r="D731" s="39" t="str">
        <f>Basen!H812</f>
        <v>bc</v>
      </c>
      <c r="E731" s="1">
        <f>Basen!J812</f>
        <v>0</v>
      </c>
      <c r="J731" s="39" t="str">
        <f t="shared" si="16"/>
        <v>bc</v>
      </c>
    </row>
    <row r="732" spans="1:10" ht="14.25" customHeight="1" x14ac:dyDescent="0.35">
      <c r="A732" s="1">
        <f>Basen!A813</f>
        <v>0</v>
      </c>
      <c r="B732" s="58">
        <f>Basen!F813+24000</f>
        <v>48024</v>
      </c>
      <c r="C732" s="1" t="str">
        <f>Basen!C813</f>
        <v>Widstrand</v>
      </c>
      <c r="D732" s="39" t="str">
        <f>Basen!H813</f>
        <v>bc</v>
      </c>
      <c r="E732" s="1">
        <f>Basen!J813</f>
        <v>0</v>
      </c>
      <c r="J732" s="39" t="str">
        <f t="shared" si="16"/>
        <v>bc</v>
      </c>
    </row>
    <row r="733" spans="1:10" ht="14.25" customHeight="1" x14ac:dyDescent="0.35">
      <c r="A733" s="1">
        <f>Basen!A814</f>
        <v>0</v>
      </c>
      <c r="B733" s="58">
        <f>Basen!F814+24000</f>
        <v>48025</v>
      </c>
      <c r="C733" s="1" t="str">
        <f>Basen!C814</f>
        <v>Malberg</v>
      </c>
      <c r="D733" s="39" t="str">
        <f>Basen!H814</f>
        <v>bc</v>
      </c>
      <c r="E733" s="1">
        <f>Basen!J814</f>
        <v>0</v>
      </c>
      <c r="J733" s="39" t="str">
        <f t="shared" si="16"/>
        <v>bc</v>
      </c>
    </row>
    <row r="734" spans="1:10" ht="14.25" customHeight="1" x14ac:dyDescent="0.35">
      <c r="A734" s="1">
        <f>Basen!A815</f>
        <v>0</v>
      </c>
      <c r="B734" s="58">
        <f>Basen!F815+24000</f>
        <v>48026</v>
      </c>
      <c r="C734" s="1" t="str">
        <f>Basen!C815</f>
        <v>Maibrith</v>
      </c>
      <c r="D734" s="39" t="str">
        <f>Basen!H815</f>
        <v>bc</v>
      </c>
      <c r="E734" s="1">
        <f>Basen!J815</f>
        <v>0</v>
      </c>
      <c r="J734" s="39" t="str">
        <f t="shared" si="16"/>
        <v>bc</v>
      </c>
    </row>
    <row r="735" spans="1:10" ht="14.25" customHeight="1" x14ac:dyDescent="0.35">
      <c r="A735" s="1">
        <f>Basen!A816</f>
        <v>0</v>
      </c>
      <c r="B735" s="58">
        <f>Basen!F816+24000</f>
        <v>48027</v>
      </c>
      <c r="C735" s="1" t="str">
        <f>Basen!C816</f>
        <v>Kisbye</v>
      </c>
      <c r="D735" s="39" t="str">
        <f>Basen!H816</f>
        <v>WEB</v>
      </c>
      <c r="E735" s="1">
        <f>Basen!J816</f>
        <v>0</v>
      </c>
      <c r="J735" s="39" t="str">
        <f t="shared" si="16"/>
        <v>WEB</v>
      </c>
    </row>
    <row r="736" spans="1:10" ht="14.25" customHeight="1" x14ac:dyDescent="0.35">
      <c r="A736" s="1">
        <f>Basen!A817</f>
        <v>0</v>
      </c>
      <c r="B736" s="58">
        <f>Basen!F817+24000</f>
        <v>48028</v>
      </c>
      <c r="C736" s="1" t="str">
        <f>Basen!C817</f>
        <v>Helvik</v>
      </c>
      <c r="D736" s="39" t="str">
        <f>Basen!H817</f>
        <v>WEB</v>
      </c>
      <c r="E736" s="1">
        <f>Basen!J817</f>
        <v>10</v>
      </c>
      <c r="J736" s="39" t="str">
        <f t="shared" si="16"/>
        <v>WEB</v>
      </c>
    </row>
    <row r="737" spans="1:10" ht="14.25" customHeight="1" x14ac:dyDescent="0.35">
      <c r="A737" s="1">
        <f>Basen!A818</f>
        <v>0</v>
      </c>
      <c r="B737" s="58">
        <f>Basen!F818+24000</f>
        <v>48029</v>
      </c>
      <c r="C737" s="1" t="str">
        <f>Basen!C818</f>
        <v>Brehmer</v>
      </c>
      <c r="D737" s="39" t="str">
        <f>Basen!H818</f>
        <v>WEB</v>
      </c>
      <c r="E737" s="1">
        <f>Basen!J818</f>
        <v>10</v>
      </c>
      <c r="J737" s="39" t="str">
        <f t="shared" si="16"/>
        <v>WEB</v>
      </c>
    </row>
    <row r="738" spans="1:10" ht="14.25" customHeight="1" x14ac:dyDescent="0.35">
      <c r="A738" s="1">
        <f>Basen!A819</f>
        <v>0</v>
      </c>
      <c r="B738" s="58">
        <f>Basen!F819+24000</f>
        <v>48030</v>
      </c>
      <c r="C738" s="1" t="str">
        <f>Basen!C819</f>
        <v>Hansen</v>
      </c>
      <c r="D738" s="39" t="str">
        <f>Basen!H819</f>
        <v>bc</v>
      </c>
      <c r="E738" s="1">
        <f>Basen!J819</f>
        <v>0</v>
      </c>
      <c r="J738" s="39" t="str">
        <f t="shared" si="16"/>
        <v>bc</v>
      </c>
    </row>
    <row r="739" spans="1:10" ht="14.25" customHeight="1" x14ac:dyDescent="0.35">
      <c r="A739" s="1">
        <f>Basen!A820</f>
        <v>0</v>
      </c>
      <c r="B739" s="58">
        <f>Basen!F820+24000</f>
        <v>48031</v>
      </c>
      <c r="C739" s="1" t="str">
        <f>Basen!C820</f>
        <v>Lorqvist</v>
      </c>
      <c r="D739" s="39" t="str">
        <f>Basen!H820</f>
        <v>bc</v>
      </c>
      <c r="E739" s="1">
        <f>Basen!J820</f>
        <v>0</v>
      </c>
      <c r="J739" s="39" t="str">
        <f t="shared" si="16"/>
        <v>bc</v>
      </c>
    </row>
    <row r="740" spans="1:10" ht="14.25" customHeight="1" x14ac:dyDescent="0.35">
      <c r="A740" s="1">
        <f>Basen!A821</f>
        <v>0</v>
      </c>
      <c r="B740" s="58">
        <f>Basen!F821+24000</f>
        <v>48032</v>
      </c>
      <c r="C740" s="1" t="str">
        <f>Basen!C821</f>
        <v>Kugler</v>
      </c>
      <c r="D740" s="39" t="str">
        <f>Basen!H821</f>
        <v>bc</v>
      </c>
      <c r="E740" s="1">
        <f>Basen!J821</f>
        <v>0</v>
      </c>
      <c r="J740" s="39" t="str">
        <f t="shared" si="16"/>
        <v>bc</v>
      </c>
    </row>
    <row r="741" spans="1:10" ht="14.25" customHeight="1" x14ac:dyDescent="0.35">
      <c r="A741" s="1">
        <f>Basen!A822</f>
        <v>0</v>
      </c>
      <c r="B741" s="58">
        <f>Basen!F822+24000</f>
        <v>48033</v>
      </c>
      <c r="C741" s="1" t="str">
        <f>Basen!C822</f>
        <v>Zacharek</v>
      </c>
      <c r="D741" s="39" t="str">
        <f>Basen!H822</f>
        <v>cansl</v>
      </c>
      <c r="E741" s="1">
        <f>Basen!J822</f>
        <v>0</v>
      </c>
      <c r="J741" s="39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8">
        <f>Basen!F823+24000</f>
        <v>48034</v>
      </c>
      <c r="C742" s="1" t="str">
        <f>Basen!C823</f>
        <v>Nørregård</v>
      </c>
      <c r="D742" s="39" t="str">
        <f>Basen!H823</f>
        <v>web</v>
      </c>
      <c r="E742" s="1">
        <f>Basen!J823</f>
        <v>10</v>
      </c>
      <c r="J742" s="39" t="str">
        <f t="shared" si="16"/>
        <v>web</v>
      </c>
    </row>
    <row r="743" spans="1:10" ht="14.25" customHeight="1" x14ac:dyDescent="0.35">
      <c r="A743" s="1">
        <f>Basen!A825</f>
        <v>0</v>
      </c>
      <c r="B743" s="58">
        <f>Basen!F825+24000</f>
        <v>48036</v>
      </c>
      <c r="C743" s="1" t="str">
        <f>Basen!C825</f>
        <v>Dalsjø</v>
      </c>
      <c r="D743" s="39" t="str">
        <f>Basen!H825</f>
        <v>cansl</v>
      </c>
      <c r="E743" s="1">
        <f>Basen!J825</f>
        <v>0</v>
      </c>
      <c r="J743" s="39" t="str">
        <f t="shared" si="16"/>
        <v>cansl</v>
      </c>
    </row>
    <row r="744" spans="1:10" ht="14.25" customHeight="1" x14ac:dyDescent="0.35">
      <c r="A744" s="1">
        <f>Basen!A826</f>
        <v>0</v>
      </c>
      <c r="B744" s="58">
        <f>Basen!F826+24000</f>
        <v>48037</v>
      </c>
      <c r="C744" s="1" t="str">
        <f>Basen!C826</f>
        <v>XX</v>
      </c>
      <c r="D744" s="39" t="str">
        <f>Basen!H826</f>
        <v>web</v>
      </c>
      <c r="E744" s="1">
        <f>Basen!J826</f>
        <v>10</v>
      </c>
      <c r="J744" s="39" t="str">
        <f t="shared" si="16"/>
        <v>web</v>
      </c>
    </row>
    <row r="745" spans="1:10" ht="14.25" customHeight="1" x14ac:dyDescent="0.35">
      <c r="A745" s="1">
        <f>Basen!A827</f>
        <v>0</v>
      </c>
      <c r="B745" s="58">
        <f>Basen!F827+24000</f>
        <v>48038</v>
      </c>
      <c r="C745" s="1" t="str">
        <f>Basen!C827</f>
        <v>Sahlstedt</v>
      </c>
      <c r="D745" s="39" t="str">
        <f>Basen!H827</f>
        <v>web</v>
      </c>
      <c r="E745" s="1">
        <f>Basen!J827</f>
        <v>10</v>
      </c>
      <c r="J745" s="39" t="str">
        <f t="shared" si="16"/>
        <v>web</v>
      </c>
    </row>
    <row r="746" spans="1:10" ht="14.25" customHeight="1" x14ac:dyDescent="0.35">
      <c r="A746" s="1">
        <f>Basen!A828</f>
        <v>0</v>
      </c>
      <c r="B746" s="58">
        <f>Basen!F828+24000</f>
        <v>48039</v>
      </c>
      <c r="C746" s="1" t="str">
        <f>Basen!C828</f>
        <v>Knaack</v>
      </c>
      <c r="D746" s="39" t="str">
        <f>Basen!H828</f>
        <v>bc</v>
      </c>
      <c r="E746" s="1">
        <f>Basen!J828</f>
        <v>0</v>
      </c>
      <c r="J746" s="39" t="str">
        <f t="shared" si="16"/>
        <v>bc</v>
      </c>
    </row>
    <row r="747" spans="1:10" ht="14.25" customHeight="1" x14ac:dyDescent="0.35">
      <c r="A747" s="1">
        <f>Basen!A829</f>
        <v>0</v>
      </c>
      <c r="B747" s="58">
        <f>Basen!F829+24000</f>
        <v>48040</v>
      </c>
      <c r="C747" s="1" t="str">
        <f>Basen!C829</f>
        <v>Trawny</v>
      </c>
      <c r="D747" s="39" t="str">
        <f>Basen!H829</f>
        <v>bc</v>
      </c>
      <c r="E747" s="1">
        <f>Basen!J829</f>
        <v>0</v>
      </c>
      <c r="J747" s="39" t="str">
        <f t="shared" si="16"/>
        <v>bc</v>
      </c>
    </row>
    <row r="748" spans="1:10" ht="14.25" customHeight="1" x14ac:dyDescent="0.35">
      <c r="A748" s="1">
        <f>Basen!A830</f>
        <v>0</v>
      </c>
      <c r="B748" s="58">
        <f>Basen!F830+24000</f>
        <v>48041</v>
      </c>
      <c r="C748" s="1" t="str">
        <f>Basen!C830</f>
        <v>Prehn</v>
      </c>
      <c r="D748" s="39" t="str">
        <f>Basen!H830</f>
        <v>WEB</v>
      </c>
      <c r="E748" s="1">
        <f>Basen!J830</f>
        <v>10</v>
      </c>
      <c r="J748" s="39" t="str">
        <f t="shared" si="16"/>
        <v>WEB</v>
      </c>
    </row>
    <row r="749" spans="1:10" ht="14.25" customHeight="1" x14ac:dyDescent="0.35">
      <c r="A749" s="1">
        <f>Basen!A831</f>
        <v>0</v>
      </c>
      <c r="B749" s="58">
        <f>Basen!F831+24000</f>
        <v>48042</v>
      </c>
      <c r="C749" s="1" t="str">
        <f>Basen!C831</f>
        <v>Høybye</v>
      </c>
      <c r="D749" s="39" t="str">
        <f>Basen!H831</f>
        <v>bc</v>
      </c>
      <c r="E749" s="1">
        <f>Basen!J831</f>
        <v>0</v>
      </c>
      <c r="J749" s="39" t="str">
        <f t="shared" si="16"/>
        <v>bc</v>
      </c>
    </row>
    <row r="750" spans="1:10" ht="14.25" customHeight="1" x14ac:dyDescent="0.35">
      <c r="A750" s="1">
        <f>Basen!A832</f>
        <v>0</v>
      </c>
      <c r="B750" s="58">
        <f>Basen!F832+24000</f>
        <v>48043</v>
      </c>
      <c r="C750" s="1" t="str">
        <f>Basen!C832</f>
        <v>Degn</v>
      </c>
      <c r="D750" s="39" t="str">
        <f>Basen!H832</f>
        <v>cansl</v>
      </c>
      <c r="E750" s="1">
        <f>Basen!J832</f>
        <v>0</v>
      </c>
      <c r="J750" s="39" t="str">
        <f t="shared" si="16"/>
        <v>cansl</v>
      </c>
    </row>
    <row r="751" spans="1:10" ht="14.25" customHeight="1" x14ac:dyDescent="0.35">
      <c r="A751" s="1">
        <f>Basen!A833</f>
        <v>0</v>
      </c>
      <c r="B751" s="58">
        <f>Basen!F833+24000</f>
        <v>48044</v>
      </c>
      <c r="C751" s="1" t="str">
        <f>Basen!C833</f>
        <v>Krogh</v>
      </c>
      <c r="D751" s="39" t="str">
        <f>Basen!H833</f>
        <v>web</v>
      </c>
      <c r="E751" s="1">
        <f>Basen!J833</f>
        <v>10</v>
      </c>
      <c r="J751" s="39" t="str">
        <f t="shared" si="16"/>
        <v>web</v>
      </c>
    </row>
    <row r="752" spans="1:10" ht="14.25" customHeight="1" x14ac:dyDescent="0.35">
      <c r="A752" s="1">
        <f>Basen!A834</f>
        <v>0</v>
      </c>
      <c r="B752" s="58">
        <f>Basen!F834+24000</f>
        <v>48045</v>
      </c>
      <c r="C752" s="1" t="str">
        <f>Basen!C834</f>
        <v>Meixner</v>
      </c>
      <c r="D752" s="39" t="str">
        <f>Basen!H834</f>
        <v>bc</v>
      </c>
      <c r="E752" s="1">
        <f>Basen!J834</f>
        <v>0</v>
      </c>
      <c r="J752" s="39" t="str">
        <f t="shared" si="16"/>
        <v>bc</v>
      </c>
    </row>
    <row r="753" spans="1:10" ht="14.25" customHeight="1" x14ac:dyDescent="0.35">
      <c r="A753" s="1">
        <f>Basen!A835</f>
        <v>0</v>
      </c>
      <c r="B753" s="58">
        <f>Basen!F835+24000</f>
        <v>48046</v>
      </c>
      <c r="C753" s="1" t="str">
        <f>Basen!C835</f>
        <v>Simonsen</v>
      </c>
      <c r="D753" s="39" t="str">
        <f>Basen!H835</f>
        <v>web</v>
      </c>
      <c r="E753" s="1">
        <f>Basen!J835</f>
        <v>10</v>
      </c>
      <c r="J753" s="39" t="str">
        <f t="shared" si="16"/>
        <v>web</v>
      </c>
    </row>
    <row r="754" spans="1:10" ht="14.25" customHeight="1" x14ac:dyDescent="0.35">
      <c r="A754" s="1">
        <f>Basen!A836</f>
        <v>0</v>
      </c>
      <c r="B754" s="58">
        <f>Basen!F836+24000</f>
        <v>48047</v>
      </c>
      <c r="C754" s="1" t="str">
        <f>Basen!C836</f>
        <v>Braad</v>
      </c>
      <c r="D754" s="39" t="str">
        <f>Basen!H836</f>
        <v>cansl</v>
      </c>
      <c r="E754" s="1">
        <f>Basen!J836</f>
        <v>0</v>
      </c>
      <c r="J754" s="39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8">
        <f>Basen!F837+24000</f>
        <v>48048</v>
      </c>
      <c r="C755" s="1" t="str">
        <f>Basen!C837</f>
        <v>Andersen</v>
      </c>
      <c r="D755" s="39" t="str">
        <f>Basen!H837</f>
        <v>web</v>
      </c>
      <c r="E755" s="1">
        <f>Basen!J837</f>
        <v>10</v>
      </c>
      <c r="J755" s="39" t="str">
        <f t="shared" si="16"/>
        <v>web</v>
      </c>
    </row>
    <row r="756" spans="1:10" ht="14.25" customHeight="1" x14ac:dyDescent="0.35">
      <c r="A756" s="1">
        <f>Basen!A838</f>
        <v>0</v>
      </c>
      <c r="B756" s="58">
        <f>Basen!F838+24000</f>
        <v>48049</v>
      </c>
      <c r="C756" s="1" t="str">
        <f>Basen!C838</f>
        <v>Diderrichsen</v>
      </c>
      <c r="D756" s="39" t="str">
        <f>Basen!H838</f>
        <v>cansl</v>
      </c>
      <c r="E756" s="1">
        <f>Basen!J838</f>
        <v>0</v>
      </c>
      <c r="J756" s="39" t="str">
        <f t="shared" si="16"/>
        <v>cansl</v>
      </c>
    </row>
    <row r="757" spans="1:10" ht="14.25" customHeight="1" x14ac:dyDescent="0.35">
      <c r="A757" s="1">
        <f>Basen!A839</f>
        <v>0</v>
      </c>
      <c r="B757" s="58">
        <f>Basen!F839+24000</f>
        <v>48050</v>
      </c>
      <c r="C757" s="1" t="str">
        <f>Basen!C839</f>
        <v>Westendorp</v>
      </c>
      <c r="D757" s="39" t="str">
        <f>Basen!H839</f>
        <v>cansl</v>
      </c>
      <c r="E757" s="1">
        <f>Basen!J839</f>
        <v>0</v>
      </c>
      <c r="J757" s="39" t="str">
        <f t="shared" si="16"/>
        <v>cansl</v>
      </c>
    </row>
    <row r="758" spans="1:10" ht="14.25" customHeight="1" x14ac:dyDescent="0.35">
      <c r="A758" s="1">
        <f>Basen!A840</f>
        <v>0</v>
      </c>
      <c r="B758" s="58">
        <f>Basen!F840+24000</f>
        <v>48051</v>
      </c>
      <c r="C758" s="1" t="str">
        <f>Basen!C840</f>
        <v>Mouly</v>
      </c>
      <c r="D758" s="39" t="str">
        <f>Basen!H840</f>
        <v>web</v>
      </c>
      <c r="E758" s="1">
        <f>Basen!J840</f>
        <v>5</v>
      </c>
      <c r="J758" s="39" t="str">
        <f t="shared" si="16"/>
        <v>web</v>
      </c>
    </row>
    <row r="759" spans="1:10" ht="14.25" customHeight="1" x14ac:dyDescent="0.35">
      <c r="A759" s="1">
        <f>Basen!A841</f>
        <v>0</v>
      </c>
      <c r="B759" s="58">
        <f>Basen!F841+24000</f>
        <v>48052</v>
      </c>
      <c r="C759" s="1" t="str">
        <f>Basen!C841</f>
        <v>Lange</v>
      </c>
      <c r="D759" s="39" t="str">
        <f>Basen!H841</f>
        <v>web</v>
      </c>
      <c r="E759" s="1">
        <f>Basen!J841</f>
        <v>10</v>
      </c>
      <c r="J759" s="39" t="str">
        <f t="shared" si="16"/>
        <v>web</v>
      </c>
    </row>
    <row r="760" spans="1:10" ht="14.25" customHeight="1" x14ac:dyDescent="0.35">
      <c r="A760" s="1">
        <f>Basen!A842</f>
        <v>0</v>
      </c>
      <c r="B760" s="58">
        <f>Basen!F842+24000</f>
        <v>48053</v>
      </c>
      <c r="C760" s="1" t="str">
        <f>Basen!C842</f>
        <v>Petersen</v>
      </c>
      <c r="D760" s="39" t="str">
        <f>Basen!H842</f>
        <v>web</v>
      </c>
      <c r="E760" s="1">
        <f>Basen!J842</f>
        <v>10</v>
      </c>
      <c r="J760" s="39" t="str">
        <f t="shared" si="16"/>
        <v>web</v>
      </c>
    </row>
    <row r="761" spans="1:10" ht="14.25" customHeight="1" x14ac:dyDescent="0.35">
      <c r="A761" s="1">
        <f>Basen!A843</f>
        <v>0</v>
      </c>
      <c r="B761" s="58">
        <f>Basen!F843+24000</f>
        <v>48054</v>
      </c>
      <c r="C761" s="1" t="str">
        <f>Basen!C843</f>
        <v>Schettler</v>
      </c>
      <c r="D761" s="39" t="str">
        <f>Basen!H843</f>
        <v>bc</v>
      </c>
      <c r="E761" s="1">
        <f>Basen!J843</f>
        <v>0</v>
      </c>
      <c r="J761" s="39" t="str">
        <f t="shared" si="16"/>
        <v>bc</v>
      </c>
    </row>
    <row r="762" spans="1:10" ht="14.25" customHeight="1" x14ac:dyDescent="0.35">
      <c r="A762" s="1">
        <f>Basen!A844</f>
        <v>0</v>
      </c>
      <c r="B762" s="58">
        <f>Basen!F844+24000</f>
        <v>48055</v>
      </c>
      <c r="C762" s="1" t="str">
        <f>Basen!C844</f>
        <v>Bysted</v>
      </c>
      <c r="D762" s="39" t="str">
        <f>Basen!H844</f>
        <v>web</v>
      </c>
      <c r="E762" s="1">
        <f>Basen!J844</f>
        <v>10</v>
      </c>
      <c r="J762" s="39" t="str">
        <f t="shared" si="16"/>
        <v>web</v>
      </c>
    </row>
    <row r="763" spans="1:10" ht="14.25" customHeight="1" x14ac:dyDescent="0.35">
      <c r="A763" s="1">
        <f>Basen!A845</f>
        <v>0</v>
      </c>
      <c r="B763" s="58">
        <f>Basen!F845+24000</f>
        <v>48056</v>
      </c>
      <c r="C763" s="1" t="str">
        <f>Basen!C845</f>
        <v>Munk</v>
      </c>
      <c r="D763" s="39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8">
        <f>Basen!F846+24000</f>
        <v>48057</v>
      </c>
      <c r="C764" s="1" t="str">
        <f>Basen!C846</f>
        <v>Elly</v>
      </c>
      <c r="D764" s="39" t="str">
        <f>Basen!H846</f>
        <v>web</v>
      </c>
      <c r="E764" s="1">
        <f>Basen!J846</f>
        <v>10</v>
      </c>
      <c r="J764" s="39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8">
        <f>Basen!F847+24000</f>
        <v>48058</v>
      </c>
      <c r="C765" s="1" t="str">
        <f>Basen!C847</f>
        <v>Tove</v>
      </c>
      <c r="D765" s="39" t="str">
        <f>Basen!H847</f>
        <v>web</v>
      </c>
      <c r="E765" s="1">
        <f>Basen!J847</f>
        <v>10</v>
      </c>
      <c r="J765" s="39" t="str">
        <f t="shared" si="17"/>
        <v>web</v>
      </c>
    </row>
    <row r="766" spans="1:10" ht="14.25" customHeight="1" x14ac:dyDescent="0.35">
      <c r="A766" s="1">
        <f>Basen!A848</f>
        <v>0</v>
      </c>
      <c r="B766" s="58">
        <f>Basen!F848+24000</f>
        <v>48059</v>
      </c>
      <c r="C766" s="1" t="str">
        <f>Basen!C848</f>
        <v>Thomsen</v>
      </c>
      <c r="D766" s="39" t="str">
        <f>Basen!H848</f>
        <v>bc</v>
      </c>
      <c r="E766" s="1">
        <f>Basen!J848</f>
        <v>0</v>
      </c>
      <c r="J766" s="39" t="str">
        <f t="shared" si="17"/>
        <v>bc</v>
      </c>
    </row>
    <row r="767" spans="1:10" ht="14.25" customHeight="1" x14ac:dyDescent="0.35">
      <c r="A767" s="1">
        <f>Basen!A849</f>
        <v>0</v>
      </c>
      <c r="B767" s="58">
        <f>Basen!F849+24000</f>
        <v>48060</v>
      </c>
      <c r="C767" s="1" t="str">
        <f>Basen!C849</f>
        <v>Olsen</v>
      </c>
      <c r="D767" s="39" t="str">
        <f>Basen!H849</f>
        <v>bc</v>
      </c>
      <c r="E767" s="1">
        <f>Basen!J849</f>
        <v>0</v>
      </c>
      <c r="J767" s="39" t="str">
        <f t="shared" si="17"/>
        <v>bc</v>
      </c>
    </row>
    <row r="768" spans="1:10" ht="14.25" customHeight="1" x14ac:dyDescent="0.35">
      <c r="A768" s="1">
        <f>Basen!A850</f>
        <v>0</v>
      </c>
      <c r="B768" s="58">
        <f>Basen!F850+24000</f>
        <v>48061</v>
      </c>
      <c r="C768" s="1" t="str">
        <f>Basen!C850</f>
        <v>Øster</v>
      </c>
      <c r="D768" s="39" t="str">
        <f>Basen!H850</f>
        <v>bc</v>
      </c>
      <c r="E768" s="1">
        <f>Basen!J850</f>
        <v>0</v>
      </c>
      <c r="J768" s="39" t="str">
        <f t="shared" si="17"/>
        <v>bc</v>
      </c>
    </row>
    <row r="769" spans="1:10" ht="14.25" customHeight="1" x14ac:dyDescent="0.35">
      <c r="A769" s="1">
        <f>Basen!A851</f>
        <v>0</v>
      </c>
      <c r="B769" s="58">
        <f>Basen!F851+24000</f>
        <v>48062</v>
      </c>
      <c r="C769" s="1" t="str">
        <f>Basen!C851</f>
        <v>Johansson</v>
      </c>
      <c r="D769" s="39" t="str">
        <f>Basen!H851</f>
        <v>bc</v>
      </c>
      <c r="E769" s="1">
        <f>Basen!J851</f>
        <v>0</v>
      </c>
      <c r="J769" s="39" t="str">
        <f t="shared" si="17"/>
        <v>bc</v>
      </c>
    </row>
    <row r="770" spans="1:10" ht="14.25" customHeight="1" x14ac:dyDescent="0.35">
      <c r="A770" s="1">
        <f>Basen!A852</f>
        <v>0</v>
      </c>
      <c r="B770" s="58">
        <f>Basen!F852+24000</f>
        <v>48063</v>
      </c>
      <c r="C770" s="1" t="str">
        <f>Basen!C852</f>
        <v>Sørensen</v>
      </c>
      <c r="D770" s="39" t="str">
        <f>Basen!H852</f>
        <v>web</v>
      </c>
      <c r="E770" s="1">
        <f>Basen!J852</f>
        <v>10</v>
      </c>
      <c r="J770" s="39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8">
        <f>Basen!F853+24000</f>
        <v>48064</v>
      </c>
      <c r="C771" s="1" t="str">
        <f>Basen!C853</f>
        <v>Bendixen</v>
      </c>
      <c r="D771" s="39" t="str">
        <f>Basen!H853</f>
        <v>web</v>
      </c>
      <c r="E771" s="1">
        <f>Basen!J853</f>
        <v>10</v>
      </c>
      <c r="J771" s="39" t="str">
        <f t="shared" si="17"/>
        <v>web</v>
      </c>
    </row>
    <row r="772" spans="1:10" ht="14.25" customHeight="1" x14ac:dyDescent="0.35">
      <c r="A772" s="1">
        <f>Basen!A854</f>
        <v>0</v>
      </c>
      <c r="B772" s="58">
        <f>Basen!F854+24000</f>
        <v>48065</v>
      </c>
      <c r="C772" s="1" t="str">
        <f>Basen!C854</f>
        <v>Hannemann</v>
      </c>
      <c r="D772" s="39" t="str">
        <f>Basen!H854</f>
        <v>cansl</v>
      </c>
      <c r="E772" s="1">
        <f>Basen!J854</f>
        <v>0</v>
      </c>
      <c r="J772" s="39" t="str">
        <f t="shared" si="17"/>
        <v>cansl</v>
      </c>
    </row>
    <row r="773" spans="1:10" ht="14.25" customHeight="1" x14ac:dyDescent="0.35">
      <c r="A773" s="1">
        <f>Basen!A855</f>
        <v>0</v>
      </c>
      <c r="B773" s="58">
        <f>Basen!F855+24000</f>
        <v>48066</v>
      </c>
      <c r="C773" s="1" t="str">
        <f>Basen!C855</f>
        <v>Hostmann</v>
      </c>
      <c r="D773" s="39" t="str">
        <f>Basen!H855</f>
        <v>bc</v>
      </c>
      <c r="E773" s="1">
        <f>Basen!J855</f>
        <v>0</v>
      </c>
      <c r="J773" s="39" t="str">
        <f t="shared" si="17"/>
        <v>bc</v>
      </c>
    </row>
    <row r="774" spans="1:10" ht="14.25" customHeight="1" x14ac:dyDescent="0.35">
      <c r="A774" s="1">
        <f>Basen!A856</f>
        <v>0</v>
      </c>
      <c r="B774" s="58">
        <f>Basen!F856+24000</f>
        <v>48067</v>
      </c>
      <c r="C774" s="1" t="str">
        <f>Basen!C856</f>
        <v>Dvinge</v>
      </c>
      <c r="D774" s="39" t="str">
        <f>Basen!H856</f>
        <v>bc</v>
      </c>
      <c r="E774" s="1">
        <f>Basen!J856</f>
        <v>0</v>
      </c>
      <c r="J774" s="39" t="str">
        <f t="shared" si="17"/>
        <v>bc</v>
      </c>
    </row>
    <row r="775" spans="1:10" ht="14.25" customHeight="1" x14ac:dyDescent="0.35">
      <c r="A775" s="1">
        <f>Basen!A857</f>
        <v>0</v>
      </c>
      <c r="B775" s="58">
        <f>Basen!F857+24000</f>
        <v>48068</v>
      </c>
      <c r="C775" s="1" t="str">
        <f>Basen!C857</f>
        <v>Svensson</v>
      </c>
      <c r="D775" s="39" t="str">
        <f>Basen!H857</f>
        <v>bc</v>
      </c>
      <c r="E775" s="1">
        <f>Basen!J857</f>
        <v>0</v>
      </c>
      <c r="J775" s="39" t="str">
        <f t="shared" si="17"/>
        <v>bc</v>
      </c>
    </row>
    <row r="776" spans="1:10" ht="14.25" customHeight="1" x14ac:dyDescent="0.35">
      <c r="A776" s="1">
        <f>Basen!A858</f>
        <v>0</v>
      </c>
      <c r="B776" s="58">
        <f>Basen!F858+24000</f>
        <v>48069</v>
      </c>
      <c r="C776" s="1" t="str">
        <f>Basen!C858</f>
        <v>Christophersen</v>
      </c>
      <c r="D776" s="39" t="str">
        <f>Basen!H858</f>
        <v>bc</v>
      </c>
      <c r="E776" s="1">
        <f>Basen!J858</f>
        <v>0</v>
      </c>
      <c r="J776" s="39" t="str">
        <f t="shared" si="17"/>
        <v>bc</v>
      </c>
    </row>
    <row r="777" spans="1:10" ht="14.25" customHeight="1" x14ac:dyDescent="0.35">
      <c r="A777" s="1">
        <f>Basen!A859</f>
        <v>0</v>
      </c>
      <c r="B777" s="58">
        <f>Basen!F859+24000</f>
        <v>48070</v>
      </c>
      <c r="C777" s="1" t="str">
        <f>Basen!C859</f>
        <v>Aronsson</v>
      </c>
      <c r="D777" s="39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8">
        <f>Basen!F860+24000</f>
        <v>48071</v>
      </c>
      <c r="C778" s="1" t="str">
        <f>Basen!C860</f>
        <v>Driessen</v>
      </c>
      <c r="D778" s="39" t="str">
        <f>Basen!H860</f>
        <v>bc</v>
      </c>
      <c r="E778" s="1">
        <f>Basen!J860</f>
        <v>0</v>
      </c>
      <c r="J778" s="39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8">
        <f>Basen!F861+24000</f>
        <v>48072</v>
      </c>
      <c r="C779" s="1" t="str">
        <f>Basen!C861</f>
        <v>Brøns</v>
      </c>
      <c r="D779" s="39" t="str">
        <f>Basen!H861</f>
        <v>bc</v>
      </c>
      <c r="E779" s="1">
        <f>Basen!J861</f>
        <v>0</v>
      </c>
      <c r="J779" s="39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8">
        <f>Basen!F862+24000</f>
        <v>48073</v>
      </c>
      <c r="C780" s="1" t="str">
        <f>Basen!C862</f>
        <v>Sømberg</v>
      </c>
      <c r="D780" s="39" t="str">
        <f>Basen!H862</f>
        <v>web</v>
      </c>
      <c r="E780" s="1">
        <f>Basen!J862</f>
        <v>10</v>
      </c>
      <c r="J780" s="39" t="str">
        <f t="shared" si="18"/>
        <v>web</v>
      </c>
    </row>
    <row r="781" spans="1:10" ht="14.25" customHeight="1" x14ac:dyDescent="0.35">
      <c r="A781" s="1">
        <f>Basen!A863</f>
        <v>0</v>
      </c>
      <c r="B781" s="58">
        <f>Basen!F863+24000</f>
        <v>48074</v>
      </c>
      <c r="C781" s="1" t="str">
        <f>Basen!C863</f>
        <v>Jørgensen</v>
      </c>
      <c r="D781" s="39" t="str">
        <f>Basen!H863</f>
        <v>bc</v>
      </c>
      <c r="E781" s="1">
        <f>Basen!J863</f>
        <v>0</v>
      </c>
      <c r="J781" s="39" t="str">
        <f t="shared" si="18"/>
        <v>bc</v>
      </c>
    </row>
    <row r="782" spans="1:10" ht="14.25" customHeight="1" x14ac:dyDescent="0.35">
      <c r="A782" s="1">
        <f>Basen!A864</f>
        <v>0</v>
      </c>
      <c r="B782" s="58">
        <f>Basen!F864+24000</f>
        <v>48075</v>
      </c>
      <c r="C782" s="1" t="str">
        <f>Basen!C864</f>
        <v>Jensen</v>
      </c>
      <c r="D782" s="39" t="str">
        <f>Basen!H864</f>
        <v>web</v>
      </c>
      <c r="E782" s="1">
        <f>Basen!J864</f>
        <v>6</v>
      </c>
      <c r="J782" s="39" t="str">
        <f t="shared" si="18"/>
        <v>web</v>
      </c>
    </row>
    <row r="783" spans="1:10" ht="14.25" customHeight="1" x14ac:dyDescent="0.35">
      <c r="A783" s="1">
        <f>Basen!A865</f>
        <v>0</v>
      </c>
      <c r="B783" s="58">
        <f>Basen!F865+24000</f>
        <v>48076</v>
      </c>
      <c r="C783" s="1" t="str">
        <f>Basen!C865</f>
        <v>Jensen</v>
      </c>
      <c r="D783" s="39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8">
        <f>Basen!F867+24000</f>
        <v>48078</v>
      </c>
      <c r="C784" s="1" t="str">
        <f>Basen!C867</f>
        <v>Petersen</v>
      </c>
      <c r="D784" s="39" t="str">
        <f>Basen!H867</f>
        <v>bc</v>
      </c>
      <c r="E784" s="1">
        <f>Basen!J867</f>
        <v>0</v>
      </c>
      <c r="J784" s="39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8">
        <f>Basen!F868+24000</f>
        <v>48079</v>
      </c>
      <c r="C785" s="1" t="str">
        <f>Basen!C868</f>
        <v>Nissen</v>
      </c>
      <c r="D785" s="39" t="str">
        <f>Basen!H868</f>
        <v>web</v>
      </c>
      <c r="E785" s="1">
        <f>Basen!J868</f>
        <v>10</v>
      </c>
      <c r="J785" s="39" t="str">
        <f t="shared" si="19"/>
        <v>web</v>
      </c>
    </row>
    <row r="786" spans="1:10" ht="14.25" customHeight="1" x14ac:dyDescent="0.35">
      <c r="A786" s="1">
        <f>Basen!A869</f>
        <v>0</v>
      </c>
      <c r="B786" s="58">
        <f>Basen!F869+24000</f>
        <v>48080</v>
      </c>
      <c r="C786" s="1" t="str">
        <f>Basen!C869</f>
        <v>Alsted</v>
      </c>
      <c r="D786" s="39" t="str">
        <f>Basen!H869</f>
        <v>web</v>
      </c>
      <c r="E786" s="1">
        <f>Basen!J869</f>
        <v>10</v>
      </c>
      <c r="I786" s="39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8">
        <f>Basen!F870+24000</f>
        <v>48081</v>
      </c>
      <c r="C787" s="1" t="str">
        <f>Basen!C870</f>
        <v>Ruud</v>
      </c>
      <c r="D787" s="39" t="str">
        <f>Basen!H870</f>
        <v>bc</v>
      </c>
      <c r="E787" s="1">
        <f>Basen!J870</f>
        <v>0</v>
      </c>
      <c r="I787" s="39" t="str">
        <f t="shared" si="20"/>
        <v>bc</v>
      </c>
    </row>
    <row r="788" spans="1:10" ht="14.25" customHeight="1" x14ac:dyDescent="0.35">
      <c r="A788" s="1">
        <f>Basen!A871</f>
        <v>0</v>
      </c>
      <c r="B788" s="58">
        <f>Basen!F871+24000</f>
        <v>48082</v>
      </c>
      <c r="C788" s="1" t="str">
        <f>Basen!C871</f>
        <v>Stenkjær</v>
      </c>
      <c r="D788" s="39" t="str">
        <f>Basen!H871</f>
        <v>cansl</v>
      </c>
      <c r="E788" s="1">
        <f>Basen!J871</f>
        <v>0</v>
      </c>
      <c r="I788" s="39" t="str">
        <f t="shared" si="20"/>
        <v>cansl</v>
      </c>
    </row>
    <row r="789" spans="1:10" ht="14.25" customHeight="1" x14ac:dyDescent="0.35">
      <c r="A789" s="1">
        <f>Basen!A873</f>
        <v>0</v>
      </c>
      <c r="B789" s="58">
        <f>Basen!F873+24000</f>
        <v>48084</v>
      </c>
      <c r="C789" s="1" t="str">
        <f>Basen!C873</f>
        <v>Hansen</v>
      </c>
      <c r="D789" s="39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8">
        <f>Basen!F875+24000</f>
        <v>48086</v>
      </c>
      <c r="C790" s="1" t="str">
        <f>Basen!C875</f>
        <v>Wahlgreen</v>
      </c>
      <c r="D790" s="39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8">
        <f>Basen!F877+24000</f>
        <v>48088</v>
      </c>
      <c r="C791" s="1" t="str">
        <f>Basen!C877</f>
        <v>Uwe</v>
      </c>
      <c r="D791" s="39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8">
        <f>Basen!F878+24000</f>
        <v>48089</v>
      </c>
      <c r="C792" s="1" t="str">
        <f>Basen!C878</f>
        <v>Dr</v>
      </c>
      <c r="D792" s="39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8">
        <f>Basen!F879+24000</f>
        <v>48090</v>
      </c>
      <c r="C793" s="1" t="str">
        <f>Basen!C879</f>
        <v>Andersen</v>
      </c>
      <c r="D793" s="39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8">
        <f>Basen!F880+24000</f>
        <v>48091</v>
      </c>
      <c r="C794" s="1" t="str">
        <f>Basen!C880</f>
        <v>Filstrup</v>
      </c>
      <c r="D794" s="39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8">
        <f>Basen!F881+24000</f>
        <v>48092</v>
      </c>
      <c r="C795" s="1" t="str">
        <f>Basen!C881</f>
        <v>Petersen</v>
      </c>
      <c r="D795" s="39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8">
        <f>Basen!F882+24000</f>
        <v>48093</v>
      </c>
      <c r="C796" s="1" t="str">
        <f>Basen!C882</f>
        <v>Hamel</v>
      </c>
      <c r="D796" s="39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8">
        <f>Basen!F883+24000</f>
        <v>48094</v>
      </c>
      <c r="C797" s="1" t="str">
        <f>Basen!C883</f>
        <v>Johannesson</v>
      </c>
      <c r="D797" s="39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8">
        <f>Basen!F884+24000</f>
        <v>48095</v>
      </c>
      <c r="C798" s="1" t="str">
        <f>Basen!C884</f>
        <v>Kristiansen</v>
      </c>
      <c r="D798" s="39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8">
        <f>Basen!F885+24000</f>
        <v>48096</v>
      </c>
      <c r="C799" s="1" t="str">
        <f>Basen!C885</f>
        <v>Craven</v>
      </c>
      <c r="D799" s="39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8">
        <f>Basen!F886+24000</f>
        <v>48097</v>
      </c>
      <c r="C800" s="1" t="str">
        <f>Basen!C886</f>
        <v>LI</v>
      </c>
      <c r="D800" s="39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8">
        <f>Basen!F887+24000</f>
        <v>48098</v>
      </c>
      <c r="C801" s="1" t="str">
        <f>Basen!C887</f>
        <v>Gorova</v>
      </c>
      <c r="D801" s="39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8">
        <f>Basen!F888+24000</f>
        <v>48099</v>
      </c>
      <c r="C802" s="1" t="str">
        <f>Basen!C888</f>
        <v>Kreuzinger</v>
      </c>
      <c r="D802" s="39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8">
        <f>Basen!F889+24000</f>
        <v>48100</v>
      </c>
      <c r="C803" s="1" t="str">
        <f>Basen!C889</f>
        <v>Blazejewski</v>
      </c>
      <c r="D803" s="39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8">
        <f>Basen!F890+24000</f>
        <v>48101</v>
      </c>
      <c r="C804" s="1" t="str">
        <f>Basen!C890</f>
        <v>Skoglund</v>
      </c>
      <c r="D804" s="39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8">
        <f>Basen!F891+24000</f>
        <v>48102</v>
      </c>
      <c r="C805" s="1" t="str">
        <f>Basen!C891</f>
        <v>Vegte</v>
      </c>
      <c r="D805" s="39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8">
        <f>Basen!F892+24000</f>
        <v>48103</v>
      </c>
      <c r="C806" s="1" t="str">
        <f>Basen!C892</f>
        <v>Grimme</v>
      </c>
      <c r="D806" s="39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8">
        <f>Basen!F894+24000</f>
        <v>48105</v>
      </c>
      <c r="C807" s="1" t="str">
        <f>Basen!C894</f>
        <v>Gawrzynski</v>
      </c>
      <c r="D807" s="39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8">
        <f>Basen!F895+24000</f>
        <v>48106</v>
      </c>
      <c r="C808" s="1" t="str">
        <f>Basen!C895</f>
        <v>Hansen</v>
      </c>
      <c r="D808" s="39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8">
        <f>Basen!F897+24000</f>
        <v>48108</v>
      </c>
      <c r="C809" s="1" t="str">
        <f>Basen!C897</f>
        <v>Lindermann</v>
      </c>
      <c r="D809" s="39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8">
        <f>Basen!F898+24000</f>
        <v>48109</v>
      </c>
      <c r="C810" s="1" t="str">
        <f>Basen!C898</f>
        <v>Hansen</v>
      </c>
      <c r="D810" s="39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8">
        <f>Basen!F901+24000</f>
        <v>48112</v>
      </c>
      <c r="C811" s="1" t="str">
        <f>Basen!C901</f>
        <v>Larsen</v>
      </c>
      <c r="D811" s="39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8">
        <f>Basen!F902+24000</f>
        <v>48113</v>
      </c>
      <c r="C812" s="1" t="str">
        <f>Basen!C902</f>
        <v>Fernqvist</v>
      </c>
      <c r="D812" s="39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8">
        <f>Basen!F907+24000</f>
        <v>48118</v>
      </c>
      <c r="C813" s="1">
        <f>Basen!C907</f>
        <v>0</v>
      </c>
      <c r="D813" s="39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8">
        <f>Basen!F910+24000</f>
        <v>48121</v>
      </c>
      <c r="C814" s="1">
        <f>Basen!C910</f>
        <v>0</v>
      </c>
      <c r="D814" s="39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8">
        <f>Basen!F911+24000</f>
        <v>48125</v>
      </c>
      <c r="C815" s="1">
        <f>Basen!C911</f>
        <v>0</v>
      </c>
      <c r="D815" s="39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8">
        <f>Basen!F912+24000</f>
        <v>48128</v>
      </c>
      <c r="C816" s="1">
        <f>Basen!C912</f>
        <v>0</v>
      </c>
      <c r="D816" s="39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8">
        <f>Basen!F913+24000</f>
        <v>48129</v>
      </c>
      <c r="C817" s="1">
        <f>Basen!C913</f>
        <v>0</v>
      </c>
      <c r="D817" s="39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8">
        <f>Basen!F914+24000</f>
        <v>48130</v>
      </c>
      <c r="C818" s="1">
        <f>Basen!C914</f>
        <v>0</v>
      </c>
      <c r="D818" s="39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8">
        <f>Basen!F915+24000</f>
        <v>48144</v>
      </c>
      <c r="C819" s="1">
        <f>Basen!C915</f>
        <v>0</v>
      </c>
      <c r="D819" s="39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8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8">
        <f>Basen!F739+23000</f>
        <v>46134</v>
      </c>
      <c r="C821" s="1" t="str">
        <f>Basen!C739</f>
        <v>Mullertz</v>
      </c>
      <c r="D821" s="39" t="str">
        <f>Basen!H739</f>
        <v>web</v>
      </c>
      <c r="E821" s="1">
        <f>Basen!J739</f>
        <v>15</v>
      </c>
      <c r="I821" s="39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8">
        <f>Basen!F893+24000</f>
        <v>48104</v>
      </c>
      <c r="C822" s="1" t="str">
        <f>Basen!C893</f>
        <v>Brandtoft</v>
      </c>
      <c r="D822" s="39" t="str">
        <f>Basen!H893</f>
        <v>web</v>
      </c>
      <c r="E822" s="1">
        <f>Basen!J893</f>
        <v>0</v>
      </c>
      <c r="J822" s="39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8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8">
        <f>Basen!F617+23000</f>
        <v>46012</v>
      </c>
      <c r="C824" s="1" t="str">
        <f>Basen!C617</f>
        <v>Strøm</v>
      </c>
      <c r="D824" s="39" t="str">
        <f>Basen!H617</f>
        <v>WEB</v>
      </c>
      <c r="E824" s="1">
        <f>Basen!J617</f>
        <v>10</v>
      </c>
      <c r="I824" s="39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8">
        <f>Basen!F717+23000</f>
        <v>46112</v>
      </c>
      <c r="C825" s="1" t="str">
        <f>Basen!C717</f>
        <v>Torp</v>
      </c>
      <c r="D825" s="39" t="str">
        <f>Basen!H717</f>
        <v>web</v>
      </c>
      <c r="E825" s="1">
        <f>Basen!J717</f>
        <v>0</v>
      </c>
      <c r="I825" s="39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8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8">
        <f>Basen!F866+24000</f>
        <v>48077</v>
      </c>
      <c r="C827" s="1" t="str">
        <f>Basen!C866</f>
        <v>Poulsen</v>
      </c>
      <c r="D827" s="39" t="str">
        <f>Basen!H866</f>
        <v>web</v>
      </c>
      <c r="E827" s="1">
        <f>Basen!J866</f>
        <v>10</v>
      </c>
      <c r="J827" s="39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8">
        <f>Basen!F631+23000</f>
        <v>46026</v>
      </c>
      <c r="C828" s="1" t="str">
        <f>Basen!C631</f>
        <v>Sahlstedt</v>
      </c>
      <c r="D828" s="39" t="str">
        <f>Basen!H631</f>
        <v>WEB</v>
      </c>
      <c r="E828" s="1">
        <f>Basen!J631</f>
        <v>10</v>
      </c>
      <c r="I828" s="39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8">
        <f>Basen!F684+23000</f>
        <v>46079</v>
      </c>
      <c r="C829" s="1" t="str">
        <f>Basen!C684</f>
        <v>Jessen</v>
      </c>
      <c r="D829" s="39" t="str">
        <f>Basen!H684</f>
        <v>web</v>
      </c>
      <c r="E829" s="1">
        <f>Basen!J684</f>
        <v>10</v>
      </c>
      <c r="I829" s="39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8">
        <f>Basen!F753+23000</f>
        <v>46148</v>
      </c>
      <c r="C830" s="1" t="str">
        <f>Basen!C753</f>
        <v>Jørgensen</v>
      </c>
      <c r="D830" s="39" t="str">
        <f>Basen!H753</f>
        <v>web</v>
      </c>
      <c r="E830" s="1">
        <f>Basen!J753</f>
        <v>10</v>
      </c>
      <c r="I830" s="39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8">
        <f>Basen!F903+24000</f>
        <v>48114</v>
      </c>
      <c r="C831" s="1" t="str">
        <f>Basen!C903</f>
        <v>Jørgensen</v>
      </c>
      <c r="D831" s="39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8">
        <f>Basen!F719+23000</f>
        <v>46114</v>
      </c>
      <c r="C832" s="1" t="str">
        <f>Basen!C719</f>
        <v>Rosschou</v>
      </c>
      <c r="D832" s="39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8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8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8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8">
        <f>Basen!F606+23000</f>
        <v>46001</v>
      </c>
      <c r="C836" s="1" t="str">
        <f>Basen!C606</f>
        <v>Whalström</v>
      </c>
      <c r="D836" s="39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8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8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8">
        <f>Basen!F805+24000</f>
        <v>48016</v>
      </c>
      <c r="C839" s="1" t="str">
        <f>Basen!C805</f>
        <v>Kaae</v>
      </c>
      <c r="D839" s="39" t="str">
        <f>Basen!H805</f>
        <v>WEB</v>
      </c>
      <c r="E839" s="1">
        <f>Basen!J805</f>
        <v>0</v>
      </c>
      <c r="J839" s="39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8">
        <f>Basen!F768+23000</f>
        <v>46164</v>
      </c>
      <c r="C840" s="1" t="str">
        <f>Basen!C768</f>
        <v>Kaae</v>
      </c>
      <c r="D840" s="39" t="str">
        <f>Basen!H768</f>
        <v>web</v>
      </c>
      <c r="E840" s="1">
        <f>Basen!J768</f>
        <v>0</v>
      </c>
      <c r="J840" s="39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8">
        <f>Basen!F618+23000</f>
        <v>46013</v>
      </c>
      <c r="C841" s="1" t="str">
        <f>Basen!C618</f>
        <v>Mejer</v>
      </c>
      <c r="D841" s="39" t="str">
        <f>Basen!H618</f>
        <v>WEB</v>
      </c>
      <c r="E841" s="1">
        <f>Basen!J618</f>
        <v>10</v>
      </c>
      <c r="I841" s="39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8">
        <f>Basen!F718+23000</f>
        <v>46113</v>
      </c>
      <c r="C842" s="1" t="str">
        <f>Basen!C718</f>
        <v>Sørensen</v>
      </c>
      <c r="D842" s="39" t="str">
        <f>Basen!H718</f>
        <v>web</v>
      </c>
      <c r="E842" s="1">
        <f>Basen!J718</f>
        <v>0</v>
      </c>
      <c r="I842" s="39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8">
        <f>Basen!F615+23000</f>
        <v>46010</v>
      </c>
      <c r="C843" s="1" t="str">
        <f>Basen!C615</f>
        <v>Nolan</v>
      </c>
      <c r="D843" s="39" t="str">
        <f>Basen!H615</f>
        <v>WEB</v>
      </c>
      <c r="E843" s="1">
        <f>Basen!J615</f>
        <v>10</v>
      </c>
      <c r="I843" s="39" t="str">
        <f t="shared" si="25"/>
        <v>WEB</v>
      </c>
    </row>
    <row r="844" spans="1:11" ht="14.25" customHeight="1" x14ac:dyDescent="0.35">
      <c r="A844" s="1">
        <f>Basen!A442</f>
        <v>0</v>
      </c>
      <c r="B844" s="58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8">
        <f>Basen!F608+23000</f>
        <v>46003</v>
      </c>
      <c r="C845" s="1" t="str">
        <f>Basen!C608</f>
        <v>Wagenblast</v>
      </c>
      <c r="D845" s="39" t="str">
        <f>Basen!H608</f>
        <v>WEB</v>
      </c>
      <c r="E845" s="6">
        <f>Basen!J608</f>
        <v>8</v>
      </c>
      <c r="I845" s="39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8">
        <f>Basen!F625+23000</f>
        <v>46020</v>
      </c>
      <c r="C846" s="1" t="str">
        <f>Basen!C625</f>
        <v>Jørgensen</v>
      </c>
      <c r="D846" s="39" t="str">
        <f>Basen!H625</f>
        <v>WEB</v>
      </c>
      <c r="E846" s="1">
        <f>Basen!J625</f>
        <v>0</v>
      </c>
      <c r="I846" s="39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8">
        <f>Basen!F666+23000</f>
        <v>46061</v>
      </c>
      <c r="C847" s="1" t="str">
        <f>Basen!C666</f>
        <v>Andersen</v>
      </c>
      <c r="D847" s="39" t="str">
        <f>Basen!H666</f>
        <v>web</v>
      </c>
      <c r="E847" s="1">
        <f>Basen!J666</f>
        <v>10</v>
      </c>
      <c r="I847" s="39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8">
        <f>Basen!F793+24000</f>
        <v>48004</v>
      </c>
      <c r="C848" s="1" t="str">
        <f>Basen!C793</f>
        <v>xx</v>
      </c>
      <c r="D848" s="39" t="str">
        <f>Basen!H793</f>
        <v>web</v>
      </c>
      <c r="E848" s="1">
        <f>Basen!J793</f>
        <v>10</v>
      </c>
      <c r="J848" s="39" t="str">
        <f>D848</f>
        <v>web</v>
      </c>
    </row>
    <row r="849" spans="1:11" ht="14.25" customHeight="1" x14ac:dyDescent="0.35">
      <c r="A849" s="1">
        <f>Basen!A916</f>
        <v>0</v>
      </c>
      <c r="B849" s="58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8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8">
        <f>Basen!F609+23000</f>
        <v>46004</v>
      </c>
      <c r="C851" s="1" t="str">
        <f>Basen!C609</f>
        <v>Bernhard</v>
      </c>
      <c r="D851" s="39" t="str">
        <f>Basen!H609</f>
        <v>WEB</v>
      </c>
      <c r="E851" s="1">
        <f>Basen!J609</f>
        <v>0</v>
      </c>
      <c r="I851" s="39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8">
        <f>Basen!F899+24000</f>
        <v>48110</v>
      </c>
      <c r="C852" s="1" t="str">
        <f>Basen!C899</f>
        <v>Skov</v>
      </c>
      <c r="D852" s="39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8">
        <f>Basen!F824+24000</f>
        <v>48035</v>
      </c>
      <c r="C853" s="1" t="str">
        <f>Basen!C824</f>
        <v>xx</v>
      </c>
      <c r="D853" s="39" t="str">
        <f>Basen!H824</f>
        <v>web</v>
      </c>
      <c r="E853" s="1">
        <f>Basen!J824</f>
        <v>0</v>
      </c>
      <c r="J853" s="39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8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8">
        <f>Basen!F493+22000</f>
        <v>44045</v>
      </c>
      <c r="C855" s="1" t="str">
        <f>Basen!C493</f>
        <v>Gubbertsen</v>
      </c>
      <c r="D855" s="39" t="str">
        <f>Basen!H493</f>
        <v>WEB</v>
      </c>
      <c r="E855" s="1">
        <f>Basen!J493</f>
        <v>10</v>
      </c>
      <c r="H855" s="39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8">
        <f>Basen!F660+23000</f>
        <v>46055</v>
      </c>
      <c r="C856" s="1" t="str">
        <f>Basen!C660</f>
        <v>Gubbertsen</v>
      </c>
      <c r="D856" s="39" t="str">
        <f>Basen!H660</f>
        <v>web</v>
      </c>
      <c r="E856" s="1">
        <f>Basen!J660</f>
        <v>10</v>
      </c>
      <c r="I856" s="39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8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8">
        <f>Basen!F872+24000</f>
        <v>48083</v>
      </c>
      <c r="C858" s="1" t="str">
        <f>Basen!C872</f>
        <v>Larsen</v>
      </c>
      <c r="D858" s="39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8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8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8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8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8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8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8">
        <f>Basen!F611+23000</f>
        <v>46006</v>
      </c>
      <c r="C865" s="1" t="str">
        <f>Basen!C611</f>
        <v>Sørensen</v>
      </c>
      <c r="D865" s="39" t="str">
        <f>Basen!H611</f>
        <v>WEB</v>
      </c>
      <c r="E865" s="1">
        <f>Basen!J611</f>
        <v>0</v>
      </c>
      <c r="I865" s="39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8">
        <f>Basen!F612+23000</f>
        <v>46007</v>
      </c>
      <c r="C866" s="1" t="str">
        <f>Basen!C612</f>
        <v>sørensen</v>
      </c>
      <c r="D866" s="39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8">
        <f>Basen!F621+23000</f>
        <v>46016</v>
      </c>
      <c r="C867" s="1" t="str">
        <f>Basen!C621</f>
        <v>Sørensen</v>
      </c>
      <c r="D867" s="39" t="str">
        <f>Basen!H621</f>
        <v>WEB</v>
      </c>
      <c r="E867" s="1">
        <f>Basen!J621</f>
        <v>0</v>
      </c>
      <c r="I867" s="39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8">
        <f>Basen!F622+23000</f>
        <v>46017</v>
      </c>
      <c r="C868" s="1" t="str">
        <f>Basen!C622</f>
        <v>piger</v>
      </c>
      <c r="D868" s="39" t="str">
        <f>Basen!H622</f>
        <v>cansl</v>
      </c>
      <c r="E868" s="1">
        <f>Basen!J622</f>
        <v>0</v>
      </c>
      <c r="I868" s="39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8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8">
        <f>Basen!F791+24000</f>
        <v>48002</v>
      </c>
      <c r="C870" s="1" t="str">
        <f>Basen!C791</f>
        <v>Henrik</v>
      </c>
      <c r="D870" s="39" t="str">
        <f>Basen!H791</f>
        <v>web</v>
      </c>
      <c r="E870" s="1">
        <f>Basen!J791</f>
        <v>0</v>
      </c>
      <c r="J870" s="39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8">
        <f>Basen!F792+24000</f>
        <v>48003</v>
      </c>
      <c r="C871" s="1" t="str">
        <f>Basen!C792</f>
        <v>Henrik</v>
      </c>
      <c r="D871" s="39" t="str">
        <f>Basen!H792</f>
        <v>WEB</v>
      </c>
      <c r="E871" s="8">
        <f>Basen!J792</f>
        <v>0</v>
      </c>
      <c r="J871" s="39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8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8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8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8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8">
        <f>Basen!F613+23000</f>
        <v>46008</v>
      </c>
      <c r="C876" s="1" t="str">
        <f>Basen!C613</f>
        <v>Olsson</v>
      </c>
      <c r="D876" s="39" t="str">
        <f>Basen!H613</f>
        <v>WEB</v>
      </c>
      <c r="E876" s="1">
        <f>Basen!J613</f>
        <v>0</v>
      </c>
      <c r="I876" s="39" t="str">
        <f>D876</f>
        <v>WEB</v>
      </c>
    </row>
    <row r="877" spans="1:11" ht="14.25" customHeight="1" x14ac:dyDescent="0.35">
      <c r="A877" s="5" t="str">
        <f>Basen!A733</f>
        <v>kabipo@gmail.com</v>
      </c>
      <c r="B877" s="58">
        <f>Basen!F733+23000</f>
        <v>46128</v>
      </c>
      <c r="C877" s="1" t="str">
        <f>Basen!C733</f>
        <v>Poulsen</v>
      </c>
      <c r="D877" s="39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8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8">
        <f>Basen!F747+23000</f>
        <v>46142</v>
      </c>
      <c r="C879" s="1" t="str">
        <f>Basen!C747</f>
        <v>Gitte</v>
      </c>
      <c r="D879" s="39" t="str">
        <f>Basen!H747</f>
        <v>web</v>
      </c>
      <c r="E879" s="1">
        <f>Basen!J747</f>
        <v>10</v>
      </c>
      <c r="I879" s="39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8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8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8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8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8">
        <f>Basen!F662+23000</f>
        <v>46057</v>
      </c>
      <c r="C884" s="1" t="str">
        <f>Basen!C662</f>
        <v>Larsen</v>
      </c>
      <c r="D884" s="39" t="str">
        <f>Basen!H662</f>
        <v>web</v>
      </c>
      <c r="E884" s="1">
        <f>Basen!J662</f>
        <v>0</v>
      </c>
      <c r="I884" s="39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8">
        <f>Basen!F758+23000</f>
        <v>46154</v>
      </c>
      <c r="C885" s="1" t="str">
        <f>Basen!C758</f>
        <v>Carlander</v>
      </c>
      <c r="D885" s="39" t="str">
        <f>Basen!H758</f>
        <v>web</v>
      </c>
      <c r="E885" s="1">
        <f>Basen!J758</f>
        <v>10</v>
      </c>
      <c r="I885" s="39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8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8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8">
        <f>Basen!F904+24000</f>
        <v>48115</v>
      </c>
      <c r="C888" s="1" t="str">
        <f>Basen!C904</f>
        <v>Jørgensen</v>
      </c>
      <c r="D888" s="39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8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8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8">
        <f>Basen!F650+23000</f>
        <v>46045</v>
      </c>
      <c r="C891" s="1" t="str">
        <f>Basen!C650</f>
        <v>Pedersen</v>
      </c>
      <c r="D891" s="39" t="str">
        <f>Basen!H650</f>
        <v>web</v>
      </c>
      <c r="E891" s="1">
        <f>Basen!J650</f>
        <v>10</v>
      </c>
      <c r="I891" s="39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8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8">
        <f>Basen!F749+23000</f>
        <v>46144</v>
      </c>
      <c r="C893" s="1" t="str">
        <f>Basen!C749</f>
        <v>Pedersen</v>
      </c>
      <c r="D893" s="39" t="str">
        <f>Basen!H749</f>
        <v>web</v>
      </c>
      <c r="E893" s="1">
        <f>Basen!J749</f>
        <v>0</v>
      </c>
      <c r="I893" s="39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8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8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8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8">
        <f>Basen!F761+23000</f>
        <v>46157</v>
      </c>
      <c r="C897" s="1" t="str">
        <f>Basen!C761</f>
        <v>Møller</v>
      </c>
      <c r="D897" s="39" t="str">
        <f>Basen!H761</f>
        <v>web</v>
      </c>
      <c r="E897" s="1">
        <f>Basen!J761</f>
        <v>10</v>
      </c>
      <c r="J897" s="39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8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8">
        <f>Basen!F908+24000</f>
        <v>48119</v>
      </c>
      <c r="C899" s="1">
        <f>Basen!C908</f>
        <v>0</v>
      </c>
      <c r="D899" s="39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8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8">
        <f>Basen!F808+24000</f>
        <v>48019</v>
      </c>
      <c r="C901" s="1" t="str">
        <f>Basen!C808</f>
        <v>Rene</v>
      </c>
      <c r="D901" s="39" t="str">
        <f>Basen!H808</f>
        <v>WEB</v>
      </c>
      <c r="E901" s="1">
        <f>Basen!J808</f>
        <v>0</v>
      </c>
      <c r="J901" s="39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8">
        <f>Basen!F655+23000</f>
        <v>46050</v>
      </c>
      <c r="C902" s="1" t="str">
        <f>Basen!C655</f>
        <v>Andersen</v>
      </c>
      <c r="D902" s="39" t="str">
        <f>Basen!H655</f>
        <v>web</v>
      </c>
      <c r="E902" s="1">
        <f>Basen!J655</f>
        <v>0</v>
      </c>
      <c r="I902" s="39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8">
        <f>Basen!F876+24000</f>
        <v>48087</v>
      </c>
      <c r="C903" s="1" t="str">
        <f>Basen!C876</f>
        <v>Edelmann</v>
      </c>
      <c r="D903" s="39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8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8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8">
        <f>Basen!F874+24000</f>
        <v>48085</v>
      </c>
      <c r="C906" s="1" t="str">
        <f>Basen!C874</f>
        <v>roland</v>
      </c>
      <c r="D906" s="39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8">
        <f>Basen!F896+24000</f>
        <v>48107</v>
      </c>
      <c r="C907" s="1" t="str">
        <f>Basen!C896</f>
        <v>Kierch</v>
      </c>
      <c r="D907" s="39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8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8">
        <f>Basen!F671+23000</f>
        <v>46066</v>
      </c>
      <c r="C909" s="1" t="str">
        <f>Basen!C671</f>
        <v>Kisbye</v>
      </c>
      <c r="D909" s="39" t="str">
        <f>Basen!H671</f>
        <v>web</v>
      </c>
      <c r="E909" s="1">
        <f>Basen!J671</f>
        <v>10</v>
      </c>
      <c r="I909" s="39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8">
        <f>Basen!F651+23000</f>
        <v>46046</v>
      </c>
      <c r="C910" s="1" t="str">
        <f>Basen!C651</f>
        <v>Baun</v>
      </c>
      <c r="D910" s="39" t="str">
        <f>Basen!H651</f>
        <v>web</v>
      </c>
      <c r="E910" s="1">
        <f>Basen!J651</f>
        <v>10</v>
      </c>
      <c r="I910" s="39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8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8">
        <f>Basen!F900+24000</f>
        <v>48111</v>
      </c>
      <c r="C912" s="1" t="str">
        <f>Basen!C900</f>
        <v>Rettenmaier</v>
      </c>
      <c r="D912" s="39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8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8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8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8">
        <f>Basen!F659+23000</f>
        <v>46054</v>
      </c>
      <c r="C916" s="1" t="str">
        <f>Basen!C659</f>
        <v>Søgaard</v>
      </c>
      <c r="D916" s="39" t="str">
        <f>Basen!H659</f>
        <v>web</v>
      </c>
      <c r="E916" s="1">
        <f>Basen!J659</f>
        <v>10</v>
      </c>
      <c r="I916" s="39" t="str">
        <f>D916</f>
        <v>web</v>
      </c>
    </row>
    <row r="917" spans="1:11" ht="14.25" customHeight="1" x14ac:dyDescent="0.35">
      <c r="B917" s="58"/>
    </row>
    <row r="918" spans="1:11" ht="14.25" customHeight="1" x14ac:dyDescent="0.35">
      <c r="B918" s="58"/>
    </row>
    <row r="919" spans="1:11" ht="14.25" customHeight="1" x14ac:dyDescent="0.35">
      <c r="B919" s="58"/>
    </row>
    <row r="920" spans="1:11" ht="14.25" customHeight="1" x14ac:dyDescent="0.35">
      <c r="B920" s="58"/>
    </row>
    <row r="921" spans="1:11" ht="14.25" customHeight="1" x14ac:dyDescent="0.35">
      <c r="B921" s="58"/>
    </row>
    <row r="922" spans="1:11" ht="14.25" customHeight="1" x14ac:dyDescent="0.35">
      <c r="B922" s="58"/>
    </row>
    <row r="923" spans="1:11" ht="14.25" customHeight="1" x14ac:dyDescent="0.35">
      <c r="B923" s="58"/>
    </row>
    <row r="924" spans="1:11" ht="14.25" customHeight="1" x14ac:dyDescent="0.35">
      <c r="B924" s="58"/>
    </row>
    <row r="925" spans="1:11" ht="14.25" customHeight="1" x14ac:dyDescent="0.35">
      <c r="B925" s="58"/>
    </row>
    <row r="926" spans="1:11" ht="14.25" customHeight="1" x14ac:dyDescent="0.35">
      <c r="B926" s="58"/>
    </row>
    <row r="927" spans="1:11" ht="14.25" customHeight="1" x14ac:dyDescent="0.35">
      <c r="B927" s="58"/>
    </row>
    <row r="928" spans="1:11" ht="14.25" customHeight="1" x14ac:dyDescent="0.35">
      <c r="B928" s="58"/>
    </row>
    <row r="929" spans="2:3" ht="14.25" customHeight="1" x14ac:dyDescent="0.35">
      <c r="B929" s="58"/>
    </row>
    <row r="930" spans="2:3" ht="14.25" customHeight="1" x14ac:dyDescent="0.35">
      <c r="B930" s="58"/>
    </row>
    <row r="931" spans="2:3" ht="14.25" customHeight="1" x14ac:dyDescent="0.35">
      <c r="B931" s="33"/>
      <c r="C931" s="33"/>
    </row>
    <row r="932" spans="2:3" ht="14.25" customHeight="1" x14ac:dyDescent="0.35">
      <c r="B932" s="33"/>
      <c r="C932" s="33"/>
    </row>
    <row r="933" spans="2:3" ht="14.25" customHeight="1" x14ac:dyDescent="0.35">
      <c r="B933" s="33"/>
      <c r="C933" s="33"/>
    </row>
    <row r="934" spans="2:3" ht="14.25" customHeight="1" x14ac:dyDescent="0.35">
      <c r="B934" s="33"/>
      <c r="C934" s="33"/>
    </row>
    <row r="935" spans="2:3" ht="14.25" customHeight="1" x14ac:dyDescent="0.35">
      <c r="B935" s="33"/>
      <c r="C935" s="33"/>
    </row>
    <row r="936" spans="2:3" ht="14.25" customHeight="1" x14ac:dyDescent="0.35">
      <c r="B936" s="33"/>
      <c r="C936" s="33"/>
    </row>
    <row r="937" spans="2:3" ht="14.25" customHeight="1" x14ac:dyDescent="0.35">
      <c r="B937" s="33"/>
      <c r="C937" s="33"/>
    </row>
    <row r="938" spans="2:3" ht="14.25" customHeight="1" x14ac:dyDescent="0.35">
      <c r="B938" s="33"/>
      <c r="C938" s="33"/>
    </row>
    <row r="939" spans="2:3" ht="14.25" customHeight="1" x14ac:dyDescent="0.35">
      <c r="B939" s="33"/>
      <c r="C939" s="33"/>
    </row>
    <row r="940" spans="2:3" ht="14.25" customHeight="1" x14ac:dyDescent="0.35">
      <c r="B940" s="33"/>
      <c r="C940" s="33"/>
    </row>
    <row r="941" spans="2:3" ht="14.25" customHeight="1" x14ac:dyDescent="0.35">
      <c r="B941" s="33"/>
      <c r="C941" s="33"/>
    </row>
    <row r="942" spans="2:3" ht="14.25" customHeight="1" x14ac:dyDescent="0.35">
      <c r="B942" s="33"/>
      <c r="C942" s="33"/>
    </row>
    <row r="943" spans="2:3" ht="14.25" customHeight="1" x14ac:dyDescent="0.35">
      <c r="B943" s="33"/>
      <c r="C943" s="33"/>
    </row>
    <row r="944" spans="2:3" ht="14.25" customHeight="1" x14ac:dyDescent="0.35">
      <c r="B944" s="33"/>
      <c r="C944" s="33"/>
    </row>
    <row r="945" spans="2:3" ht="14.25" customHeight="1" x14ac:dyDescent="0.35">
      <c r="B945" s="33"/>
      <c r="C945" s="33"/>
    </row>
    <row r="946" spans="2:3" ht="14.25" customHeight="1" x14ac:dyDescent="0.35">
      <c r="B946" s="33"/>
      <c r="C946" s="33"/>
    </row>
    <row r="947" spans="2:3" ht="14.25" customHeight="1" x14ac:dyDescent="0.35">
      <c r="B947" s="33"/>
      <c r="C947" s="33"/>
    </row>
    <row r="948" spans="2:3" ht="14.25" customHeight="1" x14ac:dyDescent="0.35">
      <c r="B948" s="33"/>
      <c r="C948" s="33"/>
    </row>
    <row r="949" spans="2:3" ht="14.25" customHeight="1" x14ac:dyDescent="0.35">
      <c r="B949" s="33"/>
      <c r="C949" s="33"/>
    </row>
    <row r="950" spans="2:3" ht="14.25" customHeight="1" x14ac:dyDescent="0.35">
      <c r="B950" s="33"/>
      <c r="C950" s="33"/>
    </row>
    <row r="951" spans="2:3" ht="14.25" customHeight="1" x14ac:dyDescent="0.35">
      <c r="B951" s="33"/>
      <c r="C951" s="33"/>
    </row>
    <row r="952" spans="2:3" ht="14.25" customHeight="1" x14ac:dyDescent="0.35">
      <c r="B952" s="33"/>
      <c r="C952" s="33"/>
    </row>
    <row r="953" spans="2:3" ht="14.25" customHeight="1" x14ac:dyDescent="0.35">
      <c r="B953" s="33"/>
      <c r="C953" s="33"/>
    </row>
    <row r="954" spans="2:3" ht="14.25" customHeight="1" x14ac:dyDescent="0.35">
      <c r="B954" s="33"/>
      <c r="C954" s="33"/>
    </row>
    <row r="955" spans="2:3" ht="14.25" customHeight="1" x14ac:dyDescent="0.35">
      <c r="B955" s="33"/>
      <c r="C955" s="33"/>
    </row>
    <row r="956" spans="2:3" ht="14.25" customHeight="1" x14ac:dyDescent="0.35">
      <c r="B956" s="33"/>
      <c r="C956" s="33"/>
    </row>
    <row r="957" spans="2:3" ht="14.25" customHeight="1" x14ac:dyDescent="0.35">
      <c r="B957" s="33"/>
      <c r="C957" s="33"/>
    </row>
    <row r="958" spans="2:3" ht="14.25" customHeight="1" x14ac:dyDescent="0.35">
      <c r="B958" s="33"/>
      <c r="C958" s="33"/>
    </row>
    <row r="959" spans="2:3" ht="14.25" customHeight="1" x14ac:dyDescent="0.35">
      <c r="B959" s="33"/>
      <c r="C959" s="33"/>
    </row>
    <row r="960" spans="2:3" ht="14.25" customHeight="1" x14ac:dyDescent="0.35">
      <c r="B960" s="33"/>
      <c r="C960" s="33"/>
    </row>
    <row r="961" spans="2:3" ht="14.25" customHeight="1" x14ac:dyDescent="0.35">
      <c r="B961" s="33"/>
      <c r="C961" s="33"/>
    </row>
    <row r="962" spans="2:3" ht="14.25" customHeight="1" x14ac:dyDescent="0.35">
      <c r="B962" s="33"/>
      <c r="C962" s="33"/>
    </row>
    <row r="963" spans="2:3" ht="14.25" customHeight="1" x14ac:dyDescent="0.35">
      <c r="B963" s="33"/>
      <c r="C963" s="33"/>
    </row>
    <row r="964" spans="2:3" ht="14.25" customHeight="1" x14ac:dyDescent="0.35">
      <c r="B964" s="33"/>
      <c r="C964" s="33"/>
    </row>
    <row r="965" spans="2:3" ht="14.25" customHeight="1" x14ac:dyDescent="0.35">
      <c r="B965" s="33"/>
      <c r="C965" s="33"/>
    </row>
    <row r="966" spans="2:3" ht="14.25" customHeight="1" x14ac:dyDescent="0.35">
      <c r="B966" s="33"/>
      <c r="C966" s="33"/>
    </row>
    <row r="967" spans="2:3" ht="14.25" customHeight="1" x14ac:dyDescent="0.35">
      <c r="B967" s="33"/>
      <c r="C967" s="33"/>
    </row>
    <row r="968" spans="2:3" ht="14.25" customHeight="1" x14ac:dyDescent="0.35">
      <c r="B968" s="33"/>
      <c r="C968" s="33"/>
    </row>
    <row r="969" spans="2:3" ht="14.25" customHeight="1" x14ac:dyDescent="0.35">
      <c r="B969" s="33"/>
      <c r="C969" s="33"/>
    </row>
    <row r="970" spans="2:3" ht="14.25" customHeight="1" x14ac:dyDescent="0.35">
      <c r="B970" s="33"/>
      <c r="C970" s="33"/>
    </row>
    <row r="971" spans="2:3" ht="14.25" customHeight="1" x14ac:dyDescent="0.35">
      <c r="B971" s="33"/>
      <c r="C971" s="33"/>
    </row>
    <row r="972" spans="2:3" ht="14.25" customHeight="1" x14ac:dyDescent="0.35">
      <c r="B972" s="33"/>
      <c r="C972" s="33"/>
    </row>
    <row r="973" spans="2:3" ht="14.25" customHeight="1" x14ac:dyDescent="0.35">
      <c r="B973" s="33"/>
      <c r="C973" s="33"/>
    </row>
    <row r="974" spans="2:3" ht="14.25" customHeight="1" x14ac:dyDescent="0.35">
      <c r="B974" s="33"/>
      <c r="C974" s="33"/>
    </row>
    <row r="975" spans="2:3" ht="14.25" customHeight="1" x14ac:dyDescent="0.35">
      <c r="B975" s="33"/>
      <c r="C975" s="33"/>
    </row>
    <row r="976" spans="2:3" ht="14.25" customHeight="1" x14ac:dyDescent="0.35">
      <c r="B976" s="33"/>
      <c r="C976" s="33"/>
    </row>
    <row r="977" spans="2:3" ht="14.25" customHeight="1" x14ac:dyDescent="0.35">
      <c r="B977" s="33"/>
      <c r="C977" s="33"/>
    </row>
    <row r="978" spans="2:3" ht="14.25" customHeight="1" x14ac:dyDescent="0.35">
      <c r="B978" s="33"/>
      <c r="C978" s="33"/>
    </row>
    <row r="979" spans="2:3" ht="14.25" customHeight="1" x14ac:dyDescent="0.35">
      <c r="B979" s="33"/>
      <c r="C979" s="33"/>
    </row>
    <row r="980" spans="2:3" ht="14.25" customHeight="1" x14ac:dyDescent="0.35">
      <c r="B980" s="33"/>
      <c r="C980" s="33"/>
    </row>
    <row r="981" spans="2:3" ht="14.25" customHeight="1" x14ac:dyDescent="0.35">
      <c r="B981" s="33"/>
      <c r="C981" s="33"/>
    </row>
    <row r="982" spans="2:3" ht="14.25" customHeight="1" x14ac:dyDescent="0.35">
      <c r="B982" s="33"/>
      <c r="C982" s="33"/>
    </row>
    <row r="983" spans="2:3" ht="14.25" customHeight="1" x14ac:dyDescent="0.35">
      <c r="B983" s="33"/>
      <c r="C983" s="33"/>
    </row>
    <row r="984" spans="2:3" ht="14.25" customHeight="1" x14ac:dyDescent="0.35">
      <c r="B984" s="33"/>
      <c r="C984" s="33"/>
    </row>
    <row r="985" spans="2:3" ht="14.25" customHeight="1" x14ac:dyDescent="0.35">
      <c r="B985" s="33"/>
      <c r="C985" s="33"/>
    </row>
    <row r="986" spans="2:3" ht="14.25" customHeight="1" x14ac:dyDescent="0.35">
      <c r="B986" s="33"/>
      <c r="C986" s="33"/>
    </row>
    <row r="987" spans="2:3" ht="14.25" customHeight="1" x14ac:dyDescent="0.35">
      <c r="B987" s="33"/>
      <c r="C987" s="33"/>
    </row>
    <row r="988" spans="2:3" ht="14.25" customHeight="1" x14ac:dyDescent="0.35">
      <c r="B988" s="33"/>
      <c r="C988" s="33"/>
    </row>
    <row r="989" spans="2:3" ht="14.25" customHeight="1" x14ac:dyDescent="0.35">
      <c r="B989" s="33"/>
      <c r="C989" s="33"/>
    </row>
    <row r="990" spans="2:3" ht="14.25" customHeight="1" x14ac:dyDescent="0.35">
      <c r="B990" s="33"/>
      <c r="C990" s="33"/>
    </row>
    <row r="991" spans="2:3" ht="14.25" customHeight="1" x14ac:dyDescent="0.35">
      <c r="B991" s="33"/>
      <c r="C991" s="33"/>
    </row>
    <row r="992" spans="2:3" ht="14.25" customHeight="1" x14ac:dyDescent="0.35">
      <c r="B992" s="33"/>
      <c r="C992" s="33"/>
    </row>
    <row r="993" spans="2:3" ht="14.25" customHeight="1" x14ac:dyDescent="0.35">
      <c r="B993" s="33"/>
      <c r="C993" s="33"/>
    </row>
    <row r="994" spans="2:3" ht="14.25" customHeight="1" x14ac:dyDescent="0.35">
      <c r="B994" s="33"/>
      <c r="C994" s="33"/>
    </row>
    <row r="995" spans="2:3" ht="14.25" customHeight="1" x14ac:dyDescent="0.35">
      <c r="B995" s="33"/>
      <c r="C995" s="33"/>
    </row>
    <row r="996" spans="2:3" ht="14.25" customHeight="1" x14ac:dyDescent="0.35">
      <c r="B996" s="33"/>
      <c r="C996" s="33"/>
    </row>
    <row r="997" spans="2:3" ht="14.25" customHeight="1" x14ac:dyDescent="0.35">
      <c r="B997" s="33"/>
      <c r="C997" s="33"/>
    </row>
    <row r="998" spans="2:3" ht="14.25" customHeight="1" x14ac:dyDescent="0.35">
      <c r="B998" s="33"/>
      <c r="C998" s="33"/>
    </row>
    <row r="999" spans="2:3" ht="14.25" customHeight="1" x14ac:dyDescent="0.35">
      <c r="B999" s="33"/>
      <c r="C999" s="33"/>
    </row>
    <row r="1000" spans="2:3" ht="14.25" customHeight="1" x14ac:dyDescent="0.35">
      <c r="B1000" s="33"/>
      <c r="C1000" s="33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4">
        <f>Basen!H3</f>
        <v>0</v>
      </c>
      <c r="E3" s="3">
        <f>Basen!J3</f>
        <v>0</v>
      </c>
      <c r="F3" s="34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5" t="str">
        <f>Basen!H15</f>
        <v>cansl</v>
      </c>
      <c r="E11" s="3">
        <f>Basen!J15</f>
        <v>0</v>
      </c>
      <c r="F11" s="35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5" t="str">
        <f>Basen!H38</f>
        <v>bc</v>
      </c>
      <c r="E26" s="3">
        <f>Basen!J38</f>
        <v>0</v>
      </c>
      <c r="F26" s="35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60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4" t="str">
        <f>Basen!H449</f>
        <v>WEB</v>
      </c>
      <c r="E221" s="3">
        <f>Basen!J449</f>
        <v>0</v>
      </c>
      <c r="F221" s="3"/>
      <c r="G221" s="3"/>
      <c r="H221" s="34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4" t="str">
        <f>Basen!H451</f>
        <v>WEB</v>
      </c>
      <c r="E222" s="3">
        <f>Basen!J451</f>
        <v>8</v>
      </c>
      <c r="F222" s="3"/>
      <c r="G222" s="3"/>
      <c r="H222" s="34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4" t="str">
        <f>Basen!H454</f>
        <v>cansl</v>
      </c>
      <c r="E223" s="3">
        <f>Basen!J454</f>
        <v>0</v>
      </c>
      <c r="F223" s="3"/>
      <c r="G223" s="3"/>
      <c r="H223" s="34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4" t="str">
        <f>Basen!H455</f>
        <v>cansl</v>
      </c>
      <c r="E224" s="3">
        <f>Basen!J455</f>
        <v>0</v>
      </c>
      <c r="F224" s="3"/>
      <c r="G224" s="3"/>
      <c r="H224" s="34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4" t="str">
        <f>Basen!H456</f>
        <v>cansl</v>
      </c>
      <c r="E225" s="3">
        <f>Basen!J456</f>
        <v>0</v>
      </c>
      <c r="F225" s="3"/>
      <c r="G225" s="3"/>
      <c r="H225" s="34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4" t="str">
        <f>Basen!H457</f>
        <v>WEB</v>
      </c>
      <c r="E226" s="3">
        <f>Basen!J457</f>
        <v>10</v>
      </c>
      <c r="F226" s="3"/>
      <c r="G226" s="3"/>
      <c r="H226" s="34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4" t="str">
        <f>Basen!H458</f>
        <v>bc</v>
      </c>
      <c r="E227" s="3">
        <f>Basen!J458</f>
        <v>0</v>
      </c>
      <c r="F227" s="3"/>
      <c r="G227" s="3"/>
      <c r="H227" s="34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4" t="str">
        <f>Basen!H460</f>
        <v>cansl</v>
      </c>
      <c r="E228" s="3">
        <f>Basen!J460</f>
        <v>0</v>
      </c>
      <c r="F228" s="3"/>
      <c r="G228" s="3"/>
      <c r="H228" s="34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4" t="str">
        <f>Basen!H461</f>
        <v>bc</v>
      </c>
      <c r="E229" s="3">
        <f>Basen!J461</f>
        <v>0</v>
      </c>
      <c r="F229" s="3"/>
      <c r="G229" s="3"/>
      <c r="H229" s="34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4" t="str">
        <f>Basen!H462</f>
        <v>cansl</v>
      </c>
      <c r="E230" s="3">
        <f>Basen!J462</f>
        <v>0</v>
      </c>
      <c r="F230" s="3"/>
      <c r="G230" s="3"/>
      <c r="H230" s="34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4" t="str">
        <f>Basen!H463</f>
        <v>WEB</v>
      </c>
      <c r="E231" s="3">
        <f>Basen!J463</f>
        <v>0</v>
      </c>
      <c r="F231" s="3"/>
      <c r="G231" s="3"/>
      <c r="H231" s="34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4" t="str">
        <f>Basen!H464</f>
        <v>bc</v>
      </c>
      <c r="E232" s="3">
        <f>Basen!J464</f>
        <v>0</v>
      </c>
      <c r="F232" s="3"/>
      <c r="G232" s="3"/>
      <c r="H232" s="34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4" t="str">
        <f>Basen!H466</f>
        <v>WEB</v>
      </c>
      <c r="E233" s="3">
        <f>Basen!J466</f>
        <v>5</v>
      </c>
      <c r="F233" s="3"/>
      <c r="G233" s="3"/>
      <c r="H233" s="34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4" t="str">
        <f>Basen!H467</f>
        <v>WEB</v>
      </c>
      <c r="E234" s="3">
        <f>Basen!J467</f>
        <v>5</v>
      </c>
      <c r="F234" s="3"/>
      <c r="G234" s="3"/>
      <c r="H234" s="34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4" t="str">
        <f>Basen!H470</f>
        <v>bc</v>
      </c>
      <c r="E235" s="3">
        <f>Basen!J470</f>
        <v>0</v>
      </c>
      <c r="F235" s="3"/>
      <c r="G235" s="3"/>
      <c r="H235" s="34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4" t="str">
        <f>Basen!H471</f>
        <v>cansl</v>
      </c>
      <c r="E236" s="3">
        <f>Basen!J471</f>
        <v>0</v>
      </c>
      <c r="F236" s="3"/>
      <c r="G236" s="3"/>
      <c r="H236" s="34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4" t="str">
        <f>Basen!H473</f>
        <v>WEB</v>
      </c>
      <c r="E237" s="3">
        <f>Basen!J473</f>
        <v>10</v>
      </c>
      <c r="F237" s="3"/>
      <c r="G237" s="3"/>
      <c r="H237" s="34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4" t="str">
        <f>Basen!H474</f>
        <v>bc</v>
      </c>
      <c r="E238" s="3">
        <f>Basen!J474</f>
        <v>0</v>
      </c>
      <c r="F238" s="3"/>
      <c r="G238" s="3"/>
      <c r="H238" s="34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4" t="str">
        <f>Basen!H475</f>
        <v>cansl</v>
      </c>
      <c r="E239" s="3">
        <f>Basen!J475</f>
        <v>0</v>
      </c>
      <c r="F239" s="3"/>
      <c r="G239" s="3"/>
      <c r="H239" s="34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4" t="str">
        <f>Basen!H477</f>
        <v>cansl</v>
      </c>
      <c r="E240" s="3">
        <f>Basen!J477</f>
        <v>0</v>
      </c>
      <c r="F240" s="3"/>
      <c r="G240" s="3"/>
      <c r="H240" s="34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4" t="str">
        <f>Basen!H478</f>
        <v>WEB</v>
      </c>
      <c r="E241" s="3">
        <f>Basen!J478</f>
        <v>0</v>
      </c>
      <c r="F241" s="3"/>
      <c r="G241" s="3"/>
      <c r="H241" s="34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4" t="str">
        <f>Basen!H481</f>
        <v>WEB</v>
      </c>
      <c r="E242" s="3">
        <f>Basen!J481</f>
        <v>0</v>
      </c>
      <c r="F242" s="3"/>
      <c r="G242" s="3"/>
      <c r="H242" s="34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4" t="str">
        <f>Basen!H482</f>
        <v>cansl</v>
      </c>
      <c r="E243" s="3">
        <f>Basen!J482</f>
        <v>0</v>
      </c>
      <c r="F243" s="3"/>
      <c r="G243" s="3"/>
      <c r="H243" s="34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4" t="str">
        <f>Basen!H483</f>
        <v>bc</v>
      </c>
      <c r="E244" s="3">
        <f>Basen!J483</f>
        <v>0</v>
      </c>
      <c r="F244" s="3"/>
      <c r="G244" s="3"/>
      <c r="H244" s="34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4" t="str">
        <f>Basen!H484</f>
        <v>cansl</v>
      </c>
      <c r="E245" s="3">
        <f>Basen!J484</f>
        <v>0</v>
      </c>
      <c r="F245" s="3"/>
      <c r="G245" s="3"/>
      <c r="H245" s="34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4" t="str">
        <f>Basen!H485</f>
        <v>WEB</v>
      </c>
      <c r="E246" s="3">
        <f>Basen!J485</f>
        <v>10</v>
      </c>
      <c r="F246" s="3"/>
      <c r="G246" s="3"/>
      <c r="H246" s="34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4" t="str">
        <f>Basen!H486</f>
        <v>bc</v>
      </c>
      <c r="E247" s="3">
        <f>Basen!J486</f>
        <v>0</v>
      </c>
      <c r="F247" s="3"/>
      <c r="G247" s="3"/>
      <c r="H247" s="34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4" t="str">
        <f>Basen!H487</f>
        <v>cansl</v>
      </c>
      <c r="E248" s="3">
        <f>Basen!J487</f>
        <v>0</v>
      </c>
      <c r="F248" s="3"/>
      <c r="G248" s="3"/>
      <c r="H248" s="34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4" t="str">
        <f>Basen!H490</f>
        <v>WEB</v>
      </c>
      <c r="E249" s="3">
        <f>Basen!J490</f>
        <v>10</v>
      </c>
      <c r="F249" s="3"/>
      <c r="G249" s="3"/>
      <c r="H249" s="34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4" t="str">
        <f>Basen!H491</f>
        <v>bc</v>
      </c>
      <c r="E250" s="3">
        <f>Basen!J491</f>
        <v>0</v>
      </c>
      <c r="F250" s="3"/>
      <c r="G250" s="3"/>
      <c r="H250" s="34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4" t="str">
        <f>Basen!H495</f>
        <v>bc</v>
      </c>
      <c r="E251" s="3">
        <f>Basen!J495</f>
        <v>0</v>
      </c>
      <c r="F251" s="3"/>
      <c r="G251" s="3"/>
      <c r="H251" s="34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4" t="str">
        <f>Basen!H496</f>
        <v>cansl</v>
      </c>
      <c r="E252" s="3">
        <f>Basen!J496</f>
        <v>0</v>
      </c>
      <c r="F252" s="3"/>
      <c r="G252" s="3"/>
      <c r="H252" s="34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4" t="str">
        <f>Basen!H497</f>
        <v>bc</v>
      </c>
      <c r="E253" s="3">
        <f>Basen!J497</f>
        <v>0</v>
      </c>
      <c r="F253" s="3"/>
      <c r="G253" s="3"/>
      <c r="H253" s="34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4" t="str">
        <f>Basen!H498</f>
        <v>WEB</v>
      </c>
      <c r="E254" s="3">
        <f>Basen!J498</f>
        <v>0</v>
      </c>
      <c r="F254" s="3"/>
      <c r="G254" s="3"/>
      <c r="H254" s="34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4" t="str">
        <f>Basen!H499</f>
        <v>bc</v>
      </c>
      <c r="E255" s="3">
        <f>Basen!J499</f>
        <v>0</v>
      </c>
      <c r="F255" s="3"/>
      <c r="G255" s="3"/>
      <c r="H255" s="34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4" t="str">
        <f>Basen!H500</f>
        <v>bc</v>
      </c>
      <c r="E256" s="3">
        <f>Basen!J500</f>
        <v>0</v>
      </c>
      <c r="F256" s="3"/>
      <c r="G256" s="3"/>
      <c r="H256" s="34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4" t="str">
        <f>Basen!H503</f>
        <v>cansl</v>
      </c>
      <c r="E257" s="3">
        <f>Basen!J503</f>
        <v>0</v>
      </c>
      <c r="F257" s="3"/>
      <c r="G257" s="3"/>
      <c r="H257" s="34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4" t="str">
        <f>Basen!H505</f>
        <v>WEB</v>
      </c>
      <c r="E258" s="3">
        <f>Basen!J505</f>
        <v>10</v>
      </c>
      <c r="F258" s="3"/>
      <c r="G258" s="3"/>
      <c r="H258" s="34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4" t="str">
        <f>Basen!H507</f>
        <v>bc</v>
      </c>
      <c r="E259" s="3">
        <f>Basen!J507</f>
        <v>0</v>
      </c>
      <c r="F259" s="3"/>
      <c r="G259" s="3"/>
      <c r="H259" s="34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4" t="str">
        <f>Basen!H508</f>
        <v>bc</v>
      </c>
      <c r="E260" s="3">
        <f>Basen!J508</f>
        <v>0</v>
      </c>
      <c r="F260" s="3"/>
      <c r="G260" s="3"/>
      <c r="H260" s="34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4" t="str">
        <f>Basen!H509</f>
        <v>cansl</v>
      </c>
      <c r="E261" s="3">
        <f>Basen!J509</f>
        <v>0</v>
      </c>
      <c r="F261" s="3"/>
      <c r="G261" s="3"/>
      <c r="H261" s="34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4" t="str">
        <f>Basen!H511</f>
        <v>bc</v>
      </c>
      <c r="E262" s="3">
        <f>Basen!J511</f>
        <v>0</v>
      </c>
      <c r="F262" s="3"/>
      <c r="G262" s="3"/>
      <c r="H262" s="34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4" t="str">
        <f>Basen!H512</f>
        <v>cansl</v>
      </c>
      <c r="E263" s="3">
        <f>Basen!J512</f>
        <v>0</v>
      </c>
      <c r="F263" s="3"/>
      <c r="G263" s="3"/>
      <c r="H263" s="34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4" t="str">
        <f>Basen!H513</f>
        <v>bc</v>
      </c>
      <c r="E264" s="3">
        <f>Basen!J513</f>
        <v>0</v>
      </c>
      <c r="F264" s="3"/>
      <c r="G264" s="3"/>
      <c r="H264" s="34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4" t="str">
        <f>Basen!H514</f>
        <v>WEB</v>
      </c>
      <c r="E265" s="3">
        <f>Basen!J514</f>
        <v>10</v>
      </c>
      <c r="F265" s="3"/>
      <c r="G265" s="3"/>
      <c r="H265" s="34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4" t="str">
        <f>Basen!H515</f>
        <v>cansl</v>
      </c>
      <c r="E266" s="3">
        <f>Basen!J515</f>
        <v>0</v>
      </c>
      <c r="F266" s="3"/>
      <c r="G266" s="3"/>
      <c r="H266" s="34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4" t="str">
        <f>Basen!H516</f>
        <v>WEB</v>
      </c>
      <c r="E267" s="3">
        <f>Basen!J516</f>
        <v>12</v>
      </c>
      <c r="F267" s="3"/>
      <c r="G267" s="3"/>
      <c r="H267" s="34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4" t="str">
        <f>Basen!H517</f>
        <v>WEB</v>
      </c>
      <c r="E268" s="3">
        <f>Basen!J517</f>
        <v>10</v>
      </c>
      <c r="F268" s="3"/>
      <c r="G268" s="3"/>
      <c r="H268" s="34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4" t="str">
        <f>Basen!H518</f>
        <v>bc</v>
      </c>
      <c r="E269" s="3">
        <f>Basen!J518</f>
        <v>0</v>
      </c>
      <c r="F269" s="3"/>
      <c r="G269" s="3"/>
      <c r="H269" s="34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4" t="str">
        <f>Basen!H519</f>
        <v>bc</v>
      </c>
      <c r="E270" s="3">
        <f>Basen!J519</f>
        <v>0</v>
      </c>
      <c r="F270" s="3"/>
      <c r="G270" s="3"/>
      <c r="H270" s="34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4" t="str">
        <f>Basen!H520</f>
        <v>bc</v>
      </c>
      <c r="E271" s="3">
        <f>Basen!J520</f>
        <v>0</v>
      </c>
      <c r="F271" s="3"/>
      <c r="G271" s="3"/>
      <c r="H271" s="34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4" t="str">
        <f>Basen!H523</f>
        <v>bc</v>
      </c>
      <c r="E272" s="3">
        <f>Basen!J523</f>
        <v>0</v>
      </c>
      <c r="F272" s="3"/>
      <c r="G272" s="3"/>
      <c r="H272" s="34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4" t="str">
        <f>Basen!H524</f>
        <v>bc</v>
      </c>
      <c r="E273" s="3">
        <f>Basen!J524</f>
        <v>0</v>
      </c>
      <c r="F273" s="3"/>
      <c r="G273" s="3"/>
      <c r="H273" s="34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4" t="str">
        <f>Basen!H525</f>
        <v>bc</v>
      </c>
      <c r="E274" s="3">
        <f>Basen!J525</f>
        <v>0</v>
      </c>
      <c r="F274" s="3"/>
      <c r="G274" s="3"/>
      <c r="H274" s="34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4" t="str">
        <f>Basen!H528</f>
        <v>bc</v>
      </c>
      <c r="E275" s="3">
        <f>Basen!J528</f>
        <v>0</v>
      </c>
      <c r="F275" s="3"/>
      <c r="G275" s="3"/>
      <c r="H275" s="34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4" t="str">
        <f>Basen!H531</f>
        <v>WEB</v>
      </c>
      <c r="E276" s="3">
        <f>Basen!J531</f>
        <v>0</v>
      </c>
      <c r="F276" s="3"/>
      <c r="G276" s="3"/>
      <c r="H276" s="34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4" t="str">
        <f>Basen!H533</f>
        <v>bc</v>
      </c>
      <c r="E277" s="3">
        <f>Basen!J533</f>
        <v>0</v>
      </c>
      <c r="F277" s="3"/>
      <c r="G277" s="3"/>
      <c r="H277" s="34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4" t="str">
        <f>Basen!H534</f>
        <v>WEB</v>
      </c>
      <c r="E278" s="3">
        <f>Basen!J534</f>
        <v>5</v>
      </c>
      <c r="F278" s="3"/>
      <c r="G278" s="3"/>
      <c r="H278" s="34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4" t="str">
        <f>Basen!H535</f>
        <v>bc</v>
      </c>
      <c r="E279" s="3">
        <f>Basen!J535</f>
        <v>0</v>
      </c>
      <c r="F279" s="3"/>
      <c r="G279" s="3"/>
      <c r="H279" s="34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4" t="str">
        <f>Basen!H536</f>
        <v>bc</v>
      </c>
      <c r="E280" s="3">
        <f>Basen!J536</f>
        <v>0</v>
      </c>
      <c r="F280" s="3"/>
      <c r="G280" s="3"/>
      <c r="H280" s="34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4" t="str">
        <f>Basen!H538</f>
        <v>cansl</v>
      </c>
      <c r="E281" s="3">
        <f>Basen!J538</f>
        <v>0</v>
      </c>
      <c r="F281" s="3"/>
      <c r="G281" s="3"/>
      <c r="H281" s="34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4" t="str">
        <f>Basen!H539</f>
        <v>bc</v>
      </c>
      <c r="E282" s="3">
        <f>Basen!J539</f>
        <v>0</v>
      </c>
      <c r="F282" s="3"/>
      <c r="G282" s="3"/>
      <c r="H282" s="34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4" t="str">
        <f>Basen!H540</f>
        <v>WEB</v>
      </c>
      <c r="E283" s="3">
        <f>Basen!J540</f>
        <v>15</v>
      </c>
      <c r="F283" s="3"/>
      <c r="G283" s="3"/>
      <c r="H283" s="34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4" t="str">
        <f>Basen!H541</f>
        <v>bc</v>
      </c>
      <c r="E284" s="3">
        <f>Basen!J541</f>
        <v>0</v>
      </c>
      <c r="F284" s="3"/>
      <c r="G284" s="3"/>
      <c r="H284" s="34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4" t="str">
        <f>Basen!H544</f>
        <v>bc</v>
      </c>
      <c r="E285" s="3">
        <f>Basen!J544</f>
        <v>0</v>
      </c>
      <c r="F285" s="3"/>
      <c r="G285" s="3"/>
      <c r="H285" s="34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4" t="str">
        <f>Basen!H546</f>
        <v>bc</v>
      </c>
      <c r="E286" s="3">
        <f>Basen!J546</f>
        <v>0</v>
      </c>
      <c r="F286" s="3"/>
      <c r="G286" s="3"/>
      <c r="H286" s="34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4" t="str">
        <f>Basen!H547</f>
        <v>bc</v>
      </c>
      <c r="E287" s="3">
        <f>Basen!J547</f>
        <v>0</v>
      </c>
      <c r="F287" s="3"/>
      <c r="G287" s="3"/>
      <c r="H287" s="34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4" t="str">
        <f>Basen!H549</f>
        <v>bc</v>
      </c>
      <c r="E288" s="3">
        <f>Basen!J549</f>
        <v>0</v>
      </c>
      <c r="F288" s="3"/>
      <c r="G288" s="3"/>
      <c r="H288" s="34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4" t="str">
        <f>Basen!H551</f>
        <v>bc</v>
      </c>
      <c r="E289" s="3">
        <f>Basen!J551</f>
        <v>0</v>
      </c>
      <c r="F289" s="3"/>
      <c r="G289" s="3"/>
      <c r="H289" s="34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4" t="str">
        <f>Basen!H553</f>
        <v>bc</v>
      </c>
      <c r="E290" s="3">
        <f>Basen!J553</f>
        <v>0</v>
      </c>
      <c r="F290" s="3"/>
      <c r="G290" s="3"/>
      <c r="H290" s="34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4" t="str">
        <f>Basen!H554</f>
        <v>bc</v>
      </c>
      <c r="E291" s="3">
        <f>Basen!J554</f>
        <v>0</v>
      </c>
      <c r="F291" s="3"/>
      <c r="G291" s="3"/>
      <c r="H291" s="34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4" t="str">
        <f>Basen!H555</f>
        <v>web</v>
      </c>
      <c r="E292" s="3">
        <f>Basen!J555</f>
        <v>10</v>
      </c>
      <c r="F292" s="3"/>
      <c r="G292" s="3"/>
      <c r="H292" s="34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4" t="str">
        <f>Basen!H557</f>
        <v>bc</v>
      </c>
      <c r="E293" s="3">
        <f>Basen!J557</f>
        <v>0</v>
      </c>
      <c r="F293" s="3"/>
      <c r="G293" s="3"/>
      <c r="H293" s="34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4" t="str">
        <f>Basen!H558</f>
        <v>bc</v>
      </c>
      <c r="E294" s="3">
        <f>Basen!J558</f>
        <v>0</v>
      </c>
      <c r="F294" s="3"/>
      <c r="G294" s="3"/>
      <c r="H294" s="34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4" t="str">
        <f>Basen!H559</f>
        <v>bc</v>
      </c>
      <c r="E295" s="3">
        <f>Basen!J559</f>
        <v>0</v>
      </c>
      <c r="F295" s="3"/>
      <c r="G295" s="3"/>
      <c r="H295" s="34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4" t="str">
        <f>Basen!H560</f>
        <v>web</v>
      </c>
      <c r="E296" s="3">
        <f>Basen!J560</f>
        <v>10</v>
      </c>
      <c r="F296" s="3"/>
      <c r="G296" s="3"/>
      <c r="H296" s="34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4" t="str">
        <f>Basen!H561</f>
        <v>cansl</v>
      </c>
      <c r="E297" s="3">
        <f>Basen!J561</f>
        <v>0</v>
      </c>
      <c r="F297" s="3"/>
      <c r="G297" s="3"/>
      <c r="H297" s="34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4" t="str">
        <f>Basen!H562</f>
        <v>bc</v>
      </c>
      <c r="E298" s="3">
        <f>Basen!J562</f>
        <v>0</v>
      </c>
      <c r="F298" s="3"/>
      <c r="G298" s="3"/>
      <c r="H298" s="34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4" t="str">
        <f>Basen!H564</f>
        <v>web</v>
      </c>
      <c r="E299" s="3">
        <f>Basen!J564</f>
        <v>0</v>
      </c>
      <c r="F299" s="3"/>
      <c r="G299" s="3"/>
      <c r="H299" s="34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4" t="str">
        <f>Basen!H565</f>
        <v>web</v>
      </c>
      <c r="E300" s="3">
        <f>Basen!J565</f>
        <v>0</v>
      </c>
      <c r="F300" s="3"/>
      <c r="G300" s="3"/>
      <c r="H300" s="34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4" t="str">
        <f>Basen!H566</f>
        <v>bc</v>
      </c>
      <c r="E301" s="3">
        <f>Basen!J566</f>
        <v>0</v>
      </c>
      <c r="F301" s="3"/>
      <c r="G301" s="3"/>
      <c r="H301" s="34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4" t="str">
        <f>Basen!H567</f>
        <v>web</v>
      </c>
      <c r="E302" s="3">
        <f>Basen!J567</f>
        <v>10</v>
      </c>
      <c r="F302" s="3"/>
      <c r="G302" s="3"/>
      <c r="H302" s="34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4" t="str">
        <f>Basen!H568</f>
        <v>bc</v>
      </c>
      <c r="E303" s="3">
        <f>Basen!J568</f>
        <v>0</v>
      </c>
      <c r="F303" s="3"/>
      <c r="G303" s="3"/>
      <c r="H303" s="34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4" t="str">
        <f>Basen!H569</f>
        <v>web</v>
      </c>
      <c r="E304" s="3">
        <f>Basen!J569</f>
        <v>0</v>
      </c>
      <c r="F304" s="3"/>
      <c r="G304" s="3"/>
      <c r="H304" s="34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4" t="str">
        <f>Basen!H570</f>
        <v>bc</v>
      </c>
      <c r="E305" s="3">
        <f>Basen!J570</f>
        <v>0</v>
      </c>
      <c r="F305" s="3"/>
      <c r="G305" s="3"/>
      <c r="H305" s="34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4" t="str">
        <f>Basen!H571</f>
        <v>bc</v>
      </c>
      <c r="E306" s="3">
        <f>Basen!J571</f>
        <v>0</v>
      </c>
      <c r="F306" s="3"/>
      <c r="G306" s="3"/>
      <c r="H306" s="34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4" t="str">
        <f>Basen!H572</f>
        <v>cansl</v>
      </c>
      <c r="E307" s="3">
        <f>Basen!J572</f>
        <v>0</v>
      </c>
      <c r="F307" s="3"/>
      <c r="G307" s="3"/>
      <c r="H307" s="34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4" t="str">
        <f>Basen!H573</f>
        <v>bc</v>
      </c>
      <c r="E308" s="3">
        <f>Basen!J573</f>
        <v>0</v>
      </c>
      <c r="F308" s="3"/>
      <c r="G308" s="3"/>
      <c r="H308" s="34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4" t="str">
        <f>Basen!H580</f>
        <v>bc</v>
      </c>
      <c r="E309" s="3">
        <f>Basen!J580</f>
        <v>0</v>
      </c>
      <c r="F309" s="3"/>
      <c r="G309" s="3"/>
      <c r="H309" s="34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4" t="str">
        <f>Basen!H581</f>
        <v>cansl</v>
      </c>
      <c r="E310" s="3">
        <f>Basen!J581</f>
        <v>0</v>
      </c>
      <c r="F310" s="3"/>
      <c r="G310" s="3"/>
      <c r="H310" s="34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4" t="str">
        <f>Basen!H582</f>
        <v>bc</v>
      </c>
      <c r="E311" s="3">
        <f>Basen!J582</f>
        <v>0</v>
      </c>
      <c r="F311" s="3"/>
      <c r="G311" s="3"/>
      <c r="H311" s="34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4" t="str">
        <f>Basen!H583</f>
        <v>cansl</v>
      </c>
      <c r="E312" s="3">
        <f>Basen!J583</f>
        <v>0</v>
      </c>
      <c r="F312" s="3"/>
      <c r="G312" s="3"/>
      <c r="H312" s="34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4" t="str">
        <f>Basen!H584</f>
        <v>bc</v>
      </c>
      <c r="E313" s="3">
        <f>Basen!J584</f>
        <v>0</v>
      </c>
      <c r="F313" s="3"/>
      <c r="G313" s="3"/>
      <c r="H313" s="34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4" t="str">
        <f>Basen!H585</f>
        <v>bc</v>
      </c>
      <c r="E314" s="3">
        <f>Basen!J585</f>
        <v>0</v>
      </c>
      <c r="F314" s="3"/>
      <c r="G314" s="3"/>
      <c r="H314" s="34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4" t="str">
        <f>Basen!H586</f>
        <v>bc</v>
      </c>
      <c r="E315" s="3">
        <f>Basen!J586</f>
        <v>0</v>
      </c>
      <c r="F315" s="3"/>
      <c r="G315" s="3"/>
      <c r="H315" s="34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4" t="str">
        <f>Basen!H587</f>
        <v>web</v>
      </c>
      <c r="E316" s="3">
        <f>Basen!J587</f>
        <v>10</v>
      </c>
      <c r="F316" s="3"/>
      <c r="G316" s="3"/>
      <c r="H316" s="34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4" t="str">
        <f>Basen!H589</f>
        <v>cansl</v>
      </c>
      <c r="E317" s="3">
        <f>Basen!J589</f>
        <v>0</v>
      </c>
      <c r="F317" s="3"/>
      <c r="G317" s="3"/>
      <c r="H317" s="34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4" t="str">
        <f>Basen!H590</f>
        <v>bc</v>
      </c>
      <c r="E318" s="3">
        <f>Basen!J590</f>
        <v>0</v>
      </c>
      <c r="F318" s="3"/>
      <c r="G318" s="3"/>
      <c r="H318" s="34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4" t="str">
        <f>Basen!H591</f>
        <v>bc</v>
      </c>
      <c r="E319" s="3">
        <f>Basen!J591</f>
        <v>0</v>
      </c>
      <c r="F319" s="3"/>
      <c r="G319" s="3"/>
      <c r="H319" s="34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4" t="str">
        <f>Basen!H592</f>
        <v>bc</v>
      </c>
      <c r="E320" s="3">
        <f>Basen!J592</f>
        <v>0</v>
      </c>
      <c r="F320" s="3"/>
      <c r="G320" s="3"/>
      <c r="H320" s="34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4" t="str">
        <f>Basen!H593</f>
        <v>cansl</v>
      </c>
      <c r="E321" s="3">
        <f>Basen!J593</f>
        <v>0</v>
      </c>
      <c r="F321" s="3"/>
      <c r="G321" s="3"/>
      <c r="H321" s="34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4" t="str">
        <f>Basen!H594</f>
        <v>bc</v>
      </c>
      <c r="E322" s="3">
        <f>Basen!J594</f>
        <v>0</v>
      </c>
      <c r="F322" s="3"/>
      <c r="G322" s="3"/>
      <c r="H322" s="34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4" t="str">
        <f>Basen!H595</f>
        <v>bc</v>
      </c>
      <c r="E323" s="3">
        <f>Basen!J595</f>
        <v>0</v>
      </c>
      <c r="F323" s="3"/>
      <c r="G323" s="3"/>
      <c r="H323" s="34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4" t="str">
        <f>Basen!H597</f>
        <v>bc</v>
      </c>
      <c r="E324" s="3">
        <f>Basen!J597</f>
        <v>0</v>
      </c>
      <c r="F324" s="3"/>
      <c r="G324" s="3"/>
      <c r="H324" s="34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4" t="str">
        <f>Basen!H611</f>
        <v>WEB</v>
      </c>
      <c r="E331" s="3">
        <f>Basen!J611</f>
        <v>0</v>
      </c>
      <c r="F331" s="3"/>
      <c r="G331" s="3"/>
      <c r="H331" s="3"/>
      <c r="I331" s="34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4" t="str">
        <f>Basen!H616</f>
        <v>cansl</v>
      </c>
      <c r="E332" s="3">
        <f>Basen!J616</f>
        <v>0</v>
      </c>
      <c r="F332" s="3"/>
      <c r="G332" s="3"/>
      <c r="H332" s="3"/>
      <c r="I332" s="34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4" t="str">
        <f>Basen!H621</f>
        <v>WEB</v>
      </c>
      <c r="E333" s="3">
        <f>Basen!J621</f>
        <v>0</v>
      </c>
      <c r="F333" s="3"/>
      <c r="G333" s="3"/>
      <c r="H333" s="3"/>
      <c r="I333" s="34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4" t="str">
        <f>Basen!H622</f>
        <v>cansl</v>
      </c>
      <c r="E334" s="3">
        <f>Basen!J622</f>
        <v>0</v>
      </c>
      <c r="F334" s="3"/>
      <c r="G334" s="3"/>
      <c r="H334" s="3"/>
      <c r="I334" s="34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4" t="str">
        <f>Basen!H626</f>
        <v>cansl</v>
      </c>
      <c r="E335" s="3">
        <f>Basen!J626</f>
        <v>0</v>
      </c>
      <c r="F335" s="3"/>
      <c r="G335" s="3"/>
      <c r="H335" s="3"/>
      <c r="I335" s="34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4" t="str">
        <f>Basen!H630</f>
        <v>cansl</v>
      </c>
      <c r="E336" s="3">
        <f>Basen!J630</f>
        <v>0</v>
      </c>
      <c r="F336" s="3"/>
      <c r="G336" s="3"/>
      <c r="H336" s="3"/>
      <c r="I336" s="34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4" t="str">
        <f>Basen!H640</f>
        <v>cansl</v>
      </c>
      <c r="E337" s="3">
        <f>Basen!J640</f>
        <v>0</v>
      </c>
      <c r="F337" s="3"/>
      <c r="G337" s="3"/>
      <c r="H337" s="3"/>
      <c r="I337" s="34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4" t="str">
        <f>Basen!H643</f>
        <v>cansl</v>
      </c>
      <c r="E338" s="3">
        <f>Basen!J643</f>
        <v>0</v>
      </c>
      <c r="F338" s="3"/>
      <c r="G338" s="3"/>
      <c r="H338" s="3"/>
      <c r="I338" s="34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4" t="str">
        <f>Basen!H654</f>
        <v>cansl</v>
      </c>
      <c r="E340" s="3">
        <f>Basen!J654</f>
        <v>0</v>
      </c>
      <c r="F340" s="3"/>
      <c r="G340" s="3"/>
      <c r="H340" s="3"/>
      <c r="I340" s="34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4" t="str">
        <f>Basen!H658</f>
        <v>cansl</v>
      </c>
      <c r="E341" s="3">
        <f>Basen!J658</f>
        <v>0</v>
      </c>
      <c r="F341" s="3"/>
      <c r="G341" s="3"/>
      <c r="H341" s="3"/>
      <c r="I341" s="34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4" t="str">
        <f>Basen!H663</f>
        <v>cansl</v>
      </c>
      <c r="E342" s="3">
        <f>Basen!J663</f>
        <v>10</v>
      </c>
      <c r="F342" s="3"/>
      <c r="G342" s="3"/>
      <c r="H342" s="3"/>
      <c r="I342" s="34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4" t="str">
        <f>Basen!H664</f>
        <v>cansl</v>
      </c>
      <c r="E343" s="3">
        <f>Basen!J664</f>
        <v>0</v>
      </c>
      <c r="F343" s="3"/>
      <c r="G343" s="3"/>
      <c r="H343" s="3"/>
      <c r="I343" s="34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4" t="str">
        <f>Basen!H665</f>
        <v>cansl</v>
      </c>
      <c r="E344" s="3">
        <f>Basen!J665</f>
        <v>0</v>
      </c>
      <c r="F344" s="3"/>
      <c r="G344" s="3"/>
      <c r="H344" s="3"/>
      <c r="I344" s="34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4" t="str">
        <f>Basen!H667</f>
        <v>cansl</v>
      </c>
      <c r="E345" s="3">
        <f>Basen!J667</f>
        <v>0</v>
      </c>
      <c r="F345" s="3"/>
      <c r="G345" s="3"/>
      <c r="H345" s="3"/>
      <c r="I345" s="34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4" t="str">
        <f>Basen!H668</f>
        <v>cansl</v>
      </c>
      <c r="E346" s="3">
        <f>Basen!J668</f>
        <v>0</v>
      </c>
      <c r="F346" s="3"/>
      <c r="G346" s="3"/>
      <c r="H346" s="3"/>
      <c r="I346" s="34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4" t="str">
        <f>Basen!H676</f>
        <v>cansl</v>
      </c>
      <c r="E347" s="3">
        <f>Basen!J676</f>
        <v>0</v>
      </c>
      <c r="F347" s="3"/>
      <c r="G347" s="3"/>
      <c r="H347" s="3"/>
      <c r="I347" s="34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4" t="str">
        <f>Basen!H680</f>
        <v>cansl</v>
      </c>
      <c r="E348" s="3">
        <f>Basen!J680</f>
        <v>0</v>
      </c>
      <c r="F348" s="3"/>
      <c r="G348" s="3"/>
      <c r="H348" s="3"/>
      <c r="I348" s="34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4" t="str">
        <f>Basen!H695</f>
        <v>cansl</v>
      </c>
      <c r="E349" s="3">
        <f>Basen!J695</f>
        <v>0</v>
      </c>
      <c r="F349" s="3"/>
      <c r="G349" s="3"/>
      <c r="H349" s="3"/>
      <c r="I349" s="34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4" t="str">
        <f>Basen!H700</f>
        <v>cansl</v>
      </c>
      <c r="E350" s="3">
        <f>Basen!J700</f>
        <v>0</v>
      </c>
      <c r="F350" s="3"/>
      <c r="G350" s="3"/>
      <c r="H350" s="3"/>
      <c r="I350" s="34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4" t="str">
        <f>Basen!H707</f>
        <v>bc</v>
      </c>
      <c r="E351" s="3">
        <f>Basen!J707</f>
        <v>0</v>
      </c>
      <c r="F351" s="3"/>
      <c r="G351" s="3"/>
      <c r="H351" s="3"/>
      <c r="I351" s="34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4" t="str">
        <f>Basen!H721</f>
        <v>cansl</v>
      </c>
      <c r="E353" s="3">
        <f>Basen!J721</f>
        <v>0</v>
      </c>
      <c r="F353" s="3"/>
      <c r="G353" s="3"/>
      <c r="H353" s="3"/>
      <c r="I353" s="34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4" t="str">
        <f>Basen!H724</f>
        <v>web</v>
      </c>
      <c r="E354" s="3">
        <f>Basen!J724</f>
        <v>0</v>
      </c>
      <c r="F354" s="3"/>
      <c r="G354" s="3"/>
      <c r="H354" s="3"/>
      <c r="I354" s="34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4" t="str">
        <f>Basen!H729</f>
        <v>cansl</v>
      </c>
      <c r="E355" s="3">
        <f>Basen!J729</f>
        <v>0</v>
      </c>
      <c r="F355" s="3"/>
      <c r="G355" s="3"/>
      <c r="H355" s="3"/>
      <c r="I355" s="34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4" t="str">
        <f>Basen!H731</f>
        <v>cansl</v>
      </c>
      <c r="E356" s="3">
        <f>Basen!J731</f>
        <v>0</v>
      </c>
      <c r="F356" s="3"/>
      <c r="G356" s="3"/>
      <c r="H356" s="3"/>
      <c r="I356" s="34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4" t="str">
        <f>Basen!H737</f>
        <v>bc</v>
      </c>
      <c r="E357" s="3">
        <f>Basen!J737</f>
        <v>0</v>
      </c>
      <c r="F357" s="3"/>
      <c r="G357" s="3"/>
      <c r="H357" s="3"/>
      <c r="I357" s="34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4" t="str">
        <f>Basen!H740</f>
        <v>cansl</v>
      </c>
      <c r="E358" s="3">
        <f>Basen!J740</f>
        <v>0</v>
      </c>
      <c r="F358" s="3"/>
      <c r="G358" s="3"/>
      <c r="H358" s="3"/>
      <c r="I358" s="34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4" t="str">
        <f>Basen!H742</f>
        <v>web</v>
      </c>
      <c r="E359" s="3">
        <f>Basen!J742</f>
        <v>0</v>
      </c>
      <c r="F359" s="3"/>
      <c r="G359" s="3"/>
      <c r="H359" s="3"/>
      <c r="I359" s="34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4" t="str">
        <f>Basen!H749</f>
        <v>web</v>
      </c>
      <c r="E360" s="3">
        <f>Basen!J749</f>
        <v>0</v>
      </c>
      <c r="F360" s="3"/>
      <c r="G360" s="3"/>
      <c r="H360" s="3"/>
      <c r="I360" s="34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4" t="str">
        <f>Basen!H754</f>
        <v>cansl</v>
      </c>
      <c r="E361" s="3">
        <f>Basen!J754</f>
        <v>0</v>
      </c>
      <c r="F361" s="3"/>
      <c r="G361" s="3"/>
      <c r="H361" s="3"/>
      <c r="I361" s="34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4" t="str">
        <f>Basen!H757</f>
        <v>cansl</v>
      </c>
      <c r="E362" s="3">
        <f>Basen!J757</f>
        <v>0</v>
      </c>
      <c r="F362" s="3"/>
      <c r="G362" s="3"/>
      <c r="H362" s="3"/>
      <c r="I362" s="34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4" t="str">
        <f>Basen!H767</f>
        <v>cansl</v>
      </c>
      <c r="E365" s="3">
        <f>Basen!J767</f>
        <v>0</v>
      </c>
      <c r="F365" s="3"/>
      <c r="G365" s="3"/>
      <c r="H365" s="3"/>
      <c r="I365" s="34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4" t="str">
        <f>Basen!H768</f>
        <v>web</v>
      </c>
      <c r="E366" s="3">
        <f>Basen!J768</f>
        <v>0</v>
      </c>
      <c r="F366" s="3"/>
      <c r="G366" s="3"/>
      <c r="H366" s="3"/>
      <c r="I366" s="34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4" t="str">
        <f>Basen!H792</f>
        <v>WEB</v>
      </c>
      <c r="E368" s="60">
        <f>Basen!J792</f>
        <v>0</v>
      </c>
      <c r="F368" s="3"/>
      <c r="G368" s="3"/>
      <c r="H368" s="3"/>
      <c r="I368" s="3"/>
      <c r="J368" s="34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4" t="str">
        <f>Basen!H793</f>
        <v>web</v>
      </c>
      <c r="E369" s="3">
        <f>Basen!J793</f>
        <v>10</v>
      </c>
      <c r="F369" s="3"/>
      <c r="G369" s="3"/>
      <c r="H369" s="3"/>
      <c r="I369" s="3"/>
      <c r="J369" s="34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4" t="str">
        <f>Basen!H794</f>
        <v>WEB</v>
      </c>
      <c r="E370" s="3">
        <f>Basen!J794</f>
        <v>10</v>
      </c>
      <c r="F370" s="3"/>
      <c r="G370" s="3"/>
      <c r="H370" s="3"/>
      <c r="I370" s="3"/>
      <c r="J370" s="34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4" t="str">
        <f>Basen!H795</f>
        <v>web</v>
      </c>
      <c r="E371" s="3">
        <f>Basen!J795</f>
        <v>15</v>
      </c>
      <c r="F371" s="3"/>
      <c r="G371" s="3"/>
      <c r="H371" s="3"/>
      <c r="I371" s="3"/>
      <c r="J371" s="34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4" t="str">
        <f>Basen!H796</f>
        <v>web</v>
      </c>
      <c r="E372" s="3">
        <f>Basen!J796</f>
        <v>10</v>
      </c>
      <c r="F372" s="3"/>
      <c r="G372" s="3"/>
      <c r="H372" s="3"/>
      <c r="I372" s="3"/>
      <c r="J372" s="34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4" t="str">
        <f>Basen!H798</f>
        <v>WEB</v>
      </c>
      <c r="E373" s="3">
        <f>Basen!J798</f>
        <v>10</v>
      </c>
      <c r="F373" s="3"/>
      <c r="G373" s="3"/>
      <c r="H373" s="3"/>
      <c r="I373" s="3"/>
      <c r="J373" s="34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4" t="str">
        <f>Basen!H800</f>
        <v>WEB</v>
      </c>
      <c r="E374" s="3">
        <f>Basen!J800</f>
        <v>10</v>
      </c>
      <c r="F374" s="3"/>
      <c r="G374" s="3"/>
      <c r="H374" s="3"/>
      <c r="I374" s="3"/>
      <c r="J374" s="34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4" t="str">
        <f>Basen!H803</f>
        <v>WEB</v>
      </c>
      <c r="E375" s="3">
        <f>Basen!J803</f>
        <v>10</v>
      </c>
      <c r="F375" s="3"/>
      <c r="G375" s="3"/>
      <c r="H375" s="3"/>
      <c r="I375" s="3"/>
      <c r="J375" s="34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4" t="str">
        <f>Basen!H805</f>
        <v>WEB</v>
      </c>
      <c r="E376" s="3">
        <f>Basen!J805</f>
        <v>0</v>
      </c>
      <c r="F376" s="3"/>
      <c r="G376" s="3"/>
      <c r="H376" s="3"/>
      <c r="I376" s="3"/>
      <c r="J376" s="34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4" t="str">
        <f>Basen!H806</f>
        <v>WEB</v>
      </c>
      <c r="E377" s="3">
        <f>Basen!J806</f>
        <v>0</v>
      </c>
      <c r="F377" s="3"/>
      <c r="G377" s="3"/>
      <c r="H377" s="3"/>
      <c r="I377" s="3"/>
      <c r="J377" s="34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4" t="str">
        <f>Basen!H807</f>
        <v>cansl</v>
      </c>
      <c r="E378" s="3">
        <f>Basen!J807</f>
        <v>0</v>
      </c>
      <c r="F378" s="3"/>
      <c r="G378" s="3"/>
      <c r="H378" s="3"/>
      <c r="I378" s="3"/>
      <c r="J378" s="34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4" t="str">
        <f>Basen!H808</f>
        <v>WEB</v>
      </c>
      <c r="E379" s="3">
        <f>Basen!J808</f>
        <v>0</v>
      </c>
      <c r="F379" s="3"/>
      <c r="G379" s="3"/>
      <c r="H379" s="3"/>
      <c r="I379" s="3"/>
      <c r="J379" s="34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4" t="str">
        <f>Basen!H809</f>
        <v>cansl</v>
      </c>
      <c r="E380" s="3">
        <f>Basen!J809</f>
        <v>0</v>
      </c>
      <c r="F380" s="3"/>
      <c r="G380" s="3"/>
      <c r="H380" s="3"/>
      <c r="I380" s="3"/>
      <c r="J380" s="34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4" t="str">
        <f>Basen!H810</f>
        <v>cansl</v>
      </c>
      <c r="E381" s="3">
        <f>Basen!J810</f>
        <v>0</v>
      </c>
      <c r="F381" s="3"/>
      <c r="G381" s="3"/>
      <c r="H381" s="3"/>
      <c r="I381" s="3"/>
      <c r="J381" s="34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4" t="str">
        <f>Basen!H811</f>
        <v>bc</v>
      </c>
      <c r="E382" s="3">
        <f>Basen!J811</f>
        <v>0</v>
      </c>
      <c r="F382" s="3"/>
      <c r="G382" s="3"/>
      <c r="H382" s="3"/>
      <c r="I382" s="3"/>
      <c r="J382" s="34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4" t="str">
        <f>Basen!H813</f>
        <v>bc</v>
      </c>
      <c r="E383" s="3">
        <f>Basen!J813</f>
        <v>0</v>
      </c>
      <c r="F383" s="3"/>
      <c r="G383" s="3"/>
      <c r="H383" s="3"/>
      <c r="I383" s="3"/>
      <c r="J383" s="34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4" t="str">
        <f>Basen!H814</f>
        <v>bc</v>
      </c>
      <c r="E384" s="3">
        <f>Basen!J814</f>
        <v>0</v>
      </c>
      <c r="F384" s="3"/>
      <c r="G384" s="3"/>
      <c r="H384" s="3"/>
      <c r="I384" s="3"/>
      <c r="J384" s="34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4" t="str">
        <f>Basen!H815</f>
        <v>bc</v>
      </c>
      <c r="E385" s="3">
        <f>Basen!J815</f>
        <v>0</v>
      </c>
      <c r="F385" s="3"/>
      <c r="G385" s="3"/>
      <c r="H385" s="3"/>
      <c r="I385" s="3"/>
      <c r="J385" s="34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4" t="str">
        <f>Basen!H816</f>
        <v>WEB</v>
      </c>
      <c r="E386" s="3">
        <f>Basen!J816</f>
        <v>0</v>
      </c>
      <c r="F386" s="3"/>
      <c r="G386" s="3"/>
      <c r="H386" s="3"/>
      <c r="I386" s="3"/>
      <c r="J386" s="34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4" t="str">
        <f>Basen!H817</f>
        <v>WEB</v>
      </c>
      <c r="E387" s="3">
        <f>Basen!J817</f>
        <v>10</v>
      </c>
      <c r="F387" s="3"/>
      <c r="G387" s="3"/>
      <c r="H387" s="3"/>
      <c r="I387" s="3"/>
      <c r="J387" s="34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4" t="str">
        <f>Basen!H818</f>
        <v>WEB</v>
      </c>
      <c r="E388" s="3">
        <f>Basen!J818</f>
        <v>10</v>
      </c>
      <c r="F388" s="3"/>
      <c r="G388" s="3"/>
      <c r="H388" s="3"/>
      <c r="I388" s="3"/>
      <c r="J388" s="34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4" t="str">
        <f>Basen!H819</f>
        <v>bc</v>
      </c>
      <c r="E389" s="3">
        <f>Basen!J819</f>
        <v>0</v>
      </c>
      <c r="F389" s="3"/>
      <c r="G389" s="3"/>
      <c r="H389" s="3"/>
      <c r="I389" s="3"/>
      <c r="J389" s="34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4" t="str">
        <f>Basen!H820</f>
        <v>bc</v>
      </c>
      <c r="E390" s="3">
        <f>Basen!J820</f>
        <v>0</v>
      </c>
      <c r="F390" s="3"/>
      <c r="G390" s="3"/>
      <c r="H390" s="3"/>
      <c r="I390" s="3"/>
      <c r="J390" s="34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4" t="str">
        <f>Basen!H823</f>
        <v>web</v>
      </c>
      <c r="E391" s="3">
        <f>Basen!J823</f>
        <v>10</v>
      </c>
      <c r="F391" s="3"/>
      <c r="G391" s="3"/>
      <c r="H391" s="3"/>
      <c r="I391" s="3"/>
      <c r="J391" s="34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4" t="str">
        <f>Basen!H824</f>
        <v>web</v>
      </c>
      <c r="E392" s="3">
        <f>Basen!J824</f>
        <v>0</v>
      </c>
      <c r="F392" s="3"/>
      <c r="G392" s="3"/>
      <c r="H392" s="3"/>
      <c r="I392" s="3"/>
      <c r="J392" s="34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4" t="str">
        <f>Basen!H825</f>
        <v>cansl</v>
      </c>
      <c r="E393" s="3">
        <f>Basen!J825</f>
        <v>0</v>
      </c>
      <c r="F393" s="3"/>
      <c r="G393" s="3"/>
      <c r="H393" s="3"/>
      <c r="I393" s="3"/>
      <c r="J393" s="34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4" t="str">
        <f>Basen!H826</f>
        <v>web</v>
      </c>
      <c r="E394" s="3">
        <f>Basen!J826</f>
        <v>10</v>
      </c>
      <c r="F394" s="3"/>
      <c r="G394" s="3"/>
      <c r="H394" s="3"/>
      <c r="I394" s="3"/>
      <c r="J394" s="34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4" t="str">
        <f>Basen!H827</f>
        <v>web</v>
      </c>
      <c r="E395" s="3">
        <f>Basen!J827</f>
        <v>10</v>
      </c>
      <c r="F395" s="3"/>
      <c r="G395" s="3"/>
      <c r="H395" s="3"/>
      <c r="I395" s="3"/>
      <c r="J395" s="34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4" t="str">
        <f>Basen!H828</f>
        <v>bc</v>
      </c>
      <c r="E396" s="3">
        <f>Basen!J828</f>
        <v>0</v>
      </c>
      <c r="F396" s="3"/>
      <c r="G396" s="3"/>
      <c r="H396" s="3"/>
      <c r="I396" s="3"/>
      <c r="J396" s="34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4" t="str">
        <f>Basen!H830</f>
        <v>WEB</v>
      </c>
      <c r="E397" s="3">
        <f>Basen!J830</f>
        <v>10</v>
      </c>
      <c r="F397" s="3"/>
      <c r="G397" s="3"/>
      <c r="H397" s="3"/>
      <c r="I397" s="3"/>
      <c r="J397" s="34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4" t="str">
        <f>Basen!H832</f>
        <v>cansl</v>
      </c>
      <c r="E398" s="3">
        <f>Basen!J832</f>
        <v>0</v>
      </c>
      <c r="F398" s="3"/>
      <c r="G398" s="3"/>
      <c r="H398" s="3"/>
      <c r="I398" s="3"/>
      <c r="J398" s="34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4" t="str">
        <f>Basen!H833</f>
        <v>web</v>
      </c>
      <c r="E399" s="3">
        <f>Basen!J833</f>
        <v>10</v>
      </c>
      <c r="F399" s="3"/>
      <c r="G399" s="3"/>
      <c r="H399" s="3"/>
      <c r="I399" s="3"/>
      <c r="J399" s="34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4" t="str">
        <f>Basen!H834</f>
        <v>bc</v>
      </c>
      <c r="E400" s="3">
        <f>Basen!J834</f>
        <v>0</v>
      </c>
      <c r="F400" s="3"/>
      <c r="G400" s="3"/>
      <c r="H400" s="3"/>
      <c r="I400" s="3"/>
      <c r="J400" s="34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4" t="str">
        <f>Basen!H838</f>
        <v>cansl</v>
      </c>
      <c r="E401" s="3">
        <f>Basen!J838</f>
        <v>0</v>
      </c>
      <c r="F401" s="3"/>
      <c r="G401" s="3"/>
      <c r="H401" s="3"/>
      <c r="I401" s="3"/>
      <c r="J401" s="34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4" t="str">
        <f>Basen!H839</f>
        <v>cansl</v>
      </c>
      <c r="E402" s="3">
        <f>Basen!J839</f>
        <v>0</v>
      </c>
      <c r="F402" s="3"/>
      <c r="G402" s="3"/>
      <c r="H402" s="3"/>
      <c r="I402" s="3"/>
      <c r="J402" s="34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4" t="str">
        <f>Basen!H840</f>
        <v>web</v>
      </c>
      <c r="E403" s="3">
        <f>Basen!J840</f>
        <v>5</v>
      </c>
      <c r="F403" s="3"/>
      <c r="G403" s="3"/>
      <c r="H403" s="3"/>
      <c r="I403" s="3"/>
      <c r="J403" s="34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4" t="str">
        <f>Basen!H841</f>
        <v>web</v>
      </c>
      <c r="E404" s="3">
        <f>Basen!J841</f>
        <v>10</v>
      </c>
      <c r="F404" s="3"/>
      <c r="G404" s="3"/>
      <c r="H404" s="3"/>
      <c r="I404" s="3"/>
      <c r="J404" s="34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4" t="str">
        <f>Basen!H845</f>
        <v>bc</v>
      </c>
      <c r="E405" s="3">
        <f>Basen!J845</f>
        <v>0</v>
      </c>
      <c r="F405" s="3"/>
      <c r="G405" s="3"/>
      <c r="H405" s="3"/>
      <c r="I405" s="3"/>
      <c r="J405" s="34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4" t="str">
        <f>Basen!H847</f>
        <v>web</v>
      </c>
      <c r="E406" s="3">
        <f>Basen!J847</f>
        <v>10</v>
      </c>
      <c r="F406" s="3"/>
      <c r="G406" s="3"/>
      <c r="H406" s="3"/>
      <c r="I406" s="3"/>
      <c r="J406" s="34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4" t="str">
        <f>Basen!H849</f>
        <v>bc</v>
      </c>
      <c r="E407" s="3">
        <f>Basen!J849</f>
        <v>0</v>
      </c>
      <c r="F407" s="3"/>
      <c r="G407" s="3"/>
      <c r="H407" s="3"/>
      <c r="I407" s="3"/>
      <c r="J407" s="34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4" t="str">
        <f>Basen!H851</f>
        <v>bc</v>
      </c>
      <c r="E408" s="3">
        <f>Basen!J851</f>
        <v>0</v>
      </c>
      <c r="F408" s="3"/>
      <c r="G408" s="3"/>
      <c r="H408" s="3"/>
      <c r="I408" s="3"/>
      <c r="J408" s="34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4" t="str">
        <f>Basen!H852</f>
        <v>web</v>
      </c>
      <c r="E409" s="3">
        <f>Basen!J852</f>
        <v>10</v>
      </c>
      <c r="F409" s="3"/>
      <c r="G409" s="3"/>
      <c r="H409" s="3"/>
      <c r="I409" s="3"/>
      <c r="J409" s="34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4" t="str">
        <f>Basen!H853</f>
        <v>web</v>
      </c>
      <c r="E410" s="3">
        <f>Basen!J853</f>
        <v>10</v>
      </c>
      <c r="F410" s="3"/>
      <c r="G410" s="3"/>
      <c r="H410" s="3"/>
      <c r="I410" s="3"/>
      <c r="J410" s="34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4" t="str">
        <f>Basen!H854</f>
        <v>cansl</v>
      </c>
      <c r="E411" s="3">
        <f>Basen!J854</f>
        <v>0</v>
      </c>
      <c r="F411" s="3"/>
      <c r="G411" s="3"/>
      <c r="H411" s="3"/>
      <c r="I411" s="3"/>
      <c r="J411" s="34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4" t="str">
        <f>Basen!H855</f>
        <v>bc</v>
      </c>
      <c r="E412" s="3">
        <f>Basen!J855</f>
        <v>0</v>
      </c>
      <c r="F412" s="3"/>
      <c r="G412" s="3"/>
      <c r="H412" s="3"/>
      <c r="I412" s="3"/>
      <c r="J412" s="34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4" t="str">
        <f>Basen!H858</f>
        <v>bc</v>
      </c>
      <c r="E413" s="3">
        <f>Basen!J858</f>
        <v>0</v>
      </c>
      <c r="F413" s="3"/>
      <c r="G413" s="3"/>
      <c r="H413" s="3"/>
      <c r="I413" s="3"/>
      <c r="J413" s="34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4" t="str">
        <f>Basen!H860</f>
        <v>bc</v>
      </c>
      <c r="E414" s="3">
        <f>Basen!J860</f>
        <v>0</v>
      </c>
      <c r="F414" s="3"/>
      <c r="G414" s="3"/>
      <c r="H414" s="3"/>
      <c r="I414" s="3"/>
      <c r="J414" s="34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4" t="str">
        <f>Basen!H861</f>
        <v>bc</v>
      </c>
      <c r="E415" s="3">
        <f>Basen!J861</f>
        <v>0</v>
      </c>
      <c r="F415" s="3"/>
      <c r="G415" s="3"/>
      <c r="H415" s="3"/>
      <c r="I415" s="3"/>
      <c r="J415" s="34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4" t="str">
        <f>Basen!H862</f>
        <v>web</v>
      </c>
      <c r="E416" s="3">
        <f>Basen!J862</f>
        <v>10</v>
      </c>
      <c r="F416" s="3"/>
      <c r="G416" s="3"/>
      <c r="H416" s="3"/>
      <c r="I416" s="3"/>
      <c r="J416" s="34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4" t="str">
        <f>Basen!H864</f>
        <v>web</v>
      </c>
      <c r="E417" s="3">
        <f>Basen!J864</f>
        <v>6</v>
      </c>
      <c r="F417" s="3"/>
      <c r="G417" s="3"/>
      <c r="H417" s="3"/>
      <c r="I417" s="3"/>
      <c r="J417" s="34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4" t="str">
        <f>Basen!H865</f>
        <v>cansl</v>
      </c>
      <c r="E418" s="3">
        <f>Basen!J865</f>
        <v>0</v>
      </c>
      <c r="F418" s="3"/>
      <c r="G418" s="3"/>
      <c r="H418" s="3"/>
      <c r="I418" s="3"/>
      <c r="J418" s="34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4" t="str">
        <f>Basen!H867</f>
        <v>bc</v>
      </c>
      <c r="E419" s="3">
        <f>Basen!J867</f>
        <v>0</v>
      </c>
      <c r="F419" s="3"/>
      <c r="G419" s="3"/>
      <c r="H419" s="3"/>
      <c r="I419" s="3"/>
      <c r="J419" s="34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4" t="str">
        <f>Basen!H868</f>
        <v>web</v>
      </c>
      <c r="E420" s="3">
        <f>Basen!J868</f>
        <v>10</v>
      </c>
      <c r="F420" s="3"/>
      <c r="G420" s="3"/>
      <c r="H420" s="3"/>
      <c r="I420" s="3"/>
      <c r="J420" s="34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4" t="str">
        <f>Basen!H869</f>
        <v>web</v>
      </c>
      <c r="E421" s="3">
        <f>Basen!J869</f>
        <v>10</v>
      </c>
      <c r="F421" s="3"/>
      <c r="G421" s="3"/>
      <c r="H421" s="3"/>
      <c r="I421" s="3"/>
      <c r="J421" s="34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4" t="str">
        <f>Basen!H870</f>
        <v>bc</v>
      </c>
      <c r="E422" s="3">
        <f>Basen!J870</f>
        <v>0</v>
      </c>
      <c r="F422" s="3"/>
      <c r="G422" s="3"/>
      <c r="H422" s="3"/>
      <c r="I422" s="3"/>
      <c r="J422" s="34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4" t="str">
        <f>Basen!H872</f>
        <v>web</v>
      </c>
      <c r="E423" s="3">
        <f>Basen!J872</f>
        <v>5</v>
      </c>
      <c r="F423" s="3"/>
      <c r="G423" s="3"/>
      <c r="H423" s="3"/>
      <c r="I423" s="3"/>
      <c r="J423" s="34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4" t="str">
        <f>Basen!H873</f>
        <v>web</v>
      </c>
      <c r="E424" s="3">
        <f>Basen!J873</f>
        <v>0</v>
      </c>
      <c r="F424" s="3"/>
      <c r="G424" s="3"/>
      <c r="H424" s="3"/>
      <c r="I424" s="3"/>
      <c r="J424" s="34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4" t="str">
        <f>Basen!H874</f>
        <v>web</v>
      </c>
      <c r="E425" s="3">
        <f>Basen!J874</f>
        <v>0</v>
      </c>
      <c r="F425" s="3"/>
      <c r="G425" s="3"/>
      <c r="H425" s="3"/>
      <c r="I425" s="3"/>
      <c r="J425" s="34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4" t="str">
        <f>Basen!H877</f>
        <v>bc</v>
      </c>
      <c r="E426" s="3">
        <f>Basen!J877</f>
        <v>0</v>
      </c>
      <c r="F426" s="3"/>
      <c r="G426" s="3"/>
      <c r="H426" s="3"/>
      <c r="I426" s="3"/>
      <c r="J426" s="34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4" t="str">
        <f>Basen!H878</f>
        <v>bc</v>
      </c>
      <c r="E427" s="3">
        <f>Basen!J878</f>
        <v>0</v>
      </c>
      <c r="F427" s="3"/>
      <c r="G427" s="3"/>
      <c r="H427" s="3"/>
      <c r="I427" s="3"/>
      <c r="J427" s="34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4" t="str">
        <f>Basen!H879</f>
        <v>web</v>
      </c>
      <c r="E428" s="3">
        <f>Basen!J879</f>
        <v>5</v>
      </c>
      <c r="F428" s="3"/>
      <c r="G428" s="3"/>
      <c r="H428" s="3"/>
      <c r="I428" s="3"/>
      <c r="J428" s="34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4" t="str">
        <f>Basen!H882</f>
        <v>bc</v>
      </c>
      <c r="E429" s="3">
        <f>Basen!J882</f>
        <v>0</v>
      </c>
      <c r="F429" s="3"/>
      <c r="G429" s="3"/>
      <c r="H429" s="3"/>
      <c r="I429" s="3"/>
      <c r="J429" s="34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4" t="str">
        <f>Basen!H884</f>
        <v>cansl</v>
      </c>
      <c r="E430" s="3">
        <f>Basen!J884</f>
        <v>0</v>
      </c>
      <c r="F430" s="3"/>
      <c r="G430" s="3"/>
      <c r="H430" s="3"/>
      <c r="I430" s="3"/>
      <c r="J430" s="34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4" t="str">
        <f>Basen!H885</f>
        <v>bc</v>
      </c>
      <c r="E431" s="3">
        <f>Basen!J885</f>
        <v>0</v>
      </c>
      <c r="F431" s="3"/>
      <c r="G431" s="3"/>
      <c r="H431" s="3"/>
      <c r="I431" s="3"/>
      <c r="J431" s="34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4" t="str">
        <f>Basen!H887</f>
        <v>bc</v>
      </c>
      <c r="E432" s="3">
        <f>Basen!J887</f>
        <v>0</v>
      </c>
      <c r="F432" s="3"/>
      <c r="G432" s="3"/>
      <c r="H432" s="3"/>
      <c r="I432" s="3"/>
      <c r="J432" s="34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4" t="str">
        <f>Basen!H889</f>
        <v>bc</v>
      </c>
      <c r="E433" s="3">
        <f>Basen!J889</f>
        <v>0</v>
      </c>
      <c r="F433" s="3"/>
      <c r="G433" s="3"/>
      <c r="H433" s="3"/>
      <c r="I433" s="3"/>
      <c r="J433" s="34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4" t="str">
        <f>Basen!H891</f>
        <v>bc</v>
      </c>
      <c r="E434" s="3">
        <f>Basen!J891</f>
        <v>0</v>
      </c>
      <c r="F434" s="3"/>
      <c r="G434" s="3"/>
      <c r="H434" s="3"/>
      <c r="I434" s="3"/>
      <c r="J434" s="34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4" t="str">
        <f>Basen!H892</f>
        <v>bc</v>
      </c>
      <c r="E435" s="3">
        <f>Basen!J892</f>
        <v>0</v>
      </c>
      <c r="F435" s="3"/>
      <c r="G435" s="3"/>
      <c r="H435" s="3"/>
      <c r="I435" s="3"/>
      <c r="J435" s="34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4" t="str">
        <f>Basen!H893</f>
        <v>web</v>
      </c>
      <c r="E436" s="3">
        <f>Basen!J893</f>
        <v>0</v>
      </c>
      <c r="F436" s="3"/>
      <c r="G436" s="3"/>
      <c r="H436" s="3"/>
      <c r="I436" s="3"/>
      <c r="J436" s="34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4" t="str">
        <f>Basen!H895</f>
        <v>bc</v>
      </c>
      <c r="E437" s="3">
        <f>Basen!J895</f>
        <v>0</v>
      </c>
      <c r="F437" s="3"/>
      <c r="G437" s="3"/>
      <c r="H437" s="3"/>
      <c r="I437" s="3"/>
      <c r="J437" s="34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4" t="str">
        <f>Basen!H898</f>
        <v>bc</v>
      </c>
      <c r="E438" s="3">
        <f>Basen!J898</f>
        <v>0</v>
      </c>
      <c r="F438" s="3"/>
      <c r="G438" s="3"/>
      <c r="H438" s="3"/>
      <c r="I438" s="3"/>
      <c r="J438" s="34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4" t="str">
        <f>Basen!H899</f>
        <v>Web</v>
      </c>
      <c r="E439" s="3">
        <f>Basen!J899</f>
        <v>0</v>
      </c>
      <c r="F439" s="3"/>
      <c r="G439" s="3"/>
      <c r="H439" s="3"/>
      <c r="I439" s="3"/>
      <c r="J439" s="34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4" t="str">
        <f>Basen!H900</f>
        <v>web</v>
      </c>
      <c r="E440" s="3">
        <f>Basen!J900</f>
        <v>10</v>
      </c>
      <c r="F440" s="3"/>
      <c r="G440" s="3"/>
      <c r="H440" s="3"/>
      <c r="I440" s="3"/>
      <c r="J440" s="34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4" t="str">
        <f>Basen!H901</f>
        <v>bc</v>
      </c>
      <c r="E441" s="3">
        <f>Basen!J901</f>
        <v>0</v>
      </c>
      <c r="F441" s="3"/>
      <c r="G441" s="3"/>
      <c r="H441" s="3"/>
      <c r="I441" s="3"/>
      <c r="J441" s="34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4" t="str">
        <f>Basen!H907</f>
        <v>bc</v>
      </c>
      <c r="E443" s="3">
        <f>Basen!J907</f>
        <v>0</v>
      </c>
      <c r="F443" s="3"/>
      <c r="G443" s="3"/>
      <c r="H443" s="3"/>
      <c r="I443" s="3"/>
      <c r="J443" s="34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4" t="str">
        <f>Basen!H733</f>
        <v>web</v>
      </c>
      <c r="E444" s="3">
        <f>Basen!J733</f>
        <v>0</v>
      </c>
      <c r="F444" s="3"/>
      <c r="G444" s="3"/>
      <c r="H444" s="3"/>
      <c r="I444" s="34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4" t="str">
        <f>Basen!H739</f>
        <v>web</v>
      </c>
      <c r="E447" s="3">
        <f>Basen!J739</f>
        <v>15</v>
      </c>
      <c r="F447" s="3"/>
      <c r="G447" s="3"/>
      <c r="H447" s="3"/>
      <c r="I447" s="34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4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4" t="str">
        <f>Basen!H684</f>
        <v>web</v>
      </c>
      <c r="E469" s="3">
        <f>Basen!J684</f>
        <v>10</v>
      </c>
      <c r="F469" s="3"/>
      <c r="G469" s="3"/>
      <c r="H469" s="3"/>
      <c r="I469" s="34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1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4" t="str">
        <f>Basen!H747</f>
        <v>web</v>
      </c>
      <c r="E475" s="3">
        <f>Basen!J747</f>
        <v>10</v>
      </c>
      <c r="F475" s="3"/>
      <c r="G475" s="3"/>
      <c r="H475" s="3"/>
      <c r="I475" s="34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4" t="str">
        <f>Basen!H717</f>
        <v>web</v>
      </c>
      <c r="E494" s="3">
        <f>Basen!J717</f>
        <v>0</v>
      </c>
      <c r="F494" s="3"/>
      <c r="G494" s="3"/>
      <c r="H494" s="3"/>
      <c r="I494" s="34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4" t="str">
        <f>Basen!H608</f>
        <v>WEB</v>
      </c>
      <c r="E496" s="61">
        <f>Basen!J608</f>
        <v>8</v>
      </c>
      <c r="F496" s="3"/>
      <c r="G496" s="3"/>
      <c r="H496" s="3"/>
      <c r="I496" s="34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4" t="str">
        <f>Basen!H615</f>
        <v>WEB</v>
      </c>
      <c r="E498" s="3">
        <f>Basen!J615</f>
        <v>10</v>
      </c>
      <c r="F498" s="3"/>
      <c r="G498" s="3"/>
      <c r="H498" s="3"/>
      <c r="I498" s="34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4" t="str">
        <f>Basen!H660</f>
        <v>web</v>
      </c>
      <c r="E500" s="3">
        <f>Basen!J660</f>
        <v>10</v>
      </c>
      <c r="F500" s="3"/>
      <c r="G500" s="3"/>
      <c r="H500" s="3"/>
      <c r="I500" s="34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4" t="str">
        <f>Basen!H650</f>
        <v>web</v>
      </c>
      <c r="E502" s="3">
        <f>Basen!J650</f>
        <v>10</v>
      </c>
      <c r="F502" s="3"/>
      <c r="G502" s="3"/>
      <c r="H502" s="3"/>
      <c r="I502" s="34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1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1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4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4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1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4" t="str">
        <f>Basen!H785</f>
        <v>bc</v>
      </c>
      <c r="E544" s="3">
        <f>Basen!J785</f>
        <v>0</v>
      </c>
      <c r="F544" s="3"/>
      <c r="G544" s="3"/>
      <c r="H544" s="3"/>
      <c r="I544" s="34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6" t="str">
        <f>Basen!H438</f>
        <v>bc</v>
      </c>
      <c r="E552" s="3">
        <f>Basen!J438</f>
        <v>0</v>
      </c>
      <c r="F552" s="3"/>
      <c r="G552" s="36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4" t="str">
        <f>Basen!H761</f>
        <v>web</v>
      </c>
      <c r="E553" s="3">
        <f>Basen!J761</f>
        <v>10</v>
      </c>
      <c r="F553" s="3"/>
      <c r="G553" s="3"/>
      <c r="H553" s="3"/>
      <c r="I553" s="34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4" t="str">
        <f>Basen!H831</f>
        <v>bc</v>
      </c>
      <c r="E554" s="3">
        <f>Basen!J831</f>
        <v>0</v>
      </c>
      <c r="F554" s="3"/>
      <c r="G554" s="3"/>
      <c r="H554" s="3"/>
      <c r="I554" s="3"/>
      <c r="J554" s="34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4" t="str">
        <f>Basen!H671</f>
        <v>web</v>
      </c>
      <c r="E563" s="3">
        <f>Basen!J671</f>
        <v>10</v>
      </c>
      <c r="F563" s="3"/>
      <c r="G563" s="3"/>
      <c r="H563" s="3"/>
      <c r="I563" s="34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6" t="str">
        <f>Basen!H444</f>
        <v>web</v>
      </c>
      <c r="E571" s="3">
        <f>Basen!J444</f>
        <v>0</v>
      </c>
      <c r="F571" s="3"/>
      <c r="G571" s="36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6" t="str">
        <f>Basen!H442</f>
        <v>web</v>
      </c>
      <c r="E580" s="3">
        <f>Basen!J442</f>
        <v>0</v>
      </c>
      <c r="F580" s="3"/>
      <c r="G580" s="36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4" t="str">
        <f>Basen!H620</f>
        <v>WEB</v>
      </c>
      <c r="E583" s="3">
        <f>Basen!J620</f>
        <v>0</v>
      </c>
      <c r="F583" s="3"/>
      <c r="G583" s="3"/>
      <c r="H583" s="3"/>
      <c r="I583" s="34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4" t="str">
        <f>Basen!H910</f>
        <v>cansl</v>
      </c>
      <c r="E593" s="3">
        <f>Basen!J910</f>
        <v>0</v>
      </c>
      <c r="F593" s="3"/>
      <c r="G593" s="3"/>
      <c r="H593" s="3"/>
      <c r="I593" s="3"/>
      <c r="J593" s="34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4" t="str">
        <f>Basen!H631</f>
        <v>WEB</v>
      </c>
      <c r="E594" s="3">
        <f>Basen!J631</f>
        <v>10</v>
      </c>
      <c r="F594" s="3"/>
      <c r="G594" s="3"/>
      <c r="H594" s="3"/>
      <c r="I594" s="34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4" t="str">
        <f>Basen!H606</f>
        <v>WEB</v>
      </c>
      <c r="E595" s="3">
        <f>Basen!J606</f>
        <v>10</v>
      </c>
      <c r="F595" s="3"/>
      <c r="G595" s="3"/>
      <c r="H595" s="3"/>
      <c r="I595" s="34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4" t="str">
        <f>Basen!H857</f>
        <v>bc</v>
      </c>
      <c r="E614" s="3">
        <f>Basen!J857</f>
        <v>0</v>
      </c>
      <c r="F614" s="3"/>
      <c r="G614" s="3"/>
      <c r="H614" s="3"/>
      <c r="I614" s="3"/>
      <c r="J614" s="34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6" t="str">
        <f>Basen!H440</f>
        <v>bc</v>
      </c>
      <c r="E615" s="3">
        <f>Basen!J440</f>
        <v>0</v>
      </c>
      <c r="F615" s="3"/>
      <c r="G615" s="36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4" t="str">
        <f>Basen!H662</f>
        <v>web</v>
      </c>
      <c r="E622" s="3">
        <f>Basen!J662</f>
        <v>0</v>
      </c>
      <c r="F622" s="3"/>
      <c r="G622" s="3"/>
      <c r="H622" s="3"/>
      <c r="I622" s="34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4" t="str">
        <f>Basen!H880</f>
        <v>cansl</v>
      </c>
      <c r="E623" s="3">
        <f>Basen!J880</f>
        <v>0</v>
      </c>
      <c r="F623" s="3"/>
      <c r="G623" s="3"/>
      <c r="H623" s="3"/>
      <c r="I623" s="3"/>
      <c r="J623" s="34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4" t="str">
        <f>Basen!H492</f>
        <v>bc</v>
      </c>
      <c r="E624" s="3">
        <f>Basen!J492</f>
        <v>0</v>
      </c>
      <c r="F624" s="3"/>
      <c r="G624" s="3"/>
      <c r="H624" s="34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4" t="str">
        <f>Basen!H743</f>
        <v>bc</v>
      </c>
      <c r="E625" s="3">
        <f>Basen!J743</f>
        <v>0</v>
      </c>
      <c r="F625" s="3"/>
      <c r="G625" s="3"/>
      <c r="H625" s="3"/>
      <c r="I625" s="34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4" t="str">
        <f>Basen!H550</f>
        <v>bc</v>
      </c>
      <c r="E626" s="3">
        <f>Basen!J550</f>
        <v>0</v>
      </c>
      <c r="F626" s="3"/>
      <c r="G626" s="3"/>
      <c r="H626" s="34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4" t="str">
        <f>Basen!H678</f>
        <v>cansl</v>
      </c>
      <c r="E631" s="3">
        <f>Basen!J678</f>
        <v>0</v>
      </c>
      <c r="F631" s="3"/>
      <c r="G631" s="3"/>
      <c r="H631" s="3"/>
      <c r="I631" s="34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4" t="str">
        <f>Basen!H685</f>
        <v>cansl</v>
      </c>
      <c r="E632" s="3">
        <f>Basen!J685</f>
        <v>0</v>
      </c>
      <c r="F632" s="3"/>
      <c r="G632" s="3"/>
      <c r="H632" s="3"/>
      <c r="I632" s="34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4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4" t="str">
        <f>Basen!H510</f>
        <v>cansl</v>
      </c>
      <c r="E637" s="3">
        <f>Basen!J510</f>
        <v>0</v>
      </c>
      <c r="F637" s="3"/>
      <c r="G637" s="3"/>
      <c r="H637" s="34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4" t="str">
        <f>Basen!H502</f>
        <v>bc</v>
      </c>
      <c r="E639" s="3">
        <f>Basen!J502</f>
        <v>0</v>
      </c>
      <c r="F639" s="3"/>
      <c r="G639" s="3"/>
      <c r="H639" s="34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4" t="str">
        <f>Basen!H735</f>
        <v>web</v>
      </c>
      <c r="E640" s="3">
        <f>Basen!J735</f>
        <v>8</v>
      </c>
      <c r="F640" s="3"/>
      <c r="G640" s="3"/>
      <c r="H640" s="3"/>
      <c r="I640" s="34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4" t="str">
        <f>Basen!H489</f>
        <v>bc</v>
      </c>
      <c r="E641" s="3">
        <f>Basen!J489</f>
        <v>0</v>
      </c>
      <c r="F641" s="3"/>
      <c r="G641" s="3"/>
      <c r="H641" s="34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4" t="str">
        <f>Basen!H812</f>
        <v>bc</v>
      </c>
      <c r="E643" s="3">
        <f>Basen!J812</f>
        <v>0</v>
      </c>
      <c r="F643" s="3"/>
      <c r="G643" s="3"/>
      <c r="H643" s="3"/>
      <c r="I643" s="3"/>
      <c r="J643" s="34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4" t="str">
        <f>Basen!H821</f>
        <v>bc</v>
      </c>
      <c r="E644" s="3">
        <f>Basen!J821</f>
        <v>0</v>
      </c>
      <c r="F644" s="3"/>
      <c r="G644" s="3"/>
      <c r="H644" s="3"/>
      <c r="I644" s="3"/>
      <c r="J644" s="34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4" t="str">
        <f>Basen!H472</f>
        <v>cansl</v>
      </c>
      <c r="E646" s="3">
        <f>Basen!J472</f>
        <v>0</v>
      </c>
      <c r="F646" s="3"/>
      <c r="G646" s="3"/>
      <c r="H646" s="34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4" t="str">
        <f>Basen!H479</f>
        <v>bc</v>
      </c>
      <c r="E652" s="3">
        <f>Basen!J479</f>
        <v>0</v>
      </c>
      <c r="F652" s="3"/>
      <c r="G652" s="3"/>
      <c r="H652" s="34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4" t="str">
        <f>Basen!H577</f>
        <v>WEB</v>
      </c>
      <c r="E653" s="3">
        <f>Basen!J577</f>
        <v>5</v>
      </c>
      <c r="F653" s="3"/>
      <c r="G653" s="3"/>
      <c r="H653" s="34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4" t="str">
        <f>Basen!H613</f>
        <v>WEB</v>
      </c>
      <c r="E654" s="3">
        <f>Basen!J613</f>
        <v>0</v>
      </c>
      <c r="F654" s="3"/>
      <c r="G654" s="3"/>
      <c r="H654" s="3"/>
      <c r="I654" s="34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4" t="str">
        <f>Basen!H563</f>
        <v>web</v>
      </c>
      <c r="E655" s="3">
        <f>Basen!J563</f>
        <v>0</v>
      </c>
      <c r="F655" s="3"/>
      <c r="G655" s="3"/>
      <c r="H655" s="34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4" t="str">
        <f>Basen!H856</f>
        <v>bc</v>
      </c>
      <c r="E656" s="3">
        <f>Basen!J856</f>
        <v>0</v>
      </c>
      <c r="F656" s="3"/>
      <c r="G656" s="3"/>
      <c r="H656" s="3"/>
      <c r="I656" s="3"/>
      <c r="J656" s="34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4" t="str">
        <f>Basen!H501</f>
        <v>cansl</v>
      </c>
      <c r="E659" s="3">
        <f>Basen!J501</f>
        <v>0</v>
      </c>
      <c r="F659" s="3"/>
      <c r="G659" s="3"/>
      <c r="H659" s="34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4" t="str">
        <f>Basen!H875</f>
        <v>cansl</v>
      </c>
      <c r="E664" s="3">
        <f>Basen!J875</f>
        <v>0</v>
      </c>
      <c r="F664" s="3"/>
      <c r="G664" s="3"/>
      <c r="H664" s="3"/>
      <c r="I664" s="3"/>
      <c r="J664" s="34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6" t="str">
        <f>Basen!H439</f>
        <v>bc</v>
      </c>
      <c r="E665" s="3">
        <f>Basen!J439</f>
        <v>0</v>
      </c>
      <c r="F665" s="3"/>
      <c r="G665" s="36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4">
        <f>Basen!H647</f>
        <v>0</v>
      </c>
      <c r="E673" s="3">
        <f>Basen!J647</f>
        <v>0</v>
      </c>
      <c r="F673" s="3"/>
      <c r="G673" s="3"/>
      <c r="H673" s="3"/>
      <c r="I673" s="34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4" t="str">
        <f>Basen!H758</f>
        <v>web</v>
      </c>
      <c r="E674" s="3">
        <f>Basen!J758</f>
        <v>10</v>
      </c>
      <c r="F674" s="3"/>
      <c r="G674" s="3"/>
      <c r="H674" s="3"/>
      <c r="I674" s="34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4" t="str">
        <f>Basen!H465</f>
        <v>WEB</v>
      </c>
      <c r="E676" s="3">
        <f>Basen!J465</f>
        <v>0</v>
      </c>
      <c r="F676" s="3"/>
      <c r="G676" s="3"/>
      <c r="H676" s="34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4" t="str">
        <f>Basen!H537</f>
        <v>cansl</v>
      </c>
      <c r="E678" s="3">
        <f>Basen!J537</f>
        <v>0</v>
      </c>
      <c r="F678" s="3"/>
      <c r="G678" s="3"/>
      <c r="H678" s="34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4" t="str">
        <f>Basen!H886</f>
        <v>bc</v>
      </c>
      <c r="E680" s="3">
        <f>Basen!J886</f>
        <v>0</v>
      </c>
      <c r="F680" s="3"/>
      <c r="G680" s="3"/>
      <c r="H680" s="3"/>
      <c r="I680" s="3"/>
      <c r="J680" s="34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4" t="str">
        <f>Basen!H530</f>
        <v>bc</v>
      </c>
      <c r="E684" s="3">
        <f>Basen!J530</f>
        <v>0</v>
      </c>
      <c r="F684" s="3"/>
      <c r="G684" s="3"/>
      <c r="H684" s="34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4" t="str">
        <f>Basen!H842</f>
        <v>web</v>
      </c>
      <c r="E687" s="3">
        <f>Basen!J842</f>
        <v>10</v>
      </c>
      <c r="F687" s="3"/>
      <c r="G687" s="3"/>
      <c r="H687" s="3"/>
      <c r="I687" s="3"/>
      <c r="J687" s="34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4" t="str">
        <f>Basen!H718</f>
        <v>web</v>
      </c>
      <c r="E689" s="3">
        <f>Basen!J718</f>
        <v>0</v>
      </c>
      <c r="F689" s="3"/>
      <c r="G689" s="3"/>
      <c r="H689" s="3"/>
      <c r="I689" s="34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4" t="str">
        <f>Basen!H655</f>
        <v>web</v>
      </c>
      <c r="E690" s="3">
        <f>Basen!J655</f>
        <v>0</v>
      </c>
      <c r="F690" s="3"/>
      <c r="G690" s="3"/>
      <c r="H690" s="3"/>
      <c r="I690" s="34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4" t="str">
        <f>Basen!H659</f>
        <v>web</v>
      </c>
      <c r="E691" s="3">
        <f>Basen!J659</f>
        <v>10</v>
      </c>
      <c r="F691" s="3"/>
      <c r="G691" s="3"/>
      <c r="H691" s="3"/>
      <c r="I691" s="34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4" t="str">
        <f>Basen!H588</f>
        <v>web</v>
      </c>
      <c r="E695" s="3">
        <f>Basen!J588</f>
        <v>10</v>
      </c>
      <c r="F695" s="3"/>
      <c r="G695" s="3"/>
      <c r="H695" s="34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4" t="str">
        <f>Basen!H837</f>
        <v>web</v>
      </c>
      <c r="E696" s="3">
        <f>Basen!J837</f>
        <v>10</v>
      </c>
      <c r="F696" s="3"/>
      <c r="G696" s="3"/>
      <c r="H696" s="3"/>
      <c r="I696" s="3"/>
      <c r="J696" s="34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4" t="str">
        <f>Basen!H836</f>
        <v>cansl</v>
      </c>
      <c r="E697" s="3">
        <f>Basen!J836</f>
        <v>0</v>
      </c>
      <c r="F697" s="3"/>
      <c r="G697" s="3"/>
      <c r="H697" s="3"/>
      <c r="I697" s="3"/>
      <c r="J697" s="34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4" t="str">
        <f>Basen!H844</f>
        <v>web</v>
      </c>
      <c r="E698" s="3">
        <f>Basen!J844</f>
        <v>10</v>
      </c>
      <c r="F698" s="3"/>
      <c r="G698" s="3"/>
      <c r="H698" s="3"/>
      <c r="I698" s="3"/>
      <c r="J698" s="34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4" t="str">
        <f>Basen!H863</f>
        <v>bc</v>
      </c>
      <c r="E700" s="3">
        <f>Basen!J863</f>
        <v>0</v>
      </c>
      <c r="F700" s="3"/>
      <c r="G700" s="3"/>
      <c r="H700" s="3"/>
      <c r="I700" s="3"/>
      <c r="J700" s="34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4" t="str">
        <f>Basen!H679</f>
        <v>cansl</v>
      </c>
      <c r="E707" s="3">
        <f>Basen!J679</f>
        <v>0</v>
      </c>
      <c r="F707" s="3"/>
      <c r="G707" s="3"/>
      <c r="H707" s="3"/>
      <c r="I707" s="34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4" t="str">
        <f>Basen!H686</f>
        <v>cansl</v>
      </c>
      <c r="E708" s="3">
        <f>Basen!J686</f>
        <v>0</v>
      </c>
      <c r="F708" s="3"/>
      <c r="G708" s="3"/>
      <c r="H708" s="3"/>
      <c r="I708" s="34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4" t="str">
        <f>Basen!H637</f>
        <v>cansl</v>
      </c>
      <c r="E710" s="3">
        <f>Basen!J637</f>
        <v>0</v>
      </c>
      <c r="F710" s="3"/>
      <c r="G710" s="3"/>
      <c r="H710" s="3"/>
      <c r="I710" s="34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4" t="str">
        <f>Basen!H596</f>
        <v>web</v>
      </c>
      <c r="E712" s="3">
        <f>Basen!J596</f>
        <v>0</v>
      </c>
      <c r="F712" s="3"/>
      <c r="G712" s="3"/>
      <c r="H712" s="34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4" t="str">
        <f>Basen!H641</f>
        <v>cansl</v>
      </c>
      <c r="E713" s="3">
        <f>Basen!J641</f>
        <v>0</v>
      </c>
      <c r="F713" s="3"/>
      <c r="G713" s="3"/>
      <c r="H713" s="3"/>
      <c r="I713" s="34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6" t="str">
        <f>Basen!H437</f>
        <v>bc</v>
      </c>
      <c r="E715" s="3">
        <f>Basen!J437</f>
        <v>0</v>
      </c>
      <c r="F715" s="3"/>
      <c r="G715" s="36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4" t="str">
        <f>Basen!H625</f>
        <v>WEB</v>
      </c>
      <c r="E718" s="3">
        <f>Basen!J625</f>
        <v>0</v>
      </c>
      <c r="F718" s="3"/>
      <c r="G718" s="3"/>
      <c r="H718" s="3"/>
      <c r="I718" s="34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4" t="str">
        <f>Basen!H468</f>
        <v>bc</v>
      </c>
      <c r="E719" s="3">
        <f>Basen!J468</f>
        <v>0</v>
      </c>
      <c r="F719" s="3"/>
      <c r="G719" s="3"/>
      <c r="H719" s="34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4" t="str">
        <f>Basen!H574</f>
        <v>web</v>
      </c>
      <c r="E727" s="3">
        <f>Basen!J574</f>
        <v>10</v>
      </c>
      <c r="F727" s="3"/>
      <c r="G727" s="3"/>
      <c r="H727" s="34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4" t="str">
        <f>Basen!H575</f>
        <v>bc</v>
      </c>
      <c r="E729" s="3">
        <f>Basen!J575</f>
        <v>0</v>
      </c>
      <c r="F729" s="3"/>
      <c r="G729" s="3"/>
      <c r="H729" s="34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4" t="str">
        <f>Basen!H904</f>
        <v>web</v>
      </c>
      <c r="E731" s="3">
        <f>Basen!J904</f>
        <v>5</v>
      </c>
      <c r="F731" s="3"/>
      <c r="G731" s="3"/>
      <c r="H731" s="3"/>
      <c r="I731" s="3"/>
      <c r="J731" s="34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4" t="str">
        <f>Basen!H709</f>
        <v>cansl</v>
      </c>
      <c r="E734" s="3">
        <f>Basen!J709</f>
        <v>0</v>
      </c>
      <c r="F734" s="3"/>
      <c r="G734" s="3"/>
      <c r="H734" s="3"/>
      <c r="I734" s="34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4" t="str">
        <f>Basen!H903</f>
        <v>web</v>
      </c>
      <c r="E735" s="3">
        <f>Basen!J903</f>
        <v>10</v>
      </c>
      <c r="F735" s="3"/>
      <c r="G735" s="3"/>
      <c r="H735" s="3"/>
      <c r="I735" s="3"/>
      <c r="J735" s="34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4" t="str">
        <f>Basen!H835</f>
        <v>web</v>
      </c>
      <c r="E736" s="3">
        <f>Basen!J835</f>
        <v>10</v>
      </c>
      <c r="F736" s="3"/>
      <c r="G736" s="3"/>
      <c r="H736" s="3"/>
      <c r="I736" s="3"/>
      <c r="J736" s="34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4" t="str">
        <f>Basen!H578</f>
        <v>WEB</v>
      </c>
      <c r="E737" s="3">
        <f>Basen!J578</f>
        <v>0</v>
      </c>
      <c r="F737" s="3"/>
      <c r="G737" s="3"/>
      <c r="H737" s="34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4" t="str">
        <f>Basen!H529</f>
        <v>bc</v>
      </c>
      <c r="E740" s="3">
        <f>Basen!J529</f>
        <v>0</v>
      </c>
      <c r="F740" s="3"/>
      <c r="G740" s="3"/>
      <c r="H740" s="34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4" t="str">
        <f>Basen!H532</f>
        <v>cansl</v>
      </c>
      <c r="E742" s="3">
        <f>Basen!J532</f>
        <v>0</v>
      </c>
      <c r="F742" s="3"/>
      <c r="G742" s="3"/>
      <c r="H742" s="34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4" t="str">
        <f>Basen!H628</f>
        <v>cansl</v>
      </c>
      <c r="E743" s="3">
        <f>Basen!J628</f>
        <v>0</v>
      </c>
      <c r="F743" s="3"/>
      <c r="G743" s="3"/>
      <c r="H743" s="3"/>
      <c r="I743" s="34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4" t="str">
        <f>Basen!H866</f>
        <v>web</v>
      </c>
      <c r="E746" s="3">
        <f>Basen!J866</f>
        <v>10</v>
      </c>
      <c r="F746" s="3"/>
      <c r="G746" s="3"/>
      <c r="H746" s="3"/>
      <c r="I746" s="3"/>
      <c r="J746" s="34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4" t="str">
        <f>Basen!H719</f>
        <v>web</v>
      </c>
      <c r="E749" s="3">
        <f>Basen!J719</f>
        <v>0</v>
      </c>
      <c r="F749" s="3"/>
      <c r="G749" s="3"/>
      <c r="H749" s="3"/>
      <c r="I749" s="34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5" t="str">
        <f>Basen!H47</f>
        <v>bc</v>
      </c>
      <c r="E751" s="3">
        <f>Basen!J47</f>
        <v>0</v>
      </c>
      <c r="F751" s="35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4" t="str">
        <f>Basen!H871</f>
        <v>cansl</v>
      </c>
      <c r="E753" s="3">
        <f>Basen!J871</f>
        <v>0</v>
      </c>
      <c r="F753" s="3"/>
      <c r="G753" s="3"/>
      <c r="H753" s="3"/>
      <c r="I753" s="3"/>
      <c r="J753" s="34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4" t="str">
        <f>Basen!H548</f>
        <v>web</v>
      </c>
      <c r="E755" s="3">
        <f>Basen!J548</f>
        <v>10</v>
      </c>
      <c r="F755" s="3"/>
      <c r="G755" s="3"/>
      <c r="H755" s="34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4" t="str">
        <f>Basen!H506</f>
        <v>bc</v>
      </c>
      <c r="E756" s="3">
        <f>Basen!J506</f>
        <v>0</v>
      </c>
      <c r="F756" s="3"/>
      <c r="G756" s="3"/>
      <c r="H756" s="34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4" t="str">
        <f>Basen!H790</f>
        <v>cansl</v>
      </c>
      <c r="E758" s="3">
        <f>Basen!J790</f>
        <v>0</v>
      </c>
      <c r="F758" s="3"/>
      <c r="G758" s="3"/>
      <c r="H758" s="3"/>
      <c r="I758" s="34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4" t="str">
        <f>Basen!H791</f>
        <v>web</v>
      </c>
      <c r="E759" s="3">
        <f>Basen!J791</f>
        <v>0</v>
      </c>
      <c r="F759" s="3"/>
      <c r="G759" s="3"/>
      <c r="H759" s="3"/>
      <c r="I759" s="3"/>
      <c r="J759" s="34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1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4" t="str">
        <f>Basen!H762</f>
        <v>bc</v>
      </c>
      <c r="E768" s="3">
        <f>Basen!J762</f>
        <v>0</v>
      </c>
      <c r="F768" s="3"/>
      <c r="G768" s="3"/>
      <c r="H768" s="3"/>
      <c r="I768" s="34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4" t="str">
        <f>Basen!H894</f>
        <v>bc</v>
      </c>
      <c r="E772" s="3">
        <f>Basen!J894</f>
        <v>0</v>
      </c>
      <c r="F772" s="3"/>
      <c r="G772" s="3"/>
      <c r="H772" s="3"/>
      <c r="I772" s="3"/>
      <c r="J772" s="34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4" t="str">
        <f>Basen!H642</f>
        <v>cansl</v>
      </c>
      <c r="E781" s="3">
        <f>Basen!J642</f>
        <v>0</v>
      </c>
      <c r="F781" s="3"/>
      <c r="G781" s="3"/>
      <c r="H781" s="3"/>
      <c r="I781" s="34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4" t="str">
        <f>Basen!H607</f>
        <v>WEB</v>
      </c>
      <c r="E782" s="3">
        <f>Basen!J607</f>
        <v>10</v>
      </c>
      <c r="F782" s="3"/>
      <c r="G782" s="3"/>
      <c r="H782" s="3"/>
      <c r="I782" s="34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4" t="str">
        <f>Basen!H822</f>
        <v>cansl</v>
      </c>
      <c r="E789" s="3">
        <f>Basen!J822</f>
        <v>0</v>
      </c>
      <c r="F789" s="3"/>
      <c r="G789" s="3"/>
      <c r="H789" s="3"/>
      <c r="I789" s="3"/>
      <c r="J789" s="34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4" t="str">
        <f>Basen!H772</f>
        <v>cansl</v>
      </c>
      <c r="E790" s="3">
        <f>Basen!J772</f>
        <v>0</v>
      </c>
      <c r="F790" s="3"/>
      <c r="G790" s="3"/>
      <c r="H790" s="3"/>
      <c r="I790" s="34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4" t="str">
        <f>Basen!H804</f>
        <v>WEB</v>
      </c>
      <c r="E791" s="3">
        <f>Basen!J804</f>
        <v>10</v>
      </c>
      <c r="F791" s="3"/>
      <c r="G791" s="3"/>
      <c r="H791" s="3"/>
      <c r="I791" s="3"/>
      <c r="J791" s="34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4" t="str">
        <f>Basen!H766</f>
        <v>cansl</v>
      </c>
      <c r="E793" s="3">
        <f>Basen!J766</f>
        <v>0</v>
      </c>
      <c r="F793" s="3"/>
      <c r="G793" s="3"/>
      <c r="H793" s="3"/>
      <c r="I793" s="34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4" t="str">
        <f>Basen!H712</f>
        <v>cansl</v>
      </c>
      <c r="E797" s="3">
        <f>Basen!J712</f>
        <v>0</v>
      </c>
      <c r="F797" s="3"/>
      <c r="G797" s="3"/>
      <c r="H797" s="3"/>
      <c r="I797" s="34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4" t="str">
        <f>Basen!H848</f>
        <v>bc</v>
      </c>
      <c r="E798" s="3">
        <f>Basen!J848</f>
        <v>0</v>
      </c>
      <c r="F798" s="3"/>
      <c r="G798" s="3"/>
      <c r="H798" s="3"/>
      <c r="I798" s="3"/>
      <c r="J798" s="34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4" t="str">
        <f>Basen!H846</f>
        <v>web</v>
      </c>
      <c r="E801" s="3">
        <f>Basen!J846</f>
        <v>10</v>
      </c>
      <c r="F801" s="3"/>
      <c r="G801" s="3"/>
      <c r="H801" s="3"/>
      <c r="I801" s="3"/>
      <c r="J801" s="34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4" t="str">
        <f>Basen!H666</f>
        <v>web</v>
      </c>
      <c r="E802" s="3">
        <f>Basen!J666</f>
        <v>10</v>
      </c>
      <c r="F802" s="3"/>
      <c r="G802" s="3"/>
      <c r="H802" s="3"/>
      <c r="I802" s="34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4" t="str">
        <f>Basen!H850</f>
        <v>bc</v>
      </c>
      <c r="E803" s="3">
        <f>Basen!J850</f>
        <v>0</v>
      </c>
      <c r="F803" s="3"/>
      <c r="G803" s="3"/>
      <c r="H803" s="3"/>
      <c r="I803" s="3"/>
      <c r="J803" s="34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4" t="str">
        <f>Basen!H480</f>
        <v>bc</v>
      </c>
      <c r="E804" s="3">
        <f>Basen!J480</f>
        <v>0</v>
      </c>
      <c r="F804" s="3"/>
      <c r="G804" s="3"/>
      <c r="H804" s="34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4" t="str">
        <f>Basen!H494</f>
        <v>bc</v>
      </c>
      <c r="E806" s="3">
        <f>Basen!J494</f>
        <v>0</v>
      </c>
      <c r="F806" s="3"/>
      <c r="G806" s="3"/>
      <c r="H806" s="34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4" t="str">
        <f>Basen!H775</f>
        <v>cansl</v>
      </c>
      <c r="E807" s="3">
        <f>Basen!J775</f>
        <v>0</v>
      </c>
      <c r="F807" s="3"/>
      <c r="G807" s="3"/>
      <c r="H807" s="3"/>
      <c r="I807" s="34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4" t="str">
        <f>Basen!H618</f>
        <v>WEB</v>
      </c>
      <c r="E810" s="3">
        <f>Basen!J618</f>
        <v>10</v>
      </c>
      <c r="F810" s="3"/>
      <c r="G810" s="3"/>
      <c r="H810" s="3"/>
      <c r="I810" s="34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4" t="str">
        <f>Basen!H801</f>
        <v>WEB</v>
      </c>
      <c r="E811" s="3">
        <f>Basen!J801</f>
        <v>10</v>
      </c>
      <c r="F811" s="3"/>
      <c r="G811" s="3"/>
      <c r="H811" s="3"/>
      <c r="I811" s="3"/>
      <c r="J811" s="34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4" t="str">
        <f>Basen!H883</f>
        <v>bc</v>
      </c>
      <c r="E814" s="3">
        <f>Basen!J883</f>
        <v>0</v>
      </c>
      <c r="F814" s="3"/>
      <c r="G814" s="3"/>
      <c r="H814" s="3"/>
      <c r="I814" s="3"/>
      <c r="J814" s="34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4" t="str">
        <f>Basen!H726</f>
        <v>cansl</v>
      </c>
      <c r="E815" s="3">
        <f>Basen!J726</f>
        <v>0</v>
      </c>
      <c r="F815" s="3"/>
      <c r="G815" s="3"/>
      <c r="H815" s="3"/>
      <c r="I815" s="34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4" t="str">
        <f>Basen!H753</f>
        <v>web</v>
      </c>
      <c r="E819" s="3">
        <f>Basen!J753</f>
        <v>10</v>
      </c>
      <c r="F819" s="3"/>
      <c r="G819" s="3"/>
      <c r="H819" s="3"/>
      <c r="I819" s="34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6" t="str">
        <f>Basen!H441</f>
        <v>bc</v>
      </c>
      <c r="E820" s="3" t="e">
        <f>Basen!J441</f>
        <v>#REF!</v>
      </c>
      <c r="F820" s="3"/>
      <c r="G820" s="36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4" t="str">
        <f>Basen!H829</f>
        <v>bc</v>
      </c>
      <c r="E823" s="3">
        <f>Basen!J829</f>
        <v>0</v>
      </c>
      <c r="F823" s="3"/>
      <c r="G823" s="3"/>
      <c r="H823" s="3"/>
      <c r="I823" s="3"/>
      <c r="J823" s="34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4" t="str">
        <f>Basen!H843</f>
        <v>bc</v>
      </c>
      <c r="E824" s="3">
        <f>Basen!J843</f>
        <v>0</v>
      </c>
      <c r="F824" s="3"/>
      <c r="G824" s="3"/>
      <c r="H824" s="3"/>
      <c r="I824" s="3"/>
      <c r="J824" s="34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4" t="str">
        <f>Basen!H612</f>
        <v>WEB</v>
      </c>
      <c r="E825" s="3">
        <f>Basen!J612</f>
        <v>0</v>
      </c>
      <c r="F825" s="3"/>
      <c r="G825" s="3"/>
      <c r="H825" s="3"/>
      <c r="I825" s="34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4" t="str">
        <f>Basen!H624</f>
        <v>WEB</v>
      </c>
      <c r="E826" s="3">
        <f>Basen!J624</f>
        <v>0</v>
      </c>
      <c r="F826" s="3"/>
      <c r="G826" s="3"/>
      <c r="H826" s="3"/>
      <c r="I826" s="34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4" t="str">
        <f>Basen!H576</f>
        <v>bc</v>
      </c>
      <c r="E827" s="3">
        <f>Basen!J576</f>
        <v>0</v>
      </c>
      <c r="F827" s="3"/>
      <c r="G827" s="3"/>
      <c r="H827" s="34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4" t="str">
        <f>Basen!H859</f>
        <v>cansl</v>
      </c>
      <c r="E828" s="3">
        <f>Basen!J859</f>
        <v>0</v>
      </c>
      <c r="F828" s="3"/>
      <c r="G828" s="3"/>
      <c r="H828" s="3"/>
      <c r="I828" s="3"/>
      <c r="J828" s="34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4" t="str">
        <f>Basen!H657</f>
        <v>cansl</v>
      </c>
      <c r="E831" s="3">
        <f>Basen!J657</f>
        <v>0</v>
      </c>
      <c r="F831" s="3"/>
      <c r="G831" s="3"/>
      <c r="H831" s="3"/>
      <c r="I831" s="34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6" t="str">
        <f>Basen!H443</f>
        <v>web</v>
      </c>
      <c r="E833" s="3">
        <f>Basen!J443</f>
        <v>0</v>
      </c>
      <c r="F833" s="3"/>
      <c r="G833" s="36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4" t="str">
        <f>Basen!H579</f>
        <v>bc</v>
      </c>
      <c r="E834" s="3">
        <f>Basen!J579</f>
        <v>0</v>
      </c>
      <c r="F834" s="3"/>
      <c r="G834" s="3"/>
      <c r="H834" s="34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4" t="str">
        <f>Basen!H469</f>
        <v>bc</v>
      </c>
      <c r="E835" s="3">
        <f>Basen!J469</f>
        <v>0</v>
      </c>
      <c r="F835" s="3"/>
      <c r="G835" s="3"/>
      <c r="H835" s="34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4" t="str">
        <f>Basen!H890</f>
        <v>bc</v>
      </c>
      <c r="E837" s="3">
        <f>Basen!J890</f>
        <v>0</v>
      </c>
      <c r="F837" s="3"/>
      <c r="G837" s="3"/>
      <c r="H837" s="3"/>
      <c r="I837" s="3"/>
      <c r="J837" s="34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4" t="str">
        <f>Basen!H504</f>
        <v>bc</v>
      </c>
      <c r="E839" s="3">
        <f>Basen!J504</f>
        <v>0</v>
      </c>
      <c r="F839" s="3"/>
      <c r="G839" s="3"/>
      <c r="H839" s="34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4" t="str">
        <f>Basen!H876</f>
        <v>web</v>
      </c>
      <c r="E843" s="3">
        <f>Basen!J876</f>
        <v>0</v>
      </c>
      <c r="F843" s="3"/>
      <c r="G843" s="3"/>
      <c r="H843" s="3"/>
      <c r="I843" s="3"/>
      <c r="J843" s="34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4" t="str">
        <f>Basen!H522</f>
        <v>bc</v>
      </c>
      <c r="E844" s="3">
        <f>Basen!J522</f>
        <v>0</v>
      </c>
      <c r="F844" s="3"/>
      <c r="G844" s="3"/>
      <c r="H844" s="34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4" t="str">
        <f>Basen!H902</f>
        <v>bc</v>
      </c>
      <c r="E848" s="3">
        <f>Basen!J902</f>
        <v>0</v>
      </c>
      <c r="F848" s="3"/>
      <c r="G848" s="3"/>
      <c r="H848" s="3"/>
      <c r="I848" s="3"/>
      <c r="J848" s="34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5" t="str">
        <f>Basen!H26</f>
        <v>cansl</v>
      </c>
      <c r="E850" s="3">
        <f>Basen!J26</f>
        <v>0</v>
      </c>
      <c r="F850" s="35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4" t="str">
        <f>Basen!H799</f>
        <v>web</v>
      </c>
      <c r="E851" s="3">
        <f>Basen!J799</f>
        <v>10</v>
      </c>
      <c r="F851" s="3"/>
      <c r="G851" s="3"/>
      <c r="H851" s="3"/>
      <c r="I851" s="3"/>
      <c r="J851" s="34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4" t="str">
        <f>Basen!H722</f>
        <v>cansl</v>
      </c>
      <c r="E852" s="3">
        <f>Basen!J722</f>
        <v>0</v>
      </c>
      <c r="F852" s="3"/>
      <c r="G852" s="3"/>
      <c r="H852" s="3"/>
      <c r="I852" s="34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4" t="str">
        <f>Basen!H881</f>
        <v>bc</v>
      </c>
      <c r="E853" s="3">
        <f>Basen!J881</f>
        <v>0</v>
      </c>
      <c r="F853" s="3"/>
      <c r="G853" s="3"/>
      <c r="H853" s="3"/>
      <c r="I853" s="3"/>
      <c r="J853" s="34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4" t="str">
        <f>Basen!H694</f>
        <v>cansl</v>
      </c>
      <c r="E854" s="3">
        <f>Basen!J694</f>
        <v>0</v>
      </c>
      <c r="F854" s="3"/>
      <c r="G854" s="3"/>
      <c r="H854" s="3"/>
      <c r="I854" s="34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4" t="str">
        <f>Basen!H610</f>
        <v>WEB</v>
      </c>
      <c r="E855" s="3">
        <f>Basen!J610</f>
        <v>0</v>
      </c>
      <c r="F855" s="3"/>
      <c r="G855" s="3"/>
      <c r="H855" s="3"/>
      <c r="I855" s="34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4" t="str">
        <f>Basen!H763</f>
        <v>bc</v>
      </c>
      <c r="E857" s="3">
        <f>Basen!J763</f>
        <v>0</v>
      </c>
      <c r="F857" s="3"/>
      <c r="G857" s="3"/>
      <c r="H857" s="3"/>
      <c r="I857" s="34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4" t="str">
        <f>Basen!H488</f>
        <v>bc</v>
      </c>
      <c r="E859" s="3">
        <f>Basen!J488</f>
        <v>0</v>
      </c>
      <c r="F859" s="3"/>
      <c r="G859" s="3"/>
      <c r="H859" s="34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4" t="str">
        <f>Basen!H542</f>
        <v>bc</v>
      </c>
      <c r="E860" s="3">
        <f>Basen!J542</f>
        <v>0</v>
      </c>
      <c r="F860" s="3"/>
      <c r="G860" s="3"/>
      <c r="H860" s="34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4" t="str">
        <f>Basen!H476</f>
        <v>cansl</v>
      </c>
      <c r="E861" s="3">
        <f>Basen!J476</f>
        <v>0</v>
      </c>
      <c r="F861" s="3"/>
      <c r="G861" s="3"/>
      <c r="H861" s="34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4" t="str">
        <f>Basen!H888</f>
        <v>cansl</v>
      </c>
      <c r="E862" s="3">
        <f>Basen!J888</f>
        <v>0</v>
      </c>
      <c r="F862" s="3"/>
      <c r="G862" s="3"/>
      <c r="H862" s="3"/>
      <c r="I862" s="3"/>
      <c r="J862" s="34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4" t="str">
        <f>Basen!H493</f>
        <v>WEB</v>
      </c>
      <c r="E863" s="3">
        <f>Basen!J493</f>
        <v>10</v>
      </c>
      <c r="F863" s="3"/>
      <c r="G863" s="3"/>
      <c r="H863" s="34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4" t="str">
        <f>Basen!H897</f>
        <v>bc</v>
      </c>
      <c r="E867" s="3">
        <f>Basen!J897</f>
        <v>0</v>
      </c>
      <c r="F867" s="3"/>
      <c r="G867" s="3"/>
      <c r="H867" s="3"/>
      <c r="I867" s="3"/>
      <c r="J867" s="34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4" t="str">
        <f>Basen!H527</f>
        <v>WEB</v>
      </c>
      <c r="E869" s="3">
        <f>Basen!J527</f>
        <v>10</v>
      </c>
      <c r="F869" s="3"/>
      <c r="G869" s="3"/>
      <c r="H869" s="34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4" t="str">
        <f>Basen!H521</f>
        <v>bc</v>
      </c>
      <c r="E876" s="3">
        <f>Basen!J521</f>
        <v>0</v>
      </c>
      <c r="F876" s="3"/>
      <c r="G876" s="3"/>
      <c r="H876" s="34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4" t="str">
        <f>Basen!H526</f>
        <v>bc</v>
      </c>
      <c r="E878" s="3">
        <f>Basen!J526</f>
        <v>0</v>
      </c>
      <c r="F878" s="3"/>
      <c r="G878" s="3"/>
      <c r="H878" s="34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4" t="str">
        <f>Basen!H556</f>
        <v>bc</v>
      </c>
      <c r="E882" s="3">
        <f>Basen!J556</f>
        <v>0</v>
      </c>
      <c r="F882" s="3"/>
      <c r="G882" s="3"/>
      <c r="H882" s="34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4" t="str">
        <f>Basen!H552</f>
        <v>bc</v>
      </c>
      <c r="E884" s="3">
        <f>Basen!J552</f>
        <v>0</v>
      </c>
      <c r="F884" s="3"/>
      <c r="G884" s="3"/>
      <c r="H884" s="34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4" t="str">
        <f>Basen!H609</f>
        <v>WEB</v>
      </c>
      <c r="E885" s="3">
        <f>Basen!J609</f>
        <v>0</v>
      </c>
      <c r="F885" s="3"/>
      <c r="G885" s="3"/>
      <c r="H885" s="3"/>
      <c r="I885" s="34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4" t="str">
        <f>Basen!H450</f>
        <v>WEB</v>
      </c>
      <c r="E888" s="3">
        <f>Basen!J450</f>
        <v>0</v>
      </c>
      <c r="F888" s="3"/>
      <c r="G888" s="3"/>
      <c r="H888" s="34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4" t="str">
        <f>Basen!H545</f>
        <v>bc</v>
      </c>
      <c r="E892" s="3">
        <f>Basen!J545</f>
        <v>0</v>
      </c>
      <c r="F892" s="3"/>
      <c r="G892" s="3"/>
      <c r="H892" s="34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4" t="str">
        <f>Basen!H459</f>
        <v>cansl</v>
      </c>
      <c r="E893" s="3">
        <f>Basen!J459</f>
        <v>0</v>
      </c>
      <c r="F893" s="3"/>
      <c r="G893" s="3"/>
      <c r="H893" s="34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4" t="str">
        <f>Basen!H543</f>
        <v>bc</v>
      </c>
      <c r="E894" s="3">
        <f>Basen!J543</f>
        <v>0</v>
      </c>
      <c r="F894" s="3"/>
      <c r="G894" s="3"/>
      <c r="H894" s="34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4" t="str">
        <f>Basen!H802</f>
        <v>WEB</v>
      </c>
      <c r="E895" s="3">
        <f>Basen!J802</f>
        <v>15</v>
      </c>
      <c r="F895" s="3"/>
      <c r="G895" s="3"/>
      <c r="H895" s="3"/>
      <c r="I895" s="3"/>
      <c r="J895" s="34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8" t="s">
        <v>2197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2" t="s">
        <v>1893</v>
      </c>
      <c r="B13" s="86"/>
      <c r="C13" s="62"/>
      <c r="D13" s="62" t="str">
        <f>IFERROR(VLOOKUP($B$13,Dtb!$A$2:$M$783,2,FALSE),"-")</f>
        <v>-</v>
      </c>
      <c r="E13" s="62" t="str">
        <f>IFERROR(VLOOKUP($B$13,Dtb!$A$2:$M$783,3,FALSE),"-")</f>
        <v>-</v>
      </c>
      <c r="F13" s="62" t="str">
        <f>IFERROR(VLOOKUP($B$13,Dtb!$A$2:$M$783,5,FALSE),"-")</f>
        <v>-</v>
      </c>
      <c r="G13" s="62" t="str">
        <f>IFERROR(VLOOKUP($B$13,Dtb!$A$2:$M$783,6,FALSE),"-")</f>
        <v>-</v>
      </c>
      <c r="H13" s="62" t="str">
        <f>IFERROR(VLOOKUP($B$13,Dtb!$A$2:$M$783,7,FALSE),"-")</f>
        <v>-</v>
      </c>
      <c r="I13" s="63" t="str">
        <f>IFERROR(VLOOKUP($B$13,'old data'!$A$2:$M$783,7,FALSE),"-")</f>
        <v>-</v>
      </c>
      <c r="J13" s="63" t="str">
        <f>IFERROR(VLOOKUP($B$13,'old data'!$A$2:$M$783,8,FALSE),"-")</f>
        <v>Web</v>
      </c>
      <c r="K13" s="63" t="str">
        <f>IFERROR(VLOOKUP($B$13,'old data'!$A$2:$M$783,9,FALSE),"-")</f>
        <v>-</v>
      </c>
      <c r="L13" s="63" t="str">
        <f>IFERROR(VLOOKUP($B$13,'old data'!$A$2:$M$783,10,FALSE),"-")</f>
        <v>-</v>
      </c>
      <c r="M13" s="63" t="str">
        <f>IFERROR(VLOOKUP($B$13,'old data'!$A$2:$M$783,11,FALSE),"-")</f>
        <v>-</v>
      </c>
      <c r="N13" s="63" t="str">
        <f>IFERROR(VLOOKUP($B$13,'old data'!$A$2:$M$783,12,FALSE),"-")</f>
        <v>-</v>
      </c>
      <c r="O13" s="63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2" t="s">
        <v>1894</v>
      </c>
      <c r="B15" s="62"/>
      <c r="C15" s="62"/>
      <c r="D15" s="64" t="str">
        <f>IFERROR(VLOOKUP($B$15,Dtb!$C$2:$M$783,3,FALSE),"-")</f>
        <v>-</v>
      </c>
      <c r="E15" s="65" t="str">
        <f>IFERROR(VLOOKUP($B$15,Dtb!$C$2:$M$783,1,FALSE),"-")</f>
        <v>-</v>
      </c>
      <c r="F15" s="62" t="str">
        <f>IFERROR(VLOOKUP($B$15,Dtb!$C$2:$M$783,3,FALSE),"-")</f>
        <v>-</v>
      </c>
      <c r="G15" s="62" t="str">
        <f>IFERROR(VLOOKUP($B$15,Dtb!$C$2:$M$783,4,FALSE),"-")</f>
        <v>-</v>
      </c>
      <c r="H15" s="62" t="str">
        <f>IFERROR(VLOOKUP($B$15,Dtb!$C$2:$M$783,5,FALSE),"-")</f>
        <v>-</v>
      </c>
      <c r="I15" s="63" t="str">
        <f>IFERROR(VLOOKUP($B$15,'old data'!$C$2:$M$783,5,FALSE),"-")</f>
        <v>-</v>
      </c>
      <c r="J15" s="63" t="str">
        <f>IFERROR(VLOOKUP($B$15,'old data'!$C$2:$M$783,6,FALSE),"-")</f>
        <v>-</v>
      </c>
      <c r="K15" s="63" t="str">
        <f>IFERROR(VLOOKUP($B$15,'old data'!$C$2:$M$783,7,FALSE),"-")</f>
        <v>bc</v>
      </c>
      <c r="L15" s="63" t="str">
        <f>IFERROR(VLOOKUP($B$15,'old data'!$C$2:$M$783,8,FALSE),"-")</f>
        <v>-</v>
      </c>
      <c r="M15" s="63" t="str">
        <f>IFERROR(VLOOKUP($B$15,'old data'!$C$2:$M$783,9,FALSE),"-")</f>
        <v>-</v>
      </c>
      <c r="N15" s="63" t="str">
        <f>IFERROR(VLOOKUP($B$15,'old data'!$C$2:$M$783,10,FALSE),"-")</f>
        <v>-</v>
      </c>
      <c r="O15" s="63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6" t="s">
        <v>1</v>
      </c>
      <c r="B17" s="66"/>
      <c r="C17" s="66"/>
      <c r="D17" s="65" t="str">
        <f>IFERROR(VLOOKUP($B$17,Dtb!$B$2:$M$783,1,FALSE),"-")</f>
        <v>-</v>
      </c>
      <c r="E17" s="65" t="str">
        <f>IFERROR(VLOOKUP($B$17,Dtb!$B$2:$M$783,2,FALSE),"-")</f>
        <v>-</v>
      </c>
      <c r="F17" s="65" t="str">
        <f>IFERROR(VLOOKUP($B$17,Dtb!$B$2:$M$783,4,FALSE),"-")</f>
        <v>-</v>
      </c>
      <c r="G17" s="65" t="str">
        <f>IFERROR(VLOOKUP($B$17,Dtb!$B$2:$M$783,5,FALSE),"-")</f>
        <v>-</v>
      </c>
      <c r="H17" s="65" t="str">
        <f>IFERROR(VLOOKUP($B$17,Dtb!$B$2:$M$783,6,FALSE),"-")</f>
        <v>-</v>
      </c>
      <c r="I17" s="67" t="str">
        <f>IFERROR(VLOOKUP($B$17,'old data'!$B$2:$M$783,6,FALSE),"-")</f>
        <v>-</v>
      </c>
      <c r="J17" s="67" t="str">
        <f>IFERROR(VLOOKUP($B$17,'old data'!$B$2:$M$783,7,FALSE),"-")</f>
        <v>Web</v>
      </c>
      <c r="K17" s="67" t="str">
        <f>IFERROR(VLOOKUP($B$17,'old data'!$B$2:$M$783,8,FALSE),"-")</f>
        <v>-</v>
      </c>
      <c r="L17" s="67" t="str">
        <f>IFERROR(VLOOKUP($B$17,'old data'!$B$2:$M$783,9,FALSE),"-")</f>
        <v>-</v>
      </c>
      <c r="M17" s="67" t="str">
        <f>IFERROR(VLOOKUP($B$17,'old data'!$B$2:$M$783,10,FALSE),"-")</f>
        <v>-</v>
      </c>
      <c r="N17" s="67" t="str">
        <f>IFERROR(VLOOKUP($B$17,'old data'!$B$2:$M$783,11,FALSE),"-")</f>
        <v>-</v>
      </c>
      <c r="O17" s="67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2025-09-10T07:51:35Z</dcterms:modified>
  <cp:category/>
  <cp:contentStatus/>
</cp:coreProperties>
</file>